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oycho.rusinov\Documents\GitHub\Estimating_price_elasticity\Statistical_documentation\Present_ value_simulations\"/>
    </mc:Choice>
  </mc:AlternateContent>
  <xr:revisionPtr revIDLastSave="0" documentId="13_ncr:1_{4E761931-6F83-4010-B848-A63A9A7D36E8}" xr6:coauthVersionLast="36" xr6:coauthVersionMax="36" xr10:uidLastSave="{00000000-0000-0000-0000-000000000000}"/>
  <bookViews>
    <workbookView xWindow="0" yWindow="0" windowWidth="23040" windowHeight="10380" xr2:uid="{199D723B-9A26-436A-828C-653175FE4DF6}"/>
  </bookViews>
  <sheets>
    <sheet name="Sheet1" sheetId="1" r:id="rId1"/>
    <sheet name="TWFE" sheetId="2" r:id="rId2"/>
    <sheet name="Pooled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" i="1"/>
</calcChain>
</file>

<file path=xl/sharedStrings.xml><?xml version="1.0" encoding="utf-8"?>
<sst xmlns="http://schemas.openxmlformats.org/spreadsheetml/2006/main" count="389" uniqueCount="279">
  <si>
    <t>Country</t>
  </si>
  <si>
    <t>Estimate</t>
  </si>
  <si>
    <t>Austria</t>
  </si>
  <si>
    <t>Belgium</t>
  </si>
  <si>
    <t>Bulgaria</t>
  </si>
  <si>
    <t>Croatia</t>
  </si>
  <si>
    <t>Denmark</t>
  </si>
  <si>
    <t>Estonia</t>
  </si>
  <si>
    <t>Finland</t>
  </si>
  <si>
    <t>France</t>
  </si>
  <si>
    <t>Germany</t>
  </si>
  <si>
    <t>Greece</t>
  </si>
  <si>
    <t>Hungary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</si>
  <si>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</si>
  <si>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</si>
  <si>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</si>
  <si>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</si>
  <si>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</si>
  <si>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</si>
  <si>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</si>
  <si>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</si>
  <si>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</si>
  <si>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</si>
  <si>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</si>
  <si>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</si>
  <si>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</si>
  <si>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Czechia</t>
  </si>
  <si>
    <t>Cyprus</t>
  </si>
  <si>
    <t>-0.704804</t>
  </si>
  <si>
    <t>-0.758927</t>
  </si>
  <si>
    <t>-2.043416</t>
  </si>
  <si>
    <t>-1.811014</t>
  </si>
  <si>
    <t>-1.058432</t>
  </si>
  <si>
    <t>-1.293471</t>
  </si>
  <si>
    <t>-1.202773</t>
  </si>
  <si>
    <t>-1.603714</t>
  </si>
  <si>
    <t>-1.912616</t>
  </si>
  <si>
    <t>-0.753375</t>
  </si>
  <si>
    <t>-0.837770</t>
  </si>
  <si>
    <t>-1.022019</t>
  </si>
  <si>
    <t>-1.270737</t>
  </si>
  <si>
    <t>-1.081306</t>
  </si>
  <si>
    <t>-1.667786</t>
  </si>
  <si>
    <t>-2.329383</t>
  </si>
  <si>
    <t>-0.649165</t>
  </si>
  <si>
    <t>-0.517949</t>
  </si>
  <si>
    <t>-0.691242</t>
  </si>
  <si>
    <t>-1.824551</t>
  </si>
  <si>
    <t>-1.095439</t>
  </si>
  <si>
    <t>-1.867702</t>
  </si>
  <si>
    <t>-1.672595</t>
  </si>
  <si>
    <t>-1.435824</t>
  </si>
  <si>
    <t>-0.663970</t>
  </si>
  <si>
    <t>-1.123118</t>
  </si>
  <si>
    <t>&lt;dbl&gt;</t>
  </si>
  <si>
    <t>Std. Error</t>
  </si>
  <si>
    <t>t value</t>
  </si>
  <si>
    <t>Pr(&gt;|t|)</t>
  </si>
  <si>
    <t>&lt;chr&gt;</t>
  </si>
  <si>
    <t>&lt;fctr&gt;</t>
  </si>
  <si>
    <t>(Intercept)</t>
  </si>
  <si>
    <t>6.915882</t>
  </si>
  <si>
    <t>0.010425</t>
  </si>
  <si>
    <t>663.420219</t>
  </si>
  <si>
    <t>&lt; 2.2e-16</t>
  </si>
  <si>
    <t>***</t>
  </si>
  <si>
    <t>-1.032592</t>
  </si>
  <si>
    <t>0.041508</t>
  </si>
  <si>
    <t>-24.877221</t>
  </si>
  <si>
    <t>1.3152e-09</t>
  </si>
  <si>
    <t>-0.505649</t>
  </si>
  <si>
    <t>0.058404</t>
  </si>
  <si>
    <t>-8.657746</t>
  </si>
  <si>
    <t>1.1711e-05</t>
  </si>
  <si>
    <t>-1.078163</t>
  </si>
  <si>
    <t>0.105497</t>
  </si>
  <si>
    <t>-10.219854</t>
  </si>
  <si>
    <t>2.9849e-06</t>
  </si>
  <si>
    <t>-2.643914</t>
  </si>
  <si>
    <t>0.100955</t>
  </si>
  <si>
    <t>-26.188993</t>
  </si>
  <si>
    <t>8.3299e-10</t>
  </si>
  <si>
    <t>0.183245</t>
  </si>
  <si>
    <t>0.035878</t>
  </si>
  <si>
    <t>5.107455</t>
  </si>
  <si>
    <t>6.3869e-04</t>
  </si>
  <si>
    <t>-0.972706</t>
  </si>
  <si>
    <t>0.050649</t>
  </si>
  <si>
    <t>-19.204782</t>
  </si>
  <si>
    <t>1.2982e-08</t>
  </si>
  <si>
    <t>-1.681036</t>
  </si>
  <si>
    <t>0.095545</t>
  </si>
  <si>
    <t>-17.594266</t>
  </si>
  <si>
    <t>2.8029e-08</t>
  </si>
  <si>
    <t>-2.308926</t>
  </si>
  <si>
    <t>0.107641</t>
  </si>
  <si>
    <t>-21.450309</t>
  </si>
  <si>
    <t>4.8927e-09</t>
  </si>
  <si>
    <t>-1.888870</t>
  </si>
  <si>
    <t>0.179063</t>
  </si>
  <si>
    <t>-10.548625</t>
  </si>
  <si>
    <t>2.2901e-06</t>
  </si>
  <si>
    <t>1.107156</t>
  </si>
  <si>
    <t>0.060064</t>
  </si>
  <si>
    <t>18.432931</t>
  </si>
  <si>
    <t>1.8624e-08</t>
  </si>
  <si>
    <t>0.580390</t>
  </si>
  <si>
    <t>0.062914</t>
  </si>
  <si>
    <t>9.225070</t>
  </si>
  <si>
    <t>6.9729e-06</t>
  </si>
  <si>
    <t>0.033522</t>
  </si>
  <si>
    <t>0.077132</t>
  </si>
  <si>
    <t>0.434609</t>
  </si>
  <si>
    <t>6.7408e-01</t>
  </si>
  <si>
    <t>-1.103559</t>
  </si>
  <si>
    <t>0.074867</t>
  </si>
  <si>
    <t>-14.740237</t>
  </si>
  <si>
    <t>1.3128e-07</t>
  </si>
  <si>
    <t>0.604858</t>
  </si>
  <si>
    <t>0.100261</t>
  </si>
  <si>
    <t>6.032860</t>
  </si>
  <si>
    <t>1.9451e-04</t>
  </si>
  <si>
    <t>-2.000014</t>
  </si>
  <si>
    <t>0.126730</t>
  </si>
  <si>
    <t>-15.781692</t>
  </si>
  <si>
    <t>7.2511e-08</t>
  </si>
  <si>
    <t>-1.483170</t>
  </si>
  <si>
    <t>0.250523</t>
  </si>
  <si>
    <t>-5.920290</t>
  </si>
  <si>
    <t>2.2339e-04</t>
  </si>
  <si>
    <t>-1.308453</t>
  </si>
  <si>
    <t>0.034871</t>
  </si>
  <si>
    <t>-37.522501</t>
  </si>
  <si>
    <t>3.3645e-11</t>
  </si>
  <si>
    <t>-2.407051</t>
  </si>
  <si>
    <t>0.032295</t>
  </si>
  <si>
    <t>-74.532081</t>
  </si>
  <si>
    <t>7.1270e-14</t>
  </si>
  <si>
    <t>-0.563117</t>
  </si>
  <si>
    <t>0.025049</t>
  </si>
  <si>
    <t>-22.480973</t>
  </si>
  <si>
    <t>3.2298e-09</t>
  </si>
  <si>
    <t>-0.207094</t>
  </si>
  <si>
    <t>0.146141</t>
  </si>
  <si>
    <t>-1.417083</t>
  </si>
  <si>
    <t>1.9013e-01</t>
  </si>
  <si>
    <t>-0.158727</t>
  </si>
  <si>
    <t>0.328262</t>
  </si>
  <si>
    <t>-0.483538</t>
  </si>
  <si>
    <t>6.4026e-01</t>
  </si>
  <si>
    <t>-0.434855</t>
  </si>
  <si>
    <t>0.134410</t>
  </si>
  <si>
    <t>-3.235278</t>
  </si>
  <si>
    <t>1.0236e-02</t>
  </si>
  <si>
    <t>*</t>
  </si>
  <si>
    <t>-1.641775</t>
  </si>
  <si>
    <t>0.097227</t>
  </si>
  <si>
    <t>-16.886079</t>
  </si>
  <si>
    <t>4.0169e-08</t>
  </si>
  <si>
    <t>-3.179370</t>
  </si>
  <si>
    <t>0.094206</t>
  </si>
  <si>
    <t>-33.749206</t>
  </si>
  <si>
    <t>8.6799e-11</t>
  </si>
  <si>
    <t>0.892708</t>
  </si>
  <si>
    <t>0.065602</t>
  </si>
  <si>
    <t>13.607964</t>
  </si>
  <si>
    <t>2.6205e-07</t>
  </si>
  <si>
    <t>-0.701270</t>
  </si>
  <si>
    <t>0.127344</t>
  </si>
  <si>
    <t>-5.506875</t>
  </si>
  <si>
    <t>3.7682e-04</t>
  </si>
  <si>
    <t>-0.525213</t>
  </si>
  <si>
    <t>0.051336</t>
  </si>
  <si>
    <t>-10.23088</t>
  </si>
  <si>
    <t>2.9581e-06</t>
  </si>
  <si>
    <t>-0.579336</t>
  </si>
  <si>
    <t>0.063442</t>
  </si>
  <si>
    <t>-9.13173</t>
  </si>
  <si>
    <t>7.5800e-06</t>
  </si>
  <si>
    <t>-1.863825</t>
  </si>
  <si>
    <t>0.128181</t>
  </si>
  <si>
    <t>-14.54054</t>
  </si>
  <si>
    <t>1.4776e-07</t>
  </si>
  <si>
    <t>-1.631423</t>
  </si>
  <si>
    <t>0.104907</t>
  </si>
  <si>
    <t>-15.55111</t>
  </si>
  <si>
    <t>8.2430e-08</t>
  </si>
  <si>
    <t>-0.878841</t>
  </si>
  <si>
    <t>0.065872</t>
  </si>
  <si>
    <t>-13.34175</t>
  </si>
  <si>
    <t>3.1067e-07</t>
  </si>
  <si>
    <t>-1.113880</t>
  </si>
  <si>
    <t>0.051462</t>
  </si>
  <si>
    <t>-21.64482</t>
  </si>
  <si>
    <t>4.5172e-09</t>
  </si>
  <si>
    <t>-1.023182</t>
  </si>
  <si>
    <t>0.104812</t>
  </si>
  <si>
    <t>-9.76208</t>
  </si>
  <si>
    <t>4.3708e-06</t>
  </si>
  <si>
    <t>-1.424123</t>
  </si>
  <si>
    <t>0.114933</t>
  </si>
  <si>
    <t>-12.39094</t>
  </si>
  <si>
    <t>5.8571e-07</t>
  </si>
  <si>
    <t>-1.733025</t>
  </si>
  <si>
    <t>0.203662</t>
  </si>
  <si>
    <t>-8.50931</t>
  </si>
  <si>
    <t>1.3474e-05</t>
  </si>
  <si>
    <t>-0.573784</t>
  </si>
  <si>
    <t>0.058507</t>
  </si>
  <si>
    <t>-9.80705</t>
  </si>
  <si>
    <t>4.2072e-06</t>
  </si>
  <si>
    <t>-0.658179</t>
  </si>
  <si>
    <t>0.070529</t>
  </si>
  <si>
    <t>-9.33203</t>
  </si>
  <si>
    <t>6.3421e-06</t>
  </si>
  <si>
    <t>-0.842428</t>
  </si>
  <si>
    <t>0.077894</t>
  </si>
  <si>
    <t>-10.81507</t>
  </si>
  <si>
    <t>1.8571e-06</t>
  </si>
  <si>
    <t>-1.091146</t>
  </si>
  <si>
    <t>0.074542</t>
  </si>
  <si>
    <t>-14.63801</t>
  </si>
  <si>
    <t>1.3945e-07</t>
  </si>
  <si>
    <t>-0.901715</t>
  </si>
  <si>
    <t>0.110412</t>
  </si>
  <si>
    <t>-8.16682</t>
  </si>
  <si>
    <t>1.8763e-05</t>
  </si>
  <si>
    <t>-1.488195</t>
  </si>
  <si>
    <t>0.121586</t>
  </si>
  <si>
    <t>-12.23985</t>
  </si>
  <si>
    <t>6.5042e-07</t>
  </si>
  <si>
    <t>-2.149792</t>
  </si>
  <si>
    <t>0.270911</t>
  </si>
  <si>
    <t>-7.93540</t>
  </si>
  <si>
    <t>2.3615e-05</t>
  </si>
  <si>
    <t>-0.469574</t>
  </si>
  <si>
    <t>0.040036</t>
  </si>
  <si>
    <t>-11.72878</t>
  </si>
  <si>
    <t>9.3531e-07</t>
  </si>
  <si>
    <t>-0.338357</t>
  </si>
  <si>
    <t>0.048807</t>
  </si>
  <si>
    <t>-6.93262</t>
  </si>
  <si>
    <t>6.8148e-05</t>
  </si>
  <si>
    <t>-0.511651</t>
  </si>
  <si>
    <t>0.026023</t>
  </si>
  <si>
    <t>-19.66118</t>
  </si>
  <si>
    <t>1.0556e-08</t>
  </si>
  <si>
    <t>-1.644960</t>
  </si>
  <si>
    <t>0.145599</t>
  </si>
  <si>
    <t>-11.29785</t>
  </si>
  <si>
    <t>1.2847e-06</t>
  </si>
  <si>
    <t>-0.915848</t>
  </si>
  <si>
    <t>0.344613</t>
  </si>
  <si>
    <t>-2.65761</t>
  </si>
  <si>
    <t>2.6148e-02</t>
  </si>
  <si>
    <t>-1.688111</t>
  </si>
  <si>
    <t>0.132957</t>
  </si>
  <si>
    <t>-12.69669</t>
  </si>
  <si>
    <t>4.7544e-07</t>
  </si>
  <si>
    <t>-1.493004</t>
  </si>
  <si>
    <t>0.118625</t>
  </si>
  <si>
    <t>-12.58588</t>
  </si>
  <si>
    <t>5.1251e-07</t>
  </si>
  <si>
    <t>-1.256233</t>
  </si>
  <si>
    <t>0.119899</t>
  </si>
  <si>
    <t>-10.47740</t>
  </si>
  <si>
    <t>2.4239e-06</t>
  </si>
  <si>
    <t>-0.484379</t>
  </si>
  <si>
    <t>0.078836</t>
  </si>
  <si>
    <t>-6.14415</t>
  </si>
  <si>
    <t>1.6992e-04</t>
  </si>
  <si>
    <t>-0.943527</t>
  </si>
  <si>
    <t>0.137914</t>
  </si>
  <si>
    <t>-6.84142</t>
  </si>
  <si>
    <t>7.5456e-05</t>
  </si>
  <si>
    <t>Estimate_TWFE</t>
  </si>
  <si>
    <t>Estimate_OWFE</t>
  </si>
  <si>
    <t>Estimate_Pooled</t>
  </si>
  <si>
    <t>27 rows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</si>
</sst>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5F33E-C4EC-4697-BF0B-8836F35F2CFA}">
  <dimension ref="A1:D27"/>
  <sheetViews>
    <sheetView tabSelected="1" workbookViewId="0">
      <selection activeCell="D8" sqref="D8"/>
    </sheetView>
  </sheetViews>
  <sheetFormatPr defaultRowHeight="14.4" x14ac:dyDescent="0.3"/>
  <cols>
    <col min="1" max="1" width="15.109375" customWidth="1"/>
  </cols>
  <sheetData>
    <row r="1" spans="1:4" ht="28.2" thickBot="1" x14ac:dyDescent="0.35">
      <c r="A1" s="1" t="s">
        <v>0</v>
      </c>
      <c r="B1" s="2" t="s">
        <v>275</v>
      </c>
      <c r="C1" s="2" t="s">
        <v>276</v>
      </c>
      <c r="D1" s="2" t="s">
        <v>277</v>
      </c>
    </row>
    <row r="2" spans="1:4" ht="15" thickTop="1" x14ac:dyDescent="0.3">
      <c r="A2" t="s">
        <v>2</v>
      </c>
      <c r="B2" t="s">
        <v>28</v>
      </c>
      <c r="C2" t="str">
        <f>VLOOKUP(A2,TWFE!$A$3:$B$28,2,FALSE)</f>
        <v>-0.525213</v>
      </c>
      <c r="D2" t="str">
        <f>VLOOKUP(A2,Pooled!$A$1:$C$29, 2, FALSE)</f>
        <v>-1.032592</v>
      </c>
    </row>
    <row r="3" spans="1:4" x14ac:dyDescent="0.3">
      <c r="A3" t="s">
        <v>3</v>
      </c>
      <c r="B3" t="s">
        <v>29</v>
      </c>
      <c r="C3" t="str">
        <f>VLOOKUP(A3,TWFE!$A$3:$B$28,2,FALSE)</f>
        <v>-0.579336</v>
      </c>
      <c r="D3" t="str">
        <f>VLOOKUP(A3,Pooled!$A$1:$C$29, 2, FALSE)</f>
        <v>-0.505649</v>
      </c>
    </row>
    <row r="4" spans="1:4" x14ac:dyDescent="0.3">
      <c r="A4" t="s">
        <v>4</v>
      </c>
      <c r="B4" t="s">
        <v>30</v>
      </c>
      <c r="C4" t="str">
        <f>VLOOKUP(A4,TWFE!$A$3:$B$28,2,FALSE)</f>
        <v>-1.863825</v>
      </c>
      <c r="D4" t="str">
        <f>VLOOKUP(A4,Pooled!$A$1:$C$29, 2, FALSE)</f>
        <v>-1.078163</v>
      </c>
    </row>
    <row r="5" spans="1:4" x14ac:dyDescent="0.3">
      <c r="A5" t="s">
        <v>5</v>
      </c>
      <c r="B5" t="s">
        <v>31</v>
      </c>
      <c r="C5" t="str">
        <f>VLOOKUP(A5,TWFE!$A$3:$B$28,2,FALSE)</f>
        <v>-1.631423</v>
      </c>
      <c r="D5" t="str">
        <f>VLOOKUP(A5,Pooled!$A$1:$C$29, 2, FALSE)</f>
        <v>-2.643914</v>
      </c>
    </row>
    <row r="6" spans="1:4" x14ac:dyDescent="0.3">
      <c r="A6" t="s">
        <v>27</v>
      </c>
      <c r="B6" t="s">
        <v>32</v>
      </c>
      <c r="C6" t="str">
        <f>VLOOKUP(A6,TWFE!$A$3:$B$28,2,FALSE)</f>
        <v>-0.878841</v>
      </c>
      <c r="D6" t="str">
        <f>VLOOKUP(A6,Pooled!$A$1:$C$29, 2, FALSE)</f>
        <v>0.183245</v>
      </c>
    </row>
    <row r="7" spans="1:4" x14ac:dyDescent="0.3">
      <c r="A7" t="s">
        <v>26</v>
      </c>
      <c r="B7" t="s">
        <v>33</v>
      </c>
      <c r="C7" t="str">
        <f>VLOOKUP(A7,TWFE!$A$3:$B$28,2,FALSE)</f>
        <v>-1.113880</v>
      </c>
      <c r="D7" t="str">
        <f>VLOOKUP(A7,Pooled!$A$1:$C$29, 2, FALSE)</f>
        <v>-0.972706</v>
      </c>
    </row>
    <row r="8" spans="1:4" x14ac:dyDescent="0.3">
      <c r="A8" t="s">
        <v>6</v>
      </c>
      <c r="B8" t="s">
        <v>34</v>
      </c>
      <c r="C8" t="str">
        <f>VLOOKUP(A8,TWFE!$A$3:$B$28,2,FALSE)</f>
        <v>-1.023182</v>
      </c>
      <c r="D8" t="str">
        <f>VLOOKUP(A8,Pooled!$A$1:$C$29, 2, FALSE)</f>
        <v>-1.681036</v>
      </c>
    </row>
    <row r="9" spans="1:4" x14ac:dyDescent="0.3">
      <c r="A9" t="s">
        <v>7</v>
      </c>
      <c r="B9" t="s">
        <v>35</v>
      </c>
      <c r="C9" t="str">
        <f>VLOOKUP(A9,TWFE!$A$3:$B$28,2,FALSE)</f>
        <v>-1.424123</v>
      </c>
      <c r="D9" t="str">
        <f>VLOOKUP(A9,Pooled!$A$1:$C$29, 2, FALSE)</f>
        <v>-2.308926</v>
      </c>
    </row>
    <row r="10" spans="1:4" x14ac:dyDescent="0.3">
      <c r="A10" t="s">
        <v>8</v>
      </c>
      <c r="B10" t="s">
        <v>36</v>
      </c>
      <c r="C10" t="str">
        <f>VLOOKUP(A10,TWFE!$A$3:$B$28,2,FALSE)</f>
        <v>-1.733025</v>
      </c>
      <c r="D10" t="str">
        <f>VLOOKUP(A10,Pooled!$A$1:$C$29, 2, FALSE)</f>
        <v>-1.888870</v>
      </c>
    </row>
    <row r="11" spans="1:4" x14ac:dyDescent="0.3">
      <c r="A11" t="s">
        <v>9</v>
      </c>
      <c r="B11" t="s">
        <v>37</v>
      </c>
      <c r="C11" t="str">
        <f>VLOOKUP(A11,TWFE!$A$3:$B$28,2,FALSE)</f>
        <v>-0.573784</v>
      </c>
      <c r="D11" t="str">
        <f>VLOOKUP(A11,Pooled!$A$1:$C$29, 2, FALSE)</f>
        <v>1.107156</v>
      </c>
    </row>
    <row r="12" spans="1:4" x14ac:dyDescent="0.3">
      <c r="A12" t="s">
        <v>10</v>
      </c>
      <c r="B12" t="s">
        <v>38</v>
      </c>
      <c r="C12" t="str">
        <f>VLOOKUP(A12,TWFE!$A$3:$B$28,2,FALSE)</f>
        <v>-0.658179</v>
      </c>
      <c r="D12" t="str">
        <f>VLOOKUP(A12,Pooled!$A$1:$C$29, 2, FALSE)</f>
        <v>0.580390</v>
      </c>
    </row>
    <row r="13" spans="1:4" x14ac:dyDescent="0.3">
      <c r="A13" t="s">
        <v>11</v>
      </c>
      <c r="B13" t="s">
        <v>39</v>
      </c>
      <c r="C13" t="str">
        <f>VLOOKUP(A13,TWFE!$A$3:$B$28,2,FALSE)</f>
        <v>-0.842428</v>
      </c>
      <c r="D13" t="str">
        <f>VLOOKUP(A13,Pooled!$A$1:$C$29, 2, FALSE)</f>
        <v>0.033522</v>
      </c>
    </row>
    <row r="14" spans="1:4" x14ac:dyDescent="0.3">
      <c r="A14" t="s">
        <v>12</v>
      </c>
      <c r="B14" t="s">
        <v>40</v>
      </c>
      <c r="C14" t="str">
        <f>VLOOKUP(A14,TWFE!$A$3:$B$28,2,FALSE)</f>
        <v>-1.091146</v>
      </c>
      <c r="D14" t="str">
        <f>VLOOKUP(A14,Pooled!$A$1:$C$29, 2, FALSE)</f>
        <v>-1.103559</v>
      </c>
    </row>
    <row r="15" spans="1:4" x14ac:dyDescent="0.3">
      <c r="A15" t="s">
        <v>13</v>
      </c>
      <c r="B15" t="s">
        <v>41</v>
      </c>
      <c r="C15" t="str">
        <f>VLOOKUP(A15,TWFE!$A$3:$B$28,2,FALSE)</f>
        <v>-0.901715</v>
      </c>
      <c r="D15" t="str">
        <f>VLOOKUP(A15,Pooled!$A$1:$C$29, 2, FALSE)</f>
        <v>0.604858</v>
      </c>
    </row>
    <row r="16" spans="1:4" x14ac:dyDescent="0.3">
      <c r="A16" t="s">
        <v>14</v>
      </c>
      <c r="B16" t="s">
        <v>42</v>
      </c>
      <c r="C16" t="str">
        <f>VLOOKUP(A16,TWFE!$A$3:$B$28,2,FALSE)</f>
        <v>-1.488195</v>
      </c>
      <c r="D16" t="str">
        <f>VLOOKUP(A16,Pooled!$A$1:$C$29, 2, FALSE)</f>
        <v>-2.000014</v>
      </c>
    </row>
    <row r="17" spans="1:4" x14ac:dyDescent="0.3">
      <c r="A17" t="s">
        <v>15</v>
      </c>
      <c r="B17" t="s">
        <v>43</v>
      </c>
      <c r="C17" t="str">
        <f>VLOOKUP(A17,TWFE!$A$3:$B$28,2,FALSE)</f>
        <v>-2.149792</v>
      </c>
      <c r="D17" t="str">
        <f>VLOOKUP(A17,Pooled!$A$1:$C$29, 2, FALSE)</f>
        <v>-1.483170</v>
      </c>
    </row>
    <row r="18" spans="1:4" x14ac:dyDescent="0.3">
      <c r="A18" t="s">
        <v>16</v>
      </c>
      <c r="B18" t="s">
        <v>44</v>
      </c>
      <c r="C18" t="str">
        <f>VLOOKUP(A18,TWFE!$A$3:$B$28,2,FALSE)</f>
        <v>-0.469574</v>
      </c>
      <c r="D18" t="str">
        <f>VLOOKUP(A18,Pooled!$A$1:$C$29, 2, FALSE)</f>
        <v>-1.308453</v>
      </c>
    </row>
    <row r="19" spans="1:4" x14ac:dyDescent="0.3">
      <c r="A19" t="s">
        <v>17</v>
      </c>
      <c r="B19" t="s">
        <v>45</v>
      </c>
      <c r="C19" t="str">
        <f>VLOOKUP(A19,TWFE!$A$3:$B$28,2,FALSE)</f>
        <v>-0.338357</v>
      </c>
      <c r="D19" t="str">
        <f>VLOOKUP(A19,Pooled!$A$1:$C$29, 2, FALSE)</f>
        <v>-2.407051</v>
      </c>
    </row>
    <row r="20" spans="1:4" x14ac:dyDescent="0.3">
      <c r="A20" t="s">
        <v>18</v>
      </c>
      <c r="B20" t="s">
        <v>46</v>
      </c>
      <c r="C20" t="str">
        <f>VLOOKUP(A20,TWFE!$A$3:$B$28,2,FALSE)</f>
        <v>-0.511651</v>
      </c>
      <c r="D20" t="str">
        <f>VLOOKUP(A20,Pooled!$A$1:$C$29, 2, FALSE)</f>
        <v>-0.563117</v>
      </c>
    </row>
    <row r="21" spans="1:4" x14ac:dyDescent="0.3">
      <c r="A21" t="s">
        <v>19</v>
      </c>
      <c r="B21" t="s">
        <v>47</v>
      </c>
      <c r="C21" t="str">
        <f>VLOOKUP(A21,TWFE!$A$3:$B$28,2,FALSE)</f>
        <v>-1.644960</v>
      </c>
      <c r="D21" t="str">
        <f>VLOOKUP(A21,Pooled!$A$1:$C$29, 2, FALSE)</f>
        <v>-0.207094</v>
      </c>
    </row>
    <row r="22" spans="1:4" x14ac:dyDescent="0.3">
      <c r="A22" t="s">
        <v>20</v>
      </c>
      <c r="B22" t="s">
        <v>48</v>
      </c>
      <c r="C22" t="str">
        <f>VLOOKUP(A22,TWFE!$A$3:$B$28,2,FALSE)</f>
        <v>-0.915848</v>
      </c>
      <c r="D22" t="str">
        <f>VLOOKUP(A22,Pooled!$A$1:$C$29, 2, FALSE)</f>
        <v>-0.158727</v>
      </c>
    </row>
    <row r="23" spans="1:4" x14ac:dyDescent="0.3">
      <c r="A23" t="s">
        <v>21</v>
      </c>
      <c r="B23" t="s">
        <v>49</v>
      </c>
      <c r="C23" t="str">
        <f>VLOOKUP(A23,TWFE!$A$3:$B$28,2,FALSE)</f>
        <v>-1.688111</v>
      </c>
      <c r="D23" t="str">
        <f>VLOOKUP(A23,Pooled!$A$1:$C$29, 2, FALSE)</f>
        <v>-0.434855</v>
      </c>
    </row>
    <row r="24" spans="1:4" x14ac:dyDescent="0.3">
      <c r="A24" t="s">
        <v>22</v>
      </c>
      <c r="B24" t="s">
        <v>50</v>
      </c>
      <c r="C24" t="str">
        <f>VLOOKUP(A24,TWFE!$A$3:$B$28,2,FALSE)</f>
        <v>-1.493004</v>
      </c>
      <c r="D24" t="str">
        <f>VLOOKUP(A24,Pooled!$A$1:$C$29, 2, FALSE)</f>
        <v>-1.641775</v>
      </c>
    </row>
    <row r="25" spans="1:4" x14ac:dyDescent="0.3">
      <c r="A25" t="s">
        <v>23</v>
      </c>
      <c r="B25" t="s">
        <v>51</v>
      </c>
      <c r="C25" t="str">
        <f>VLOOKUP(A25,TWFE!$A$3:$B$28,2,FALSE)</f>
        <v>-1.256233</v>
      </c>
      <c r="D25" t="str">
        <f>VLOOKUP(A25,Pooled!$A$1:$C$29, 2, FALSE)</f>
        <v>-3.179370</v>
      </c>
    </row>
    <row r="26" spans="1:4" x14ac:dyDescent="0.3">
      <c r="A26" t="s">
        <v>24</v>
      </c>
      <c r="B26" t="s">
        <v>52</v>
      </c>
      <c r="C26" t="str">
        <f>VLOOKUP(A26,TWFE!$A$3:$B$28,2,FALSE)</f>
        <v>-0.484379</v>
      </c>
      <c r="D26" t="str">
        <f>VLOOKUP(A26,Pooled!$A$1:$C$29, 2, FALSE)</f>
        <v>0.892708</v>
      </c>
    </row>
    <row r="27" spans="1:4" x14ac:dyDescent="0.3">
      <c r="A27" t="s">
        <v>25</v>
      </c>
      <c r="B27" t="s">
        <v>53</v>
      </c>
      <c r="C27" t="str">
        <f>VLOOKUP(A27,TWFE!$A$3:$B$28,2,FALSE)</f>
        <v>-0.943527</v>
      </c>
      <c r="D27" t="str">
        <f>VLOOKUP(A27,Pooled!$A$1:$C$29, 2, FALSE)</f>
        <v>-0.701270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84D3-3C6F-4B48-935B-3545246F7814}">
  <dimension ref="A1:F28"/>
  <sheetViews>
    <sheetView workbookViewId="0">
      <selection activeCell="A8" sqref="A8"/>
    </sheetView>
  </sheetViews>
  <sheetFormatPr defaultRowHeight="14.4" x14ac:dyDescent="0.3"/>
  <cols>
    <col min="1" max="1" width="36.5546875" customWidth="1"/>
  </cols>
  <sheetData>
    <row r="1" spans="1:6" x14ac:dyDescent="0.3">
      <c r="B1" t="s">
        <v>1</v>
      </c>
      <c r="C1" t="s">
        <v>55</v>
      </c>
      <c r="D1" t="s">
        <v>56</v>
      </c>
      <c r="E1" t="s">
        <v>57</v>
      </c>
    </row>
    <row r="2" spans="1:6" x14ac:dyDescent="0.3">
      <c r="B2" t="s">
        <v>54</v>
      </c>
      <c r="C2" t="s">
        <v>54</v>
      </c>
      <c r="D2" t="s">
        <v>54</v>
      </c>
      <c r="E2" t="s">
        <v>58</v>
      </c>
      <c r="F2" t="s">
        <v>59</v>
      </c>
    </row>
    <row r="3" spans="1:6" x14ac:dyDescent="0.3">
      <c r="A3" t="s">
        <v>2</v>
      </c>
      <c r="B3" t="s">
        <v>171</v>
      </c>
      <c r="C3" t="s">
        <v>172</v>
      </c>
      <c r="D3" t="s">
        <v>173</v>
      </c>
      <c r="E3" t="s">
        <v>174</v>
      </c>
      <c r="F3" t="s">
        <v>65</v>
      </c>
    </row>
    <row r="4" spans="1:6" x14ac:dyDescent="0.3">
      <c r="A4" t="s">
        <v>3</v>
      </c>
      <c r="B4" t="s">
        <v>175</v>
      </c>
      <c r="C4" t="s">
        <v>176</v>
      </c>
      <c r="D4" t="s">
        <v>177</v>
      </c>
      <c r="E4" t="s">
        <v>178</v>
      </c>
      <c r="F4" t="s">
        <v>65</v>
      </c>
    </row>
    <row r="5" spans="1:6" x14ac:dyDescent="0.3">
      <c r="A5" t="s">
        <v>4</v>
      </c>
      <c r="B5" t="s">
        <v>179</v>
      </c>
      <c r="C5" t="s">
        <v>180</v>
      </c>
      <c r="D5" t="s">
        <v>181</v>
      </c>
      <c r="E5" t="s">
        <v>182</v>
      </c>
      <c r="F5" t="s">
        <v>65</v>
      </c>
    </row>
    <row r="6" spans="1:6" x14ac:dyDescent="0.3">
      <c r="A6" t="s">
        <v>5</v>
      </c>
      <c r="B6" t="s">
        <v>183</v>
      </c>
      <c r="C6" t="s">
        <v>184</v>
      </c>
      <c r="D6" t="s">
        <v>185</v>
      </c>
      <c r="E6" t="s">
        <v>186</v>
      </c>
      <c r="F6" t="s">
        <v>65</v>
      </c>
    </row>
    <row r="7" spans="1:6" x14ac:dyDescent="0.3">
      <c r="A7" t="s">
        <v>27</v>
      </c>
      <c r="B7" t="s">
        <v>187</v>
      </c>
      <c r="C7" t="s">
        <v>188</v>
      </c>
      <c r="D7" t="s">
        <v>189</v>
      </c>
      <c r="E7" t="s">
        <v>190</v>
      </c>
      <c r="F7" t="s">
        <v>65</v>
      </c>
    </row>
    <row r="8" spans="1:6" x14ac:dyDescent="0.3">
      <c r="A8" t="s">
        <v>26</v>
      </c>
      <c r="B8" t="s">
        <v>191</v>
      </c>
      <c r="C8" t="s">
        <v>192</v>
      </c>
      <c r="D8" t="s">
        <v>193</v>
      </c>
      <c r="E8" t="s">
        <v>194</v>
      </c>
      <c r="F8" t="s">
        <v>65</v>
      </c>
    </row>
    <row r="9" spans="1:6" x14ac:dyDescent="0.3">
      <c r="A9" t="s">
        <v>6</v>
      </c>
      <c r="B9" t="s">
        <v>195</v>
      </c>
      <c r="C9" t="s">
        <v>196</v>
      </c>
      <c r="D9" t="s">
        <v>197</v>
      </c>
      <c r="E9" t="s">
        <v>198</v>
      </c>
      <c r="F9" t="s">
        <v>65</v>
      </c>
    </row>
    <row r="10" spans="1:6" x14ac:dyDescent="0.3">
      <c r="A10" t="s">
        <v>7</v>
      </c>
      <c r="B10" t="s">
        <v>199</v>
      </c>
      <c r="C10" t="s">
        <v>200</v>
      </c>
      <c r="D10" t="s">
        <v>201</v>
      </c>
      <c r="E10" t="s">
        <v>202</v>
      </c>
      <c r="F10" t="s">
        <v>65</v>
      </c>
    </row>
    <row r="11" spans="1:6" x14ac:dyDescent="0.3">
      <c r="A11" t="s">
        <v>8</v>
      </c>
      <c r="B11" t="s">
        <v>203</v>
      </c>
      <c r="C11" t="s">
        <v>204</v>
      </c>
      <c r="D11" t="s">
        <v>205</v>
      </c>
      <c r="E11" t="s">
        <v>206</v>
      </c>
      <c r="F11" t="s">
        <v>65</v>
      </c>
    </row>
    <row r="12" spans="1:6" x14ac:dyDescent="0.3">
      <c r="A12" t="s">
        <v>9</v>
      </c>
      <c r="B12" t="s">
        <v>207</v>
      </c>
      <c r="C12" t="s">
        <v>208</v>
      </c>
      <c r="D12" t="s">
        <v>209</v>
      </c>
      <c r="E12" t="s">
        <v>210</v>
      </c>
      <c r="F12" t="s">
        <v>65</v>
      </c>
    </row>
    <row r="13" spans="1:6" x14ac:dyDescent="0.3">
      <c r="A13" t="s">
        <v>10</v>
      </c>
      <c r="B13" t="s">
        <v>211</v>
      </c>
      <c r="C13" t="s">
        <v>212</v>
      </c>
      <c r="D13" t="s">
        <v>213</v>
      </c>
      <c r="E13" t="s">
        <v>214</v>
      </c>
      <c r="F13" t="s">
        <v>65</v>
      </c>
    </row>
    <row r="14" spans="1:6" x14ac:dyDescent="0.3">
      <c r="A14" t="s">
        <v>11</v>
      </c>
      <c r="B14" t="s">
        <v>215</v>
      </c>
      <c r="C14" t="s">
        <v>216</v>
      </c>
      <c r="D14" t="s">
        <v>217</v>
      </c>
      <c r="E14" t="s">
        <v>218</v>
      </c>
      <c r="F14" t="s">
        <v>65</v>
      </c>
    </row>
    <row r="15" spans="1:6" x14ac:dyDescent="0.3">
      <c r="A15" t="s">
        <v>12</v>
      </c>
      <c r="B15" t="s">
        <v>219</v>
      </c>
      <c r="C15" t="s">
        <v>220</v>
      </c>
      <c r="D15" t="s">
        <v>221</v>
      </c>
      <c r="E15" t="s">
        <v>222</v>
      </c>
      <c r="F15" t="s">
        <v>65</v>
      </c>
    </row>
    <row r="16" spans="1:6" x14ac:dyDescent="0.3">
      <c r="A16" t="s">
        <v>13</v>
      </c>
      <c r="B16" t="s">
        <v>223</v>
      </c>
      <c r="C16" t="s">
        <v>224</v>
      </c>
      <c r="D16" t="s">
        <v>225</v>
      </c>
      <c r="E16" t="s">
        <v>226</v>
      </c>
      <c r="F16" t="s">
        <v>65</v>
      </c>
    </row>
    <row r="17" spans="1:6" x14ac:dyDescent="0.3">
      <c r="A17" t="s">
        <v>14</v>
      </c>
      <c r="B17" t="s">
        <v>227</v>
      </c>
      <c r="C17" t="s">
        <v>228</v>
      </c>
      <c r="D17" t="s">
        <v>229</v>
      </c>
      <c r="E17" t="s">
        <v>230</v>
      </c>
      <c r="F17" t="s">
        <v>65</v>
      </c>
    </row>
    <row r="18" spans="1:6" x14ac:dyDescent="0.3">
      <c r="A18" t="s">
        <v>15</v>
      </c>
      <c r="B18" t="s">
        <v>231</v>
      </c>
      <c r="C18" t="s">
        <v>232</v>
      </c>
      <c r="D18" t="s">
        <v>233</v>
      </c>
      <c r="E18" t="s">
        <v>234</v>
      </c>
      <c r="F18" t="s">
        <v>65</v>
      </c>
    </row>
    <row r="19" spans="1:6" x14ac:dyDescent="0.3">
      <c r="A19" t="s">
        <v>16</v>
      </c>
      <c r="B19" t="s">
        <v>235</v>
      </c>
      <c r="C19" t="s">
        <v>236</v>
      </c>
      <c r="D19" t="s">
        <v>237</v>
      </c>
      <c r="E19" t="s">
        <v>238</v>
      </c>
      <c r="F19" t="s">
        <v>65</v>
      </c>
    </row>
    <row r="20" spans="1:6" x14ac:dyDescent="0.3">
      <c r="A20" t="s">
        <v>17</v>
      </c>
      <c r="B20" t="s">
        <v>239</v>
      </c>
      <c r="C20" t="s">
        <v>240</v>
      </c>
      <c r="D20" t="s">
        <v>241</v>
      </c>
      <c r="E20" t="s">
        <v>242</v>
      </c>
      <c r="F20" t="s">
        <v>65</v>
      </c>
    </row>
    <row r="21" spans="1:6" x14ac:dyDescent="0.3">
      <c r="A21" t="s">
        <v>18</v>
      </c>
      <c r="B21" t="s">
        <v>243</v>
      </c>
      <c r="C21" t="s">
        <v>244</v>
      </c>
      <c r="D21" t="s">
        <v>245</v>
      </c>
      <c r="E21" t="s">
        <v>246</v>
      </c>
      <c r="F21" t="s">
        <v>65</v>
      </c>
    </row>
    <row r="22" spans="1:6" x14ac:dyDescent="0.3">
      <c r="A22" t="s">
        <v>19</v>
      </c>
      <c r="B22" t="s">
        <v>247</v>
      </c>
      <c r="C22" t="s">
        <v>248</v>
      </c>
      <c r="D22" t="s">
        <v>249</v>
      </c>
      <c r="E22" t="s">
        <v>250</v>
      </c>
      <c r="F22" t="s">
        <v>65</v>
      </c>
    </row>
    <row r="23" spans="1:6" x14ac:dyDescent="0.3">
      <c r="A23" t="s">
        <v>20</v>
      </c>
      <c r="B23" t="s">
        <v>251</v>
      </c>
      <c r="C23" t="s">
        <v>252</v>
      </c>
      <c r="D23" t="s">
        <v>253</v>
      </c>
      <c r="E23" t="s">
        <v>254</v>
      </c>
      <c r="F23" t="s">
        <v>154</v>
      </c>
    </row>
    <row r="24" spans="1:6" x14ac:dyDescent="0.3">
      <c r="A24" t="s">
        <v>21</v>
      </c>
      <c r="B24" t="s">
        <v>255</v>
      </c>
      <c r="C24" t="s">
        <v>256</v>
      </c>
      <c r="D24" t="s">
        <v>257</v>
      </c>
      <c r="E24" t="s">
        <v>258</v>
      </c>
      <c r="F24" t="s">
        <v>65</v>
      </c>
    </row>
    <row r="25" spans="1:6" x14ac:dyDescent="0.3">
      <c r="A25" t="s">
        <v>22</v>
      </c>
      <c r="B25" t="s">
        <v>259</v>
      </c>
      <c r="C25" t="s">
        <v>260</v>
      </c>
      <c r="D25" t="s">
        <v>261</v>
      </c>
      <c r="E25" t="s">
        <v>262</v>
      </c>
      <c r="F25" t="s">
        <v>65</v>
      </c>
    </row>
    <row r="26" spans="1:6" x14ac:dyDescent="0.3">
      <c r="A26" t="s">
        <v>23</v>
      </c>
      <c r="B26" t="s">
        <v>263</v>
      </c>
      <c r="C26" t="s">
        <v>264</v>
      </c>
      <c r="D26" t="s">
        <v>265</v>
      </c>
      <c r="E26" t="s">
        <v>266</v>
      </c>
      <c r="F26" t="s">
        <v>65</v>
      </c>
    </row>
    <row r="27" spans="1:6" x14ac:dyDescent="0.3">
      <c r="A27" t="s">
        <v>24</v>
      </c>
      <c r="B27" t="s">
        <v>267</v>
      </c>
      <c r="C27" t="s">
        <v>268</v>
      </c>
      <c r="D27" t="s">
        <v>269</v>
      </c>
      <c r="E27" t="s">
        <v>270</v>
      </c>
      <c r="F27" t="s">
        <v>65</v>
      </c>
    </row>
    <row r="28" spans="1:6" x14ac:dyDescent="0.3">
      <c r="A28" t="s">
        <v>25</v>
      </c>
      <c r="B28" t="s">
        <v>271</v>
      </c>
      <c r="C28" t="s">
        <v>272</v>
      </c>
      <c r="D28" t="s">
        <v>273</v>
      </c>
      <c r="E28" t="s">
        <v>274</v>
      </c>
      <c r="F28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30FFD-30CD-42CC-A54A-17535CDD183F}">
  <dimension ref="A1:F30"/>
  <sheetViews>
    <sheetView topLeftCell="A5" workbookViewId="0">
      <selection activeCell="D8" sqref="D8"/>
    </sheetView>
  </sheetViews>
  <sheetFormatPr defaultRowHeight="14.4" x14ac:dyDescent="0.3"/>
  <cols>
    <col min="1" max="1" width="50.77734375" customWidth="1"/>
  </cols>
  <sheetData>
    <row r="1" spans="1:6" x14ac:dyDescent="0.3">
      <c r="B1" t="s">
        <v>55</v>
      </c>
      <c r="C1" t="s">
        <v>56</v>
      </c>
      <c r="D1" t="s">
        <v>57</v>
      </c>
    </row>
    <row r="2" spans="1:6" x14ac:dyDescent="0.3">
      <c r="A2" t="s">
        <v>1</v>
      </c>
      <c r="B2" t="s">
        <v>54</v>
      </c>
      <c r="C2" t="s">
        <v>54</v>
      </c>
      <c r="D2" t="s">
        <v>58</v>
      </c>
      <c r="E2" t="s">
        <v>59</v>
      </c>
    </row>
    <row r="3" spans="1:6" x14ac:dyDescent="0.3">
      <c r="A3" t="s">
        <v>60</v>
      </c>
      <c r="B3" t="s">
        <v>61</v>
      </c>
      <c r="C3" t="s">
        <v>62</v>
      </c>
      <c r="D3" t="s">
        <v>63</v>
      </c>
      <c r="E3" t="s">
        <v>64</v>
      </c>
      <c r="F3" t="s">
        <v>65</v>
      </c>
    </row>
    <row r="4" spans="1:6" x14ac:dyDescent="0.3">
      <c r="A4" t="s">
        <v>2</v>
      </c>
      <c r="B4" t="s">
        <v>66</v>
      </c>
      <c r="C4" t="s">
        <v>67</v>
      </c>
      <c r="D4" t="s">
        <v>68</v>
      </c>
      <c r="E4" t="s">
        <v>69</v>
      </c>
      <c r="F4" t="s">
        <v>65</v>
      </c>
    </row>
    <row r="5" spans="1:6" x14ac:dyDescent="0.3">
      <c r="A5" t="s">
        <v>3</v>
      </c>
      <c r="B5" t="s">
        <v>70</v>
      </c>
      <c r="C5" t="s">
        <v>71</v>
      </c>
      <c r="D5" t="s">
        <v>72</v>
      </c>
      <c r="E5" t="s">
        <v>73</v>
      </c>
      <c r="F5" t="s">
        <v>65</v>
      </c>
    </row>
    <row r="6" spans="1:6" x14ac:dyDescent="0.3">
      <c r="A6" t="s">
        <v>4</v>
      </c>
      <c r="B6" t="s">
        <v>74</v>
      </c>
      <c r="C6" t="s">
        <v>75</v>
      </c>
      <c r="D6" t="s">
        <v>76</v>
      </c>
      <c r="E6" t="s">
        <v>77</v>
      </c>
      <c r="F6" t="s">
        <v>65</v>
      </c>
    </row>
    <row r="7" spans="1:6" x14ac:dyDescent="0.3">
      <c r="A7" t="s">
        <v>5</v>
      </c>
      <c r="B7" t="s">
        <v>78</v>
      </c>
      <c r="C7" t="s">
        <v>79</v>
      </c>
      <c r="D7" t="s">
        <v>80</v>
      </c>
      <c r="E7" t="s">
        <v>81</v>
      </c>
      <c r="F7" t="s">
        <v>65</v>
      </c>
    </row>
    <row r="8" spans="1:6" x14ac:dyDescent="0.3">
      <c r="A8" t="s">
        <v>27</v>
      </c>
      <c r="B8" t="s">
        <v>82</v>
      </c>
      <c r="C8" t="s">
        <v>83</v>
      </c>
      <c r="D8" t="s">
        <v>84</v>
      </c>
      <c r="E8" t="s">
        <v>85</v>
      </c>
      <c r="F8" t="s">
        <v>65</v>
      </c>
    </row>
    <row r="9" spans="1:6" x14ac:dyDescent="0.3">
      <c r="A9" t="s">
        <v>26</v>
      </c>
      <c r="B9" t="s">
        <v>86</v>
      </c>
      <c r="C9" t="s">
        <v>87</v>
      </c>
      <c r="D9" t="s">
        <v>88</v>
      </c>
      <c r="E9" t="s">
        <v>89</v>
      </c>
      <c r="F9" t="s">
        <v>65</v>
      </c>
    </row>
    <row r="10" spans="1:6" x14ac:dyDescent="0.3">
      <c r="A10" t="s">
        <v>6</v>
      </c>
      <c r="B10" t="s">
        <v>90</v>
      </c>
      <c r="C10" t="s">
        <v>91</v>
      </c>
      <c r="D10" t="s">
        <v>92</v>
      </c>
      <c r="E10" t="s">
        <v>93</v>
      </c>
      <c r="F10" t="s">
        <v>65</v>
      </c>
    </row>
    <row r="11" spans="1:6" x14ac:dyDescent="0.3">
      <c r="A11" t="s">
        <v>7</v>
      </c>
      <c r="B11" t="s">
        <v>94</v>
      </c>
      <c r="C11" t="s">
        <v>95</v>
      </c>
      <c r="D11" t="s">
        <v>96</v>
      </c>
      <c r="E11" t="s">
        <v>97</v>
      </c>
      <c r="F11" t="s">
        <v>65</v>
      </c>
    </row>
    <row r="12" spans="1:6" x14ac:dyDescent="0.3">
      <c r="A12" t="s">
        <v>8</v>
      </c>
      <c r="B12" t="s">
        <v>98</v>
      </c>
      <c r="C12" t="s">
        <v>99</v>
      </c>
      <c r="D12" t="s">
        <v>100</v>
      </c>
      <c r="E12" t="s">
        <v>101</v>
      </c>
      <c r="F12" t="s">
        <v>65</v>
      </c>
    </row>
    <row r="13" spans="1:6" x14ac:dyDescent="0.3">
      <c r="A13" t="s">
        <v>9</v>
      </c>
      <c r="B13" t="s">
        <v>102</v>
      </c>
      <c r="C13" t="s">
        <v>103</v>
      </c>
      <c r="D13" t="s">
        <v>104</v>
      </c>
      <c r="E13" t="s">
        <v>105</v>
      </c>
      <c r="F13" t="s">
        <v>65</v>
      </c>
    </row>
    <row r="14" spans="1:6" x14ac:dyDescent="0.3">
      <c r="A14" t="s">
        <v>10</v>
      </c>
      <c r="B14" t="s">
        <v>106</v>
      </c>
      <c r="C14" t="s">
        <v>107</v>
      </c>
      <c r="D14" t="s">
        <v>108</v>
      </c>
      <c r="E14" t="s">
        <v>109</v>
      </c>
      <c r="F14" t="s">
        <v>65</v>
      </c>
    </row>
    <row r="15" spans="1:6" x14ac:dyDescent="0.3">
      <c r="A15" t="s">
        <v>11</v>
      </c>
      <c r="B15" t="s">
        <v>110</v>
      </c>
      <c r="C15" t="s">
        <v>111</v>
      </c>
      <c r="D15" t="s">
        <v>112</v>
      </c>
      <c r="E15" t="s">
        <v>113</v>
      </c>
    </row>
    <row r="16" spans="1:6" x14ac:dyDescent="0.3">
      <c r="A16" t="s">
        <v>12</v>
      </c>
      <c r="B16" t="s">
        <v>114</v>
      </c>
      <c r="C16" t="s">
        <v>115</v>
      </c>
      <c r="D16" t="s">
        <v>116</v>
      </c>
      <c r="E16" t="s">
        <v>117</v>
      </c>
      <c r="F16" t="s">
        <v>65</v>
      </c>
    </row>
    <row r="17" spans="1:6" x14ac:dyDescent="0.3">
      <c r="A17" t="s">
        <v>13</v>
      </c>
      <c r="B17" t="s">
        <v>118</v>
      </c>
      <c r="C17" t="s">
        <v>119</v>
      </c>
      <c r="D17" t="s">
        <v>120</v>
      </c>
      <c r="E17" t="s">
        <v>121</v>
      </c>
      <c r="F17" t="s">
        <v>65</v>
      </c>
    </row>
    <row r="18" spans="1:6" x14ac:dyDescent="0.3">
      <c r="A18" t="s">
        <v>14</v>
      </c>
      <c r="B18" t="s">
        <v>122</v>
      </c>
      <c r="C18" t="s">
        <v>123</v>
      </c>
      <c r="D18" t="s">
        <v>124</v>
      </c>
      <c r="E18" t="s">
        <v>125</v>
      </c>
      <c r="F18" t="s">
        <v>65</v>
      </c>
    </row>
    <row r="19" spans="1:6" x14ac:dyDescent="0.3">
      <c r="A19" t="s">
        <v>15</v>
      </c>
      <c r="B19" t="s">
        <v>126</v>
      </c>
      <c r="C19" t="s">
        <v>127</v>
      </c>
      <c r="D19" t="s">
        <v>128</v>
      </c>
      <c r="E19" t="s">
        <v>129</v>
      </c>
      <c r="F19" t="s">
        <v>65</v>
      </c>
    </row>
    <row r="20" spans="1:6" x14ac:dyDescent="0.3">
      <c r="A20" t="s">
        <v>16</v>
      </c>
      <c r="B20" t="s">
        <v>130</v>
      </c>
      <c r="C20" t="s">
        <v>131</v>
      </c>
      <c r="D20" t="s">
        <v>132</v>
      </c>
      <c r="E20" t="s">
        <v>133</v>
      </c>
      <c r="F20" t="s">
        <v>65</v>
      </c>
    </row>
    <row r="21" spans="1:6" x14ac:dyDescent="0.3">
      <c r="A21" t="s">
        <v>17</v>
      </c>
      <c r="B21" t="s">
        <v>134</v>
      </c>
      <c r="C21" t="s">
        <v>135</v>
      </c>
      <c r="D21" t="s">
        <v>136</v>
      </c>
      <c r="E21" t="s">
        <v>137</v>
      </c>
      <c r="F21" t="s">
        <v>65</v>
      </c>
    </row>
    <row r="22" spans="1:6" x14ac:dyDescent="0.3">
      <c r="A22" t="s">
        <v>18</v>
      </c>
      <c r="B22" t="s">
        <v>138</v>
      </c>
      <c r="C22" t="s">
        <v>139</v>
      </c>
      <c r="D22" t="s">
        <v>140</v>
      </c>
      <c r="E22" t="s">
        <v>141</v>
      </c>
      <c r="F22" t="s">
        <v>65</v>
      </c>
    </row>
    <row r="23" spans="1:6" x14ac:dyDescent="0.3">
      <c r="A23" t="s">
        <v>19</v>
      </c>
      <c r="B23" t="s">
        <v>142</v>
      </c>
      <c r="C23" t="s">
        <v>143</v>
      </c>
      <c r="D23" t="s">
        <v>144</v>
      </c>
      <c r="E23" t="s">
        <v>145</v>
      </c>
    </row>
    <row r="24" spans="1:6" x14ac:dyDescent="0.3">
      <c r="A24" t="s">
        <v>20</v>
      </c>
      <c r="B24" t="s">
        <v>146</v>
      </c>
      <c r="C24" t="s">
        <v>147</v>
      </c>
      <c r="D24" t="s">
        <v>148</v>
      </c>
      <c r="E24" t="s">
        <v>149</v>
      </c>
    </row>
    <row r="25" spans="1:6" x14ac:dyDescent="0.3">
      <c r="A25" t="s">
        <v>21</v>
      </c>
      <c r="B25" t="s">
        <v>150</v>
      </c>
      <c r="C25" t="s">
        <v>151</v>
      </c>
      <c r="D25" t="s">
        <v>152</v>
      </c>
      <c r="E25" t="s">
        <v>153</v>
      </c>
      <c r="F25" t="s">
        <v>154</v>
      </c>
    </row>
    <row r="26" spans="1:6" x14ac:dyDescent="0.3">
      <c r="A26" t="s">
        <v>22</v>
      </c>
      <c r="B26" t="s">
        <v>155</v>
      </c>
      <c r="C26" t="s">
        <v>156</v>
      </c>
      <c r="D26" t="s">
        <v>157</v>
      </c>
      <c r="E26" t="s">
        <v>158</v>
      </c>
      <c r="F26" t="s">
        <v>65</v>
      </c>
    </row>
    <row r="27" spans="1:6" x14ac:dyDescent="0.3">
      <c r="A27" t="s">
        <v>23</v>
      </c>
      <c r="B27" t="s">
        <v>159</v>
      </c>
      <c r="C27" t="s">
        <v>160</v>
      </c>
      <c r="D27" t="s">
        <v>161</v>
      </c>
      <c r="E27" t="s">
        <v>162</v>
      </c>
      <c r="F27" t="s">
        <v>65</v>
      </c>
    </row>
    <row r="28" spans="1:6" x14ac:dyDescent="0.3">
      <c r="A28" t="s">
        <v>24</v>
      </c>
      <c r="B28" t="s">
        <v>163</v>
      </c>
      <c r="C28" t="s">
        <v>164</v>
      </c>
      <c r="D28" t="s">
        <v>165</v>
      </c>
      <c r="E28" t="s">
        <v>166</v>
      </c>
      <c r="F28" t="s">
        <v>65</v>
      </c>
    </row>
    <row r="29" spans="1:6" x14ac:dyDescent="0.3">
      <c r="A29" t="s">
        <v>25</v>
      </c>
      <c r="B29" t="s">
        <v>167</v>
      </c>
      <c r="C29" t="s">
        <v>168</v>
      </c>
      <c r="D29" t="s">
        <v>169</v>
      </c>
      <c r="E29" t="s">
        <v>170</v>
      </c>
      <c r="F29" t="s">
        <v>65</v>
      </c>
    </row>
    <row r="30" spans="1:6" x14ac:dyDescent="0.3">
      <c r="A30" t="s">
        <v>278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TWFE</vt:lpstr>
      <vt:lpstr>Pooled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Stoycho Rusinov</dc:creator>
  <cp:lastModifiedBy>Stoycho Rusinov</cp:lastModifiedBy>
  <dcterms:created xsi:type="dcterms:W3CDTF">2026-03-04T09:31:22Z</dcterms:created>
  <dcterms:modified xsi:type="dcterms:W3CDTF">2026-04-25T13:32:21Z</dcterms:modified>
</cp:coreProperties>
</file>