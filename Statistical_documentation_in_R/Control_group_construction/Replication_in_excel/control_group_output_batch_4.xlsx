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toycho.rusinov\Documents\GitHub\Estimating_price_elasticity\Statistical_documentation_in_R\Control_group_construction\Checks_in_excel\"/>
    </mc:Choice>
  </mc:AlternateContent>
  <xr:revisionPtr revIDLastSave="0" documentId="13_ncr:1_{EA0E8B59-7EEC-42C4-B9AF-67F6DD22D410}" xr6:coauthVersionLast="36" xr6:coauthVersionMax="36" xr10:uidLastSave="{00000000-0000-0000-0000-000000000000}"/>
  <bookViews>
    <workbookView xWindow="240" yWindow="12" windowWidth="16092" windowHeight="9660" activeTab="2" xr2:uid="{00000000-000D-0000-FFFF-FFFF00000000}"/>
  </bookViews>
  <sheets>
    <sheet name="donor_pool" sheetId="1" r:id="rId1"/>
    <sheet name="weights" sheetId="2" r:id="rId2"/>
    <sheet name="test" sheetId="4" r:id="rId3"/>
  </sheets>
  <externalReferences>
    <externalReference r:id="rId4"/>
  </externalReferences>
  <calcPr calcId="191029"/>
  <pivotCaches>
    <pivotCache cacheId="0" r:id="rId5"/>
  </pivotCaches>
</workbook>
</file>

<file path=xl/calcChain.xml><?xml version="1.0" encoding="utf-8"?>
<calcChain xmlns="http://schemas.openxmlformats.org/spreadsheetml/2006/main">
  <c r="M6" i="4" l="1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5" i="4"/>
  <c r="L31" i="4"/>
  <c r="K31" i="4"/>
  <c r="J31" i="4"/>
  <c r="E31" i="4" l="1"/>
  <c r="F15" i="4" s="1"/>
  <c r="G15" i="4" s="1"/>
  <c r="G22" i="1"/>
  <c r="G21" i="1"/>
  <c r="G20" i="1"/>
  <c r="G19" i="1"/>
  <c r="G18" i="1"/>
  <c r="G17" i="1"/>
  <c r="G10" i="1"/>
  <c r="G9" i="1"/>
  <c r="G8" i="1"/>
  <c r="F25" i="4" l="1"/>
  <c r="G25" i="4" s="1"/>
  <c r="F23" i="4"/>
  <c r="G23" i="4" s="1"/>
  <c r="F13" i="4"/>
  <c r="G13" i="4" s="1"/>
  <c r="F26" i="4"/>
  <c r="G26" i="4" s="1"/>
  <c r="F24" i="4"/>
  <c r="G24" i="4" s="1"/>
  <c r="F14" i="4"/>
  <c r="G14" i="4" s="1"/>
  <c r="F12" i="4"/>
  <c r="G12" i="4" s="1"/>
  <c r="F11" i="4"/>
  <c r="G11" i="4" s="1"/>
  <c r="F22" i="4"/>
  <c r="G22" i="4" s="1"/>
  <c r="F10" i="4"/>
  <c r="G10" i="4" s="1"/>
  <c r="F21" i="4"/>
  <c r="G21" i="4" s="1"/>
  <c r="F9" i="4"/>
  <c r="G9" i="4" s="1"/>
  <c r="F20" i="4"/>
  <c r="G20" i="4" s="1"/>
  <c r="F8" i="4"/>
  <c r="G8" i="4" s="1"/>
  <c r="F5" i="4"/>
  <c r="F7" i="4"/>
  <c r="G7" i="4" s="1"/>
  <c r="F18" i="4"/>
  <c r="G18" i="4" s="1"/>
  <c r="F6" i="4"/>
  <c r="G6" i="4" s="1"/>
  <c r="F17" i="4"/>
  <c r="G17" i="4" s="1"/>
  <c r="F28" i="4"/>
  <c r="G28" i="4" s="1"/>
  <c r="F16" i="4"/>
  <c r="G16" i="4" s="1"/>
  <c r="F19" i="4"/>
  <c r="G19" i="4" s="1"/>
  <c r="F30" i="4"/>
  <c r="G30" i="4" s="1"/>
  <c r="F29" i="4"/>
  <c r="G29" i="4" s="1"/>
  <c r="F27" i="4"/>
  <c r="G27" i="4" s="1"/>
  <c r="F31" i="4" l="1"/>
  <c r="G5" i="4"/>
  <c r="G31" i="4" s="1"/>
</calcChain>
</file>

<file path=xl/sharedStrings.xml><?xml version="1.0" encoding="utf-8"?>
<sst xmlns="http://schemas.openxmlformats.org/spreadsheetml/2006/main" count="293" uniqueCount="80">
  <si>
    <t>EU_country</t>
  </si>
  <si>
    <t>donor_rank</t>
  </si>
  <si>
    <t>donor</t>
  </si>
  <si>
    <t>distance</t>
  </si>
  <si>
    <t>synth_weight</t>
  </si>
  <si>
    <t>rmspe</t>
  </si>
  <si>
    <t>Austria</t>
  </si>
  <si>
    <t>Trinidad and Tobago</t>
  </si>
  <si>
    <t>New Zealand</t>
  </si>
  <si>
    <t>Malaysia</t>
  </si>
  <si>
    <t>Belgium</t>
  </si>
  <si>
    <t>Botswana</t>
  </si>
  <si>
    <t>Bulgaria</t>
  </si>
  <si>
    <t>Mauritius</t>
  </si>
  <si>
    <t>Russian Federation</t>
  </si>
  <si>
    <t>Croatia</t>
  </si>
  <si>
    <t>Korea, Republic of</t>
  </si>
  <si>
    <t>Switzerland</t>
  </si>
  <si>
    <t>Egypt</t>
  </si>
  <si>
    <t>Cyprus (European Union)</t>
  </si>
  <si>
    <t>Czech Republic</t>
  </si>
  <si>
    <t>Denmark</t>
  </si>
  <si>
    <t>Estonia</t>
  </si>
  <si>
    <t>Ireland</t>
  </si>
  <si>
    <t>Finland</t>
  </si>
  <si>
    <t>France</t>
  </si>
  <si>
    <t>Germany</t>
  </si>
  <si>
    <t>Israel</t>
  </si>
  <si>
    <t>Greece</t>
  </si>
  <si>
    <t>Brunei Darussalam</t>
  </si>
  <si>
    <t>Hungary</t>
  </si>
  <si>
    <t>United States of America</t>
  </si>
  <si>
    <t>Indonesia</t>
  </si>
  <si>
    <t>Lebanon</t>
  </si>
  <si>
    <t>Italy</t>
  </si>
  <si>
    <t>Latvia</t>
  </si>
  <si>
    <t>Zimbabwe</t>
  </si>
  <si>
    <t>China</t>
  </si>
  <si>
    <t>Lithuania</t>
  </si>
  <si>
    <t>Iran, Islamic Republic of</t>
  </si>
  <si>
    <t>Qatar</t>
  </si>
  <si>
    <t>Luxembourg</t>
  </si>
  <si>
    <t>Norway</t>
  </si>
  <si>
    <t>Tanzania, United Republic of</t>
  </si>
  <si>
    <t>Malta</t>
  </si>
  <si>
    <t>Mexico</t>
  </si>
  <si>
    <t>Netherlands</t>
  </si>
  <si>
    <t>Australia</t>
  </si>
  <si>
    <t>Poland</t>
  </si>
  <si>
    <t>Uganda</t>
  </si>
  <si>
    <t>Turkey</t>
  </si>
  <si>
    <t>Portugal</t>
  </si>
  <si>
    <t>United Arab Emirates</t>
  </si>
  <si>
    <t>Romania</t>
  </si>
  <si>
    <t>Slovakia</t>
  </si>
  <si>
    <t>Slovenia</t>
  </si>
  <si>
    <t>Spain</t>
  </si>
  <si>
    <t>Sweden</t>
  </si>
  <si>
    <t>donor_country</t>
  </si>
  <si>
    <t>global_weight</t>
  </si>
  <si>
    <t>normalized_weight</t>
  </si>
  <si>
    <t>regression_weight</t>
  </si>
  <si>
    <t>BATCH_3_CHECK</t>
  </si>
  <si>
    <t xml:space="preserve">The goal is to cross-check the baseline weights with those in Batch 3. This is done to ensure that nothing changed between excel pulls in R. The weights are verified by IF statement. </t>
  </si>
  <si>
    <t>Row Labels</t>
  </si>
  <si>
    <t>Grand Total</t>
  </si>
  <si>
    <t>PIVOT TABLE</t>
  </si>
  <si>
    <t>PIVOT TABLE COPY</t>
  </si>
  <si>
    <t xml:space="preserve">SUM </t>
  </si>
  <si>
    <t>WEIGHT_NORM</t>
  </si>
  <si>
    <t>WEIGHT IN EU</t>
  </si>
  <si>
    <t>Pivot averaging the donor pool country specific weights</t>
  </si>
  <si>
    <t>Source: R, donor_pool data frame</t>
  </si>
  <si>
    <t>Copy of the active pivot table for weight normalization and comparison</t>
  </si>
  <si>
    <t xml:space="preserve">Source: EXCEL pivot table </t>
  </si>
  <si>
    <t>R final database with weights</t>
  </si>
  <si>
    <t>Source: R, weights database transported to the final analysis</t>
  </si>
  <si>
    <t>TRUE with the derived?</t>
  </si>
  <si>
    <t>Sum of synth_weight</t>
  </si>
  <si>
    <t>sum of synth_weight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</si>
</sst>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i/>
      <sz val="11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  <xf numFmtId="0" fontId="0" fillId="0" borderId="9" xfId="0" pivotButton="1" applyBorder="1"/>
    <xf numFmtId="0" fontId="0" fillId="0" borderId="9" xfId="0" applyBorder="1"/>
    <xf numFmtId="0" fontId="0" fillId="0" borderId="9" xfId="0" applyBorder="1" applyAlignment="1">
      <alignment horizontal="left"/>
    </xf>
    <xf numFmtId="0" fontId="0" fillId="0" borderId="9" xfId="0" applyNumberFormat="1" applyBorder="1"/>
    <xf numFmtId="2" fontId="0" fillId="0" borderId="0" xfId="0" applyNumberFormat="1"/>
    <xf numFmtId="2" fontId="0" fillId="0" borderId="9" xfId="0" applyNumberFormat="1" applyBorder="1"/>
    <xf numFmtId="2" fontId="1" fillId="0" borderId="0" xfId="0" applyNumberFormat="1" applyFont="1" applyAlignment="1">
      <alignment horizontal="center"/>
    </xf>
    <xf numFmtId="0" fontId="0" fillId="0" borderId="9" xfId="0" applyBorder="1" applyAlignment="1">
      <alignment wrapText="1"/>
    </xf>
    <xf numFmtId="2" fontId="3" fillId="3" borderId="9" xfId="0" applyNumberFormat="1" applyFont="1" applyFill="1" applyBorder="1"/>
    <xf numFmtId="2" fontId="3" fillId="3" borderId="9" xfId="0" applyNumberFormat="1" applyFont="1" applyFill="1" applyBorder="1" applyAlignment="1">
      <alignment wrapText="1"/>
    </xf>
    <xf numFmtId="2" fontId="0" fillId="0" borderId="9" xfId="0" applyNumberFormat="1" applyBorder="1" applyAlignment="1">
      <alignment horizontal="left"/>
    </xf>
    <xf numFmtId="2" fontId="0" fillId="5" borderId="9" xfId="0" applyNumberFormat="1" applyFill="1" applyBorder="1" applyAlignment="1">
      <alignment horizontal="left"/>
    </xf>
    <xf numFmtId="2" fontId="0" fillId="5" borderId="9" xfId="0" applyNumberFormat="1" applyFill="1" applyBorder="1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0" fillId="4" borderId="9" xfId="0" applyFill="1" applyBorder="1" applyAlignment="1">
      <alignment horizontal="center"/>
    </xf>
  </cellXfs>
  <cellStyles count="1">
    <cellStyle name="Normal" xfId="0" builtinId="0"/>
  </cellStyles>
  <dxfs count="8">
    <dxf>
      <alignment wrapText="1"/>
    </dxf>
    <dxf>
      <numFmt numFmtId="2" formatCode="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olver_check_database_batch_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ogmat"/>
      <sheetName val="donor_selection"/>
      <sheetName val="weight_results"/>
      <sheetName val="tests_Bulgaria"/>
      <sheetName val="tests_Check_republic"/>
      <sheetName val="test_DENMARK"/>
      <sheetName val="regression"/>
    </sheetNames>
    <sheetDataSet>
      <sheetData sheetId="0"/>
      <sheetData sheetId="1"/>
      <sheetData sheetId="2"/>
      <sheetData sheetId="3">
        <row r="18">
          <cell r="D18">
            <v>0.67580221289686704</v>
          </cell>
        </row>
        <row r="19">
          <cell r="D19">
            <v>0.32419778655420278</v>
          </cell>
        </row>
        <row r="20">
          <cell r="D20">
            <v>5.4893011563366283E-10</v>
          </cell>
        </row>
      </sheetData>
      <sheetData sheetId="4">
        <row r="18">
          <cell r="D18">
            <v>0.31777391101652008</v>
          </cell>
        </row>
        <row r="19">
          <cell r="D19">
            <v>0.68222606641491146</v>
          </cell>
        </row>
        <row r="20">
          <cell r="D20">
            <v>2.2568568492421111E-8</v>
          </cell>
        </row>
      </sheetData>
      <sheetData sheetId="5">
        <row r="18">
          <cell r="D18">
            <v>0.45973532226379249</v>
          </cell>
        </row>
        <row r="19">
          <cell r="D19">
            <v>8.0865157072275651E-2</v>
          </cell>
        </row>
        <row r="20">
          <cell r="D20">
            <v>0.45939952066393192</v>
          </cell>
        </row>
      </sheetData>
      <sheetData sheetId="6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toycho Rusinov" refreshedDate="46193.756350347219" createdVersion="6" refreshedVersion="6" minRefreshableVersion="3" recordCount="78" xr:uid="{613E33FE-83C0-49AF-9C9C-218001325638}">
  <cacheSource type="worksheet">
    <worksheetSource ref="A1:F79" sheet="donor_pool"/>
  </cacheSource>
  <cacheFields count="6">
    <cacheField name="EU_country" numFmtId="0">
      <sharedItems count="26">
        <s v="Austria"/>
        <s v="Belgium"/>
        <s v="Bulgaria"/>
        <s v="Croatia"/>
        <s v="Cyprus (European Union)"/>
        <s v="Czech Republic"/>
        <s v="Denmark"/>
        <s v="Estonia"/>
        <s v="Finland"/>
        <s v="France"/>
        <s v="Germany"/>
        <s v="Greece"/>
        <s v="Hungary"/>
        <s v="Italy"/>
        <s v="Latvia"/>
        <s v="Lithuania"/>
        <s v="Luxembourg"/>
        <s v="Malta"/>
        <s v="Netherlands"/>
        <s v="Poland"/>
        <s v="Portugal"/>
        <s v="Romania"/>
        <s v="Slovakia"/>
        <s v="Slovenia"/>
        <s v="Spain"/>
        <s v="Sweden"/>
      </sharedItems>
    </cacheField>
    <cacheField name="donor_rank" numFmtId="0">
      <sharedItems containsSemiMixedTypes="0" containsString="0" containsNumber="1" containsInteger="1" minValue="1" maxValue="3"/>
    </cacheField>
    <cacheField name="donor" numFmtId="0">
      <sharedItems count="26">
        <s v="Trinidad and Tobago"/>
        <s v="New Zealand"/>
        <s v="Malaysia"/>
        <s v="Botswana"/>
        <s v="Mauritius"/>
        <s v="Russian Federation"/>
        <s v="Korea, Republic of"/>
        <s v="Switzerland"/>
        <s v="Egypt"/>
        <s v="Ireland"/>
        <s v="Israel"/>
        <s v="Brunei Darussalam"/>
        <s v="United States of America"/>
        <s v="Indonesia"/>
        <s v="Lebanon"/>
        <s v="Zimbabwe"/>
        <s v="China"/>
        <s v="Iran, Islamic Republic of"/>
        <s v="Qatar"/>
        <s v="Norway"/>
        <s v="Tanzania, United Republic of"/>
        <s v="Mexico"/>
        <s v="Australia"/>
        <s v="Uganda"/>
        <s v="Turkey"/>
        <s v="United Arab Emirates"/>
      </sharedItems>
    </cacheField>
    <cacheField name="distance" numFmtId="0">
      <sharedItems containsSemiMixedTypes="0" containsString="0" containsNumber="1" minValue="0.40515867686517359" maxValue="2.7562972225803239"/>
    </cacheField>
    <cacheField name="synth_weight" numFmtId="0">
      <sharedItems containsSemiMixedTypes="0" containsString="0" containsNumber="1" minValue="2.7033091665574352E-13" maxValue="0.99999999832666442"/>
    </cacheField>
    <cacheField name="rmspe" numFmtId="0">
      <sharedItems containsSemiMixedTypes="0" containsString="0" containsNumber="1" minValue="1.83204911812056E-2" maxValue="3.14964395802666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8">
  <r>
    <x v="0"/>
    <n v="1"/>
    <x v="0"/>
    <n v="1.5201323986969979"/>
    <n v="2.0363097138546361E-9"/>
    <n v="2.999037286700993E-2"/>
  </r>
  <r>
    <x v="0"/>
    <n v="2"/>
    <x v="1"/>
    <n v="1.96758071605122"/>
    <n v="0.64903507398879612"/>
    <n v="2.999037286700993E-2"/>
  </r>
  <r>
    <x v="0"/>
    <n v="3"/>
    <x v="2"/>
    <n v="2.5917943242179331"/>
    <n v="0.35096492397489409"/>
    <n v="2.999037286700993E-2"/>
  </r>
  <r>
    <x v="1"/>
    <n v="1"/>
    <x v="0"/>
    <n v="1.454306935496537"/>
    <n v="0.99999873825536978"/>
    <n v="1.7231365575675039"/>
  </r>
  <r>
    <x v="1"/>
    <n v="2"/>
    <x v="1"/>
    <n v="2.2261430818371331"/>
    <n v="1.2517394440572831E-6"/>
    <n v="1.7231365575675039"/>
  </r>
  <r>
    <x v="1"/>
    <n v="3"/>
    <x v="3"/>
    <n v="2.7219149317755011"/>
    <n v="1.000518617098721E-8"/>
    <n v="1.7231365575675039"/>
  </r>
  <r>
    <x v="2"/>
    <n v="1"/>
    <x v="2"/>
    <n v="1.917850942661258"/>
    <n v="0.67580221289686704"/>
    <n v="0.12564257134348139"/>
  </r>
  <r>
    <x v="2"/>
    <n v="2"/>
    <x v="4"/>
    <n v="2.0880670236391929"/>
    <n v="0.32419778655420278"/>
    <n v="0.12564257134348139"/>
  </r>
  <r>
    <x v="2"/>
    <n v="3"/>
    <x v="5"/>
    <n v="2.1317474833802672"/>
    <n v="5.4893011563366283E-10"/>
    <n v="0.12564257134348139"/>
  </r>
  <r>
    <x v="3"/>
    <n v="1"/>
    <x v="6"/>
    <n v="0.78556761100698713"/>
    <n v="1.123184115723512E-9"/>
    <n v="0.9704002646822395"/>
  </r>
  <r>
    <x v="3"/>
    <n v="2"/>
    <x v="7"/>
    <n v="0.91899781770672062"/>
    <n v="1.3048872302889341E-8"/>
    <n v="0.9704002646822395"/>
  </r>
  <r>
    <x v="3"/>
    <n v="3"/>
    <x v="8"/>
    <n v="1.30529313006485"/>
    <n v="0.99999998582794369"/>
    <n v="0.9704002646822395"/>
  </r>
  <r>
    <x v="4"/>
    <n v="1"/>
    <x v="5"/>
    <n v="1.322443440920442"/>
    <n v="7.7418319723476075E-10"/>
    <n v="0.1012768024578467"/>
  </r>
  <r>
    <x v="4"/>
    <n v="2"/>
    <x v="2"/>
    <n v="1.3264343933885541"/>
    <n v="0.79471318156278947"/>
    <n v="0.1012768024578467"/>
  </r>
  <r>
    <x v="4"/>
    <n v="3"/>
    <x v="4"/>
    <n v="1.5522362059721759"/>
    <n v="0.2052868176630272"/>
    <n v="0.1012768024578467"/>
  </r>
  <r>
    <x v="5"/>
    <n v="1"/>
    <x v="6"/>
    <n v="0.71480107750477195"/>
    <n v="0.31777391101652008"/>
    <n v="0.15274855713821431"/>
  </r>
  <r>
    <x v="5"/>
    <n v="2"/>
    <x v="8"/>
    <n v="0.9325909975614225"/>
    <n v="0.68222606641491146"/>
    <n v="0.15274855713821431"/>
  </r>
  <r>
    <x v="5"/>
    <n v="3"/>
    <x v="7"/>
    <n v="1.051645326352604"/>
    <n v="2.2568568492421111E-8"/>
    <n v="0.15274855713821431"/>
  </r>
  <r>
    <x v="6"/>
    <n v="1"/>
    <x v="1"/>
    <n v="1.313773130643523"/>
    <n v="0.45973532226379249"/>
    <n v="3.5969832493937093E-2"/>
  </r>
  <r>
    <x v="6"/>
    <n v="2"/>
    <x v="0"/>
    <n v="2.120359351148926"/>
    <n v="8.0865157072275651E-2"/>
    <n v="3.5969832493937093E-2"/>
  </r>
  <r>
    <x v="6"/>
    <n v="3"/>
    <x v="6"/>
    <n v="2.232442595052639"/>
    <n v="0.45939952066393192"/>
    <n v="3.5969832493937093E-2"/>
  </r>
  <r>
    <x v="7"/>
    <n v="1"/>
    <x v="9"/>
    <n v="0.40515867686517359"/>
    <n v="1.5650705155873499E-9"/>
    <n v="0.82225884424831963"/>
  </r>
  <r>
    <x v="7"/>
    <n v="2"/>
    <x v="2"/>
    <n v="0.64096277571583637"/>
    <n v="2.8177492279081748E-10"/>
    <n v="0.82225884424831963"/>
  </r>
  <r>
    <x v="7"/>
    <n v="3"/>
    <x v="5"/>
    <n v="0.83151090125850191"/>
    <n v="0.99999999815315466"/>
    <n v="0.82225884424831963"/>
  </r>
  <r>
    <x v="8"/>
    <n v="1"/>
    <x v="2"/>
    <n v="1.3533316400776481"/>
    <n v="2.7079212771711909E-11"/>
    <n v="0.1588434876351856"/>
  </r>
  <r>
    <x v="8"/>
    <n v="2"/>
    <x v="5"/>
    <n v="1.474876419808983"/>
    <n v="0.99999999832666442"/>
    <n v="0.1588434876351856"/>
  </r>
  <r>
    <x v="8"/>
    <n v="3"/>
    <x v="9"/>
    <n v="1.800031410273109"/>
    <n v="1.6462565278836949E-9"/>
    <n v="0.1588434876351856"/>
  </r>
  <r>
    <x v="9"/>
    <n v="1"/>
    <x v="6"/>
    <n v="0.92160942195897999"/>
    <n v="0.99999992608228272"/>
    <n v="1.183347956708058"/>
  </r>
  <r>
    <x v="9"/>
    <n v="2"/>
    <x v="8"/>
    <n v="1.189670822588075"/>
    <n v="1.3838223336319641E-9"/>
    <n v="1.183347956708058"/>
  </r>
  <r>
    <x v="9"/>
    <n v="3"/>
    <x v="7"/>
    <n v="1.3889132086567619"/>
    <n v="7.2533895014210998E-8"/>
    <n v="1.183347956708058"/>
  </r>
  <r>
    <x v="10"/>
    <n v="1"/>
    <x v="1"/>
    <n v="1.7033345140888809"/>
    <n v="1.7944391509783481E-6"/>
    <n v="2.876371171325911"/>
  </r>
  <r>
    <x v="10"/>
    <n v="2"/>
    <x v="0"/>
    <n v="1.7918969996678871"/>
    <n v="0.99999820536976203"/>
    <n v="2.876371171325911"/>
  </r>
  <r>
    <x v="10"/>
    <n v="3"/>
    <x v="10"/>
    <n v="2.3017385620529969"/>
    <n v="1.910871013607014E-10"/>
    <n v="2.876371171325911"/>
  </r>
  <r>
    <x v="11"/>
    <n v="1"/>
    <x v="4"/>
    <n v="1.2009918077028521"/>
    <n v="0.29239882456873839"/>
    <n v="0.15617271377428091"/>
  </r>
  <r>
    <x v="11"/>
    <n v="2"/>
    <x v="2"/>
    <n v="1.7103959306010279"/>
    <n v="0.70760117535026024"/>
    <n v="0.15617271377428091"/>
  </r>
  <r>
    <x v="11"/>
    <n v="3"/>
    <x v="11"/>
    <n v="1.808807969188861"/>
    <n v="8.1001349514994056E-11"/>
    <n v="0.15617271377428091"/>
  </r>
  <r>
    <x v="12"/>
    <n v="1"/>
    <x v="12"/>
    <n v="0.79318871004131175"/>
    <n v="0.2277946293803047"/>
    <n v="6.7397175448973085E-2"/>
  </r>
  <r>
    <x v="12"/>
    <n v="2"/>
    <x v="13"/>
    <n v="0.85185327995696714"/>
    <n v="0.59250011986721529"/>
    <n v="6.7397175448973085E-2"/>
  </r>
  <r>
    <x v="12"/>
    <n v="3"/>
    <x v="14"/>
    <n v="0.85626509773255732"/>
    <n v="0.17970525075248001"/>
    <n v="6.7397175448973085E-2"/>
  </r>
  <r>
    <x v="13"/>
    <n v="1"/>
    <x v="0"/>
    <n v="1.598831204249944"/>
    <n v="0.99999846482277954"/>
    <n v="3.149643958026664"/>
  </r>
  <r>
    <x v="13"/>
    <n v="2"/>
    <x v="3"/>
    <n v="2.2108702359853529"/>
    <n v="4.1863649963411411E-10"/>
    <n v="3.149643958026664"/>
  </r>
  <r>
    <x v="13"/>
    <n v="3"/>
    <x v="1"/>
    <n v="2.2214795218385919"/>
    <n v="1.534758584483447E-6"/>
    <n v="3.149643958026664"/>
  </r>
  <r>
    <x v="14"/>
    <n v="1"/>
    <x v="14"/>
    <n v="0.89148389228016534"/>
    <n v="1.199532595512779E-12"/>
    <n v="8.4858356768011567E-2"/>
  </r>
  <r>
    <x v="14"/>
    <n v="2"/>
    <x v="15"/>
    <n v="0.93305152918571599"/>
    <n v="0.96067366971460844"/>
    <n v="8.4858356768011567E-2"/>
  </r>
  <r>
    <x v="14"/>
    <n v="3"/>
    <x v="16"/>
    <n v="1.0599816380974989"/>
    <n v="3.9326330284191947E-2"/>
    <n v="8.4858356768011567E-2"/>
  </r>
  <r>
    <x v="15"/>
    <n v="1"/>
    <x v="1"/>
    <n v="1.941244593289468"/>
    <n v="1.202984178023427E-10"/>
    <n v="1.156848022384845"/>
  </r>
  <r>
    <x v="15"/>
    <n v="2"/>
    <x v="17"/>
    <n v="2.1131810226092602"/>
    <n v="8.7987163081138333E-9"/>
    <n v="1.156848022384845"/>
  </r>
  <r>
    <x v="15"/>
    <n v="3"/>
    <x v="18"/>
    <n v="2.7562972225803239"/>
    <n v="0.99999999108098547"/>
    <n v="1.156848022384845"/>
  </r>
  <r>
    <x v="16"/>
    <n v="1"/>
    <x v="4"/>
    <n v="1.947053505032581"/>
    <n v="0.24192905717418789"/>
    <n v="0.1023472483085368"/>
  </r>
  <r>
    <x v="16"/>
    <n v="2"/>
    <x v="19"/>
    <n v="2.0948857998131589"/>
    <n v="0.32611526601641638"/>
    <n v="0.1023472483085368"/>
  </r>
  <r>
    <x v="16"/>
    <n v="3"/>
    <x v="20"/>
    <n v="2.1024054059528718"/>
    <n v="0.43195567680939573"/>
    <n v="0.1023472483085368"/>
  </r>
  <r>
    <x v="17"/>
    <n v="1"/>
    <x v="21"/>
    <n v="0.95290565026523966"/>
    <n v="1.7342610302663891E-7"/>
    <n v="0.11379332287855599"/>
  </r>
  <r>
    <x v="17"/>
    <n v="2"/>
    <x v="7"/>
    <n v="1.1518565613407989"/>
    <n v="2.1726236488301869E-10"/>
    <n v="0.11379332287855599"/>
  </r>
  <r>
    <x v="17"/>
    <n v="3"/>
    <x v="10"/>
    <n v="1.260223225287554"/>
    <n v="0.99999982635663465"/>
    <n v="0.11379332287855599"/>
  </r>
  <r>
    <x v="18"/>
    <n v="1"/>
    <x v="6"/>
    <n v="1.175180669759281"/>
    <n v="0.39986170408838201"/>
    <n v="1.83204911812056E-2"/>
  </r>
  <r>
    <x v="18"/>
    <n v="2"/>
    <x v="8"/>
    <n v="1.469126013073129"/>
    <n v="0.1643168440569889"/>
    <n v="1.83204911812056E-2"/>
  </r>
  <r>
    <x v="18"/>
    <n v="3"/>
    <x v="22"/>
    <n v="1.712976122044839"/>
    <n v="0.43582145185462912"/>
    <n v="1.83204911812056E-2"/>
  </r>
  <r>
    <x v="19"/>
    <n v="1"/>
    <x v="6"/>
    <n v="0.78940335234920489"/>
    <n v="0.9999998852556381"/>
    <n v="0.86315321831186465"/>
  </r>
  <r>
    <x v="19"/>
    <n v="2"/>
    <x v="23"/>
    <n v="0.81905046088821232"/>
    <n v="3.3097314909353621E-10"/>
    <n v="0.86315321831186465"/>
  </r>
  <r>
    <x v="19"/>
    <n v="3"/>
    <x v="24"/>
    <n v="0.82781295435553304"/>
    <n v="1.1441338874861271E-7"/>
    <n v="0.86315321831186465"/>
  </r>
  <r>
    <x v="20"/>
    <n v="1"/>
    <x v="13"/>
    <n v="0.45453412288402018"/>
    <n v="7.6725612798815526E-2"/>
    <n v="0.11427387269251051"/>
  </r>
  <r>
    <x v="20"/>
    <n v="2"/>
    <x v="12"/>
    <n v="0.53020881439454659"/>
    <n v="1.687688923342771E-9"/>
    <n v="0.11427387269251051"/>
  </r>
  <r>
    <x v="20"/>
    <n v="3"/>
    <x v="25"/>
    <n v="0.60983050696296248"/>
    <n v="0.92327438551349561"/>
    <n v="0.11427387269251051"/>
  </r>
  <r>
    <x v="21"/>
    <n v="1"/>
    <x v="3"/>
    <n v="1.2982732123665801"/>
    <n v="2.7033091665574352E-13"/>
    <n v="0.75399792025330792"/>
  </r>
  <r>
    <x v="21"/>
    <n v="2"/>
    <x v="7"/>
    <n v="1.5008085566896261"/>
    <n v="3.3301639146560272E-7"/>
    <n v="0.75399792025330792"/>
  </r>
  <r>
    <x v="21"/>
    <n v="3"/>
    <x v="6"/>
    <n v="1.621690193249878"/>
    <n v="0.9999996669833382"/>
    <n v="0.75399792025330792"/>
  </r>
  <r>
    <x v="22"/>
    <n v="1"/>
    <x v="21"/>
    <n v="0.86344646830358396"/>
    <n v="0.61909911223363645"/>
    <n v="5.7508333012341463E-2"/>
  </r>
  <r>
    <x v="22"/>
    <n v="2"/>
    <x v="16"/>
    <n v="1.0722629805507189"/>
    <n v="0.29050540905599781"/>
    <n v="5.7508333012341463E-2"/>
  </r>
  <r>
    <x v="22"/>
    <n v="3"/>
    <x v="14"/>
    <n v="1.104413029623214"/>
    <n v="9.039547871036574E-2"/>
    <n v="5.7508333012341463E-2"/>
  </r>
  <r>
    <x v="23"/>
    <n v="1"/>
    <x v="2"/>
    <n v="2.1291492212480332"/>
    <n v="6.2071219128572069E-10"/>
    <n v="0.96208236918343959"/>
  </r>
  <r>
    <x v="23"/>
    <n v="2"/>
    <x v="5"/>
    <n v="2.1988526983046301"/>
    <n v="7.5412267184569806E-8"/>
    <n v="0.96208236918343959"/>
  </r>
  <r>
    <x v="23"/>
    <n v="3"/>
    <x v="4"/>
    <n v="2.3318618917830038"/>
    <n v="0.99999992396702087"/>
    <n v="0.96208236918343959"/>
  </r>
  <r>
    <x v="24"/>
    <n v="1"/>
    <x v="12"/>
    <n v="0.70076211109565234"/>
    <n v="0.87392972297862725"/>
    <n v="8.2678624018145866E-2"/>
  </r>
  <r>
    <x v="24"/>
    <n v="2"/>
    <x v="23"/>
    <n v="0.73680332091938594"/>
    <n v="2.2439626276665712E-9"/>
    <n v="8.2678624018145866E-2"/>
  </r>
  <r>
    <x v="24"/>
    <n v="3"/>
    <x v="13"/>
    <n v="0.75838741757894579"/>
    <n v="0.1260702747774102"/>
    <n v="8.2678624018145866E-2"/>
  </r>
  <r>
    <x v="25"/>
    <n v="1"/>
    <x v="2"/>
    <n v="0.64602007029833564"/>
    <n v="4.1636069321933687E-9"/>
    <n v="8.1464590802134335E-2"/>
  </r>
  <r>
    <x v="25"/>
    <n v="2"/>
    <x v="5"/>
    <n v="0.79765965307815123"/>
    <n v="0.80290188916571481"/>
    <n v="8.1464590802134335E-2"/>
  </r>
  <r>
    <x v="25"/>
    <n v="3"/>
    <x v="9"/>
    <n v="0.81482206948180624"/>
    <n v="0.19709810667067831"/>
    <n v="8.1464590802134335E-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2FE6AB-4BD0-4C26-89CD-2D21397DA84F}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4:B31" firstHeaderRow="1" firstDataRow="1" firstDataCol="1"/>
  <pivotFields count="6"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showAll="0"/>
    <pivotField axis="axisRow" showAll="0">
      <items count="27">
        <item x="22"/>
        <item x="3"/>
        <item x="11"/>
        <item x="16"/>
        <item x="8"/>
        <item x="13"/>
        <item x="17"/>
        <item x="9"/>
        <item x="10"/>
        <item x="6"/>
        <item x="14"/>
        <item x="2"/>
        <item x="4"/>
        <item x="21"/>
        <item x="1"/>
        <item x="19"/>
        <item x="18"/>
        <item x="5"/>
        <item x="7"/>
        <item x="20"/>
        <item x="0"/>
        <item x="24"/>
        <item x="23"/>
        <item x="25"/>
        <item x="12"/>
        <item x="15"/>
        <item t="default"/>
      </items>
    </pivotField>
    <pivotField showAll="0"/>
    <pivotField dataField="1" showAll="0"/>
    <pivotField showAll="0"/>
  </pivotFields>
  <rowFields count="1">
    <field x="2"/>
  </rowFields>
  <rowItems count="2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 t="grand">
      <x/>
    </i>
  </rowItems>
  <colItems count="1">
    <i/>
  </colItems>
  <dataFields count="1">
    <dataField name="Sum of synth_weight" fld="4" baseField="2" baseItem="2"/>
  </dataFields>
  <formats count="8">
    <format dxfId="7">
      <pivotArea type="all" dataOnly="0" outline="0" fieldPosition="0"/>
    </format>
    <format dxfId="6">
      <pivotArea outline="0" collapsedLevelsAreSubtotals="1" fieldPosition="0"/>
    </format>
    <format dxfId="5">
      <pivotArea field="2" type="button" dataOnly="0" labelOnly="1" outline="0" axis="axisRow" fieldPosition="0"/>
    </format>
    <format dxfId="4">
      <pivotArea dataOnly="0" labelOnly="1" fieldPosition="0">
        <references count="1">
          <reference field="2" count="0"/>
        </references>
      </pivotArea>
    </format>
    <format dxfId="3">
      <pivotArea dataOnly="0" labelOnly="1" grandRow="1" outline="0" fieldPosition="0"/>
    </format>
    <format dxfId="2">
      <pivotArea dataOnly="0" labelOnly="1" outline="0" axis="axisValues" fieldPosition="0"/>
    </format>
    <format dxfId="1">
      <pivotArea collapsedLevelsAreSubtotals="1" fieldPosition="0">
        <references count="1">
          <reference field="2" count="0"/>
        </references>
      </pivotArea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9"/>
  <sheetViews>
    <sheetView workbookViewId="0">
      <selection activeCell="D24" sqref="D24"/>
    </sheetView>
  </sheetViews>
  <sheetFormatPr defaultRowHeight="14.4" x14ac:dyDescent="0.3"/>
  <cols>
    <col min="5" max="5" width="14.33203125" style="7" customWidth="1"/>
    <col min="7" max="7" width="18.6640625" customWidth="1"/>
  </cols>
  <sheetData>
    <row r="1" spans="1:13" s="1" customFormat="1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9" t="s">
        <v>4</v>
      </c>
      <c r="F1" s="1" t="s">
        <v>5</v>
      </c>
      <c r="G1" s="1" t="s">
        <v>62</v>
      </c>
    </row>
    <row r="2" spans="1:13" ht="17.399999999999999" customHeight="1" x14ac:dyDescent="0.3">
      <c r="A2" t="s">
        <v>6</v>
      </c>
      <c r="B2">
        <v>1</v>
      </c>
      <c r="C2" t="s">
        <v>7</v>
      </c>
      <c r="D2">
        <v>1.5201323986969979</v>
      </c>
      <c r="E2" s="7">
        <v>2.0363097138546361E-9</v>
      </c>
      <c r="F2">
        <v>2.999037286700993E-2</v>
      </c>
      <c r="I2" s="16" t="s">
        <v>63</v>
      </c>
      <c r="J2" s="17"/>
      <c r="K2" s="17"/>
      <c r="L2" s="17"/>
      <c r="M2" s="18"/>
    </row>
    <row r="3" spans="1:13" x14ac:dyDescent="0.3">
      <c r="A3" t="s">
        <v>6</v>
      </c>
      <c r="B3">
        <v>2</v>
      </c>
      <c r="C3" t="s">
        <v>8</v>
      </c>
      <c r="D3">
        <v>1.96758071605122</v>
      </c>
      <c r="E3" s="7">
        <v>0.64903507398879612</v>
      </c>
      <c r="F3">
        <v>2.999037286700993E-2</v>
      </c>
      <c r="I3" s="19"/>
      <c r="J3" s="20"/>
      <c r="K3" s="20"/>
      <c r="L3" s="20"/>
      <c r="M3" s="21"/>
    </row>
    <row r="4" spans="1:13" x14ac:dyDescent="0.3">
      <c r="A4" t="s">
        <v>6</v>
      </c>
      <c r="B4">
        <v>3</v>
      </c>
      <c r="C4" t="s">
        <v>9</v>
      </c>
      <c r="D4">
        <v>2.5917943242179331</v>
      </c>
      <c r="E4" s="7">
        <v>0.35096492397489409</v>
      </c>
      <c r="F4">
        <v>2.999037286700993E-2</v>
      </c>
      <c r="I4" s="19"/>
      <c r="J4" s="20"/>
      <c r="K4" s="20"/>
      <c r="L4" s="20"/>
      <c r="M4" s="21"/>
    </row>
    <row r="5" spans="1:13" x14ac:dyDescent="0.3">
      <c r="A5" t="s">
        <v>10</v>
      </c>
      <c r="B5">
        <v>1</v>
      </c>
      <c r="C5" t="s">
        <v>7</v>
      </c>
      <c r="D5">
        <v>1.454306935496537</v>
      </c>
      <c r="E5" s="7">
        <v>0.99999873825536978</v>
      </c>
      <c r="F5">
        <v>1.7231365575675039</v>
      </c>
      <c r="I5" s="19"/>
      <c r="J5" s="20"/>
      <c r="K5" s="20"/>
      <c r="L5" s="20"/>
      <c r="M5" s="21"/>
    </row>
    <row r="6" spans="1:13" x14ac:dyDescent="0.3">
      <c r="A6" t="s">
        <v>10</v>
      </c>
      <c r="B6">
        <v>2</v>
      </c>
      <c r="C6" t="s">
        <v>8</v>
      </c>
      <c r="D6">
        <v>2.2261430818371331</v>
      </c>
      <c r="E6" s="7">
        <v>1.2517394440572831E-6</v>
      </c>
      <c r="F6">
        <v>1.7231365575675039</v>
      </c>
      <c r="I6" s="19"/>
      <c r="J6" s="20"/>
      <c r="K6" s="20"/>
      <c r="L6" s="20"/>
      <c r="M6" s="21"/>
    </row>
    <row r="7" spans="1:13" x14ac:dyDescent="0.3">
      <c r="A7" t="s">
        <v>10</v>
      </c>
      <c r="B7">
        <v>3</v>
      </c>
      <c r="C7" t="s">
        <v>11</v>
      </c>
      <c r="D7">
        <v>2.7219149317755011</v>
      </c>
      <c r="E7" s="7">
        <v>1.000518617098721E-8</v>
      </c>
      <c r="F7">
        <v>1.7231365575675039</v>
      </c>
      <c r="I7" s="19"/>
      <c r="J7" s="20"/>
      <c r="K7" s="20"/>
      <c r="L7" s="20"/>
      <c r="M7" s="21"/>
    </row>
    <row r="8" spans="1:13" ht="15" thickBot="1" x14ac:dyDescent="0.35">
      <c r="A8" t="s">
        <v>12</v>
      </c>
      <c r="B8">
        <v>1</v>
      </c>
      <c r="C8" t="s">
        <v>9</v>
      </c>
      <c r="D8">
        <v>1.917850942661258</v>
      </c>
      <c r="E8" s="7">
        <v>0.67580221289686704</v>
      </c>
      <c r="F8">
        <v>0.12564257134348139</v>
      </c>
      <c r="G8" s="2" t="str">
        <f>IF(E8=[1]tests_Bulgaria!$D$18,"EQUAL","NOT EQUAL")</f>
        <v>EQUAL</v>
      </c>
      <c r="I8" s="22"/>
      <c r="J8" s="23"/>
      <c r="K8" s="23"/>
      <c r="L8" s="23"/>
      <c r="M8" s="24"/>
    </row>
    <row r="9" spans="1:13" x14ac:dyDescent="0.3">
      <c r="A9" t="s">
        <v>12</v>
      </c>
      <c r="B9">
        <v>2</v>
      </c>
      <c r="C9" t="s">
        <v>13</v>
      </c>
      <c r="D9">
        <v>2.0880670236391929</v>
      </c>
      <c r="E9" s="7">
        <v>0.32419778655420278</v>
      </c>
      <c r="F9">
        <v>0.12564257134348139</v>
      </c>
      <c r="G9" s="2" t="str">
        <f>IF(E9=[1]tests_Bulgaria!$D$19,"EQUAL","NOT EQUAL")</f>
        <v>EQUAL</v>
      </c>
    </row>
    <row r="10" spans="1:13" x14ac:dyDescent="0.3">
      <c r="A10" t="s">
        <v>12</v>
      </c>
      <c r="B10">
        <v>3</v>
      </c>
      <c r="C10" t="s">
        <v>14</v>
      </c>
      <c r="D10">
        <v>2.1317474833802672</v>
      </c>
      <c r="E10" s="7">
        <v>5.4893011563366283E-10</v>
      </c>
      <c r="F10">
        <v>0.12564257134348139</v>
      </c>
      <c r="G10" s="2" t="str">
        <f>IF(E10=[1]tests_Bulgaria!$D$20,"EQUAL","NOT EQUAL")</f>
        <v>EQUAL</v>
      </c>
    </row>
    <row r="11" spans="1:13" x14ac:dyDescent="0.3">
      <c r="A11" t="s">
        <v>15</v>
      </c>
      <c r="B11">
        <v>1</v>
      </c>
      <c r="C11" t="s">
        <v>16</v>
      </c>
      <c r="D11">
        <v>0.78556761100698713</v>
      </c>
      <c r="E11" s="7">
        <v>1.123184115723512E-9</v>
      </c>
      <c r="F11">
        <v>0.9704002646822395</v>
      </c>
    </row>
    <row r="12" spans="1:13" x14ac:dyDescent="0.3">
      <c r="A12" t="s">
        <v>15</v>
      </c>
      <c r="B12">
        <v>2</v>
      </c>
      <c r="C12" t="s">
        <v>17</v>
      </c>
      <c r="D12">
        <v>0.91899781770672062</v>
      </c>
      <c r="E12" s="7">
        <v>1.3048872302889341E-8</v>
      </c>
      <c r="F12">
        <v>0.9704002646822395</v>
      </c>
    </row>
    <row r="13" spans="1:13" x14ac:dyDescent="0.3">
      <c r="A13" t="s">
        <v>15</v>
      </c>
      <c r="B13">
        <v>3</v>
      </c>
      <c r="C13" t="s">
        <v>18</v>
      </c>
      <c r="D13">
        <v>1.30529313006485</v>
      </c>
      <c r="E13" s="7">
        <v>0.99999998582794369</v>
      </c>
      <c r="F13">
        <v>0.9704002646822395</v>
      </c>
    </row>
    <row r="14" spans="1:13" x14ac:dyDescent="0.3">
      <c r="A14" t="s">
        <v>19</v>
      </c>
      <c r="B14">
        <v>1</v>
      </c>
      <c r="C14" t="s">
        <v>14</v>
      </c>
      <c r="D14">
        <v>1.322443440920442</v>
      </c>
      <c r="E14" s="7">
        <v>7.7418319723476075E-10</v>
      </c>
      <c r="F14">
        <v>0.1012768024578467</v>
      </c>
    </row>
    <row r="15" spans="1:13" x14ac:dyDescent="0.3">
      <c r="A15" t="s">
        <v>19</v>
      </c>
      <c r="B15">
        <v>2</v>
      </c>
      <c r="C15" t="s">
        <v>9</v>
      </c>
      <c r="D15">
        <v>1.3264343933885541</v>
      </c>
      <c r="E15" s="7">
        <v>0.79471318156278947</v>
      </c>
      <c r="F15">
        <v>0.1012768024578467</v>
      </c>
    </row>
    <row r="16" spans="1:13" x14ac:dyDescent="0.3">
      <c r="A16" t="s">
        <v>19</v>
      </c>
      <c r="B16">
        <v>3</v>
      </c>
      <c r="C16" t="s">
        <v>13</v>
      </c>
      <c r="D16">
        <v>1.5522362059721759</v>
      </c>
      <c r="E16" s="7">
        <v>0.2052868176630272</v>
      </c>
      <c r="F16">
        <v>0.1012768024578467</v>
      </c>
    </row>
    <row r="17" spans="1:7" x14ac:dyDescent="0.3">
      <c r="A17" t="s">
        <v>20</v>
      </c>
      <c r="B17">
        <v>1</v>
      </c>
      <c r="C17" t="s">
        <v>16</v>
      </c>
      <c r="D17">
        <v>0.71480107750477195</v>
      </c>
      <c r="E17" s="7">
        <v>0.31777391101652008</v>
      </c>
      <c r="F17">
        <v>0.15274855713821431</v>
      </c>
      <c r="G17" s="2" t="str">
        <f>IF(E17=[1]tests_Check_republic!$D$18,"EQUAL","NOT EQUAL")</f>
        <v>EQUAL</v>
      </c>
    </row>
    <row r="18" spans="1:7" x14ac:dyDescent="0.3">
      <c r="A18" t="s">
        <v>20</v>
      </c>
      <c r="B18">
        <v>2</v>
      </c>
      <c r="C18" t="s">
        <v>18</v>
      </c>
      <c r="D18">
        <v>0.9325909975614225</v>
      </c>
      <c r="E18" s="7">
        <v>0.68222606641491146</v>
      </c>
      <c r="F18">
        <v>0.15274855713821431</v>
      </c>
      <c r="G18" s="2" t="str">
        <f>IF(E18=[1]tests_Check_republic!$D$19,"EQUAL","NOT EQUAL")</f>
        <v>EQUAL</v>
      </c>
    </row>
    <row r="19" spans="1:7" x14ac:dyDescent="0.3">
      <c r="A19" t="s">
        <v>20</v>
      </c>
      <c r="B19">
        <v>3</v>
      </c>
      <c r="C19" t="s">
        <v>17</v>
      </c>
      <c r="D19">
        <v>1.051645326352604</v>
      </c>
      <c r="E19" s="7">
        <v>2.2568568492421111E-8</v>
      </c>
      <c r="F19">
        <v>0.15274855713821431</v>
      </c>
      <c r="G19" s="2" t="str">
        <f>IF(E19=[1]tests_Check_republic!$D$20,"EQUAL","NOT EQUAL")</f>
        <v>EQUAL</v>
      </c>
    </row>
    <row r="20" spans="1:7" x14ac:dyDescent="0.3">
      <c r="A20" t="s">
        <v>21</v>
      </c>
      <c r="B20">
        <v>1</v>
      </c>
      <c r="C20" t="s">
        <v>8</v>
      </c>
      <c r="D20">
        <v>1.313773130643523</v>
      </c>
      <c r="E20" s="7">
        <v>0.45973532226379249</v>
      </c>
      <c r="F20">
        <v>3.5969832493937093E-2</v>
      </c>
      <c r="G20" s="2" t="str">
        <f>IF(E20=[1]test_DENMARK!$D$18,"EQUAL","NOT EQUAL")</f>
        <v>EQUAL</v>
      </c>
    </row>
    <row r="21" spans="1:7" x14ac:dyDescent="0.3">
      <c r="A21" t="s">
        <v>21</v>
      </c>
      <c r="B21">
        <v>2</v>
      </c>
      <c r="C21" t="s">
        <v>7</v>
      </c>
      <c r="D21">
        <v>2.120359351148926</v>
      </c>
      <c r="E21" s="7">
        <v>8.0865157072275651E-2</v>
      </c>
      <c r="F21">
        <v>3.5969832493937093E-2</v>
      </c>
      <c r="G21" s="2" t="str">
        <f>IF(E21=[1]test_DENMARK!$D$19,"EQUAL","NOT EQUAL")</f>
        <v>EQUAL</v>
      </c>
    </row>
    <row r="22" spans="1:7" x14ac:dyDescent="0.3">
      <c r="A22" t="s">
        <v>21</v>
      </c>
      <c r="B22">
        <v>3</v>
      </c>
      <c r="C22" t="s">
        <v>16</v>
      </c>
      <c r="D22">
        <v>2.232442595052639</v>
      </c>
      <c r="E22" s="7">
        <v>0.45939952066393192</v>
      </c>
      <c r="F22">
        <v>3.5969832493937093E-2</v>
      </c>
      <c r="G22" s="2" t="str">
        <f>IF(E22=[1]test_DENMARK!$D$20,"EQUAL","NOT EQUAL")</f>
        <v>EQUAL</v>
      </c>
    </row>
    <row r="23" spans="1:7" x14ac:dyDescent="0.3">
      <c r="A23" t="s">
        <v>22</v>
      </c>
      <c r="B23">
        <v>1</v>
      </c>
      <c r="C23" t="s">
        <v>23</v>
      </c>
      <c r="D23">
        <v>0.40515867686517359</v>
      </c>
      <c r="E23" s="7">
        <v>1.5650705155873499E-9</v>
      </c>
      <c r="F23">
        <v>0.82225884424831963</v>
      </c>
    </row>
    <row r="24" spans="1:7" x14ac:dyDescent="0.3">
      <c r="A24" t="s">
        <v>22</v>
      </c>
      <c r="B24">
        <v>2</v>
      </c>
      <c r="C24" t="s">
        <v>9</v>
      </c>
      <c r="D24">
        <v>0.64096277571583637</v>
      </c>
      <c r="E24" s="7">
        <v>2.8177492279081748E-10</v>
      </c>
      <c r="F24">
        <v>0.82225884424831963</v>
      </c>
    </row>
    <row r="25" spans="1:7" x14ac:dyDescent="0.3">
      <c r="A25" t="s">
        <v>22</v>
      </c>
      <c r="B25">
        <v>3</v>
      </c>
      <c r="C25" t="s">
        <v>14</v>
      </c>
      <c r="D25">
        <v>0.83151090125850191</v>
      </c>
      <c r="E25" s="7">
        <v>0.99999999815315466</v>
      </c>
      <c r="F25">
        <v>0.82225884424831963</v>
      </c>
    </row>
    <row r="26" spans="1:7" x14ac:dyDescent="0.3">
      <c r="A26" t="s">
        <v>24</v>
      </c>
      <c r="B26">
        <v>1</v>
      </c>
      <c r="C26" t="s">
        <v>9</v>
      </c>
      <c r="D26">
        <v>1.3533316400776481</v>
      </c>
      <c r="E26" s="7">
        <v>2.7079212771711909E-11</v>
      </c>
      <c r="F26">
        <v>0.1588434876351856</v>
      </c>
    </row>
    <row r="27" spans="1:7" x14ac:dyDescent="0.3">
      <c r="A27" t="s">
        <v>24</v>
      </c>
      <c r="B27">
        <v>2</v>
      </c>
      <c r="C27" t="s">
        <v>14</v>
      </c>
      <c r="D27">
        <v>1.474876419808983</v>
      </c>
      <c r="E27" s="7">
        <v>0.99999999832666442</v>
      </c>
      <c r="F27">
        <v>0.1588434876351856</v>
      </c>
    </row>
    <row r="28" spans="1:7" x14ac:dyDescent="0.3">
      <c r="A28" t="s">
        <v>24</v>
      </c>
      <c r="B28">
        <v>3</v>
      </c>
      <c r="C28" t="s">
        <v>23</v>
      </c>
      <c r="D28">
        <v>1.800031410273109</v>
      </c>
      <c r="E28" s="7">
        <v>1.6462565278836949E-9</v>
      </c>
      <c r="F28">
        <v>0.1588434876351856</v>
      </c>
    </row>
    <row r="29" spans="1:7" x14ac:dyDescent="0.3">
      <c r="A29" t="s">
        <v>25</v>
      </c>
      <c r="B29">
        <v>1</v>
      </c>
      <c r="C29" t="s">
        <v>16</v>
      </c>
      <c r="D29">
        <v>0.92160942195897999</v>
      </c>
      <c r="E29" s="7">
        <v>0.99999992608228272</v>
      </c>
      <c r="F29">
        <v>1.183347956708058</v>
      </c>
    </row>
    <row r="30" spans="1:7" x14ac:dyDescent="0.3">
      <c r="A30" t="s">
        <v>25</v>
      </c>
      <c r="B30">
        <v>2</v>
      </c>
      <c r="C30" t="s">
        <v>18</v>
      </c>
      <c r="D30">
        <v>1.189670822588075</v>
      </c>
      <c r="E30" s="7">
        <v>1.3838223336319641E-9</v>
      </c>
      <c r="F30">
        <v>1.183347956708058</v>
      </c>
    </row>
    <row r="31" spans="1:7" x14ac:dyDescent="0.3">
      <c r="A31" t="s">
        <v>25</v>
      </c>
      <c r="B31">
        <v>3</v>
      </c>
      <c r="C31" t="s">
        <v>17</v>
      </c>
      <c r="D31">
        <v>1.3889132086567619</v>
      </c>
      <c r="E31" s="7">
        <v>7.2533895014210998E-8</v>
      </c>
      <c r="F31">
        <v>1.183347956708058</v>
      </c>
    </row>
    <row r="32" spans="1:7" x14ac:dyDescent="0.3">
      <c r="A32" t="s">
        <v>26</v>
      </c>
      <c r="B32">
        <v>1</v>
      </c>
      <c r="C32" t="s">
        <v>8</v>
      </c>
      <c r="D32">
        <v>1.7033345140888809</v>
      </c>
      <c r="E32" s="7">
        <v>1.7944391509783481E-6</v>
      </c>
      <c r="F32">
        <v>2.876371171325911</v>
      </c>
    </row>
    <row r="33" spans="1:6" x14ac:dyDescent="0.3">
      <c r="A33" t="s">
        <v>26</v>
      </c>
      <c r="B33">
        <v>2</v>
      </c>
      <c r="C33" t="s">
        <v>7</v>
      </c>
      <c r="D33">
        <v>1.7918969996678871</v>
      </c>
      <c r="E33" s="7">
        <v>0.99999820536976203</v>
      </c>
      <c r="F33">
        <v>2.876371171325911</v>
      </c>
    </row>
    <row r="34" spans="1:6" x14ac:dyDescent="0.3">
      <c r="A34" t="s">
        <v>26</v>
      </c>
      <c r="B34">
        <v>3</v>
      </c>
      <c r="C34" t="s">
        <v>27</v>
      </c>
      <c r="D34">
        <v>2.3017385620529969</v>
      </c>
      <c r="E34" s="7">
        <v>1.910871013607014E-10</v>
      </c>
      <c r="F34">
        <v>2.876371171325911</v>
      </c>
    </row>
    <row r="35" spans="1:6" x14ac:dyDescent="0.3">
      <c r="A35" t="s">
        <v>28</v>
      </c>
      <c r="B35">
        <v>1</v>
      </c>
      <c r="C35" t="s">
        <v>13</v>
      </c>
      <c r="D35">
        <v>1.2009918077028521</v>
      </c>
      <c r="E35" s="7">
        <v>0.29239882456873839</v>
      </c>
      <c r="F35">
        <v>0.15617271377428091</v>
      </c>
    </row>
    <row r="36" spans="1:6" x14ac:dyDescent="0.3">
      <c r="A36" t="s">
        <v>28</v>
      </c>
      <c r="B36">
        <v>2</v>
      </c>
      <c r="C36" t="s">
        <v>9</v>
      </c>
      <c r="D36">
        <v>1.7103959306010279</v>
      </c>
      <c r="E36" s="7">
        <v>0.70760117535026024</v>
      </c>
      <c r="F36">
        <v>0.15617271377428091</v>
      </c>
    </row>
    <row r="37" spans="1:6" x14ac:dyDescent="0.3">
      <c r="A37" t="s">
        <v>28</v>
      </c>
      <c r="B37">
        <v>3</v>
      </c>
      <c r="C37" t="s">
        <v>29</v>
      </c>
      <c r="D37">
        <v>1.808807969188861</v>
      </c>
      <c r="E37" s="7">
        <v>8.1001349514994056E-11</v>
      </c>
      <c r="F37">
        <v>0.15617271377428091</v>
      </c>
    </row>
    <row r="38" spans="1:6" x14ac:dyDescent="0.3">
      <c r="A38" t="s">
        <v>30</v>
      </c>
      <c r="B38">
        <v>1</v>
      </c>
      <c r="C38" t="s">
        <v>31</v>
      </c>
      <c r="D38">
        <v>0.79318871004131175</v>
      </c>
      <c r="E38" s="7">
        <v>0.2277946293803047</v>
      </c>
      <c r="F38">
        <v>6.7397175448973085E-2</v>
      </c>
    </row>
    <row r="39" spans="1:6" x14ac:dyDescent="0.3">
      <c r="A39" t="s">
        <v>30</v>
      </c>
      <c r="B39">
        <v>2</v>
      </c>
      <c r="C39" t="s">
        <v>32</v>
      </c>
      <c r="D39">
        <v>0.85185327995696714</v>
      </c>
      <c r="E39" s="7">
        <v>0.59250011986721529</v>
      </c>
      <c r="F39">
        <v>6.7397175448973085E-2</v>
      </c>
    </row>
    <row r="40" spans="1:6" x14ac:dyDescent="0.3">
      <c r="A40" t="s">
        <v>30</v>
      </c>
      <c r="B40">
        <v>3</v>
      </c>
      <c r="C40" t="s">
        <v>33</v>
      </c>
      <c r="D40">
        <v>0.85626509773255732</v>
      </c>
      <c r="E40" s="7">
        <v>0.17970525075248001</v>
      </c>
      <c r="F40">
        <v>6.7397175448973085E-2</v>
      </c>
    </row>
    <row r="41" spans="1:6" x14ac:dyDescent="0.3">
      <c r="A41" t="s">
        <v>34</v>
      </c>
      <c r="B41">
        <v>1</v>
      </c>
      <c r="C41" t="s">
        <v>7</v>
      </c>
      <c r="D41">
        <v>1.598831204249944</v>
      </c>
      <c r="E41" s="7">
        <v>0.99999846482277954</v>
      </c>
      <c r="F41">
        <v>3.149643958026664</v>
      </c>
    </row>
    <row r="42" spans="1:6" x14ac:dyDescent="0.3">
      <c r="A42" t="s">
        <v>34</v>
      </c>
      <c r="B42">
        <v>2</v>
      </c>
      <c r="C42" t="s">
        <v>11</v>
      </c>
      <c r="D42">
        <v>2.2108702359853529</v>
      </c>
      <c r="E42" s="7">
        <v>4.1863649963411411E-10</v>
      </c>
      <c r="F42">
        <v>3.149643958026664</v>
      </c>
    </row>
    <row r="43" spans="1:6" x14ac:dyDescent="0.3">
      <c r="A43" t="s">
        <v>34</v>
      </c>
      <c r="B43">
        <v>3</v>
      </c>
      <c r="C43" t="s">
        <v>8</v>
      </c>
      <c r="D43">
        <v>2.2214795218385919</v>
      </c>
      <c r="E43" s="7">
        <v>1.534758584483447E-6</v>
      </c>
      <c r="F43">
        <v>3.149643958026664</v>
      </c>
    </row>
    <row r="44" spans="1:6" x14ac:dyDescent="0.3">
      <c r="A44" t="s">
        <v>35</v>
      </c>
      <c r="B44">
        <v>1</v>
      </c>
      <c r="C44" t="s">
        <v>33</v>
      </c>
      <c r="D44">
        <v>0.89148389228016534</v>
      </c>
      <c r="E44" s="7">
        <v>1.199532595512779E-12</v>
      </c>
      <c r="F44">
        <v>8.4858356768011567E-2</v>
      </c>
    </row>
    <row r="45" spans="1:6" x14ac:dyDescent="0.3">
      <c r="A45" t="s">
        <v>35</v>
      </c>
      <c r="B45">
        <v>2</v>
      </c>
      <c r="C45" t="s">
        <v>36</v>
      </c>
      <c r="D45">
        <v>0.93305152918571599</v>
      </c>
      <c r="E45" s="7">
        <v>0.96067366971460844</v>
      </c>
      <c r="F45">
        <v>8.4858356768011567E-2</v>
      </c>
    </row>
    <row r="46" spans="1:6" x14ac:dyDescent="0.3">
      <c r="A46" t="s">
        <v>35</v>
      </c>
      <c r="B46">
        <v>3</v>
      </c>
      <c r="C46" t="s">
        <v>37</v>
      </c>
      <c r="D46">
        <v>1.0599816380974989</v>
      </c>
      <c r="E46" s="7">
        <v>3.9326330284191947E-2</v>
      </c>
      <c r="F46">
        <v>8.4858356768011567E-2</v>
      </c>
    </row>
    <row r="47" spans="1:6" x14ac:dyDescent="0.3">
      <c r="A47" t="s">
        <v>38</v>
      </c>
      <c r="B47">
        <v>1</v>
      </c>
      <c r="C47" t="s">
        <v>8</v>
      </c>
      <c r="D47">
        <v>1.941244593289468</v>
      </c>
      <c r="E47" s="7">
        <v>1.202984178023427E-10</v>
      </c>
      <c r="F47">
        <v>1.156848022384845</v>
      </c>
    </row>
    <row r="48" spans="1:6" x14ac:dyDescent="0.3">
      <c r="A48" t="s">
        <v>38</v>
      </c>
      <c r="B48">
        <v>2</v>
      </c>
      <c r="C48" t="s">
        <v>39</v>
      </c>
      <c r="D48">
        <v>2.1131810226092602</v>
      </c>
      <c r="E48" s="7">
        <v>8.7987163081138333E-9</v>
      </c>
      <c r="F48">
        <v>1.156848022384845</v>
      </c>
    </row>
    <row r="49" spans="1:6" x14ac:dyDescent="0.3">
      <c r="A49" t="s">
        <v>38</v>
      </c>
      <c r="B49">
        <v>3</v>
      </c>
      <c r="C49" t="s">
        <v>40</v>
      </c>
      <c r="D49">
        <v>2.7562972225803239</v>
      </c>
      <c r="E49" s="7">
        <v>0.99999999108098547</v>
      </c>
      <c r="F49">
        <v>1.156848022384845</v>
      </c>
    </row>
    <row r="50" spans="1:6" x14ac:dyDescent="0.3">
      <c r="A50" t="s">
        <v>41</v>
      </c>
      <c r="B50">
        <v>1</v>
      </c>
      <c r="C50" t="s">
        <v>13</v>
      </c>
      <c r="D50">
        <v>1.947053505032581</v>
      </c>
      <c r="E50" s="7">
        <v>0.24192905717418789</v>
      </c>
      <c r="F50">
        <v>0.1023472483085368</v>
      </c>
    </row>
    <row r="51" spans="1:6" x14ac:dyDescent="0.3">
      <c r="A51" t="s">
        <v>41</v>
      </c>
      <c r="B51">
        <v>2</v>
      </c>
      <c r="C51" t="s">
        <v>42</v>
      </c>
      <c r="D51">
        <v>2.0948857998131589</v>
      </c>
      <c r="E51" s="7">
        <v>0.32611526601641638</v>
      </c>
      <c r="F51">
        <v>0.1023472483085368</v>
      </c>
    </row>
    <row r="52" spans="1:6" x14ac:dyDescent="0.3">
      <c r="A52" t="s">
        <v>41</v>
      </c>
      <c r="B52">
        <v>3</v>
      </c>
      <c r="C52" t="s">
        <v>43</v>
      </c>
      <c r="D52">
        <v>2.1024054059528718</v>
      </c>
      <c r="E52" s="7">
        <v>0.43195567680939573</v>
      </c>
      <c r="F52">
        <v>0.1023472483085368</v>
      </c>
    </row>
    <row r="53" spans="1:6" x14ac:dyDescent="0.3">
      <c r="A53" t="s">
        <v>44</v>
      </c>
      <c r="B53">
        <v>1</v>
      </c>
      <c r="C53" t="s">
        <v>45</v>
      </c>
      <c r="D53">
        <v>0.95290565026523966</v>
      </c>
      <c r="E53" s="7">
        <v>1.7342610302663891E-7</v>
      </c>
      <c r="F53">
        <v>0.11379332287855599</v>
      </c>
    </row>
    <row r="54" spans="1:6" x14ac:dyDescent="0.3">
      <c r="A54" t="s">
        <v>44</v>
      </c>
      <c r="B54">
        <v>2</v>
      </c>
      <c r="C54" t="s">
        <v>17</v>
      </c>
      <c r="D54">
        <v>1.1518565613407989</v>
      </c>
      <c r="E54" s="7">
        <v>2.1726236488301869E-10</v>
      </c>
      <c r="F54">
        <v>0.11379332287855599</v>
      </c>
    </row>
    <row r="55" spans="1:6" x14ac:dyDescent="0.3">
      <c r="A55" t="s">
        <v>44</v>
      </c>
      <c r="B55">
        <v>3</v>
      </c>
      <c r="C55" t="s">
        <v>27</v>
      </c>
      <c r="D55">
        <v>1.260223225287554</v>
      </c>
      <c r="E55" s="7">
        <v>0.99999982635663465</v>
      </c>
      <c r="F55">
        <v>0.11379332287855599</v>
      </c>
    </row>
    <row r="56" spans="1:6" x14ac:dyDescent="0.3">
      <c r="A56" t="s">
        <v>46</v>
      </c>
      <c r="B56">
        <v>1</v>
      </c>
      <c r="C56" t="s">
        <v>16</v>
      </c>
      <c r="D56">
        <v>1.175180669759281</v>
      </c>
      <c r="E56" s="7">
        <v>0.39986170408838201</v>
      </c>
      <c r="F56">
        <v>1.83204911812056E-2</v>
      </c>
    </row>
    <row r="57" spans="1:6" x14ac:dyDescent="0.3">
      <c r="A57" t="s">
        <v>46</v>
      </c>
      <c r="B57">
        <v>2</v>
      </c>
      <c r="C57" t="s">
        <v>18</v>
      </c>
      <c r="D57">
        <v>1.469126013073129</v>
      </c>
      <c r="E57" s="7">
        <v>0.1643168440569889</v>
      </c>
      <c r="F57">
        <v>1.83204911812056E-2</v>
      </c>
    </row>
    <row r="58" spans="1:6" x14ac:dyDescent="0.3">
      <c r="A58" t="s">
        <v>46</v>
      </c>
      <c r="B58">
        <v>3</v>
      </c>
      <c r="C58" t="s">
        <v>47</v>
      </c>
      <c r="D58">
        <v>1.712976122044839</v>
      </c>
      <c r="E58" s="7">
        <v>0.43582145185462912</v>
      </c>
      <c r="F58">
        <v>1.83204911812056E-2</v>
      </c>
    </row>
    <row r="59" spans="1:6" x14ac:dyDescent="0.3">
      <c r="A59" t="s">
        <v>48</v>
      </c>
      <c r="B59">
        <v>1</v>
      </c>
      <c r="C59" t="s">
        <v>16</v>
      </c>
      <c r="D59">
        <v>0.78940335234920489</v>
      </c>
      <c r="E59" s="7">
        <v>0.9999998852556381</v>
      </c>
      <c r="F59">
        <v>0.86315321831186465</v>
      </c>
    </row>
    <row r="60" spans="1:6" x14ac:dyDescent="0.3">
      <c r="A60" t="s">
        <v>48</v>
      </c>
      <c r="B60">
        <v>2</v>
      </c>
      <c r="C60" t="s">
        <v>49</v>
      </c>
      <c r="D60">
        <v>0.81905046088821232</v>
      </c>
      <c r="E60" s="7">
        <v>3.3097314909353621E-10</v>
      </c>
      <c r="F60">
        <v>0.86315321831186465</v>
      </c>
    </row>
    <row r="61" spans="1:6" x14ac:dyDescent="0.3">
      <c r="A61" t="s">
        <v>48</v>
      </c>
      <c r="B61">
        <v>3</v>
      </c>
      <c r="C61" t="s">
        <v>50</v>
      </c>
      <c r="D61">
        <v>0.82781295435553304</v>
      </c>
      <c r="E61" s="7">
        <v>1.1441338874861271E-7</v>
      </c>
      <c r="F61">
        <v>0.86315321831186465</v>
      </c>
    </row>
    <row r="62" spans="1:6" x14ac:dyDescent="0.3">
      <c r="A62" t="s">
        <v>51</v>
      </c>
      <c r="B62">
        <v>1</v>
      </c>
      <c r="C62" t="s">
        <v>32</v>
      </c>
      <c r="D62">
        <v>0.45453412288402018</v>
      </c>
      <c r="E62" s="7">
        <v>7.6725612798815526E-2</v>
      </c>
      <c r="F62">
        <v>0.11427387269251051</v>
      </c>
    </row>
    <row r="63" spans="1:6" x14ac:dyDescent="0.3">
      <c r="A63" t="s">
        <v>51</v>
      </c>
      <c r="B63">
        <v>2</v>
      </c>
      <c r="C63" t="s">
        <v>31</v>
      </c>
      <c r="D63">
        <v>0.53020881439454659</v>
      </c>
      <c r="E63" s="7">
        <v>1.687688923342771E-9</v>
      </c>
      <c r="F63">
        <v>0.11427387269251051</v>
      </c>
    </row>
    <row r="64" spans="1:6" x14ac:dyDescent="0.3">
      <c r="A64" t="s">
        <v>51</v>
      </c>
      <c r="B64">
        <v>3</v>
      </c>
      <c r="C64" t="s">
        <v>52</v>
      </c>
      <c r="D64">
        <v>0.60983050696296248</v>
      </c>
      <c r="E64" s="7">
        <v>0.92327438551349561</v>
      </c>
      <c r="F64">
        <v>0.11427387269251051</v>
      </c>
    </row>
    <row r="65" spans="1:6" x14ac:dyDescent="0.3">
      <c r="A65" t="s">
        <v>53</v>
      </c>
      <c r="B65">
        <v>1</v>
      </c>
      <c r="C65" t="s">
        <v>11</v>
      </c>
      <c r="D65">
        <v>1.2982732123665801</v>
      </c>
      <c r="E65" s="7">
        <v>2.7033091665574352E-13</v>
      </c>
      <c r="F65">
        <v>0.75399792025330792</v>
      </c>
    </row>
    <row r="66" spans="1:6" x14ac:dyDescent="0.3">
      <c r="A66" t="s">
        <v>53</v>
      </c>
      <c r="B66">
        <v>2</v>
      </c>
      <c r="C66" t="s">
        <v>17</v>
      </c>
      <c r="D66">
        <v>1.5008085566896261</v>
      </c>
      <c r="E66" s="7">
        <v>3.3301639146560272E-7</v>
      </c>
      <c r="F66">
        <v>0.75399792025330792</v>
      </c>
    </row>
    <row r="67" spans="1:6" x14ac:dyDescent="0.3">
      <c r="A67" t="s">
        <v>53</v>
      </c>
      <c r="B67">
        <v>3</v>
      </c>
      <c r="C67" t="s">
        <v>16</v>
      </c>
      <c r="D67">
        <v>1.621690193249878</v>
      </c>
      <c r="E67" s="7">
        <v>0.9999996669833382</v>
      </c>
      <c r="F67">
        <v>0.75399792025330792</v>
      </c>
    </row>
    <row r="68" spans="1:6" x14ac:dyDescent="0.3">
      <c r="A68" t="s">
        <v>54</v>
      </c>
      <c r="B68">
        <v>1</v>
      </c>
      <c r="C68" t="s">
        <v>45</v>
      </c>
      <c r="D68">
        <v>0.86344646830358396</v>
      </c>
      <c r="E68" s="7">
        <v>0.61909911223363645</v>
      </c>
      <c r="F68">
        <v>5.7508333012341463E-2</v>
      </c>
    </row>
    <row r="69" spans="1:6" x14ac:dyDescent="0.3">
      <c r="A69" t="s">
        <v>54</v>
      </c>
      <c r="B69">
        <v>2</v>
      </c>
      <c r="C69" t="s">
        <v>37</v>
      </c>
      <c r="D69">
        <v>1.0722629805507189</v>
      </c>
      <c r="E69" s="7">
        <v>0.29050540905599781</v>
      </c>
      <c r="F69">
        <v>5.7508333012341463E-2</v>
      </c>
    </row>
    <row r="70" spans="1:6" x14ac:dyDescent="0.3">
      <c r="A70" t="s">
        <v>54</v>
      </c>
      <c r="B70">
        <v>3</v>
      </c>
      <c r="C70" t="s">
        <v>33</v>
      </c>
      <c r="D70">
        <v>1.104413029623214</v>
      </c>
      <c r="E70" s="7">
        <v>9.039547871036574E-2</v>
      </c>
      <c r="F70">
        <v>5.7508333012341463E-2</v>
      </c>
    </row>
    <row r="71" spans="1:6" x14ac:dyDescent="0.3">
      <c r="A71" t="s">
        <v>55</v>
      </c>
      <c r="B71">
        <v>1</v>
      </c>
      <c r="C71" t="s">
        <v>9</v>
      </c>
      <c r="D71">
        <v>2.1291492212480332</v>
      </c>
      <c r="E71" s="7">
        <v>6.2071219128572069E-10</v>
      </c>
      <c r="F71">
        <v>0.96208236918343959</v>
      </c>
    </row>
    <row r="72" spans="1:6" x14ac:dyDescent="0.3">
      <c r="A72" t="s">
        <v>55</v>
      </c>
      <c r="B72">
        <v>2</v>
      </c>
      <c r="C72" t="s">
        <v>14</v>
      </c>
      <c r="D72">
        <v>2.1988526983046301</v>
      </c>
      <c r="E72" s="7">
        <v>7.5412267184569806E-8</v>
      </c>
      <c r="F72">
        <v>0.96208236918343959</v>
      </c>
    </row>
    <row r="73" spans="1:6" x14ac:dyDescent="0.3">
      <c r="A73" t="s">
        <v>55</v>
      </c>
      <c r="B73">
        <v>3</v>
      </c>
      <c r="C73" t="s">
        <v>13</v>
      </c>
      <c r="D73">
        <v>2.3318618917830038</v>
      </c>
      <c r="E73" s="7">
        <v>0.99999992396702087</v>
      </c>
      <c r="F73">
        <v>0.96208236918343959</v>
      </c>
    </row>
    <row r="74" spans="1:6" x14ac:dyDescent="0.3">
      <c r="A74" t="s">
        <v>56</v>
      </c>
      <c r="B74">
        <v>1</v>
      </c>
      <c r="C74" t="s">
        <v>31</v>
      </c>
      <c r="D74">
        <v>0.70076211109565234</v>
      </c>
      <c r="E74" s="7">
        <v>0.87392972297862725</v>
      </c>
      <c r="F74">
        <v>8.2678624018145866E-2</v>
      </c>
    </row>
    <row r="75" spans="1:6" x14ac:dyDescent="0.3">
      <c r="A75" t="s">
        <v>56</v>
      </c>
      <c r="B75">
        <v>2</v>
      </c>
      <c r="C75" t="s">
        <v>49</v>
      </c>
      <c r="D75">
        <v>0.73680332091938594</v>
      </c>
      <c r="E75" s="7">
        <v>2.2439626276665712E-9</v>
      </c>
      <c r="F75">
        <v>8.2678624018145866E-2</v>
      </c>
    </row>
    <row r="76" spans="1:6" x14ac:dyDescent="0.3">
      <c r="A76" t="s">
        <v>56</v>
      </c>
      <c r="B76">
        <v>3</v>
      </c>
      <c r="C76" t="s">
        <v>32</v>
      </c>
      <c r="D76">
        <v>0.75838741757894579</v>
      </c>
      <c r="E76" s="7">
        <v>0.1260702747774102</v>
      </c>
      <c r="F76">
        <v>8.2678624018145866E-2</v>
      </c>
    </row>
    <row r="77" spans="1:6" x14ac:dyDescent="0.3">
      <c r="A77" t="s">
        <v>57</v>
      </c>
      <c r="B77">
        <v>1</v>
      </c>
      <c r="C77" t="s">
        <v>9</v>
      </c>
      <c r="D77">
        <v>0.64602007029833564</v>
      </c>
      <c r="E77" s="7">
        <v>4.1636069321933687E-9</v>
      </c>
      <c r="F77">
        <v>8.1464590802134335E-2</v>
      </c>
    </row>
    <row r="78" spans="1:6" x14ac:dyDescent="0.3">
      <c r="A78" t="s">
        <v>57</v>
      </c>
      <c r="B78">
        <v>2</v>
      </c>
      <c r="C78" t="s">
        <v>14</v>
      </c>
      <c r="D78">
        <v>0.79765965307815123</v>
      </c>
      <c r="E78" s="7">
        <v>0.80290188916571481</v>
      </c>
      <c r="F78">
        <v>8.1464590802134335E-2</v>
      </c>
    </row>
    <row r="79" spans="1:6" x14ac:dyDescent="0.3">
      <c r="A79" t="s">
        <v>57</v>
      </c>
      <c r="B79">
        <v>3</v>
      </c>
      <c r="C79" t="s">
        <v>23</v>
      </c>
      <c r="D79">
        <v>0.81482206948180624</v>
      </c>
      <c r="E79" s="7">
        <v>0.19709810667067831</v>
      </c>
      <c r="F79">
        <v>8.1464590802134335E-2</v>
      </c>
    </row>
  </sheetData>
  <mergeCells count="1">
    <mergeCell ref="I2:M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7"/>
  <sheetViews>
    <sheetView workbookViewId="0">
      <selection activeCell="A30" sqref="A30"/>
    </sheetView>
  </sheetViews>
  <sheetFormatPr defaultRowHeight="14.4" x14ac:dyDescent="0.3"/>
  <cols>
    <col min="1" max="1" width="17.44140625" customWidth="1"/>
    <col min="2" max="2" width="14.21875" customWidth="1"/>
    <col min="3" max="3" width="18.21875" customWidth="1"/>
    <col min="4" max="4" width="18.88671875" customWidth="1"/>
  </cols>
  <sheetData>
    <row r="1" spans="1:4" s="1" customFormat="1" x14ac:dyDescent="0.3">
      <c r="A1" s="1" t="s">
        <v>58</v>
      </c>
      <c r="B1" s="1" t="s">
        <v>59</v>
      </c>
      <c r="C1" s="1" t="s">
        <v>60</v>
      </c>
      <c r="D1" s="1" t="s">
        <v>61</v>
      </c>
    </row>
    <row r="2" spans="1:4" x14ac:dyDescent="0.3">
      <c r="A2" t="s">
        <v>16</v>
      </c>
      <c r="B2" s="7">
        <v>0.16065517750820299</v>
      </c>
      <c r="C2" s="7">
        <v>0.16065517750820299</v>
      </c>
      <c r="D2" s="7">
        <v>4.1770346152132776</v>
      </c>
    </row>
    <row r="3" spans="1:4" x14ac:dyDescent="0.3">
      <c r="A3" t="s">
        <v>7</v>
      </c>
      <c r="B3" s="7">
        <v>0.1184946372137114</v>
      </c>
      <c r="C3" s="7">
        <v>0.1184946372137114</v>
      </c>
      <c r="D3" s="7">
        <v>3.0808605675564968</v>
      </c>
    </row>
    <row r="4" spans="1:4" x14ac:dyDescent="0.3">
      <c r="A4" t="s">
        <v>14</v>
      </c>
      <c r="B4" s="7">
        <v>0.1078039216300352</v>
      </c>
      <c r="C4" s="7">
        <v>0.1078039216300352</v>
      </c>
      <c r="D4" s="7">
        <v>2.8029019623809139</v>
      </c>
    </row>
    <row r="5" spans="1:4" x14ac:dyDescent="0.3">
      <c r="A5" t="s">
        <v>9</v>
      </c>
      <c r="B5" s="7">
        <v>9.7272365341460915E-2</v>
      </c>
      <c r="C5" s="7">
        <v>9.7272365341460915E-2</v>
      </c>
      <c r="D5" s="7">
        <v>2.5290814988779839</v>
      </c>
    </row>
    <row r="6" spans="1:4" x14ac:dyDescent="0.3">
      <c r="A6" t="s">
        <v>13</v>
      </c>
      <c r="B6" s="7">
        <v>7.9377400381814497E-2</v>
      </c>
      <c r="C6" s="7">
        <v>7.9377400381814497E-2</v>
      </c>
      <c r="D6" s="7">
        <v>2.0638124099271771</v>
      </c>
    </row>
    <row r="7" spans="1:4" x14ac:dyDescent="0.3">
      <c r="A7" t="s">
        <v>18</v>
      </c>
      <c r="B7" s="7">
        <v>7.1020880680141021E-2</v>
      </c>
      <c r="C7" s="7">
        <v>7.1020880680141021E-2</v>
      </c>
      <c r="D7" s="7">
        <v>1.8465428976836671</v>
      </c>
    </row>
    <row r="8" spans="1:4" x14ac:dyDescent="0.3">
      <c r="A8" t="s">
        <v>8</v>
      </c>
      <c r="B8" s="7">
        <v>4.2645191435002561E-2</v>
      </c>
      <c r="C8" s="7">
        <v>4.2645191435002561E-2</v>
      </c>
      <c r="D8" s="7">
        <v>1.108774977310067</v>
      </c>
    </row>
    <row r="9" spans="1:4" x14ac:dyDescent="0.3">
      <c r="A9" t="s">
        <v>31</v>
      </c>
      <c r="B9" s="7">
        <v>4.2374013617177728E-2</v>
      </c>
      <c r="C9" s="7">
        <v>4.2374013617177728E-2</v>
      </c>
      <c r="D9" s="7">
        <v>1.1017243540466211</v>
      </c>
    </row>
    <row r="10" spans="1:4" x14ac:dyDescent="0.3">
      <c r="A10" t="s">
        <v>40</v>
      </c>
      <c r="B10" s="7">
        <v>3.8461538118499443E-2</v>
      </c>
      <c r="C10" s="7">
        <v>3.8461538118499443E-2</v>
      </c>
      <c r="D10" s="7">
        <v>0.99999999108098547</v>
      </c>
    </row>
    <row r="11" spans="1:4" x14ac:dyDescent="0.3">
      <c r="A11" t="s">
        <v>27</v>
      </c>
      <c r="B11" s="7">
        <v>3.8461531790296988E-2</v>
      </c>
      <c r="C11" s="7">
        <v>3.8461531790296988E-2</v>
      </c>
      <c r="D11" s="7">
        <v>0.9999998265477219</v>
      </c>
    </row>
    <row r="12" spans="1:4" x14ac:dyDescent="0.3">
      <c r="A12" t="s">
        <v>36</v>
      </c>
      <c r="B12" s="7">
        <v>3.694898729671571E-2</v>
      </c>
      <c r="C12" s="7">
        <v>3.694898729671571E-2</v>
      </c>
      <c r="D12" s="7">
        <v>0.96067366971460844</v>
      </c>
    </row>
    <row r="13" spans="1:4" x14ac:dyDescent="0.3">
      <c r="A13" t="s">
        <v>52</v>
      </c>
      <c r="B13" s="7">
        <v>3.5510553288980597E-2</v>
      </c>
      <c r="C13" s="7">
        <v>3.5510553288980597E-2</v>
      </c>
      <c r="D13" s="7">
        <v>0.92327438551349572</v>
      </c>
    </row>
    <row r="14" spans="1:4" x14ac:dyDescent="0.3">
      <c r="A14" t="s">
        <v>32</v>
      </c>
      <c r="B14" s="7">
        <v>3.0588307978593889E-2</v>
      </c>
      <c r="C14" s="7">
        <v>3.0588307978593889E-2</v>
      </c>
      <c r="D14" s="7">
        <v>0.79529600744344098</v>
      </c>
    </row>
    <row r="15" spans="1:4" x14ac:dyDescent="0.3">
      <c r="A15" t="s">
        <v>45</v>
      </c>
      <c r="B15" s="7">
        <v>2.3811510986913059E-2</v>
      </c>
      <c r="C15" s="7">
        <v>2.3811510986913059E-2</v>
      </c>
      <c r="D15" s="7">
        <v>0.61909928565973948</v>
      </c>
    </row>
    <row r="16" spans="1:4" x14ac:dyDescent="0.3">
      <c r="A16" t="s">
        <v>47</v>
      </c>
      <c r="B16" s="7">
        <v>1.6762363532870351E-2</v>
      </c>
      <c r="C16" s="7">
        <v>1.6762363532870351E-2</v>
      </c>
      <c r="D16" s="7">
        <v>0.43582145185462912</v>
      </c>
    </row>
    <row r="17" spans="1:4" x14ac:dyDescent="0.3">
      <c r="A17" t="s">
        <v>43</v>
      </c>
      <c r="B17" s="7">
        <v>1.6613679877284449E-2</v>
      </c>
      <c r="C17" s="7">
        <v>1.6613679877284449E-2</v>
      </c>
      <c r="D17" s="7">
        <v>0.43195567680939573</v>
      </c>
    </row>
    <row r="18" spans="1:4" x14ac:dyDescent="0.3">
      <c r="A18" t="s">
        <v>37</v>
      </c>
      <c r="B18" s="7">
        <v>1.268583612846884E-2</v>
      </c>
      <c r="C18" s="7">
        <v>1.268583612846884E-2</v>
      </c>
      <c r="D18" s="7">
        <v>0.32983173934018978</v>
      </c>
    </row>
    <row r="19" spans="1:4" x14ac:dyDescent="0.3">
      <c r="A19" t="s">
        <v>42</v>
      </c>
      <c r="B19" s="7">
        <v>1.254289484678525E-2</v>
      </c>
      <c r="C19" s="7">
        <v>1.254289484678525E-2</v>
      </c>
      <c r="D19" s="7">
        <v>0.32611526601641638</v>
      </c>
    </row>
    <row r="20" spans="1:4" x14ac:dyDescent="0.3">
      <c r="A20" t="s">
        <v>33</v>
      </c>
      <c r="B20" s="7">
        <v>1.0388489594770969E-2</v>
      </c>
      <c r="C20" s="7">
        <v>1.0388489594770969E-2</v>
      </c>
      <c r="D20" s="7">
        <v>0.27010072946404518</v>
      </c>
    </row>
    <row r="21" spans="1:4" x14ac:dyDescent="0.3">
      <c r="A21" t="s">
        <v>23</v>
      </c>
      <c r="B21" s="7">
        <v>7.5806965339232819E-3</v>
      </c>
      <c r="C21" s="7">
        <v>7.5806965339232819E-3</v>
      </c>
      <c r="D21" s="7">
        <v>0.1970981098820053</v>
      </c>
    </row>
    <row r="22" spans="1:4" x14ac:dyDescent="0.3">
      <c r="A22" t="s">
        <v>17</v>
      </c>
      <c r="B22" s="7">
        <v>1.6976345755384889E-8</v>
      </c>
      <c r="C22" s="7">
        <v>1.6976345755384889E-8</v>
      </c>
      <c r="D22" s="7">
        <v>4.4138498964000707E-7</v>
      </c>
    </row>
    <row r="23" spans="1:4" x14ac:dyDescent="0.3">
      <c r="A23" t="s">
        <v>50</v>
      </c>
      <c r="B23" s="7">
        <v>4.4005149518697202E-9</v>
      </c>
      <c r="C23" s="7">
        <v>4.4005149518697202E-9</v>
      </c>
      <c r="D23" s="7">
        <v>1.1441338874861271E-7</v>
      </c>
    </row>
    <row r="24" spans="1:4" x14ac:dyDescent="0.3">
      <c r="A24" t="s">
        <v>11</v>
      </c>
      <c r="B24" s="7">
        <v>4.0092665390530703E-10</v>
      </c>
      <c r="C24" s="7">
        <v>4.0092665390530703E-10</v>
      </c>
      <c r="D24" s="7">
        <v>1.042409300153798E-8</v>
      </c>
    </row>
    <row r="25" spans="1:4" x14ac:dyDescent="0.3">
      <c r="A25" t="s">
        <v>39</v>
      </c>
      <c r="B25" s="7">
        <v>3.3841216569668589E-10</v>
      </c>
      <c r="C25" s="7">
        <v>3.3841216569668589E-10</v>
      </c>
      <c r="D25" s="7">
        <v>8.7987163081138333E-9</v>
      </c>
    </row>
    <row r="26" spans="1:4" x14ac:dyDescent="0.3">
      <c r="A26" t="s">
        <v>49</v>
      </c>
      <c r="B26" s="7">
        <v>9.9035991413850268E-11</v>
      </c>
      <c r="C26" s="7">
        <v>9.9035991413850268E-11</v>
      </c>
      <c r="D26" s="7">
        <v>2.5749357767601069E-9</v>
      </c>
    </row>
    <row r="27" spans="1:4" x14ac:dyDescent="0.3">
      <c r="A27" t="s">
        <v>29</v>
      </c>
      <c r="B27" s="7">
        <v>3.1154365198074641E-12</v>
      </c>
      <c r="C27" s="7">
        <v>3.1154365198074641E-12</v>
      </c>
      <c r="D27" s="7">
        <v>8.1001349514994056E-11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225B6-57CB-46AD-9287-7AE45EA3CD08}">
  <sheetPr>
    <tabColor rgb="FFFF0000"/>
  </sheetPr>
  <dimension ref="A1:M31"/>
  <sheetViews>
    <sheetView tabSelected="1" zoomScale="75" zoomScaleNormal="75" workbookViewId="0">
      <selection activeCell="D34" sqref="D34"/>
    </sheetView>
  </sheetViews>
  <sheetFormatPr defaultRowHeight="14.4" x14ac:dyDescent="0.3"/>
  <cols>
    <col min="1" max="1" width="24.44140625" bestFit="1" customWidth="1"/>
    <col min="2" max="2" width="14.6640625" customWidth="1"/>
    <col min="4" max="4" width="24" customWidth="1"/>
    <col min="5" max="5" width="13.88671875" customWidth="1"/>
    <col min="6" max="6" width="15.5546875" style="7" customWidth="1"/>
    <col min="7" max="7" width="14.5546875" customWidth="1"/>
    <col min="9" max="9" width="23.44140625" customWidth="1"/>
    <col min="10" max="10" width="14.33203125" customWidth="1"/>
    <col min="11" max="11" width="12.21875" customWidth="1"/>
    <col min="12" max="12" width="17.5546875" customWidth="1"/>
    <col min="13" max="13" width="13.44140625" customWidth="1"/>
  </cols>
  <sheetData>
    <row r="1" spans="1:13" x14ac:dyDescent="0.3">
      <c r="A1" t="s">
        <v>71</v>
      </c>
      <c r="D1" s="25" t="s">
        <v>73</v>
      </c>
      <c r="E1" s="25"/>
      <c r="F1" s="25"/>
      <c r="G1" s="25"/>
      <c r="I1" s="25"/>
      <c r="J1" s="25"/>
      <c r="K1" s="25"/>
      <c r="L1" s="25"/>
    </row>
    <row r="2" spans="1:13" x14ac:dyDescent="0.3">
      <c r="A2" t="s">
        <v>72</v>
      </c>
      <c r="D2" s="25" t="s">
        <v>74</v>
      </c>
      <c r="E2" s="25"/>
      <c r="F2" s="25"/>
      <c r="G2" s="25"/>
      <c r="I2" s="25" t="s">
        <v>76</v>
      </c>
      <c r="J2" s="25"/>
      <c r="K2" s="25"/>
      <c r="L2" s="25"/>
    </row>
    <row r="3" spans="1:13" x14ac:dyDescent="0.3">
      <c r="A3" s="26" t="s">
        <v>66</v>
      </c>
      <c r="B3" s="26"/>
      <c r="D3" s="26" t="s">
        <v>67</v>
      </c>
      <c r="E3" s="26"/>
      <c r="F3" s="26"/>
      <c r="G3" s="26"/>
      <c r="I3" s="26" t="s">
        <v>75</v>
      </c>
      <c r="J3" s="26"/>
      <c r="K3" s="26"/>
      <c r="L3" s="26"/>
      <c r="M3" s="26"/>
    </row>
    <row r="4" spans="1:13" ht="28.8" x14ac:dyDescent="0.3">
      <c r="A4" s="3" t="s">
        <v>64</v>
      </c>
      <c r="B4" s="10" t="s">
        <v>78</v>
      </c>
      <c r="D4" s="11" t="s">
        <v>64</v>
      </c>
      <c r="E4" s="12" t="s">
        <v>79</v>
      </c>
      <c r="F4" s="11" t="s">
        <v>69</v>
      </c>
      <c r="G4" s="11" t="s">
        <v>70</v>
      </c>
      <c r="I4" s="12" t="s">
        <v>58</v>
      </c>
      <c r="J4" s="12" t="s">
        <v>59</v>
      </c>
      <c r="K4" s="12" t="s">
        <v>60</v>
      </c>
      <c r="L4" s="12" t="s">
        <v>61</v>
      </c>
      <c r="M4" s="12" t="s">
        <v>77</v>
      </c>
    </row>
    <row r="5" spans="1:13" x14ac:dyDescent="0.3">
      <c r="A5" s="5" t="s">
        <v>47</v>
      </c>
      <c r="B5" s="8">
        <v>0.43582145185462912</v>
      </c>
      <c r="D5" s="13" t="s">
        <v>47</v>
      </c>
      <c r="E5" s="8">
        <v>0.43582145185462912</v>
      </c>
      <c r="F5" s="13">
        <f>E5/$E$31</f>
        <v>1.6762363532870351E-2</v>
      </c>
      <c r="G5" s="8">
        <f>F5*26</f>
        <v>0.43582145185462912</v>
      </c>
      <c r="I5" s="13" t="s">
        <v>16</v>
      </c>
      <c r="J5" s="8">
        <v>0.16065517750820299</v>
      </c>
      <c r="K5" s="13">
        <v>0.16065517750820299</v>
      </c>
      <c r="L5" s="8">
        <v>4.1770346152132776</v>
      </c>
      <c r="M5" s="13" t="b">
        <f>IF(L5=VLOOKUP(I5,$D$5:$G$30,4,FALSE),TRUE,FALSE)</f>
        <v>1</v>
      </c>
    </row>
    <row r="6" spans="1:13" x14ac:dyDescent="0.3">
      <c r="A6" s="5" t="s">
        <v>11</v>
      </c>
      <c r="B6" s="8">
        <v>1.042409300153798E-8</v>
      </c>
      <c r="D6" s="13" t="s">
        <v>11</v>
      </c>
      <c r="E6" s="8">
        <v>1.042409300153798E-8</v>
      </c>
      <c r="F6" s="13">
        <f t="shared" ref="F6:F30" si="0">E6/$E$31</f>
        <v>4.0092665390530692E-10</v>
      </c>
      <c r="G6" s="8">
        <f t="shared" ref="G6:G30" si="1">F6*26</f>
        <v>1.042409300153798E-8</v>
      </c>
      <c r="I6" s="13" t="s">
        <v>7</v>
      </c>
      <c r="J6" s="8">
        <v>0.1184946372137114</v>
      </c>
      <c r="K6" s="13">
        <v>0.1184946372137114</v>
      </c>
      <c r="L6" s="8">
        <v>3.0808605675564968</v>
      </c>
      <c r="M6" s="13" t="b">
        <f t="shared" ref="M6:M30" si="2">IF(L6=VLOOKUP(I6,$D$5:$G$30,4,FALSE),TRUE,FALSE)</f>
        <v>1</v>
      </c>
    </row>
    <row r="7" spans="1:13" x14ac:dyDescent="0.3">
      <c r="A7" s="5" t="s">
        <v>29</v>
      </c>
      <c r="B7" s="8">
        <v>8.1001349514994056E-11</v>
      </c>
      <c r="D7" s="13" t="s">
        <v>29</v>
      </c>
      <c r="E7" s="8">
        <v>8.1001349514994056E-11</v>
      </c>
      <c r="F7" s="13">
        <f t="shared" si="0"/>
        <v>3.1154365198074637E-12</v>
      </c>
      <c r="G7" s="8">
        <f t="shared" si="1"/>
        <v>8.1001349514994056E-11</v>
      </c>
      <c r="I7" s="13" t="s">
        <v>14</v>
      </c>
      <c r="J7" s="8">
        <v>0.1078039216300352</v>
      </c>
      <c r="K7" s="13">
        <v>0.1078039216300352</v>
      </c>
      <c r="L7" s="8">
        <v>2.8029019623809139</v>
      </c>
      <c r="M7" s="13" t="b">
        <f t="shared" si="2"/>
        <v>1</v>
      </c>
    </row>
    <row r="8" spans="1:13" x14ac:dyDescent="0.3">
      <c r="A8" s="5" t="s">
        <v>37</v>
      </c>
      <c r="B8" s="8">
        <v>0.32983173934018978</v>
      </c>
      <c r="D8" s="13" t="s">
        <v>37</v>
      </c>
      <c r="E8" s="8">
        <v>0.32983173934018978</v>
      </c>
      <c r="F8" s="13">
        <f t="shared" si="0"/>
        <v>1.2685836128468837E-2</v>
      </c>
      <c r="G8" s="8">
        <f t="shared" si="1"/>
        <v>0.32983173934018978</v>
      </c>
      <c r="I8" s="13" t="s">
        <v>9</v>
      </c>
      <c r="J8" s="8">
        <v>9.7272365341460915E-2</v>
      </c>
      <c r="K8" s="13">
        <v>9.7272365341460915E-2</v>
      </c>
      <c r="L8" s="8">
        <v>2.5290814988779839</v>
      </c>
      <c r="M8" s="13" t="b">
        <f t="shared" si="2"/>
        <v>1</v>
      </c>
    </row>
    <row r="9" spans="1:13" x14ac:dyDescent="0.3">
      <c r="A9" s="5" t="s">
        <v>18</v>
      </c>
      <c r="B9" s="8">
        <v>1.8465428976836664</v>
      </c>
      <c r="D9" s="13" t="s">
        <v>18</v>
      </c>
      <c r="E9" s="8">
        <v>1.8465428976836664</v>
      </c>
      <c r="F9" s="13">
        <f t="shared" si="0"/>
        <v>7.1020880680141021E-2</v>
      </c>
      <c r="G9" s="8">
        <f t="shared" si="1"/>
        <v>1.8465428976836666</v>
      </c>
      <c r="I9" s="13" t="s">
        <v>13</v>
      </c>
      <c r="J9" s="8">
        <v>7.9377400381814497E-2</v>
      </c>
      <c r="K9" s="13">
        <v>7.9377400381814497E-2</v>
      </c>
      <c r="L9" s="8">
        <v>2.0638124099271771</v>
      </c>
      <c r="M9" s="13" t="b">
        <f t="shared" si="2"/>
        <v>1</v>
      </c>
    </row>
    <row r="10" spans="1:13" x14ac:dyDescent="0.3">
      <c r="A10" s="5" t="s">
        <v>32</v>
      </c>
      <c r="B10" s="8">
        <v>0.79529600744344098</v>
      </c>
      <c r="D10" s="13" t="s">
        <v>32</v>
      </c>
      <c r="E10" s="8">
        <v>0.79529600744344098</v>
      </c>
      <c r="F10" s="13">
        <f t="shared" si="0"/>
        <v>3.0588307978593885E-2</v>
      </c>
      <c r="G10" s="8">
        <f t="shared" si="1"/>
        <v>0.79529600744344098</v>
      </c>
      <c r="I10" s="13" t="s">
        <v>18</v>
      </c>
      <c r="J10" s="8">
        <v>7.1020880680141021E-2</v>
      </c>
      <c r="K10" s="13">
        <v>7.1020880680141021E-2</v>
      </c>
      <c r="L10" s="8">
        <v>1.8465428976836671</v>
      </c>
      <c r="M10" s="13" t="b">
        <f t="shared" si="2"/>
        <v>1</v>
      </c>
    </row>
    <row r="11" spans="1:13" x14ac:dyDescent="0.3">
      <c r="A11" s="5" t="s">
        <v>39</v>
      </c>
      <c r="B11" s="8">
        <v>8.7987163081138333E-9</v>
      </c>
      <c r="D11" s="13" t="s">
        <v>39</v>
      </c>
      <c r="E11" s="8">
        <v>8.7987163081138333E-9</v>
      </c>
      <c r="F11" s="13">
        <f t="shared" si="0"/>
        <v>3.3841216569668589E-10</v>
      </c>
      <c r="G11" s="8">
        <f t="shared" si="1"/>
        <v>8.7987163081138333E-9</v>
      </c>
      <c r="I11" s="13" t="s">
        <v>8</v>
      </c>
      <c r="J11" s="8">
        <v>4.2645191435002561E-2</v>
      </c>
      <c r="K11" s="13">
        <v>4.2645191435002561E-2</v>
      </c>
      <c r="L11" s="8">
        <v>1.108774977310067</v>
      </c>
      <c r="M11" s="13" t="b">
        <f t="shared" si="2"/>
        <v>1</v>
      </c>
    </row>
    <row r="12" spans="1:13" x14ac:dyDescent="0.3">
      <c r="A12" s="5" t="s">
        <v>23</v>
      </c>
      <c r="B12" s="8">
        <v>0.19709810988200535</v>
      </c>
      <c r="D12" s="13" t="s">
        <v>23</v>
      </c>
      <c r="E12" s="8">
        <v>0.19709810988200535</v>
      </c>
      <c r="F12" s="13">
        <f t="shared" si="0"/>
        <v>7.5806965339232828E-3</v>
      </c>
      <c r="G12" s="8">
        <f t="shared" si="1"/>
        <v>0.19709810988200535</v>
      </c>
      <c r="I12" s="13" t="s">
        <v>31</v>
      </c>
      <c r="J12" s="8">
        <v>4.2374013617177728E-2</v>
      </c>
      <c r="K12" s="13">
        <v>4.2374013617177728E-2</v>
      </c>
      <c r="L12" s="8">
        <v>1.1017243540466211</v>
      </c>
      <c r="M12" s="13" t="b">
        <f t="shared" si="2"/>
        <v>1</v>
      </c>
    </row>
    <row r="13" spans="1:13" x14ac:dyDescent="0.3">
      <c r="A13" s="5" t="s">
        <v>27</v>
      </c>
      <c r="B13" s="8">
        <v>0.99999982654772179</v>
      </c>
      <c r="D13" s="13" t="s">
        <v>27</v>
      </c>
      <c r="E13" s="8">
        <v>0.99999982654772179</v>
      </c>
      <c r="F13" s="13">
        <f t="shared" si="0"/>
        <v>3.8461531790296995E-2</v>
      </c>
      <c r="G13" s="8">
        <f t="shared" si="1"/>
        <v>0.9999998265477219</v>
      </c>
      <c r="I13" s="13" t="s">
        <v>40</v>
      </c>
      <c r="J13" s="8">
        <v>3.8461538118499443E-2</v>
      </c>
      <c r="K13" s="13">
        <v>3.8461538118499443E-2</v>
      </c>
      <c r="L13" s="8">
        <v>0.99999999108098547</v>
      </c>
      <c r="M13" s="13" t="b">
        <f t="shared" si="2"/>
        <v>1</v>
      </c>
    </row>
    <row r="14" spans="1:13" x14ac:dyDescent="0.3">
      <c r="A14" s="5" t="s">
        <v>16</v>
      </c>
      <c r="B14" s="8">
        <v>4.1770346152132767</v>
      </c>
      <c r="D14" s="13" t="s">
        <v>16</v>
      </c>
      <c r="E14" s="8">
        <v>4.1770346152132767</v>
      </c>
      <c r="F14" s="13">
        <f t="shared" si="0"/>
        <v>0.16065517750820296</v>
      </c>
      <c r="G14" s="8">
        <f t="shared" si="1"/>
        <v>4.1770346152132767</v>
      </c>
      <c r="I14" s="13" t="s">
        <v>27</v>
      </c>
      <c r="J14" s="8">
        <v>3.8461531790296988E-2</v>
      </c>
      <c r="K14" s="13">
        <v>3.8461531790296988E-2</v>
      </c>
      <c r="L14" s="8">
        <v>0.9999998265477219</v>
      </c>
      <c r="M14" s="13" t="b">
        <f t="shared" si="2"/>
        <v>1</v>
      </c>
    </row>
    <row r="15" spans="1:13" x14ac:dyDescent="0.3">
      <c r="A15" s="5" t="s">
        <v>33</v>
      </c>
      <c r="B15" s="8">
        <v>0.27010072946404529</v>
      </c>
      <c r="D15" s="13" t="s">
        <v>33</v>
      </c>
      <c r="E15" s="8">
        <v>0.27010072946404529</v>
      </c>
      <c r="F15" s="13">
        <f t="shared" si="0"/>
        <v>1.0388489594770973E-2</v>
      </c>
      <c r="G15" s="8">
        <f t="shared" si="1"/>
        <v>0.27010072946404529</v>
      </c>
      <c r="I15" s="13" t="s">
        <v>36</v>
      </c>
      <c r="J15" s="8">
        <v>3.694898729671571E-2</v>
      </c>
      <c r="K15" s="13">
        <v>3.694898729671571E-2</v>
      </c>
      <c r="L15" s="8">
        <v>0.96067366971460844</v>
      </c>
      <c r="M15" s="13" t="b">
        <f t="shared" si="2"/>
        <v>1</v>
      </c>
    </row>
    <row r="16" spans="1:13" x14ac:dyDescent="0.3">
      <c r="A16" s="5" t="s">
        <v>9</v>
      </c>
      <c r="B16" s="8">
        <v>2.5290814988779839</v>
      </c>
      <c r="D16" s="13" t="s">
        <v>9</v>
      </c>
      <c r="E16" s="8">
        <v>2.5290814988779839</v>
      </c>
      <c r="F16" s="13">
        <f t="shared" si="0"/>
        <v>9.7272365341460915E-2</v>
      </c>
      <c r="G16" s="8">
        <f t="shared" si="1"/>
        <v>2.5290814988779839</v>
      </c>
      <c r="I16" s="13" t="s">
        <v>52</v>
      </c>
      <c r="J16" s="8">
        <v>3.5510553288980597E-2</v>
      </c>
      <c r="K16" s="13">
        <v>3.5510553288980597E-2</v>
      </c>
      <c r="L16" s="8">
        <v>0.92327438551349572</v>
      </c>
      <c r="M16" s="13" t="b">
        <f t="shared" si="2"/>
        <v>1</v>
      </c>
    </row>
    <row r="17" spans="1:13" x14ac:dyDescent="0.3">
      <c r="A17" s="5" t="s">
        <v>13</v>
      </c>
      <c r="B17" s="8">
        <v>2.0638124099271771</v>
      </c>
      <c r="D17" s="13" t="s">
        <v>13</v>
      </c>
      <c r="E17" s="8">
        <v>2.0638124099271771</v>
      </c>
      <c r="F17" s="13">
        <f t="shared" si="0"/>
        <v>7.9377400381814497E-2</v>
      </c>
      <c r="G17" s="8">
        <f t="shared" si="1"/>
        <v>2.0638124099271771</v>
      </c>
      <c r="I17" s="13" t="s">
        <v>32</v>
      </c>
      <c r="J17" s="8">
        <v>3.0588307978593889E-2</v>
      </c>
      <c r="K17" s="13">
        <v>3.0588307978593889E-2</v>
      </c>
      <c r="L17" s="8">
        <v>0.79529600744344098</v>
      </c>
      <c r="M17" s="13" t="b">
        <f t="shared" si="2"/>
        <v>1</v>
      </c>
    </row>
    <row r="18" spans="1:13" x14ac:dyDescent="0.3">
      <c r="A18" s="5" t="s">
        <v>45</v>
      </c>
      <c r="B18" s="8">
        <v>0.61909928565973948</v>
      </c>
      <c r="D18" s="13" t="s">
        <v>45</v>
      </c>
      <c r="E18" s="8">
        <v>0.61909928565973948</v>
      </c>
      <c r="F18" s="13">
        <f t="shared" si="0"/>
        <v>2.3811510986913056E-2</v>
      </c>
      <c r="G18" s="8">
        <f t="shared" si="1"/>
        <v>0.61909928565973948</v>
      </c>
      <c r="I18" s="13" t="s">
        <v>45</v>
      </c>
      <c r="J18" s="8">
        <v>2.3811510986913059E-2</v>
      </c>
      <c r="K18" s="13">
        <v>2.3811510986913059E-2</v>
      </c>
      <c r="L18" s="8">
        <v>0.61909928565973948</v>
      </c>
      <c r="M18" s="13" t="b">
        <f t="shared" si="2"/>
        <v>1</v>
      </c>
    </row>
    <row r="19" spans="1:13" x14ac:dyDescent="0.3">
      <c r="A19" s="5" t="s">
        <v>8</v>
      </c>
      <c r="B19" s="8">
        <v>1.1087749773100666</v>
      </c>
      <c r="D19" s="13" t="s">
        <v>8</v>
      </c>
      <c r="E19" s="8">
        <v>1.1087749773100666</v>
      </c>
      <c r="F19" s="13">
        <f t="shared" si="0"/>
        <v>4.2645191435002561E-2</v>
      </c>
      <c r="G19" s="8">
        <f t="shared" si="1"/>
        <v>1.1087749773100666</v>
      </c>
      <c r="I19" s="13" t="s">
        <v>47</v>
      </c>
      <c r="J19" s="8">
        <v>1.6762363532870351E-2</v>
      </c>
      <c r="K19" s="13">
        <v>1.6762363532870351E-2</v>
      </c>
      <c r="L19" s="8">
        <v>0.43582145185462912</v>
      </c>
      <c r="M19" s="13" t="b">
        <f t="shared" si="2"/>
        <v>1</v>
      </c>
    </row>
    <row r="20" spans="1:13" x14ac:dyDescent="0.3">
      <c r="A20" s="5" t="s">
        <v>42</v>
      </c>
      <c r="B20" s="8">
        <v>0.32611526601641638</v>
      </c>
      <c r="D20" s="13" t="s">
        <v>42</v>
      </c>
      <c r="E20" s="8">
        <v>0.32611526601641638</v>
      </c>
      <c r="F20" s="13">
        <f t="shared" si="0"/>
        <v>1.2542894846785245E-2</v>
      </c>
      <c r="G20" s="8">
        <f t="shared" si="1"/>
        <v>0.32611526601641638</v>
      </c>
      <c r="I20" s="13" t="s">
        <v>43</v>
      </c>
      <c r="J20" s="8">
        <v>1.6613679877284449E-2</v>
      </c>
      <c r="K20" s="13">
        <v>1.6613679877284449E-2</v>
      </c>
      <c r="L20" s="8">
        <v>0.43195567680939573</v>
      </c>
      <c r="M20" s="13" t="b">
        <f t="shared" si="2"/>
        <v>1</v>
      </c>
    </row>
    <row r="21" spans="1:13" x14ac:dyDescent="0.3">
      <c r="A21" s="5" t="s">
        <v>40</v>
      </c>
      <c r="B21" s="8">
        <v>0.99999999108098547</v>
      </c>
      <c r="D21" s="13" t="s">
        <v>40</v>
      </c>
      <c r="E21" s="8">
        <v>0.99999999108098547</v>
      </c>
      <c r="F21" s="13">
        <f t="shared" si="0"/>
        <v>3.8461538118499443E-2</v>
      </c>
      <c r="G21" s="8">
        <f t="shared" si="1"/>
        <v>0.99999999108098547</v>
      </c>
      <c r="I21" s="13" t="s">
        <v>37</v>
      </c>
      <c r="J21" s="8">
        <v>1.268583612846884E-2</v>
      </c>
      <c r="K21" s="13">
        <v>1.268583612846884E-2</v>
      </c>
      <c r="L21" s="8">
        <v>0.32983173934018978</v>
      </c>
      <c r="M21" s="13" t="b">
        <f t="shared" si="2"/>
        <v>1</v>
      </c>
    </row>
    <row r="22" spans="1:13" x14ac:dyDescent="0.3">
      <c r="A22" s="5" t="s">
        <v>14</v>
      </c>
      <c r="B22" s="8">
        <v>2.8029019623809144</v>
      </c>
      <c r="D22" s="13" t="s">
        <v>14</v>
      </c>
      <c r="E22" s="8">
        <v>2.8029019623809144</v>
      </c>
      <c r="F22" s="13">
        <f t="shared" si="0"/>
        <v>0.10780392163003517</v>
      </c>
      <c r="G22" s="8">
        <f t="shared" si="1"/>
        <v>2.8029019623809144</v>
      </c>
      <c r="I22" s="13" t="s">
        <v>42</v>
      </c>
      <c r="J22" s="8">
        <v>1.254289484678525E-2</v>
      </c>
      <c r="K22" s="13">
        <v>1.254289484678525E-2</v>
      </c>
      <c r="L22" s="8">
        <v>0.32611526601641638</v>
      </c>
      <c r="M22" s="13" t="b">
        <f t="shared" si="2"/>
        <v>1</v>
      </c>
    </row>
    <row r="23" spans="1:13" x14ac:dyDescent="0.3">
      <c r="A23" s="5" t="s">
        <v>17</v>
      </c>
      <c r="B23" s="8">
        <v>4.4138498964000718E-7</v>
      </c>
      <c r="D23" s="13" t="s">
        <v>17</v>
      </c>
      <c r="E23" s="8">
        <v>4.4138498964000718E-7</v>
      </c>
      <c r="F23" s="13">
        <f t="shared" si="0"/>
        <v>1.6976345755384892E-8</v>
      </c>
      <c r="G23" s="8">
        <f t="shared" si="1"/>
        <v>4.4138498964000718E-7</v>
      </c>
      <c r="I23" s="13" t="s">
        <v>33</v>
      </c>
      <c r="J23" s="8">
        <v>1.0388489594770969E-2</v>
      </c>
      <c r="K23" s="13">
        <v>1.0388489594770969E-2</v>
      </c>
      <c r="L23" s="8">
        <v>0.27010072946404518</v>
      </c>
      <c r="M23" s="13" t="b">
        <f t="shared" si="2"/>
        <v>1</v>
      </c>
    </row>
    <row r="24" spans="1:13" x14ac:dyDescent="0.3">
      <c r="A24" s="5" t="s">
        <v>43</v>
      </c>
      <c r="B24" s="8">
        <v>0.43195567680939573</v>
      </c>
      <c r="D24" s="13" t="s">
        <v>43</v>
      </c>
      <c r="E24" s="8">
        <v>0.43195567680939573</v>
      </c>
      <c r="F24" s="13">
        <f t="shared" si="0"/>
        <v>1.6613679877284453E-2</v>
      </c>
      <c r="G24" s="8">
        <f t="shared" si="1"/>
        <v>0.43195567680939578</v>
      </c>
      <c r="I24" s="13" t="s">
        <v>23</v>
      </c>
      <c r="J24" s="8">
        <v>7.5806965339232819E-3</v>
      </c>
      <c r="K24" s="13">
        <v>7.5806965339232819E-3</v>
      </c>
      <c r="L24" s="8">
        <v>0.1970981098820053</v>
      </c>
      <c r="M24" s="13" t="b">
        <f t="shared" si="2"/>
        <v>1</v>
      </c>
    </row>
    <row r="25" spans="1:13" x14ac:dyDescent="0.3">
      <c r="A25" s="5" t="s">
        <v>7</v>
      </c>
      <c r="B25" s="8">
        <v>3.0808605675564968</v>
      </c>
      <c r="D25" s="13" t="s">
        <v>7</v>
      </c>
      <c r="E25" s="8">
        <v>3.0808605675564968</v>
      </c>
      <c r="F25" s="13">
        <f t="shared" si="0"/>
        <v>0.11849463721371142</v>
      </c>
      <c r="G25" s="8">
        <f t="shared" si="1"/>
        <v>3.0808605675564968</v>
      </c>
      <c r="I25" s="13" t="s">
        <v>17</v>
      </c>
      <c r="J25" s="8">
        <v>1.6976345755384889E-8</v>
      </c>
      <c r="K25" s="13">
        <v>1.6976345755384889E-8</v>
      </c>
      <c r="L25" s="8">
        <v>4.4138498964000707E-7</v>
      </c>
      <c r="M25" s="13" t="b">
        <f t="shared" si="2"/>
        <v>1</v>
      </c>
    </row>
    <row r="26" spans="1:13" x14ac:dyDescent="0.3">
      <c r="A26" s="5" t="s">
        <v>50</v>
      </c>
      <c r="B26" s="8">
        <v>1.1441338874861271E-7</v>
      </c>
      <c r="D26" s="13" t="s">
        <v>50</v>
      </c>
      <c r="E26" s="8">
        <v>1.1441338874861271E-7</v>
      </c>
      <c r="F26" s="13">
        <f t="shared" si="0"/>
        <v>4.4005149518697194E-9</v>
      </c>
      <c r="G26" s="8">
        <f t="shared" si="1"/>
        <v>1.1441338874861271E-7</v>
      </c>
      <c r="I26" s="13" t="s">
        <v>50</v>
      </c>
      <c r="J26" s="8">
        <v>4.4005149518697202E-9</v>
      </c>
      <c r="K26" s="13">
        <v>4.4005149518697202E-9</v>
      </c>
      <c r="L26" s="8">
        <v>1.1441338874861271E-7</v>
      </c>
      <c r="M26" s="13" t="b">
        <f t="shared" si="2"/>
        <v>1</v>
      </c>
    </row>
    <row r="27" spans="1:13" x14ac:dyDescent="0.3">
      <c r="A27" s="5" t="s">
        <v>49</v>
      </c>
      <c r="B27" s="8">
        <v>2.5749357767601073E-9</v>
      </c>
      <c r="D27" s="13" t="s">
        <v>49</v>
      </c>
      <c r="E27" s="8">
        <v>2.5749357767601073E-9</v>
      </c>
      <c r="F27" s="13">
        <f t="shared" si="0"/>
        <v>9.9035991413850281E-11</v>
      </c>
      <c r="G27" s="8">
        <f t="shared" si="1"/>
        <v>2.5749357767601073E-9</v>
      </c>
      <c r="I27" s="13" t="s">
        <v>11</v>
      </c>
      <c r="J27" s="8">
        <v>4.0092665390530703E-10</v>
      </c>
      <c r="K27" s="13">
        <v>4.0092665390530703E-10</v>
      </c>
      <c r="L27" s="8">
        <v>1.042409300153798E-8</v>
      </c>
      <c r="M27" s="13" t="b">
        <f t="shared" si="2"/>
        <v>1</v>
      </c>
    </row>
    <row r="28" spans="1:13" x14ac:dyDescent="0.3">
      <c r="A28" s="5" t="s">
        <v>52</v>
      </c>
      <c r="B28" s="8">
        <v>0.92327438551349561</v>
      </c>
      <c r="D28" s="13" t="s">
        <v>52</v>
      </c>
      <c r="E28" s="8">
        <v>0.92327438551349561</v>
      </c>
      <c r="F28" s="13">
        <f t="shared" si="0"/>
        <v>3.5510553288980604E-2</v>
      </c>
      <c r="G28" s="8">
        <f t="shared" si="1"/>
        <v>0.92327438551349572</v>
      </c>
      <c r="I28" s="13" t="s">
        <v>39</v>
      </c>
      <c r="J28" s="8">
        <v>3.3841216569668589E-10</v>
      </c>
      <c r="K28" s="13">
        <v>3.3841216569668589E-10</v>
      </c>
      <c r="L28" s="8">
        <v>8.7987163081138333E-9</v>
      </c>
      <c r="M28" s="13" t="b">
        <f t="shared" si="2"/>
        <v>1</v>
      </c>
    </row>
    <row r="29" spans="1:13" x14ac:dyDescent="0.3">
      <c r="A29" s="5" t="s">
        <v>31</v>
      </c>
      <c r="B29" s="8">
        <v>1.1017243540466208</v>
      </c>
      <c r="D29" s="13" t="s">
        <v>31</v>
      </c>
      <c r="E29" s="8">
        <v>1.1017243540466208</v>
      </c>
      <c r="F29" s="13">
        <f t="shared" si="0"/>
        <v>4.2374013617177728E-2</v>
      </c>
      <c r="G29" s="8">
        <f t="shared" si="1"/>
        <v>1.1017243540466208</v>
      </c>
      <c r="I29" s="13" t="s">
        <v>49</v>
      </c>
      <c r="J29" s="8">
        <v>9.9035991413850268E-11</v>
      </c>
      <c r="K29" s="13">
        <v>9.9035991413850268E-11</v>
      </c>
      <c r="L29" s="8">
        <v>2.5749357767601069E-9</v>
      </c>
      <c r="M29" s="13" t="b">
        <f t="shared" si="2"/>
        <v>1</v>
      </c>
    </row>
    <row r="30" spans="1:13" x14ac:dyDescent="0.3">
      <c r="A30" s="5" t="s">
        <v>36</v>
      </c>
      <c r="B30" s="8">
        <v>0.96067366971460844</v>
      </c>
      <c r="D30" s="13" t="s">
        <v>36</v>
      </c>
      <c r="E30" s="8">
        <v>0.96067366971460844</v>
      </c>
      <c r="F30" s="13">
        <f t="shared" si="0"/>
        <v>3.694898729671571E-2</v>
      </c>
      <c r="G30" s="8">
        <f t="shared" si="1"/>
        <v>0.96067366971460844</v>
      </c>
      <c r="I30" s="13" t="s">
        <v>29</v>
      </c>
      <c r="J30" s="8">
        <v>3.1154365198074641E-12</v>
      </c>
      <c r="K30" s="13">
        <v>3.1154365198074641E-12</v>
      </c>
      <c r="L30" s="8">
        <v>8.1001349514994056E-11</v>
      </c>
      <c r="M30" s="13" t="b">
        <f t="shared" si="2"/>
        <v>1</v>
      </c>
    </row>
    <row r="31" spans="1:13" x14ac:dyDescent="0.3">
      <c r="A31" s="5" t="s">
        <v>65</v>
      </c>
      <c r="B31" s="6">
        <v>26</v>
      </c>
      <c r="D31" s="14" t="s">
        <v>68</v>
      </c>
      <c r="E31" s="15">
        <f>SUM(E5:E30)</f>
        <v>26</v>
      </c>
      <c r="F31" s="14">
        <f t="shared" ref="F31" si="3">SUM(F5:F30)</f>
        <v>1</v>
      </c>
      <c r="G31" s="15">
        <f>SUM(G5:G30)</f>
        <v>26</v>
      </c>
      <c r="I31" s="4"/>
      <c r="J31" s="15">
        <f>SUM(J5:J30)</f>
        <v>1</v>
      </c>
      <c r="K31" s="14">
        <f t="shared" ref="K31" si="4">SUM(K5:K30)</f>
        <v>1</v>
      </c>
      <c r="L31" s="15">
        <f>SUM(L5:L30)</f>
        <v>25.999999999999996</v>
      </c>
      <c r="M31" s="4"/>
    </row>
  </sheetData>
  <mergeCells count="7">
    <mergeCell ref="I1:L1"/>
    <mergeCell ref="I3:M3"/>
    <mergeCell ref="A3:B3"/>
    <mergeCell ref="D3:G3"/>
    <mergeCell ref="D1:G1"/>
    <mergeCell ref="D2:G2"/>
    <mergeCell ref="I2:L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donor_pool</vt:lpstr>
      <vt:lpstr>weights</vt:lpstr>
      <vt:lpstr>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Stoycho Rusinov</cp:lastModifiedBy>
  <dcterms:created xsi:type="dcterms:W3CDTF">2026-06-20T15:01:54Z</dcterms:created>
  <dcterms:modified xsi:type="dcterms:W3CDTF">2026-06-20T20:34:39Z</dcterms:modified>
</cp:coreProperties>
</file>