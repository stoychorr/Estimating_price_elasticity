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ycho.rusinov\Documents\GitHub\Estimating_price_elasticity\Statistical_documentation_in_R\Control_group_construction\Checks_in_excel\"/>
    </mc:Choice>
  </mc:AlternateContent>
  <xr:revisionPtr revIDLastSave="0" documentId="13_ncr:1_{8E6A63EC-A0A2-44B3-A8D8-0EEAC1B193E9}" xr6:coauthVersionLast="36" xr6:coauthVersionMax="36" xr10:uidLastSave="{00000000-0000-0000-0000-000000000000}"/>
  <bookViews>
    <workbookView xWindow="240" yWindow="12" windowWidth="16092" windowHeight="9660" activeTab="5" xr2:uid="{00000000-000D-0000-FFFF-FFFF00000000}"/>
  </bookViews>
  <sheets>
    <sheet name="logmat" sheetId="1" r:id="rId1"/>
    <sheet name="donor_selection" sheetId="2" r:id="rId2"/>
    <sheet name="weight_results" sheetId="3" r:id="rId3"/>
    <sheet name="tests_Bulgaria" sheetId="4" r:id="rId4"/>
    <sheet name="tests_Check_republic" sheetId="5" r:id="rId5"/>
    <sheet name="test_DENMARK" sheetId="6" r:id="rId6"/>
    <sheet name="regression" sheetId="7" r:id="rId7"/>
  </sheets>
  <definedNames>
    <definedName name="solver_adj" localSheetId="5" hidden="1">test_DENMARK!$C$30:$C$32</definedName>
    <definedName name="solver_adj" localSheetId="3" hidden="1">tests_Bulgaria!$C$29:$C$31</definedName>
    <definedName name="solver_adj" localSheetId="4" hidden="1">tests_Check_republic!$C$30:$C$32</definedName>
    <definedName name="solver_cvg" localSheetId="5" hidden="1">0.0001</definedName>
    <definedName name="solver_cvg" localSheetId="3" hidden="1">0.0001</definedName>
    <definedName name="solver_cvg" localSheetId="4" hidden="1">0.0001</definedName>
    <definedName name="solver_drv" localSheetId="5" hidden="1">1</definedName>
    <definedName name="solver_drv" localSheetId="3" hidden="1">2</definedName>
    <definedName name="solver_drv" localSheetId="4" hidden="1">1</definedName>
    <definedName name="solver_eng" localSheetId="5" hidden="1">1</definedName>
    <definedName name="solver_eng" localSheetId="3" hidden="1">1</definedName>
    <definedName name="solver_eng" localSheetId="4" hidden="1">1</definedName>
    <definedName name="solver_est" localSheetId="5" hidden="1">1</definedName>
    <definedName name="solver_est" localSheetId="3" hidden="1">1</definedName>
    <definedName name="solver_est" localSheetId="4" hidden="1">1</definedName>
    <definedName name="solver_itr" localSheetId="5" hidden="1">2147483647</definedName>
    <definedName name="solver_itr" localSheetId="3" hidden="1">2147483647</definedName>
    <definedName name="solver_itr" localSheetId="4" hidden="1">2147483647</definedName>
    <definedName name="solver_lhs1" localSheetId="5" hidden="1">test_DENMARK!$C$33</definedName>
    <definedName name="solver_lhs1" localSheetId="3" hidden="1">tests_Bulgaria!$C$32</definedName>
    <definedName name="solver_lhs1" localSheetId="4" hidden="1">tests_Check_republic!$C$33</definedName>
    <definedName name="solver_mip" localSheetId="5" hidden="1">2147483647</definedName>
    <definedName name="solver_mip" localSheetId="3" hidden="1">2147483647</definedName>
    <definedName name="solver_mip" localSheetId="4" hidden="1">2147483647</definedName>
    <definedName name="solver_mni" localSheetId="5" hidden="1">30</definedName>
    <definedName name="solver_mni" localSheetId="3" hidden="1">30</definedName>
    <definedName name="solver_mni" localSheetId="4" hidden="1">30</definedName>
    <definedName name="solver_mrt" localSheetId="5" hidden="1">0.075</definedName>
    <definedName name="solver_mrt" localSheetId="3" hidden="1">0.075</definedName>
    <definedName name="solver_mrt" localSheetId="4" hidden="1">0.075</definedName>
    <definedName name="solver_msl" localSheetId="5" hidden="1">2</definedName>
    <definedName name="solver_msl" localSheetId="3" hidden="1">2</definedName>
    <definedName name="solver_msl" localSheetId="4" hidden="1">2</definedName>
    <definedName name="solver_neg" localSheetId="5" hidden="1">1</definedName>
    <definedName name="solver_neg" localSheetId="3" hidden="1">1</definedName>
    <definedName name="solver_neg" localSheetId="4" hidden="1">1</definedName>
    <definedName name="solver_nod" localSheetId="5" hidden="1">2147483647</definedName>
    <definedName name="solver_nod" localSheetId="3" hidden="1">2147483647</definedName>
    <definedName name="solver_nod" localSheetId="4" hidden="1">2147483647</definedName>
    <definedName name="solver_num" localSheetId="5" hidden="1">1</definedName>
    <definedName name="solver_num" localSheetId="3" hidden="1">1</definedName>
    <definedName name="solver_num" localSheetId="4" hidden="1">1</definedName>
    <definedName name="solver_nwt" localSheetId="5" hidden="1">1</definedName>
    <definedName name="solver_nwt" localSheetId="3" hidden="1">1</definedName>
    <definedName name="solver_nwt" localSheetId="4" hidden="1">1</definedName>
    <definedName name="solver_opt" localSheetId="5" hidden="1">test_DENMARK!$C$38</definedName>
    <definedName name="solver_opt" localSheetId="3" hidden="1">tests_Bulgaria!$C$38</definedName>
    <definedName name="solver_opt" localSheetId="4" hidden="1">tests_Check_republic!$C$38</definedName>
    <definedName name="solver_pre" localSheetId="5" hidden="1">0.000001</definedName>
    <definedName name="solver_pre" localSheetId="3" hidden="1">0.000001</definedName>
    <definedName name="solver_pre" localSheetId="4" hidden="1">0.000001</definedName>
    <definedName name="solver_rbv" localSheetId="5" hidden="1">1</definedName>
    <definedName name="solver_rbv" localSheetId="3" hidden="1">2</definedName>
    <definedName name="solver_rbv" localSheetId="4" hidden="1">1</definedName>
    <definedName name="solver_rel1" localSheetId="5" hidden="1">2</definedName>
    <definedName name="solver_rel1" localSheetId="3" hidden="1">2</definedName>
    <definedName name="solver_rel1" localSheetId="4" hidden="1">2</definedName>
    <definedName name="solver_rhs1" localSheetId="5" hidden="1">1</definedName>
    <definedName name="solver_rhs1" localSheetId="3" hidden="1">1</definedName>
    <definedName name="solver_rhs1" localSheetId="4" hidden="1">1</definedName>
    <definedName name="solver_rlx" localSheetId="5" hidden="1">2</definedName>
    <definedName name="solver_rlx" localSheetId="3" hidden="1">2</definedName>
    <definedName name="solver_rlx" localSheetId="4" hidden="1">2</definedName>
    <definedName name="solver_rsd" localSheetId="5" hidden="1">0</definedName>
    <definedName name="solver_rsd" localSheetId="3" hidden="1">0</definedName>
    <definedName name="solver_rsd" localSheetId="4" hidden="1">0</definedName>
    <definedName name="solver_scl" localSheetId="5" hidden="1">1</definedName>
    <definedName name="solver_scl" localSheetId="3" hidden="1">2</definedName>
    <definedName name="solver_scl" localSheetId="4" hidden="1">1</definedName>
    <definedName name="solver_sho" localSheetId="5" hidden="1">2</definedName>
    <definedName name="solver_sho" localSheetId="3" hidden="1">2</definedName>
    <definedName name="solver_sho" localSheetId="4" hidden="1">2</definedName>
    <definedName name="solver_ssz" localSheetId="5" hidden="1">100</definedName>
    <definedName name="solver_ssz" localSheetId="3" hidden="1">100</definedName>
    <definedName name="solver_ssz" localSheetId="4" hidden="1">100</definedName>
    <definedName name="solver_tim" localSheetId="5" hidden="1">2147483647</definedName>
    <definedName name="solver_tim" localSheetId="3" hidden="1">2147483647</definedName>
    <definedName name="solver_tim" localSheetId="4" hidden="1">2147483647</definedName>
    <definedName name="solver_tol" localSheetId="5" hidden="1">0.01</definedName>
    <definedName name="solver_tol" localSheetId="3" hidden="1">0.01</definedName>
    <definedName name="solver_tol" localSheetId="4" hidden="1">0.01</definedName>
    <definedName name="solver_typ" localSheetId="5" hidden="1">2</definedName>
    <definedName name="solver_typ" localSheetId="3" hidden="1">2</definedName>
    <definedName name="solver_typ" localSheetId="4" hidden="1">2</definedName>
    <definedName name="solver_val" localSheetId="5" hidden="1">0</definedName>
    <definedName name="solver_val" localSheetId="3" hidden="1">0</definedName>
    <definedName name="solver_val" localSheetId="4" hidden="1">0</definedName>
    <definedName name="solver_ver" localSheetId="5" hidden="1">3</definedName>
    <definedName name="solver_ver" localSheetId="3" hidden="1">3</definedName>
    <definedName name="solver_ver" localSheetId="4" hidden="1">3</definedName>
  </definedNames>
  <calcPr calcId="191029"/>
</workbook>
</file>

<file path=xl/calcChain.xml><?xml version="1.0" encoding="utf-8"?>
<calcChain xmlns="http://schemas.openxmlformats.org/spreadsheetml/2006/main">
  <c r="C41" i="6" l="1"/>
  <c r="C35" i="6"/>
  <c r="M35" i="6"/>
  <c r="N35" i="6"/>
  <c r="O35" i="6"/>
  <c r="O36" i="6" s="1"/>
  <c r="O37" i="6" s="1"/>
  <c r="P35" i="6"/>
  <c r="Q35" i="6"/>
  <c r="R35" i="6"/>
  <c r="L35" i="6"/>
  <c r="L36" i="6" s="1"/>
  <c r="L37" i="6" s="1"/>
  <c r="C36" i="4"/>
  <c r="L36" i="4"/>
  <c r="L38" i="4"/>
  <c r="C38" i="4"/>
  <c r="L34" i="4"/>
  <c r="C41" i="4"/>
  <c r="C41" i="5"/>
  <c r="M35" i="5"/>
  <c r="N35" i="5"/>
  <c r="O35" i="5"/>
  <c r="P35" i="5"/>
  <c r="P36" i="5" s="1"/>
  <c r="P37" i="5" s="1"/>
  <c r="Q35" i="5"/>
  <c r="R35" i="5"/>
  <c r="L35" i="5"/>
  <c r="C33" i="6"/>
  <c r="R36" i="6"/>
  <c r="R37" i="6" s="1"/>
  <c r="Q36" i="6"/>
  <c r="Q37" i="6" s="1"/>
  <c r="P36" i="6"/>
  <c r="P37" i="6" s="1"/>
  <c r="N36" i="6"/>
  <c r="N37" i="6" s="1"/>
  <c r="M36" i="6"/>
  <c r="M37" i="6" s="1"/>
  <c r="I35" i="6"/>
  <c r="I36" i="6" s="1"/>
  <c r="I37" i="6" s="1"/>
  <c r="H35" i="6"/>
  <c r="H36" i="6" s="1"/>
  <c r="H37" i="6" s="1"/>
  <c r="G35" i="6"/>
  <c r="G36" i="6" s="1"/>
  <c r="G37" i="6" s="1"/>
  <c r="F35" i="6"/>
  <c r="F36" i="6" s="1"/>
  <c r="F37" i="6" s="1"/>
  <c r="E35" i="6"/>
  <c r="E36" i="6" s="1"/>
  <c r="E37" i="6" s="1"/>
  <c r="D35" i="6"/>
  <c r="D36" i="6" s="1"/>
  <c r="D37" i="6" s="1"/>
  <c r="C36" i="6"/>
  <c r="C37" i="6" s="1"/>
  <c r="L33" i="6"/>
  <c r="C35" i="5"/>
  <c r="C36" i="5"/>
  <c r="M36" i="5"/>
  <c r="M37" i="5" s="1"/>
  <c r="N36" i="5"/>
  <c r="O36" i="5"/>
  <c r="Q36" i="5"/>
  <c r="Q37" i="5" s="1"/>
  <c r="R36" i="5"/>
  <c r="R37" i="5" s="1"/>
  <c r="L36" i="5"/>
  <c r="L37" i="5" s="1"/>
  <c r="L33" i="5"/>
  <c r="C39" i="4"/>
  <c r="C35" i="4"/>
  <c r="H35" i="5"/>
  <c r="H36" i="5" s="1"/>
  <c r="H37" i="5" s="1"/>
  <c r="F35" i="5"/>
  <c r="F36" i="5" s="1"/>
  <c r="F37" i="5" s="1"/>
  <c r="E35" i="5"/>
  <c r="E36" i="5" s="1"/>
  <c r="E37" i="5" s="1"/>
  <c r="D35" i="5"/>
  <c r="D36" i="5" s="1"/>
  <c r="D37" i="5" s="1"/>
  <c r="G35" i="5"/>
  <c r="G36" i="5" s="1"/>
  <c r="G37" i="5" s="1"/>
  <c r="I35" i="5"/>
  <c r="I36" i="5" s="1"/>
  <c r="I37" i="5" s="1"/>
  <c r="C37" i="5"/>
  <c r="C33" i="5"/>
  <c r="M35" i="4"/>
  <c r="N35" i="4"/>
  <c r="O35" i="4"/>
  <c r="P35" i="4"/>
  <c r="Q35" i="4"/>
  <c r="Q36" i="4" s="1"/>
  <c r="R35" i="4"/>
  <c r="R36" i="4" s="1"/>
  <c r="L35" i="4"/>
  <c r="M34" i="4"/>
  <c r="N34" i="4"/>
  <c r="N36" i="4" s="1"/>
  <c r="O34" i="4"/>
  <c r="P34" i="4"/>
  <c r="Q34" i="4"/>
  <c r="R34" i="4"/>
  <c r="P36" i="4"/>
  <c r="O36" i="4"/>
  <c r="M36" i="4"/>
  <c r="L32" i="4"/>
  <c r="D34" i="4"/>
  <c r="E34" i="4"/>
  <c r="C32" i="4"/>
  <c r="D35" i="4"/>
  <c r="D36" i="4" s="1"/>
  <c r="E35" i="4"/>
  <c r="E36" i="4" s="1"/>
  <c r="F34" i="4"/>
  <c r="F35" i="4" s="1"/>
  <c r="F36" i="4" s="1"/>
  <c r="G34" i="4"/>
  <c r="G35" i="4" s="1"/>
  <c r="G36" i="4" s="1"/>
  <c r="H34" i="4"/>
  <c r="H35" i="4" s="1"/>
  <c r="H36" i="4" s="1"/>
  <c r="I34" i="4"/>
  <c r="I35" i="4" s="1"/>
  <c r="I36" i="4" s="1"/>
  <c r="C34" i="4"/>
  <c r="L39" i="6" l="1"/>
  <c r="L38" i="6"/>
  <c r="C39" i="6"/>
  <c r="C38" i="6"/>
  <c r="C39" i="5"/>
  <c r="C38" i="5"/>
  <c r="O37" i="5"/>
  <c r="N37" i="5"/>
  <c r="L39" i="4"/>
  <c r="L38" i="5" l="1"/>
  <c r="L39" i="5"/>
</calcChain>
</file>

<file path=xl/sharedStrings.xml><?xml version="1.0" encoding="utf-8"?>
<sst xmlns="http://schemas.openxmlformats.org/spreadsheetml/2006/main" count="730" uniqueCount="146">
  <si>
    <t>country</t>
  </si>
  <si>
    <t>2014</t>
  </si>
  <si>
    <t>2015</t>
  </si>
  <si>
    <t>2016</t>
  </si>
  <si>
    <t>2017</t>
  </si>
  <si>
    <t>2018</t>
  </si>
  <si>
    <t>2019</t>
  </si>
  <si>
    <t>2020</t>
  </si>
  <si>
    <t>Australia</t>
  </si>
  <si>
    <t>Austria</t>
  </si>
  <si>
    <t>Azerbaijan</t>
  </si>
  <si>
    <t>Bahrain</t>
  </si>
  <si>
    <t>Bangladesh</t>
  </si>
  <si>
    <t>Belgium</t>
  </si>
  <si>
    <t>Botswana</t>
  </si>
  <si>
    <t>Brazil</t>
  </si>
  <si>
    <t>Brunei Darussalam</t>
  </si>
  <si>
    <t>Bulgaria</t>
  </si>
  <si>
    <t>Canada</t>
  </si>
  <si>
    <t>China</t>
  </si>
  <si>
    <t>Croatia</t>
  </si>
  <si>
    <t>Cyprus (European Union)</t>
  </si>
  <si>
    <t>Czech Republic</t>
  </si>
  <si>
    <t>Denmark</t>
  </si>
  <si>
    <t>Egypt</t>
  </si>
  <si>
    <t>Estonia</t>
  </si>
  <si>
    <t>Finland</t>
  </si>
  <si>
    <t>France</t>
  </si>
  <si>
    <t>Germany</t>
  </si>
  <si>
    <t>Ghana</t>
  </si>
  <si>
    <t>Greece</t>
  </si>
  <si>
    <t>Hungary</t>
  </si>
  <si>
    <t>India</t>
  </si>
  <si>
    <t>Indonesia</t>
  </si>
  <si>
    <t>Iran, Islamic Republic of</t>
  </si>
  <si>
    <t>Ireland</t>
  </si>
  <si>
    <t>Israel</t>
  </si>
  <si>
    <t>Italy</t>
  </si>
  <si>
    <t>Japan</t>
  </si>
  <si>
    <t>Jordan</t>
  </si>
  <si>
    <t>Kazakhstan</t>
  </si>
  <si>
    <t>Kenya</t>
  </si>
  <si>
    <t>Korea, Republic of</t>
  </si>
  <si>
    <t>Kuwait</t>
  </si>
  <si>
    <t>Latvia</t>
  </si>
  <si>
    <t>Lebanon</t>
  </si>
  <si>
    <t>Lithuania</t>
  </si>
  <si>
    <t>Luxembourg</t>
  </si>
  <si>
    <t>Malaysia</t>
  </si>
  <si>
    <t>Malta</t>
  </si>
  <si>
    <t>Mauritius</t>
  </si>
  <si>
    <t>Mexico</t>
  </si>
  <si>
    <t>Morocco</t>
  </si>
  <si>
    <t>Netherlands</t>
  </si>
  <si>
    <t>New Zealand</t>
  </si>
  <si>
    <t>Nigeria</t>
  </si>
  <si>
    <t>Norway</t>
  </si>
  <si>
    <t>Oman</t>
  </si>
  <si>
    <t>Pakistan</t>
  </si>
  <si>
    <t>Philippines</t>
  </si>
  <si>
    <t>Poland</t>
  </si>
  <si>
    <t>Portugal</t>
  </si>
  <si>
    <t>Qatar</t>
  </si>
  <si>
    <t>Romania</t>
  </si>
  <si>
    <t>Russian Federation</t>
  </si>
  <si>
    <t>Saudi Arabia</t>
  </si>
  <si>
    <t>Singapore</t>
  </si>
  <si>
    <t>Slovakia</t>
  </si>
  <si>
    <t>Slovenia</t>
  </si>
  <si>
    <t>South Africa</t>
  </si>
  <si>
    <t>Spain</t>
  </si>
  <si>
    <t>Sri Lanka</t>
  </si>
  <si>
    <t>Sweden</t>
  </si>
  <si>
    <t>Switzerland</t>
  </si>
  <si>
    <t>Taiwan</t>
  </si>
  <si>
    <t>Tanzania, United Republic of</t>
  </si>
  <si>
    <t>Thailand</t>
  </si>
  <si>
    <t>Trinidad and Tobago</t>
  </si>
  <si>
    <t>Turkey</t>
  </si>
  <si>
    <t>Uganda</t>
  </si>
  <si>
    <t>Ukraine</t>
  </si>
  <si>
    <t>United Arab Emirates</t>
  </si>
  <si>
    <t>United States of America</t>
  </si>
  <si>
    <t>Vietnam [Viet Nam]</t>
  </si>
  <si>
    <t>Zambia</t>
  </si>
  <si>
    <t>Zimbabwe</t>
  </si>
  <si>
    <t>EU_country</t>
  </si>
  <si>
    <t>donor_rank</t>
  </si>
  <si>
    <t>donor</t>
  </si>
  <si>
    <t>distance</t>
  </si>
  <si>
    <t>synth_weight</t>
  </si>
  <si>
    <t>K2 = weight Malaysia</t>
  </si>
  <si>
    <t>K3 = weight Mauritius</t>
  </si>
  <si>
    <t>K4 = weight Russian Federation</t>
  </si>
  <si>
    <t>K2</t>
  </si>
  <si>
    <t>K3</t>
  </si>
  <si>
    <t>K4</t>
  </si>
  <si>
    <t>Weights</t>
  </si>
  <si>
    <t>Starting point</t>
  </si>
  <si>
    <t>SUM</t>
  </si>
  <si>
    <t>Synthetic</t>
  </si>
  <si>
    <t>Error</t>
  </si>
  <si>
    <t>Squared error</t>
  </si>
  <si>
    <t>Objective SSE</t>
  </si>
  <si>
    <t>RMSPE</t>
  </si>
  <si>
    <t>Core data (logged)</t>
  </si>
  <si>
    <t>Donors</t>
  </si>
  <si>
    <t>Obtained weights</t>
  </si>
  <si>
    <t>R OUTPUTS</t>
  </si>
  <si>
    <t>SOLVER OUTPUTS (after optimization)</t>
  </si>
  <si>
    <t>Weight</t>
  </si>
  <si>
    <t xml:space="preserve">Synthetic </t>
  </si>
  <si>
    <t xml:space="preserve">Objective SSE </t>
  </si>
  <si>
    <t>K2 = Egypt</t>
  </si>
  <si>
    <t>K3 = Korea, Republic of</t>
  </si>
  <si>
    <t>K4 = Switzerland</t>
  </si>
  <si>
    <t>K2 = KOREA</t>
  </si>
  <si>
    <t>K3 = NEW ZEALAND</t>
  </si>
  <si>
    <t>K4 = Trinidad and Tobago</t>
  </si>
  <si>
    <t>Improvement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</si>
  <si>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</si>
  <si>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</si>
  <si>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</si>
  <si>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</si>
  <si>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</si>
  <si>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</si>
  <si>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</si>
  <si>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</si>
  <si>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</si>
  <si>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</si>
  <si>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</si>
  <si>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</si>
  <si>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</si>
  <si>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</si>
  <si>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</si>
  <si>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</si>
  <si>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</si>
  <si>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</si>
  <si>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</si>
  <si>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</si>
  <si>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</si>
  <si>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</si>
  <si>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</si>
  <si>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</si>
  <si>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Regression output</t>
  </si>
  <si>
    <t>SOLVER INPUTS (starting conditions)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</si>
</sst>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onsolas"/>
      <family val="3"/>
      <charset val="204"/>
    </font>
    <font>
      <sz val="10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65" fontId="5" fillId="0" borderId="0" xfId="0" applyNumberFormat="1" applyFont="1" applyAlignment="1">
      <alignment horizontal="left" vertical="center" indent="1"/>
    </xf>
    <xf numFmtId="165" fontId="0" fillId="0" borderId="0" xfId="0" applyNumberFormat="1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6" xfId="0" applyBorder="1"/>
    <xf numFmtId="0" fontId="3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7" xfId="0" applyBorder="1"/>
    <xf numFmtId="0" fontId="0" fillId="2" borderId="5" xfId="0" applyFill="1" applyBorder="1"/>
    <xf numFmtId="0" fontId="0" fillId="2" borderId="8" xfId="0" applyFill="1" applyBorder="1"/>
    <xf numFmtId="0" fontId="3" fillId="2" borderId="5" xfId="0" applyFont="1" applyFill="1" applyBorder="1" applyAlignment="1">
      <alignment horizontal="center"/>
    </xf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0" fontId="0" fillId="0" borderId="12" xfId="0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/>
    <xf numFmtId="0" fontId="2" fillId="0" borderId="7" xfId="0" applyFont="1" applyBorder="1"/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2" fillId="0" borderId="6" xfId="0" applyFont="1" applyBorder="1"/>
    <xf numFmtId="0" fontId="6" fillId="0" borderId="7" xfId="0" applyFont="1" applyBorder="1" applyAlignment="1">
      <alignment horizontal="left" vertical="center" indent="1"/>
    </xf>
    <xf numFmtId="165" fontId="6" fillId="0" borderId="0" xfId="0" applyNumberFormat="1" applyFont="1" applyBorder="1" applyAlignment="1">
      <alignment horizontal="left" vertical="center" indent="1"/>
    </xf>
    <xf numFmtId="165" fontId="6" fillId="0" borderId="6" xfId="0" applyNumberFormat="1" applyFont="1" applyBorder="1" applyAlignment="1">
      <alignment horizontal="left" vertical="center" indent="1"/>
    </xf>
    <xf numFmtId="165" fontId="6" fillId="2" borderId="0" xfId="0" applyNumberFormat="1" applyFont="1" applyFill="1" applyBorder="1" applyAlignment="1">
      <alignment horizontal="left" vertical="center" indent="1"/>
    </xf>
    <xf numFmtId="0" fontId="6" fillId="0" borderId="13" xfId="0" applyFont="1" applyBorder="1" applyAlignment="1">
      <alignment horizontal="left" vertical="center" indent="1"/>
    </xf>
    <xf numFmtId="0" fontId="6" fillId="0" borderId="11" xfId="0" applyFont="1" applyBorder="1" applyAlignment="1">
      <alignment horizontal="left" vertical="center" indent="1"/>
    </xf>
    <xf numFmtId="0" fontId="2" fillId="0" borderId="11" xfId="0" applyFont="1" applyBorder="1" applyAlignment="1">
      <alignment wrapText="1"/>
    </xf>
    <xf numFmtId="0" fontId="2" fillId="0" borderId="11" xfId="0" applyFont="1" applyBorder="1"/>
    <xf numFmtId="0" fontId="2" fillId="0" borderId="12" xfId="0" applyFont="1" applyBorder="1"/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166" fontId="0" fillId="2" borderId="10" xfId="0" applyNumberFormat="1" applyFill="1" applyBorder="1"/>
    <xf numFmtId="0" fontId="0" fillId="2" borderId="5" xfId="0" applyFill="1" applyBorder="1" applyAlignment="1">
      <alignment horizontal="center" vertical="center" wrapText="1"/>
    </xf>
    <xf numFmtId="0" fontId="0" fillId="0" borderId="0" xfId="0" applyFill="1"/>
    <xf numFmtId="0" fontId="0" fillId="0" borderId="2" xfId="0" applyBorder="1" applyAlignment="1">
      <alignment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2" borderId="5" xfId="0" applyFill="1" applyBorder="1" applyAlignment="1">
      <alignment wrapText="1"/>
    </xf>
    <xf numFmtId="0" fontId="3" fillId="2" borderId="5" xfId="0" applyFont="1" applyFill="1" applyBorder="1" applyAlignment="1">
      <alignment horizontal="center" wrapText="1"/>
    </xf>
    <xf numFmtId="0" fontId="0" fillId="2" borderId="9" xfId="0" applyFill="1" applyBorder="1" applyAlignment="1">
      <alignment wrapText="1"/>
    </xf>
    <xf numFmtId="0" fontId="2" fillId="0" borderId="7" xfId="0" applyFont="1" applyBorder="1" applyAlignment="1">
      <alignment wrapText="1"/>
    </xf>
    <xf numFmtId="0" fontId="6" fillId="0" borderId="7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165" fontId="2" fillId="0" borderId="0" xfId="0" applyNumberFormat="1" applyFont="1" applyBorder="1"/>
    <xf numFmtId="164" fontId="6" fillId="0" borderId="11" xfId="0" applyNumberFormat="1" applyFont="1" applyBorder="1" applyAlignment="1">
      <alignment horizontal="left" vertical="center" indent="1"/>
    </xf>
    <xf numFmtId="165" fontId="2" fillId="0" borderId="6" xfId="0" applyNumberFormat="1" applyFont="1" applyBorder="1"/>
    <xf numFmtId="2" fontId="3" fillId="0" borderId="0" xfId="0" applyNumberFormat="1" applyFont="1" applyAlignment="1">
      <alignment horizontal="center"/>
    </xf>
    <xf numFmtId="2" fontId="0" fillId="0" borderId="0" xfId="0" applyNumberFormat="1"/>
    <xf numFmtId="0" fontId="6" fillId="0" borderId="0" xfId="0" applyFont="1" applyFill="1" applyBorder="1" applyAlignment="1">
      <alignment horizontal="left" vertical="center" indent="1"/>
    </xf>
    <xf numFmtId="0" fontId="0" fillId="0" borderId="0" xfId="0" applyFill="1" applyBorder="1" applyAlignment="1"/>
    <xf numFmtId="0" fontId="0" fillId="0" borderId="11" xfId="0" applyFill="1" applyBorder="1" applyAlignment="1"/>
    <xf numFmtId="0" fontId="7" fillId="0" borderId="14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Continuous"/>
    </xf>
    <xf numFmtId="0" fontId="4" fillId="2" borderId="5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2" xfId="0" applyFont="1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167F22-17FD-4316-BDE8-12D8E19E6160}" name="Table1" displayName="Table1" ref="A1:H79" totalsRowShown="0" headerRowDxfId="0">
  <autoFilter ref="A1:H79" xr:uid="{7F74F530-EA3E-42A8-9847-224DA37B94E5}">
    <filterColumn colId="0">
      <filters>
        <filter val="Denmark"/>
        <filter val="Korea, Republic of"/>
        <filter val="New Zealand"/>
        <filter val="Trinidad and Tobago"/>
      </filters>
    </filterColumn>
  </autoFilter>
  <tableColumns count="8">
    <tableColumn id="1" xr3:uid="{33282092-22A5-4B6D-BE3C-3F9EA9370F8E}" name="country"/>
    <tableColumn id="2" xr3:uid="{948A8E24-8193-4320-AD4A-184FEDD60062}" name="2014"/>
    <tableColumn id="3" xr3:uid="{73790873-C30F-4C9D-AF68-37C290031D8F}" name="2015"/>
    <tableColumn id="4" xr3:uid="{39BDFB5B-DAA8-41BE-97F2-3AB8DD6E4202}" name="2016"/>
    <tableColumn id="5" xr3:uid="{A24FA3E1-F009-4811-9E65-36394AE9BAD7}" name="2017"/>
    <tableColumn id="6" xr3:uid="{D586A634-EBFF-4489-8BAE-2E2B9614CCD8}" name="2018"/>
    <tableColumn id="7" xr3:uid="{C421D2DD-9FC3-4812-9139-AA1D204B1D0E}" name="2019"/>
    <tableColumn id="8" xr3:uid="{844515A2-E584-4A84-A3E7-B806A120BFF6}" name="202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workbookViewId="0">
      <selection sqref="A1:H71"/>
    </sheetView>
  </sheetViews>
  <sheetFormatPr defaultRowHeight="14.4" x14ac:dyDescent="0.3"/>
  <cols>
    <col min="1" max="1" width="9.4414062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8</v>
      </c>
      <c r="B2">
        <v>6.3561076606958924</v>
      </c>
      <c r="C2">
        <v>6.39024066706535</v>
      </c>
      <c r="D2">
        <v>6.3647507568519108</v>
      </c>
      <c r="E2">
        <v>6.3985949345352076</v>
      </c>
      <c r="F2">
        <v>6.4150969591715956</v>
      </c>
      <c r="G2">
        <v>6.4551985633401223</v>
      </c>
      <c r="H2">
        <v>6.39024066706535</v>
      </c>
    </row>
    <row r="3" spans="1:8" hidden="1" x14ac:dyDescent="0.3">
      <c r="A3" t="s">
        <v>9</v>
      </c>
      <c r="B3">
        <v>6.39024066706535</v>
      </c>
      <c r="C3">
        <v>6.4473058625412127</v>
      </c>
      <c r="D3">
        <v>6.4785096422085688</v>
      </c>
      <c r="E3">
        <v>6.3818160174060976</v>
      </c>
      <c r="F3">
        <v>6.4393503711000983</v>
      </c>
      <c r="G3">
        <v>6.4393503711000983</v>
      </c>
      <c r="H3">
        <v>6.3117348091529148</v>
      </c>
    </row>
    <row r="4" spans="1:8" hidden="1" x14ac:dyDescent="0.3">
      <c r="A4" t="s">
        <v>10</v>
      </c>
      <c r="B4">
        <v>5.9939614273065693</v>
      </c>
      <c r="C4">
        <v>5.7397929121792339</v>
      </c>
      <c r="D4">
        <v>5.1984970312658261</v>
      </c>
      <c r="E4">
        <v>4.9836066217083363</v>
      </c>
      <c r="F4">
        <v>4.9126548857360524</v>
      </c>
      <c r="G4">
        <v>5.1704839950381514</v>
      </c>
      <c r="H4">
        <v>5.0172798368149243</v>
      </c>
    </row>
    <row r="5" spans="1:8" hidden="1" x14ac:dyDescent="0.3">
      <c r="A5" t="s">
        <v>11</v>
      </c>
      <c r="B5">
        <v>6.1114673395026786</v>
      </c>
      <c r="C5">
        <v>5.9814142112544806</v>
      </c>
      <c r="D5">
        <v>5.9939614273065693</v>
      </c>
      <c r="E5">
        <v>6.1548580940164177</v>
      </c>
      <c r="F5">
        <v>6.089044875446846</v>
      </c>
      <c r="G5">
        <v>5.9939614273065693</v>
      </c>
      <c r="H5">
        <v>6.0776422433490342</v>
      </c>
    </row>
    <row r="6" spans="1:8" hidden="1" x14ac:dyDescent="0.3">
      <c r="A6" t="s">
        <v>12</v>
      </c>
      <c r="B6">
        <v>5.9687075599853658</v>
      </c>
      <c r="C6">
        <v>5.9026333334013659</v>
      </c>
      <c r="D6">
        <v>5.6204008657171496</v>
      </c>
      <c r="E6">
        <v>5.7714411231300158</v>
      </c>
      <c r="F6">
        <v>5.6733232671714928</v>
      </c>
      <c r="G6">
        <v>5.8464387750577247</v>
      </c>
      <c r="H6">
        <v>6.0544393462693709</v>
      </c>
    </row>
    <row r="7" spans="1:8" hidden="1" x14ac:dyDescent="0.3">
      <c r="A7" t="s">
        <v>13</v>
      </c>
      <c r="B7">
        <v>6.9382844840169602</v>
      </c>
      <c r="C7">
        <v>7.0130157896396303</v>
      </c>
      <c r="D7">
        <v>7.035268599281097</v>
      </c>
      <c r="E7">
        <v>7.0085051820822803</v>
      </c>
      <c r="F7">
        <v>7.0130157896396303</v>
      </c>
      <c r="G7">
        <v>6.9622434642662068</v>
      </c>
      <c r="H7">
        <v>6.9334230257307148</v>
      </c>
    </row>
    <row r="8" spans="1:8" hidden="1" x14ac:dyDescent="0.3">
      <c r="A8" t="s">
        <v>14</v>
      </c>
      <c r="B8">
        <v>4.8751973232011512</v>
      </c>
      <c r="C8">
        <v>5.1416635565026603</v>
      </c>
      <c r="D8">
        <v>5.1416635565026603</v>
      </c>
      <c r="E8">
        <v>5.0814043649844631</v>
      </c>
      <c r="F8">
        <v>4.9836066217083363</v>
      </c>
      <c r="G8">
        <v>5.0498560072495371</v>
      </c>
      <c r="H8">
        <v>5.1416635565026603</v>
      </c>
    </row>
    <row r="9" spans="1:8" hidden="1" x14ac:dyDescent="0.3">
      <c r="A9" t="s">
        <v>15</v>
      </c>
      <c r="B9">
        <v>5.6733232671714928</v>
      </c>
      <c r="C9">
        <v>5.7071102647488754</v>
      </c>
      <c r="D9">
        <v>5.7235851019523807</v>
      </c>
      <c r="E9">
        <v>5.5834963087816991</v>
      </c>
      <c r="F9">
        <v>5.8749307308520304</v>
      </c>
      <c r="G9">
        <v>5.916202062607435</v>
      </c>
      <c r="H9">
        <v>5.8318824772835169</v>
      </c>
    </row>
    <row r="10" spans="1:8" hidden="1" x14ac:dyDescent="0.3">
      <c r="A10" t="s">
        <v>16</v>
      </c>
      <c r="B10">
        <v>6.7979404129749303</v>
      </c>
      <c r="C10">
        <v>6.3473892096560114</v>
      </c>
      <c r="D10">
        <v>6.1224928095143856</v>
      </c>
      <c r="E10">
        <v>5.9814142112544806</v>
      </c>
      <c r="F10">
        <v>5.8607862234658654</v>
      </c>
      <c r="G10">
        <v>5.8171111599632042</v>
      </c>
      <c r="H10">
        <v>5.8607862234658654</v>
      </c>
    </row>
    <row r="11" spans="1:8" hidden="1" x14ac:dyDescent="0.3">
      <c r="A11" t="s">
        <v>17</v>
      </c>
      <c r="B11">
        <v>7.741099090035366</v>
      </c>
      <c r="C11">
        <v>7.7454356102743809</v>
      </c>
      <c r="D11">
        <v>7.8304256178203309</v>
      </c>
      <c r="E11">
        <v>7.7257714415879519</v>
      </c>
      <c r="F11">
        <v>7.7257714415879519</v>
      </c>
      <c r="G11">
        <v>7.6596429545646822</v>
      </c>
      <c r="H11">
        <v>7.568379267836522</v>
      </c>
    </row>
    <row r="12" spans="1:8" hidden="1" x14ac:dyDescent="0.3">
      <c r="A12" t="s">
        <v>18</v>
      </c>
      <c r="B12">
        <v>7.7668405370855131</v>
      </c>
      <c r="C12">
        <v>7.8164169836918012</v>
      </c>
      <c r="D12">
        <v>7.7710670860654059</v>
      </c>
      <c r="E12">
        <v>7.7497534062744373</v>
      </c>
      <c r="F12">
        <v>7.8022093162471178</v>
      </c>
      <c r="G12">
        <v>7.8284363591575854</v>
      </c>
      <c r="H12">
        <v>7.8481530861995257</v>
      </c>
    </row>
    <row r="13" spans="1:8" hidden="1" x14ac:dyDescent="0.3">
      <c r="A13" t="s">
        <v>19</v>
      </c>
      <c r="B13">
        <v>9.3998030369215044</v>
      </c>
      <c r="C13">
        <v>9.4677694012569429</v>
      </c>
      <c r="D13">
        <v>9.53935630792094</v>
      </c>
      <c r="E13">
        <v>9.6317444438858502</v>
      </c>
      <c r="F13">
        <v>9.745429247877853</v>
      </c>
      <c r="G13">
        <v>9.9735265433161029</v>
      </c>
      <c r="H13">
        <v>10.190769544966569</v>
      </c>
    </row>
    <row r="14" spans="1:8" hidden="1" x14ac:dyDescent="0.3">
      <c r="A14" t="s">
        <v>20</v>
      </c>
      <c r="B14">
        <v>5.0814043649844631</v>
      </c>
      <c r="C14">
        <v>5.6204008657171496</v>
      </c>
      <c r="D14">
        <v>5.9295891433898946</v>
      </c>
      <c r="E14">
        <v>5.8171111599632042</v>
      </c>
      <c r="F14">
        <v>6.0063531596017334</v>
      </c>
      <c r="G14">
        <v>5.9026333334013659</v>
      </c>
      <c r="H14">
        <v>5.8749307308520304</v>
      </c>
    </row>
    <row r="15" spans="1:8" hidden="1" x14ac:dyDescent="0.3">
      <c r="A15" t="s">
        <v>21</v>
      </c>
      <c r="B15">
        <v>8.1303535474312376</v>
      </c>
      <c r="C15">
        <v>8.1125277634786368</v>
      </c>
      <c r="D15">
        <v>8.052296499538647</v>
      </c>
      <c r="E15">
        <v>8.1155208815467699</v>
      </c>
      <c r="F15">
        <v>7.935945103353701</v>
      </c>
      <c r="G15">
        <v>7.9032268087307331</v>
      </c>
      <c r="H15">
        <v>7.8845765105963244</v>
      </c>
    </row>
    <row r="16" spans="1:8" hidden="1" x14ac:dyDescent="0.3">
      <c r="A16" t="s">
        <v>22</v>
      </c>
      <c r="B16">
        <v>6.4150969591715956</v>
      </c>
      <c r="C16">
        <v>6.7580945044277314</v>
      </c>
      <c r="D16">
        <v>7.0175061429412562</v>
      </c>
      <c r="E16">
        <v>6.9994224675079613</v>
      </c>
      <c r="F16">
        <v>7.0039741367226798</v>
      </c>
      <c r="G16">
        <v>7.0825485693552999</v>
      </c>
      <c r="H16">
        <v>7.1861443045223252</v>
      </c>
    </row>
    <row r="17" spans="1:8" x14ac:dyDescent="0.3">
      <c r="A17" t="s">
        <v>23</v>
      </c>
      <c r="B17">
        <v>6.1441856341256456</v>
      </c>
      <c r="C17">
        <v>6.2065759267249279</v>
      </c>
      <c r="D17">
        <v>6.2557500417533669</v>
      </c>
      <c r="E17">
        <v>6.3026189757449051</v>
      </c>
      <c r="F17">
        <v>6.3117348091529148</v>
      </c>
      <c r="G17">
        <v>6.2747620212419388</v>
      </c>
      <c r="H17">
        <v>6.1548580940164177</v>
      </c>
    </row>
    <row r="18" spans="1:8" hidden="1" x14ac:dyDescent="0.3">
      <c r="A18" t="s">
        <v>24</v>
      </c>
      <c r="B18">
        <v>6.4707995037826018</v>
      </c>
      <c r="C18">
        <v>6.6147256002037604</v>
      </c>
      <c r="D18">
        <v>6.8035052576083377</v>
      </c>
      <c r="E18">
        <v>6.7810576259361799</v>
      </c>
      <c r="F18">
        <v>6.6669567924292066</v>
      </c>
      <c r="G18">
        <v>6.7464121285733736</v>
      </c>
      <c r="H18">
        <v>6.7867169506050811</v>
      </c>
    </row>
    <row r="19" spans="1:8" hidden="1" x14ac:dyDescent="0.3">
      <c r="A19" t="s">
        <v>25</v>
      </c>
      <c r="B19">
        <v>6.2557500417533669</v>
      </c>
      <c r="C19">
        <v>6.2363695902037044</v>
      </c>
      <c r="D19">
        <v>6.1548580940164177</v>
      </c>
      <c r="E19">
        <v>6.0185932144962342</v>
      </c>
      <c r="F19">
        <v>5.9814142112544806</v>
      </c>
      <c r="G19">
        <v>6.0185932144962342</v>
      </c>
      <c r="H19">
        <v>5.9939614273065693</v>
      </c>
    </row>
    <row r="20" spans="1:8" hidden="1" x14ac:dyDescent="0.3">
      <c r="A20" t="s">
        <v>26</v>
      </c>
      <c r="B20">
        <v>6.8469431395853793</v>
      </c>
      <c r="C20">
        <v>6.9527286446248686</v>
      </c>
      <c r="D20">
        <v>6.9186952190204716</v>
      </c>
      <c r="E20">
        <v>6.7753660909363917</v>
      </c>
      <c r="F20">
        <v>6.8254600362553068</v>
      </c>
      <c r="G20">
        <v>6.692083742506628</v>
      </c>
      <c r="H20">
        <v>6.5944134597497781</v>
      </c>
    </row>
    <row r="21" spans="1:8" hidden="1" x14ac:dyDescent="0.3">
      <c r="A21" t="s">
        <v>27</v>
      </c>
      <c r="B21">
        <v>8.4351150803806298</v>
      </c>
      <c r="C21">
        <v>8.5604442334105517</v>
      </c>
      <c r="D21">
        <v>8.6026366732337056</v>
      </c>
      <c r="E21">
        <v>8.5934132173276456</v>
      </c>
      <c r="F21">
        <v>8.5878380309855693</v>
      </c>
      <c r="G21">
        <v>8.621733370690162</v>
      </c>
      <c r="H21">
        <v>8.5794165345963691</v>
      </c>
    </row>
    <row r="22" spans="1:8" hidden="1" x14ac:dyDescent="0.3">
      <c r="A22" t="s">
        <v>28</v>
      </c>
      <c r="B22">
        <v>8.0774471493311992</v>
      </c>
      <c r="C22">
        <v>8.12740456269308</v>
      </c>
      <c r="D22">
        <v>8.2350954972583565</v>
      </c>
      <c r="E22">
        <v>8.144969417087875</v>
      </c>
      <c r="F22">
        <v>8.1958853913147962</v>
      </c>
      <c r="G22">
        <v>8.1110278381936798</v>
      </c>
      <c r="H22">
        <v>8.0867179203039061</v>
      </c>
    </row>
    <row r="23" spans="1:8" hidden="1" x14ac:dyDescent="0.3">
      <c r="A23" t="s">
        <v>29</v>
      </c>
      <c r="B23">
        <v>5.6559918108198524</v>
      </c>
      <c r="C23">
        <v>5.7071102647488754</v>
      </c>
      <c r="D23">
        <v>5.7071102647488754</v>
      </c>
      <c r="E23">
        <v>5.8888779583328814</v>
      </c>
      <c r="F23">
        <v>6.0185932144962342</v>
      </c>
      <c r="G23">
        <v>6.2363695902037044</v>
      </c>
      <c r="H23">
        <v>6.1862086239004936</v>
      </c>
    </row>
    <row r="24" spans="1:8" hidden="1" x14ac:dyDescent="0.3">
      <c r="A24" t="s">
        <v>30</v>
      </c>
      <c r="B24">
        <v>7.818430272070656</v>
      </c>
      <c r="C24">
        <v>7.798112628829788</v>
      </c>
      <c r="D24">
        <v>7.8083230503910546</v>
      </c>
      <c r="E24">
        <v>7.8042513835281122</v>
      </c>
      <c r="F24">
        <v>7.7960579743161231</v>
      </c>
      <c r="G24">
        <v>7.7836405962212529</v>
      </c>
      <c r="H24">
        <v>7.7689560445383323</v>
      </c>
    </row>
    <row r="25" spans="1:8" hidden="1" x14ac:dyDescent="0.3">
      <c r="A25" t="s">
        <v>31</v>
      </c>
      <c r="B25">
        <v>6.6605751498396861</v>
      </c>
      <c r="C25">
        <v>6.7345916599729483</v>
      </c>
      <c r="D25">
        <v>6.8469431395853793</v>
      </c>
      <c r="E25">
        <v>6.8200163646741299</v>
      </c>
      <c r="F25">
        <v>6.8987145343299883</v>
      </c>
      <c r="G25">
        <v>6.9527286446248686</v>
      </c>
      <c r="H25">
        <v>7.0039741367226798</v>
      </c>
    </row>
    <row r="26" spans="1:8" hidden="1" x14ac:dyDescent="0.3">
      <c r="A26" t="s">
        <v>32</v>
      </c>
      <c r="B26">
        <v>8.3442673562626446</v>
      </c>
      <c r="C26">
        <v>8.3596032708414665</v>
      </c>
      <c r="D26">
        <v>8.39185670010494</v>
      </c>
      <c r="E26">
        <v>8.5053230188457505</v>
      </c>
      <c r="F26">
        <v>8.7211131477626882</v>
      </c>
      <c r="G26">
        <v>8.8062742847817255</v>
      </c>
      <c r="H26">
        <v>9.1045353130792055</v>
      </c>
    </row>
    <row r="27" spans="1:8" hidden="1" x14ac:dyDescent="0.3">
      <c r="A27" t="s">
        <v>33</v>
      </c>
      <c r="B27">
        <v>6.2461067654815627</v>
      </c>
      <c r="C27">
        <v>6.39024066706535</v>
      </c>
      <c r="D27">
        <v>6.4393503711000983</v>
      </c>
      <c r="E27">
        <v>6.4861607889440887</v>
      </c>
      <c r="F27">
        <v>6.692083742506628</v>
      </c>
      <c r="G27">
        <v>6.7696419768525029</v>
      </c>
      <c r="H27">
        <v>6.7044143549641069</v>
      </c>
    </row>
    <row r="28" spans="1:8" hidden="1" x14ac:dyDescent="0.3">
      <c r="A28" t="s">
        <v>34</v>
      </c>
      <c r="B28">
        <v>5.6383546693337454</v>
      </c>
      <c r="C28">
        <v>5.4847969334906548</v>
      </c>
      <c r="D28">
        <v>5.5834963087816991</v>
      </c>
      <c r="E28">
        <v>5.8318824772835169</v>
      </c>
      <c r="F28">
        <v>5.955837369464831</v>
      </c>
      <c r="G28">
        <v>5.7868973813667077</v>
      </c>
      <c r="H28">
        <v>5.7397929121792339</v>
      </c>
    </row>
    <row r="29" spans="1:8" hidden="1" x14ac:dyDescent="0.3">
      <c r="A29" t="s">
        <v>35</v>
      </c>
      <c r="B29">
        <v>8.6692273472717361</v>
      </c>
      <c r="C29">
        <v>8.6623319570824755</v>
      </c>
      <c r="D29">
        <v>8.5671255601644472</v>
      </c>
      <c r="E29">
        <v>8.4020067816071204</v>
      </c>
      <c r="F29">
        <v>8.3466420902211986</v>
      </c>
      <c r="G29">
        <v>8.3383057313565647</v>
      </c>
      <c r="H29">
        <v>8.3816025371098899</v>
      </c>
    </row>
    <row r="30" spans="1:8" hidden="1" x14ac:dyDescent="0.3">
      <c r="A30" t="s">
        <v>36</v>
      </c>
      <c r="B30">
        <v>4.7535901911063636</v>
      </c>
      <c r="C30">
        <v>4.8751973232011512</v>
      </c>
      <c r="D30">
        <v>4.9836066217083363</v>
      </c>
      <c r="E30">
        <v>4.7535901911063636</v>
      </c>
      <c r="F30">
        <v>5.0814043649844631</v>
      </c>
      <c r="G30">
        <v>4.836281906951478</v>
      </c>
      <c r="H30">
        <v>4.9836066217083363</v>
      </c>
    </row>
    <row r="31" spans="1:8" hidden="1" x14ac:dyDescent="0.3">
      <c r="A31" t="s">
        <v>37</v>
      </c>
      <c r="B31">
        <v>8.3128713943426149</v>
      </c>
      <c r="C31">
        <v>8.4661104011869206</v>
      </c>
      <c r="D31">
        <v>8.5243673951642371</v>
      </c>
      <c r="E31">
        <v>8.4242003245670727</v>
      </c>
      <c r="F31">
        <v>8.3975083484702573</v>
      </c>
      <c r="G31">
        <v>8.4362000322067061</v>
      </c>
      <c r="H31">
        <v>8.3311045480530392</v>
      </c>
    </row>
    <row r="32" spans="1:8" hidden="1" x14ac:dyDescent="0.3">
      <c r="A32" t="s">
        <v>38</v>
      </c>
      <c r="B32">
        <v>6.3473892096560114</v>
      </c>
      <c r="C32">
        <v>6.2557500417533669</v>
      </c>
      <c r="D32">
        <v>6.1654178542314204</v>
      </c>
      <c r="E32">
        <v>6.1758672701057611</v>
      </c>
      <c r="F32">
        <v>6.2747620212419388</v>
      </c>
      <c r="G32">
        <v>6.3385940782031831</v>
      </c>
      <c r="H32">
        <v>6.4785096422085688</v>
      </c>
    </row>
    <row r="33" spans="1:8" hidden="1" x14ac:dyDescent="0.3">
      <c r="A33" t="s">
        <v>39</v>
      </c>
      <c r="B33">
        <v>6.0544393462693709</v>
      </c>
      <c r="C33">
        <v>6.0544393462693709</v>
      </c>
      <c r="D33">
        <v>6.0544393462693709</v>
      </c>
      <c r="E33">
        <v>6.2363695902037044</v>
      </c>
      <c r="F33">
        <v>6.3117348091529148</v>
      </c>
      <c r="G33">
        <v>6.2747620212419388</v>
      </c>
      <c r="H33">
        <v>6.2653012127377101</v>
      </c>
    </row>
    <row r="34" spans="1:8" hidden="1" x14ac:dyDescent="0.3">
      <c r="A34" t="s">
        <v>40</v>
      </c>
      <c r="B34">
        <v>5.9687075599853658</v>
      </c>
      <c r="C34">
        <v>5.9427993751267012</v>
      </c>
      <c r="D34">
        <v>5.7868973813667077</v>
      </c>
      <c r="E34">
        <v>5.5645204073226937</v>
      </c>
      <c r="F34">
        <v>5.6733232671714928</v>
      </c>
      <c r="G34">
        <v>5.7714411231300158</v>
      </c>
      <c r="H34">
        <v>5.7714411231300158</v>
      </c>
    </row>
    <row r="35" spans="1:8" hidden="1" x14ac:dyDescent="0.3">
      <c r="A35" t="s">
        <v>41</v>
      </c>
      <c r="B35">
        <v>6.5806391372849493</v>
      </c>
      <c r="C35">
        <v>6.6476883735633292</v>
      </c>
      <c r="D35">
        <v>6.5944134597497781</v>
      </c>
      <c r="E35">
        <v>6.5596152374932419</v>
      </c>
      <c r="F35">
        <v>6.692083742506628</v>
      </c>
      <c r="G35">
        <v>6.654152520183219</v>
      </c>
      <c r="H35">
        <v>6.6147256002037604</v>
      </c>
    </row>
    <row r="36" spans="1:8" x14ac:dyDescent="0.3">
      <c r="A36" t="s">
        <v>42</v>
      </c>
      <c r="B36">
        <v>7.2591161280971006</v>
      </c>
      <c r="C36">
        <v>7.3498737047383367</v>
      </c>
      <c r="D36">
        <v>7.3938782901077564</v>
      </c>
      <c r="E36">
        <v>7.3907985217356762</v>
      </c>
      <c r="F36">
        <v>7.4271441334086159</v>
      </c>
      <c r="G36">
        <v>7.4506607962115394</v>
      </c>
      <c r="H36">
        <v>7.4271441334086159</v>
      </c>
    </row>
    <row r="37" spans="1:8" hidden="1" x14ac:dyDescent="0.3">
      <c r="A37" t="s">
        <v>43</v>
      </c>
      <c r="B37">
        <v>6.4068799860693142</v>
      </c>
      <c r="C37">
        <v>6.4630294569206699</v>
      </c>
      <c r="D37">
        <v>6.4707995037826018</v>
      </c>
      <c r="E37">
        <v>6.7405193596062229</v>
      </c>
      <c r="F37">
        <v>6.8090393060429797</v>
      </c>
      <c r="G37">
        <v>7.0483864087218828</v>
      </c>
      <c r="H37">
        <v>7.0698741284585722</v>
      </c>
    </row>
    <row r="38" spans="1:8" hidden="1" x14ac:dyDescent="0.3">
      <c r="A38" t="s">
        <v>44</v>
      </c>
      <c r="B38">
        <v>6.3207682942505823</v>
      </c>
      <c r="C38">
        <v>6.2934192788464811</v>
      </c>
      <c r="D38">
        <v>6.3818160174060976</v>
      </c>
      <c r="E38">
        <v>6.3818160174060976</v>
      </c>
      <c r="F38">
        <v>6.3561076606958924</v>
      </c>
      <c r="G38">
        <v>6.4150969591715956</v>
      </c>
      <c r="H38">
        <v>6.4937538398516859</v>
      </c>
    </row>
    <row r="39" spans="1:8" hidden="1" x14ac:dyDescent="0.3">
      <c r="A39" t="s">
        <v>45</v>
      </c>
      <c r="B39">
        <v>5.5834963087816991</v>
      </c>
      <c r="C39">
        <v>5.602118820879701</v>
      </c>
      <c r="D39">
        <v>5.8607862234658654</v>
      </c>
      <c r="E39">
        <v>5.8318824772835169</v>
      </c>
      <c r="F39">
        <v>5.9939614273065693</v>
      </c>
      <c r="G39">
        <v>5.9814142112544806</v>
      </c>
      <c r="H39">
        <v>6.3733197895770122</v>
      </c>
    </row>
    <row r="40" spans="1:8" hidden="1" x14ac:dyDescent="0.3">
      <c r="A40" t="s">
        <v>46</v>
      </c>
      <c r="B40">
        <v>7.568379267836522</v>
      </c>
      <c r="C40">
        <v>7.5234813125734972</v>
      </c>
      <c r="D40">
        <v>7.5657932824285146</v>
      </c>
      <c r="E40">
        <v>7.633369649679584</v>
      </c>
      <c r="F40">
        <v>7.6619975589018932</v>
      </c>
      <c r="G40">
        <v>7.5888298783078127</v>
      </c>
      <c r="H40">
        <v>7.4650827363995473</v>
      </c>
    </row>
    <row r="41" spans="1:8" hidden="1" x14ac:dyDescent="0.3">
      <c r="A41" t="s">
        <v>47</v>
      </c>
      <c r="B41">
        <v>6.1441856341256456</v>
      </c>
      <c r="C41">
        <v>6.089044875446846</v>
      </c>
      <c r="D41">
        <v>6.0776422433490342</v>
      </c>
      <c r="E41">
        <v>6.1003189520200642</v>
      </c>
      <c r="F41">
        <v>6.1333980429966486</v>
      </c>
      <c r="G41">
        <v>6.0544393462693709</v>
      </c>
      <c r="H41">
        <v>6.0306852602612633</v>
      </c>
    </row>
    <row r="42" spans="1:8" hidden="1" x14ac:dyDescent="0.3">
      <c r="A42" t="s">
        <v>48</v>
      </c>
      <c r="B42">
        <v>8.7727652099497853</v>
      </c>
      <c r="C42">
        <v>8.8181862779276905</v>
      </c>
      <c r="D42">
        <v>8.647519453091812</v>
      </c>
      <c r="E42">
        <v>8.4879703327393337</v>
      </c>
      <c r="F42">
        <v>8.3963805711994901</v>
      </c>
      <c r="G42">
        <v>8.39185670010494</v>
      </c>
      <c r="H42">
        <v>8.2967958657700525</v>
      </c>
    </row>
    <row r="43" spans="1:8" hidden="1" x14ac:dyDescent="0.3">
      <c r="A43" t="s">
        <v>49</v>
      </c>
      <c r="B43">
        <v>4.6151205168412597</v>
      </c>
      <c r="C43">
        <v>4.7095302013123339</v>
      </c>
      <c r="D43">
        <v>4.8751973232011512</v>
      </c>
      <c r="E43">
        <v>4.6634390941120669</v>
      </c>
      <c r="F43">
        <v>4.9487598903781684</v>
      </c>
      <c r="G43">
        <v>4.8751973232011512</v>
      </c>
      <c r="H43">
        <v>4.9126548857360524</v>
      </c>
    </row>
    <row r="44" spans="1:8" hidden="1" x14ac:dyDescent="0.3">
      <c r="A44" t="s">
        <v>50</v>
      </c>
      <c r="B44">
        <v>6.2461067654815627</v>
      </c>
      <c r="C44">
        <v>6.0185932144962342</v>
      </c>
      <c r="D44">
        <v>6.0426328336823811</v>
      </c>
      <c r="E44">
        <v>5.9427993751267012</v>
      </c>
      <c r="F44">
        <v>5.9026333334013659</v>
      </c>
      <c r="G44">
        <v>5.8464387750577247</v>
      </c>
      <c r="H44">
        <v>5.8171111599632042</v>
      </c>
    </row>
    <row r="45" spans="1:8" hidden="1" x14ac:dyDescent="0.3">
      <c r="A45" t="s">
        <v>51</v>
      </c>
      <c r="B45">
        <v>5.1119877883565437</v>
      </c>
      <c r="C45">
        <v>5.1704839950381514</v>
      </c>
      <c r="D45">
        <v>5.3518581334760666</v>
      </c>
      <c r="E45">
        <v>5.1704839950381514</v>
      </c>
      <c r="F45">
        <v>5.5053315359323616</v>
      </c>
      <c r="G45">
        <v>5.5834963087816991</v>
      </c>
      <c r="H45">
        <v>5.5451774444795623</v>
      </c>
    </row>
    <row r="46" spans="1:8" hidden="1" x14ac:dyDescent="0.3">
      <c r="A46" t="s">
        <v>52</v>
      </c>
      <c r="B46">
        <v>5.8318824772835169</v>
      </c>
      <c r="C46">
        <v>5.9026333334013659</v>
      </c>
      <c r="D46">
        <v>5.8318824772835169</v>
      </c>
      <c r="E46">
        <v>5.9026333334013659</v>
      </c>
      <c r="F46">
        <v>6.0426328336823811</v>
      </c>
      <c r="G46">
        <v>6.0661080901037474</v>
      </c>
      <c r="H46">
        <v>6.1114673395026786</v>
      </c>
    </row>
    <row r="47" spans="1:8" hidden="1" x14ac:dyDescent="0.3">
      <c r="A47" t="s">
        <v>53</v>
      </c>
      <c r="B47">
        <v>6.7345916599729483</v>
      </c>
      <c r="C47">
        <v>6.8254600362553068</v>
      </c>
      <c r="D47">
        <v>6.8627579130514009</v>
      </c>
      <c r="E47">
        <v>6.8679744089702934</v>
      </c>
      <c r="F47">
        <v>6.8416154764775916</v>
      </c>
      <c r="G47">
        <v>6.9186952190204716</v>
      </c>
      <c r="H47">
        <v>6.8362592772770672</v>
      </c>
    </row>
    <row r="48" spans="1:8" x14ac:dyDescent="0.3">
      <c r="A48" t="s">
        <v>54</v>
      </c>
      <c r="B48">
        <v>5.1704839950381514</v>
      </c>
      <c r="C48">
        <v>5.1984970312658261</v>
      </c>
      <c r="D48">
        <v>5.3278761687895813</v>
      </c>
      <c r="E48">
        <v>5.2522734280466299</v>
      </c>
      <c r="F48">
        <v>5.3518581334760666</v>
      </c>
      <c r="G48">
        <v>5.3278761687895813</v>
      </c>
      <c r="H48">
        <v>5.1704839950381514</v>
      </c>
    </row>
    <row r="49" spans="1:8" hidden="1" x14ac:dyDescent="0.3">
      <c r="A49" t="s">
        <v>55</v>
      </c>
      <c r="B49">
        <v>7.7836405962212529</v>
      </c>
      <c r="C49">
        <v>7.7102051944325316</v>
      </c>
      <c r="D49">
        <v>7.5016344578834131</v>
      </c>
      <c r="E49">
        <v>7.4181808227267876</v>
      </c>
      <c r="F49">
        <v>7.415175109613295</v>
      </c>
      <c r="G49">
        <v>7.5098830611549134</v>
      </c>
      <c r="H49">
        <v>7.7367436824534952</v>
      </c>
    </row>
    <row r="50" spans="1:8" hidden="1" x14ac:dyDescent="0.3">
      <c r="A50" t="s">
        <v>56</v>
      </c>
      <c r="B50">
        <v>7.7323692222843876</v>
      </c>
      <c r="C50">
        <v>7.6760099320288866</v>
      </c>
      <c r="D50">
        <v>7.3498737047383367</v>
      </c>
      <c r="E50">
        <v>7.384610383176974</v>
      </c>
      <c r="F50">
        <v>7.3877092390810404</v>
      </c>
      <c r="G50">
        <v>7.3434262291473669</v>
      </c>
      <c r="H50">
        <v>7.2626286009742413</v>
      </c>
    </row>
    <row r="51" spans="1:8" hidden="1" x14ac:dyDescent="0.3">
      <c r="A51" t="s">
        <v>57</v>
      </c>
      <c r="B51">
        <v>6.0544393462693709</v>
      </c>
      <c r="C51">
        <v>6.089044875446846</v>
      </c>
      <c r="D51">
        <v>5.9026333334013659</v>
      </c>
      <c r="E51">
        <v>6.0426328336823811</v>
      </c>
      <c r="F51">
        <v>6.0544393462693709</v>
      </c>
      <c r="G51">
        <v>6.0661080901037474</v>
      </c>
      <c r="H51">
        <v>6.0661080901037474</v>
      </c>
    </row>
    <row r="52" spans="1:8" hidden="1" x14ac:dyDescent="0.3">
      <c r="A52" t="s">
        <v>58</v>
      </c>
      <c r="B52">
        <v>7.5475016828149668</v>
      </c>
      <c r="C52">
        <v>7.560601162768557</v>
      </c>
      <c r="D52">
        <v>7.57095858316901</v>
      </c>
      <c r="E52">
        <v>7.6477860454409328</v>
      </c>
      <c r="F52">
        <v>7.7432697008290043</v>
      </c>
      <c r="G52">
        <v>7.7877968781811706</v>
      </c>
      <c r="H52">
        <v>7.8539930872242438</v>
      </c>
    </row>
    <row r="53" spans="1:8" hidden="1" x14ac:dyDescent="0.3">
      <c r="A53" t="s">
        <v>59</v>
      </c>
      <c r="B53">
        <v>4.8751973232011512</v>
      </c>
      <c r="C53">
        <v>5.1119877883565437</v>
      </c>
      <c r="D53">
        <v>4.9487598903781684</v>
      </c>
      <c r="E53">
        <v>5.0172798368149243</v>
      </c>
      <c r="F53">
        <v>5.1704839950381514</v>
      </c>
      <c r="G53">
        <v>5.3518581334760666</v>
      </c>
      <c r="H53">
        <v>5.3752784076841653</v>
      </c>
    </row>
    <row r="54" spans="1:8" hidden="1" x14ac:dyDescent="0.3">
      <c r="A54" t="s">
        <v>60</v>
      </c>
      <c r="B54">
        <v>7.8617270778239803</v>
      </c>
      <c r="C54">
        <v>8.0149968943483021</v>
      </c>
      <c r="D54">
        <v>8.2534880283459042</v>
      </c>
      <c r="E54">
        <v>8.2482674474468993</v>
      </c>
      <c r="F54">
        <v>8.39185670010494</v>
      </c>
      <c r="G54">
        <v>8.3873122705617167</v>
      </c>
      <c r="H54">
        <v>8.4889994570454554</v>
      </c>
    </row>
    <row r="55" spans="1:8" hidden="1" x14ac:dyDescent="0.3">
      <c r="A55" t="s">
        <v>61</v>
      </c>
      <c r="B55">
        <v>6.8987145343299883</v>
      </c>
      <c r="C55">
        <v>7.1708884785125049</v>
      </c>
      <c r="D55">
        <v>7.3401868353201154</v>
      </c>
      <c r="E55">
        <v>7.5180641812330782</v>
      </c>
      <c r="F55">
        <v>7.7857208965346238</v>
      </c>
      <c r="G55">
        <v>7.8559321997186142</v>
      </c>
      <c r="H55">
        <v>7.8674885686991276</v>
      </c>
    </row>
    <row r="56" spans="1:8" hidden="1" x14ac:dyDescent="0.3">
      <c r="A56" t="s">
        <v>62</v>
      </c>
      <c r="B56">
        <v>6.3385940782031831</v>
      </c>
      <c r="C56">
        <v>6.2934192788464811</v>
      </c>
      <c r="D56">
        <v>6.4150969591715956</v>
      </c>
      <c r="E56">
        <v>6.3818160174060976</v>
      </c>
      <c r="F56">
        <v>6.5596152374932419</v>
      </c>
      <c r="G56">
        <v>6.4785096422085688</v>
      </c>
      <c r="H56">
        <v>6.4630294569206699</v>
      </c>
    </row>
    <row r="57" spans="1:8" hidden="1" x14ac:dyDescent="0.3">
      <c r="A57" t="s">
        <v>63</v>
      </c>
      <c r="B57">
        <v>7.930565854233965</v>
      </c>
      <c r="C57">
        <v>8.1806009475944492</v>
      </c>
      <c r="D57">
        <v>8.2230905511615333</v>
      </c>
      <c r="E57">
        <v>8.0758936302988573</v>
      </c>
      <c r="F57">
        <v>8.1362255549084601</v>
      </c>
      <c r="G57">
        <v>8.1847926541650775</v>
      </c>
      <c r="H57">
        <v>8.2271082343481456</v>
      </c>
    </row>
    <row r="58" spans="1:8" hidden="1" x14ac:dyDescent="0.3">
      <c r="A58" t="s">
        <v>64</v>
      </c>
      <c r="B58">
        <v>7.13966033596492</v>
      </c>
      <c r="C58">
        <v>7.2011708832816783</v>
      </c>
      <c r="D58">
        <v>6.9810057407217299</v>
      </c>
      <c r="E58">
        <v>6.8627579130514009</v>
      </c>
      <c r="F58">
        <v>6.7923444274708089</v>
      </c>
      <c r="G58">
        <v>6.6795991858443831</v>
      </c>
      <c r="H58">
        <v>6.7226297948554494</v>
      </c>
    </row>
    <row r="59" spans="1:8" hidden="1" x14ac:dyDescent="0.3">
      <c r="A59" t="s">
        <v>65</v>
      </c>
      <c r="B59">
        <v>7.0950643772871311</v>
      </c>
      <c r="C59">
        <v>7.13966033596492</v>
      </c>
      <c r="D59">
        <v>7.0741168161973622</v>
      </c>
      <c r="E59">
        <v>7.0039741367226798</v>
      </c>
      <c r="F59">
        <v>7.1033220625261126</v>
      </c>
      <c r="G59">
        <v>7.215975002651466</v>
      </c>
      <c r="H59">
        <v>7.2765564027187102</v>
      </c>
    </row>
    <row r="60" spans="1:8" hidden="1" x14ac:dyDescent="0.3">
      <c r="A60" t="s">
        <v>66</v>
      </c>
      <c r="B60">
        <v>8.3747075431194826</v>
      </c>
      <c r="C60">
        <v>8.3371091295624744</v>
      </c>
      <c r="D60">
        <v>8.2163583323861555</v>
      </c>
      <c r="E60">
        <v>8.1693363959283865</v>
      </c>
      <c r="F60">
        <v>8.1665003191550518</v>
      </c>
      <c r="G60">
        <v>8.1622310654811798</v>
      </c>
      <c r="H60">
        <v>8.1958853913147962</v>
      </c>
    </row>
    <row r="61" spans="1:8" hidden="1" x14ac:dyDescent="0.3">
      <c r="A61" t="s">
        <v>67</v>
      </c>
      <c r="B61">
        <v>6.4068799860693142</v>
      </c>
      <c r="C61">
        <v>6.3985949345352076</v>
      </c>
      <c r="D61">
        <v>6.7226297948554494</v>
      </c>
      <c r="E61">
        <v>6.5525078870345901</v>
      </c>
      <c r="F61">
        <v>6.7044143549641069</v>
      </c>
      <c r="G61">
        <v>6.9186952190204716</v>
      </c>
      <c r="H61">
        <v>6.9431224228194282</v>
      </c>
    </row>
    <row r="62" spans="1:8" hidden="1" x14ac:dyDescent="0.3">
      <c r="A62" t="s">
        <v>68</v>
      </c>
      <c r="B62">
        <v>5.0498560072495371</v>
      </c>
      <c r="C62">
        <v>5.0814043649844631</v>
      </c>
      <c r="D62">
        <v>5.0498560072495371</v>
      </c>
      <c r="E62">
        <v>5.0814043649844631</v>
      </c>
      <c r="F62">
        <v>5.0814043649844631</v>
      </c>
      <c r="G62">
        <v>4.9487598903781684</v>
      </c>
      <c r="H62">
        <v>4.836281906951478</v>
      </c>
    </row>
    <row r="63" spans="1:8" hidden="1" x14ac:dyDescent="0.3">
      <c r="A63" t="s">
        <v>69</v>
      </c>
      <c r="B63">
        <v>5.8318824772835169</v>
      </c>
      <c r="C63">
        <v>6.0661080901037474</v>
      </c>
      <c r="D63">
        <v>6.1862086239004936</v>
      </c>
      <c r="E63">
        <v>6.6012301187288767</v>
      </c>
      <c r="F63">
        <v>6.3647507568519108</v>
      </c>
      <c r="G63">
        <v>6.5161930760429643</v>
      </c>
      <c r="H63">
        <v>6.6012301187288767</v>
      </c>
    </row>
    <row r="64" spans="1:8" hidden="1" x14ac:dyDescent="0.3">
      <c r="A64" t="s">
        <v>70</v>
      </c>
      <c r="B64">
        <v>7.8383433155571156</v>
      </c>
      <c r="C64">
        <v>8.0000140936780717</v>
      </c>
      <c r="D64">
        <v>8.1650792588050685</v>
      </c>
      <c r="E64">
        <v>8.1931237215120678</v>
      </c>
      <c r="F64">
        <v>8.3017697631171661</v>
      </c>
      <c r="G64">
        <v>8.367764677924308</v>
      </c>
      <c r="H64">
        <v>8.4383664108702661</v>
      </c>
    </row>
    <row r="65" spans="1:8" hidden="1" x14ac:dyDescent="0.3">
      <c r="A65" t="s">
        <v>71</v>
      </c>
      <c r="B65">
        <v>5.8021183753770629</v>
      </c>
      <c r="C65">
        <v>5.5834963087816991</v>
      </c>
      <c r="D65">
        <v>5.5254529391317826</v>
      </c>
      <c r="E65">
        <v>5.7557422135869123</v>
      </c>
      <c r="F65">
        <v>5.7714411231300158</v>
      </c>
      <c r="G65">
        <v>5.8021183753770629</v>
      </c>
      <c r="H65">
        <v>5.9687075599853658</v>
      </c>
    </row>
    <row r="66" spans="1:8" hidden="1" x14ac:dyDescent="0.3">
      <c r="A66" t="s">
        <v>72</v>
      </c>
      <c r="B66">
        <v>7.3938782901077564</v>
      </c>
      <c r="C66">
        <v>7.3369369137076177</v>
      </c>
      <c r="D66">
        <v>7.2661287795564506</v>
      </c>
      <c r="E66">
        <v>7.1553963018967339</v>
      </c>
      <c r="F66">
        <v>7.1670378769122198</v>
      </c>
      <c r="G66">
        <v>7.1276936993473976</v>
      </c>
      <c r="H66">
        <v>7.0783415795576712</v>
      </c>
    </row>
    <row r="67" spans="1:8" hidden="1" x14ac:dyDescent="0.3">
      <c r="A67" t="s">
        <v>73</v>
      </c>
      <c r="B67">
        <v>7.0527210492323231</v>
      </c>
      <c r="C67">
        <v>7.1747243098363764</v>
      </c>
      <c r="D67">
        <v>7.1974353540965907</v>
      </c>
      <c r="E67">
        <v>7.1747243098363764</v>
      </c>
      <c r="F67">
        <v>7.2696167496081694</v>
      </c>
      <c r="G67">
        <v>7.2305631534092916</v>
      </c>
      <c r="H67">
        <v>7.2591161280971006</v>
      </c>
    </row>
    <row r="68" spans="1:8" hidden="1" x14ac:dyDescent="0.3">
      <c r="A68" t="s">
        <v>74</v>
      </c>
      <c r="B68">
        <v>5.8888779583328814</v>
      </c>
      <c r="C68">
        <v>5.955837369464831</v>
      </c>
      <c r="D68">
        <v>5.8888779583328814</v>
      </c>
      <c r="E68">
        <v>6.1114673395026786</v>
      </c>
      <c r="F68">
        <v>6.1758672701057611</v>
      </c>
      <c r="G68">
        <v>6.2934192788464811</v>
      </c>
      <c r="H68">
        <v>6.39024066706535</v>
      </c>
    </row>
    <row r="69" spans="1:8" hidden="1" x14ac:dyDescent="0.3">
      <c r="A69" t="s">
        <v>75</v>
      </c>
      <c r="B69">
        <v>5.3278761687895813</v>
      </c>
      <c r="C69">
        <v>5.1704839950381514</v>
      </c>
      <c r="D69">
        <v>5.1119877883565437</v>
      </c>
      <c r="E69">
        <v>5.0172798368149243</v>
      </c>
      <c r="F69">
        <v>5.1119877883565437</v>
      </c>
      <c r="G69">
        <v>5.1416635565026603</v>
      </c>
      <c r="H69">
        <v>4.9836066217083363</v>
      </c>
    </row>
    <row r="70" spans="1:8" hidden="1" x14ac:dyDescent="0.3">
      <c r="A70" t="s">
        <v>76</v>
      </c>
      <c r="B70">
        <v>6.7405193596062229</v>
      </c>
      <c r="C70">
        <v>6.752270376141742</v>
      </c>
      <c r="D70">
        <v>6.7405193596062229</v>
      </c>
      <c r="E70">
        <v>6.7464121285733736</v>
      </c>
      <c r="F70">
        <v>6.8679744089702934</v>
      </c>
      <c r="G70">
        <v>6.9382844840169602</v>
      </c>
      <c r="H70">
        <v>6.9087547793152204</v>
      </c>
    </row>
    <row r="71" spans="1:8" x14ac:dyDescent="0.3">
      <c r="A71" t="s">
        <v>77</v>
      </c>
      <c r="B71">
        <v>5.1416635565026603</v>
      </c>
      <c r="C71">
        <v>5.3518581334760666</v>
      </c>
      <c r="D71">
        <v>5.3278761687895813</v>
      </c>
      <c r="E71">
        <v>5.2257466737132017</v>
      </c>
      <c r="F71">
        <v>5.3518581334760666</v>
      </c>
      <c r="G71">
        <v>5.2781146592305168</v>
      </c>
      <c r="H71">
        <v>5.1704839950381514</v>
      </c>
    </row>
    <row r="72" spans="1:8" hidden="1" x14ac:dyDescent="0.3">
      <c r="A72" t="s">
        <v>78</v>
      </c>
      <c r="B72">
        <v>6.4785096422085688</v>
      </c>
      <c r="C72">
        <v>6.4551985633401223</v>
      </c>
      <c r="D72">
        <v>6.7405193596062229</v>
      </c>
      <c r="E72">
        <v>6.9622434642662068</v>
      </c>
      <c r="F72">
        <v>7.1974353540965907</v>
      </c>
      <c r="G72">
        <v>7.1708884785125049</v>
      </c>
      <c r="H72">
        <v>7.2269360184932889</v>
      </c>
    </row>
    <row r="73" spans="1:8" hidden="1" x14ac:dyDescent="0.3">
      <c r="A73" t="s">
        <v>79</v>
      </c>
      <c r="B73">
        <v>4.9487598903781684</v>
      </c>
      <c r="C73">
        <v>5.1416635565026603</v>
      </c>
      <c r="D73">
        <v>5.1416635565026603</v>
      </c>
      <c r="E73">
        <v>5.2522734280466299</v>
      </c>
      <c r="F73">
        <v>5.3518581334760666</v>
      </c>
      <c r="G73">
        <v>5.3033049080590757</v>
      </c>
      <c r="H73">
        <v>5.4424177105217932</v>
      </c>
    </row>
    <row r="74" spans="1:8" hidden="1" x14ac:dyDescent="0.3">
      <c r="A74" t="s">
        <v>80</v>
      </c>
      <c r="B74">
        <v>5.8171111599632042</v>
      </c>
      <c r="C74">
        <v>5.6903594543240601</v>
      </c>
      <c r="D74">
        <v>5.5645204073226937</v>
      </c>
      <c r="E74">
        <v>5.4847969334906548</v>
      </c>
      <c r="F74">
        <v>5.4424177105217932</v>
      </c>
      <c r="G74">
        <v>5.4424177105217932</v>
      </c>
      <c r="H74">
        <v>5.5254529391317826</v>
      </c>
    </row>
    <row r="75" spans="1:8" hidden="1" x14ac:dyDescent="0.3">
      <c r="A75" t="s">
        <v>81</v>
      </c>
      <c r="B75">
        <v>7.2086003379601991</v>
      </c>
      <c r="C75">
        <v>7.3038432252777046</v>
      </c>
      <c r="D75">
        <v>7.3626452704178247</v>
      </c>
      <c r="E75">
        <v>7.6309465808904591</v>
      </c>
      <c r="F75">
        <v>7.7561953439481179</v>
      </c>
      <c r="G75">
        <v>7.8083230503910546</v>
      </c>
      <c r="H75">
        <v>7.9483852851118986</v>
      </c>
    </row>
    <row r="76" spans="1:8" hidden="1" x14ac:dyDescent="0.3">
      <c r="A76" t="s">
        <v>82</v>
      </c>
      <c r="B76">
        <v>8.2677056647624259</v>
      </c>
      <c r="C76">
        <v>8.279189777195004</v>
      </c>
      <c r="D76">
        <v>8.3513747067212964</v>
      </c>
      <c r="E76">
        <v>8.4296725938867425</v>
      </c>
      <c r="F76">
        <v>8.5103699660681116</v>
      </c>
      <c r="G76">
        <v>8.5430558509419647</v>
      </c>
      <c r="H76">
        <v>8.5747070976168445</v>
      </c>
    </row>
    <row r="77" spans="1:8" hidden="1" x14ac:dyDescent="0.3">
      <c r="A77" t="s">
        <v>83</v>
      </c>
      <c r="B77">
        <v>6.4313310819334788</v>
      </c>
      <c r="C77">
        <v>6.2363695902037044</v>
      </c>
      <c r="D77">
        <v>6.1333980429966486</v>
      </c>
      <c r="E77">
        <v>6.089044875446846</v>
      </c>
      <c r="F77">
        <v>6.0185932144962342</v>
      </c>
      <c r="G77">
        <v>6.0185932144962342</v>
      </c>
      <c r="H77">
        <v>6.1964441277945204</v>
      </c>
    </row>
    <row r="78" spans="1:8" hidden="1" x14ac:dyDescent="0.3">
      <c r="A78" t="s">
        <v>84</v>
      </c>
      <c r="B78">
        <v>5.0498560072495371</v>
      </c>
      <c r="C78">
        <v>5.1119877883565437</v>
      </c>
      <c r="D78">
        <v>5.1119877883565437</v>
      </c>
      <c r="E78">
        <v>5.0498560072495371</v>
      </c>
      <c r="F78">
        <v>5.0498560072495371</v>
      </c>
      <c r="G78">
        <v>5.2522734280466299</v>
      </c>
      <c r="H78">
        <v>5.0814043649844631</v>
      </c>
    </row>
    <row r="79" spans="1:8" hidden="1" x14ac:dyDescent="0.3">
      <c r="A79" t="s">
        <v>85</v>
      </c>
      <c r="B79">
        <v>6.1548580940164177</v>
      </c>
      <c r="C79">
        <v>6.0776422433490342</v>
      </c>
      <c r="D79">
        <v>6.1441856341256456</v>
      </c>
      <c r="E79">
        <v>6.2065759267249279</v>
      </c>
      <c r="F79">
        <v>6.2461067654815627</v>
      </c>
      <c r="G79">
        <v>6.329720905522696</v>
      </c>
      <c r="H79">
        <v>6.508769136971682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9"/>
  <sheetViews>
    <sheetView topLeftCell="A8" workbookViewId="0">
      <selection activeCell="A20" sqref="A20:D22"/>
    </sheetView>
  </sheetViews>
  <sheetFormatPr defaultRowHeight="14.4" x14ac:dyDescent="0.3"/>
  <cols>
    <col min="1" max="1" width="21.88671875" customWidth="1"/>
  </cols>
  <sheetData>
    <row r="1" spans="1:4" s="1" customFormat="1" x14ac:dyDescent="0.3">
      <c r="A1" s="1" t="s">
        <v>86</v>
      </c>
      <c r="B1" s="1" t="s">
        <v>87</v>
      </c>
      <c r="C1" s="1" t="s">
        <v>88</v>
      </c>
      <c r="D1" s="1" t="s">
        <v>89</v>
      </c>
    </row>
    <row r="2" spans="1:4" x14ac:dyDescent="0.3">
      <c r="A2" t="s">
        <v>9</v>
      </c>
      <c r="B2">
        <v>1</v>
      </c>
      <c r="C2" t="s">
        <v>77</v>
      </c>
      <c r="D2">
        <v>1.5201323986969979</v>
      </c>
    </row>
    <row r="3" spans="1:4" x14ac:dyDescent="0.3">
      <c r="A3" t="s">
        <v>9</v>
      </c>
      <c r="B3">
        <v>2</v>
      </c>
      <c r="C3" t="s">
        <v>54</v>
      </c>
      <c r="D3">
        <v>1.96758071605122</v>
      </c>
    </row>
    <row r="4" spans="1:4" x14ac:dyDescent="0.3">
      <c r="A4" t="s">
        <v>9</v>
      </c>
      <c r="B4">
        <v>3</v>
      </c>
      <c r="C4" t="s">
        <v>48</v>
      </c>
      <c r="D4">
        <v>2.5917943242179331</v>
      </c>
    </row>
    <row r="5" spans="1:4" x14ac:dyDescent="0.3">
      <c r="A5" t="s">
        <v>13</v>
      </c>
      <c r="B5">
        <v>1</v>
      </c>
      <c r="C5" t="s">
        <v>77</v>
      </c>
      <c r="D5">
        <v>1.454306935496537</v>
      </c>
    </row>
    <row r="6" spans="1:4" x14ac:dyDescent="0.3">
      <c r="A6" t="s">
        <v>13</v>
      </c>
      <c r="B6">
        <v>2</v>
      </c>
      <c r="C6" t="s">
        <v>54</v>
      </c>
      <c r="D6">
        <v>2.2261430818371331</v>
      </c>
    </row>
    <row r="7" spans="1:4" x14ac:dyDescent="0.3">
      <c r="A7" t="s">
        <v>13</v>
      </c>
      <c r="B7">
        <v>3</v>
      </c>
      <c r="C7" t="s">
        <v>14</v>
      </c>
      <c r="D7">
        <v>2.7219149317755011</v>
      </c>
    </row>
    <row r="8" spans="1:4" x14ac:dyDescent="0.3">
      <c r="A8" s="5" t="s">
        <v>17</v>
      </c>
      <c r="B8" s="5">
        <v>1</v>
      </c>
      <c r="C8" s="5" t="s">
        <v>48</v>
      </c>
      <c r="D8" s="5">
        <v>1.917850942661258</v>
      </c>
    </row>
    <row r="9" spans="1:4" x14ac:dyDescent="0.3">
      <c r="A9" s="5" t="s">
        <v>17</v>
      </c>
      <c r="B9" s="5">
        <v>2</v>
      </c>
      <c r="C9" s="5" t="s">
        <v>50</v>
      </c>
      <c r="D9" s="5">
        <v>2.0880670236391929</v>
      </c>
    </row>
    <row r="10" spans="1:4" x14ac:dyDescent="0.3">
      <c r="A10" s="5" t="s">
        <v>17</v>
      </c>
      <c r="B10" s="5">
        <v>3</v>
      </c>
      <c r="C10" s="5" t="s">
        <v>64</v>
      </c>
      <c r="D10" s="5">
        <v>2.1317474833802672</v>
      </c>
    </row>
    <row r="11" spans="1:4" x14ac:dyDescent="0.3">
      <c r="A11" t="s">
        <v>20</v>
      </c>
      <c r="B11">
        <v>1</v>
      </c>
      <c r="C11" t="s">
        <v>42</v>
      </c>
      <c r="D11">
        <v>0.78556761100698713</v>
      </c>
    </row>
    <row r="12" spans="1:4" x14ac:dyDescent="0.3">
      <c r="A12" t="s">
        <v>20</v>
      </c>
      <c r="B12">
        <v>2</v>
      </c>
      <c r="C12" t="s">
        <v>73</v>
      </c>
      <c r="D12">
        <v>0.91899781770672062</v>
      </c>
    </row>
    <row r="13" spans="1:4" x14ac:dyDescent="0.3">
      <c r="A13" t="s">
        <v>20</v>
      </c>
      <c r="B13">
        <v>3</v>
      </c>
      <c r="C13" t="s">
        <v>24</v>
      </c>
      <c r="D13">
        <v>1.30529313006485</v>
      </c>
    </row>
    <row r="14" spans="1:4" x14ac:dyDescent="0.3">
      <c r="A14" s="51" t="s">
        <v>21</v>
      </c>
      <c r="B14" s="51">
        <v>1</v>
      </c>
      <c r="C14" s="51" t="s">
        <v>64</v>
      </c>
      <c r="D14" s="51">
        <v>1.322443440920442</v>
      </c>
    </row>
    <row r="15" spans="1:4" x14ac:dyDescent="0.3">
      <c r="A15" s="51" t="s">
        <v>21</v>
      </c>
      <c r="B15" s="51">
        <v>2</v>
      </c>
      <c r="C15" s="51" t="s">
        <v>48</v>
      </c>
      <c r="D15" s="51">
        <v>1.3264343933885541</v>
      </c>
    </row>
    <row r="16" spans="1:4" x14ac:dyDescent="0.3">
      <c r="A16" s="51" t="s">
        <v>21</v>
      </c>
      <c r="B16" s="51">
        <v>3</v>
      </c>
      <c r="C16" s="51" t="s">
        <v>50</v>
      </c>
      <c r="D16" s="51">
        <v>1.5522362059721759</v>
      </c>
    </row>
    <row r="17" spans="1:4" x14ac:dyDescent="0.3">
      <c r="A17" s="5" t="s">
        <v>22</v>
      </c>
      <c r="B17" s="5">
        <v>1</v>
      </c>
      <c r="C17" s="5" t="s">
        <v>42</v>
      </c>
      <c r="D17" s="5">
        <v>0.71480107750477195</v>
      </c>
    </row>
    <row r="18" spans="1:4" x14ac:dyDescent="0.3">
      <c r="A18" s="5" t="s">
        <v>22</v>
      </c>
      <c r="B18" s="5">
        <v>2</v>
      </c>
      <c r="C18" s="5" t="s">
        <v>24</v>
      </c>
      <c r="D18" s="5">
        <v>0.9325909975614225</v>
      </c>
    </row>
    <row r="19" spans="1:4" x14ac:dyDescent="0.3">
      <c r="A19" s="5" t="s">
        <v>22</v>
      </c>
      <c r="B19" s="5">
        <v>3</v>
      </c>
      <c r="C19" s="5" t="s">
        <v>73</v>
      </c>
      <c r="D19" s="5">
        <v>1.051645326352604</v>
      </c>
    </row>
    <row r="20" spans="1:4" x14ac:dyDescent="0.3">
      <c r="A20" t="s">
        <v>23</v>
      </c>
      <c r="B20">
        <v>1</v>
      </c>
      <c r="C20" t="s">
        <v>54</v>
      </c>
      <c r="D20">
        <v>1.313773130643523</v>
      </c>
    </row>
    <row r="21" spans="1:4" x14ac:dyDescent="0.3">
      <c r="A21" t="s">
        <v>23</v>
      </c>
      <c r="B21">
        <v>2</v>
      </c>
      <c r="C21" t="s">
        <v>77</v>
      </c>
      <c r="D21">
        <v>2.120359351148926</v>
      </c>
    </row>
    <row r="22" spans="1:4" x14ac:dyDescent="0.3">
      <c r="A22" t="s">
        <v>23</v>
      </c>
      <c r="B22">
        <v>3</v>
      </c>
      <c r="C22" t="s">
        <v>42</v>
      </c>
      <c r="D22">
        <v>2.232442595052639</v>
      </c>
    </row>
    <row r="23" spans="1:4" x14ac:dyDescent="0.3">
      <c r="A23" s="5" t="s">
        <v>25</v>
      </c>
      <c r="B23" s="5">
        <v>1</v>
      </c>
      <c r="C23" s="5" t="s">
        <v>35</v>
      </c>
      <c r="D23" s="5">
        <v>0.40515867686517359</v>
      </c>
    </row>
    <row r="24" spans="1:4" x14ac:dyDescent="0.3">
      <c r="A24" s="5" t="s">
        <v>25</v>
      </c>
      <c r="B24" s="5">
        <v>2</v>
      </c>
      <c r="C24" s="5" t="s">
        <v>48</v>
      </c>
      <c r="D24" s="5">
        <v>0.64096277571583637</v>
      </c>
    </row>
    <row r="25" spans="1:4" x14ac:dyDescent="0.3">
      <c r="A25" s="5" t="s">
        <v>25</v>
      </c>
      <c r="B25" s="5">
        <v>3</v>
      </c>
      <c r="C25" s="5" t="s">
        <v>64</v>
      </c>
      <c r="D25" s="5">
        <v>0.83151090125850191</v>
      </c>
    </row>
    <row r="26" spans="1:4" x14ac:dyDescent="0.3">
      <c r="A26" s="5" t="s">
        <v>26</v>
      </c>
      <c r="B26" s="5">
        <v>1</v>
      </c>
      <c r="C26" s="5" t="s">
        <v>48</v>
      </c>
      <c r="D26" s="5">
        <v>1.3533316400776481</v>
      </c>
    </row>
    <row r="27" spans="1:4" x14ac:dyDescent="0.3">
      <c r="A27" s="5" t="s">
        <v>26</v>
      </c>
      <c r="B27" s="5">
        <v>2</v>
      </c>
      <c r="C27" s="5" t="s">
        <v>64</v>
      </c>
      <c r="D27" s="5">
        <v>1.474876419808983</v>
      </c>
    </row>
    <row r="28" spans="1:4" x14ac:dyDescent="0.3">
      <c r="A28" s="5" t="s">
        <v>26</v>
      </c>
      <c r="B28" s="5">
        <v>3</v>
      </c>
      <c r="C28" s="5" t="s">
        <v>35</v>
      </c>
      <c r="D28" s="5">
        <v>1.800031410273109</v>
      </c>
    </row>
    <row r="29" spans="1:4" x14ac:dyDescent="0.3">
      <c r="A29" t="s">
        <v>27</v>
      </c>
      <c r="B29">
        <v>1</v>
      </c>
      <c r="C29" t="s">
        <v>42</v>
      </c>
      <c r="D29">
        <v>0.92160942195897999</v>
      </c>
    </row>
    <row r="30" spans="1:4" x14ac:dyDescent="0.3">
      <c r="A30" t="s">
        <v>27</v>
      </c>
      <c r="B30">
        <v>2</v>
      </c>
      <c r="C30" t="s">
        <v>24</v>
      </c>
      <c r="D30">
        <v>1.189670822588075</v>
      </c>
    </row>
    <row r="31" spans="1:4" x14ac:dyDescent="0.3">
      <c r="A31" t="s">
        <v>27</v>
      </c>
      <c r="B31">
        <v>3</v>
      </c>
      <c r="C31" t="s">
        <v>73</v>
      </c>
      <c r="D31">
        <v>1.3889132086567619</v>
      </c>
    </row>
    <row r="32" spans="1:4" x14ac:dyDescent="0.3">
      <c r="A32" t="s">
        <v>28</v>
      </c>
      <c r="B32">
        <v>1</v>
      </c>
      <c r="C32" t="s">
        <v>54</v>
      </c>
      <c r="D32">
        <v>1.7033345140888809</v>
      </c>
    </row>
    <row r="33" spans="1:4" x14ac:dyDescent="0.3">
      <c r="A33" t="s">
        <v>28</v>
      </c>
      <c r="B33">
        <v>2</v>
      </c>
      <c r="C33" t="s">
        <v>77</v>
      </c>
      <c r="D33">
        <v>1.7918969996678871</v>
      </c>
    </row>
    <row r="34" spans="1:4" x14ac:dyDescent="0.3">
      <c r="A34" t="s">
        <v>28</v>
      </c>
      <c r="B34">
        <v>3</v>
      </c>
      <c r="C34" t="s">
        <v>36</v>
      </c>
      <c r="D34">
        <v>2.3017385620529969</v>
      </c>
    </row>
    <row r="35" spans="1:4" x14ac:dyDescent="0.3">
      <c r="A35" t="s">
        <v>30</v>
      </c>
      <c r="B35">
        <v>1</v>
      </c>
      <c r="C35" t="s">
        <v>50</v>
      </c>
      <c r="D35">
        <v>1.2009918077028521</v>
      </c>
    </row>
    <row r="36" spans="1:4" x14ac:dyDescent="0.3">
      <c r="A36" t="s">
        <v>30</v>
      </c>
      <c r="B36">
        <v>2</v>
      </c>
      <c r="C36" t="s">
        <v>48</v>
      </c>
      <c r="D36">
        <v>1.7103959306010279</v>
      </c>
    </row>
    <row r="37" spans="1:4" x14ac:dyDescent="0.3">
      <c r="A37" t="s">
        <v>30</v>
      </c>
      <c r="B37">
        <v>3</v>
      </c>
      <c r="C37" t="s">
        <v>16</v>
      </c>
      <c r="D37">
        <v>1.808807969188861</v>
      </c>
    </row>
    <row r="38" spans="1:4" x14ac:dyDescent="0.3">
      <c r="A38" t="s">
        <v>31</v>
      </c>
      <c r="B38">
        <v>1</v>
      </c>
      <c r="C38" t="s">
        <v>82</v>
      </c>
      <c r="D38">
        <v>0.79318871004131175</v>
      </c>
    </row>
    <row r="39" spans="1:4" x14ac:dyDescent="0.3">
      <c r="A39" t="s">
        <v>31</v>
      </c>
      <c r="B39">
        <v>2</v>
      </c>
      <c r="C39" t="s">
        <v>33</v>
      </c>
      <c r="D39">
        <v>0.85185327995696714</v>
      </c>
    </row>
    <row r="40" spans="1:4" x14ac:dyDescent="0.3">
      <c r="A40" t="s">
        <v>31</v>
      </c>
      <c r="B40">
        <v>3</v>
      </c>
      <c r="C40" t="s">
        <v>45</v>
      </c>
      <c r="D40">
        <v>0.85626509773255732</v>
      </c>
    </row>
    <row r="41" spans="1:4" x14ac:dyDescent="0.3">
      <c r="A41" t="s">
        <v>37</v>
      </c>
      <c r="B41">
        <v>1</v>
      </c>
      <c r="C41" t="s">
        <v>77</v>
      </c>
      <c r="D41">
        <v>1.598831204249944</v>
      </c>
    </row>
    <row r="42" spans="1:4" x14ac:dyDescent="0.3">
      <c r="A42" t="s">
        <v>37</v>
      </c>
      <c r="B42">
        <v>2</v>
      </c>
      <c r="C42" t="s">
        <v>14</v>
      </c>
      <c r="D42">
        <v>2.2108702359853529</v>
      </c>
    </row>
    <row r="43" spans="1:4" x14ac:dyDescent="0.3">
      <c r="A43" t="s">
        <v>37</v>
      </c>
      <c r="B43">
        <v>3</v>
      </c>
      <c r="C43" t="s">
        <v>54</v>
      </c>
      <c r="D43">
        <v>2.2214795218385919</v>
      </c>
    </row>
    <row r="44" spans="1:4" x14ac:dyDescent="0.3">
      <c r="A44" t="s">
        <v>44</v>
      </c>
      <c r="B44">
        <v>1</v>
      </c>
      <c r="C44" t="s">
        <v>45</v>
      </c>
      <c r="D44">
        <v>0.89148389228016534</v>
      </c>
    </row>
    <row r="45" spans="1:4" x14ac:dyDescent="0.3">
      <c r="A45" t="s">
        <v>44</v>
      </c>
      <c r="B45">
        <v>2</v>
      </c>
      <c r="C45" t="s">
        <v>85</v>
      </c>
      <c r="D45">
        <v>0.93305152918571599</v>
      </c>
    </row>
    <row r="46" spans="1:4" x14ac:dyDescent="0.3">
      <c r="A46" t="s">
        <v>44</v>
      </c>
      <c r="B46">
        <v>3</v>
      </c>
      <c r="C46" t="s">
        <v>19</v>
      </c>
      <c r="D46">
        <v>1.0599816380974989</v>
      </c>
    </row>
    <row r="47" spans="1:4" x14ac:dyDescent="0.3">
      <c r="A47" t="s">
        <v>46</v>
      </c>
      <c r="B47">
        <v>1</v>
      </c>
      <c r="C47" t="s">
        <v>54</v>
      </c>
      <c r="D47">
        <v>1.941244593289468</v>
      </c>
    </row>
    <row r="48" spans="1:4" x14ac:dyDescent="0.3">
      <c r="A48" t="s">
        <v>46</v>
      </c>
      <c r="B48">
        <v>2</v>
      </c>
      <c r="C48" t="s">
        <v>34</v>
      </c>
      <c r="D48">
        <v>2.1131810226092602</v>
      </c>
    </row>
    <row r="49" spans="1:4" x14ac:dyDescent="0.3">
      <c r="A49" t="s">
        <v>46</v>
      </c>
      <c r="B49">
        <v>3</v>
      </c>
      <c r="C49" t="s">
        <v>62</v>
      </c>
      <c r="D49">
        <v>2.7562972225803239</v>
      </c>
    </row>
    <row r="50" spans="1:4" x14ac:dyDescent="0.3">
      <c r="A50" t="s">
        <v>47</v>
      </c>
      <c r="B50">
        <v>1</v>
      </c>
      <c r="C50" t="s">
        <v>50</v>
      </c>
      <c r="D50">
        <v>1.947053505032581</v>
      </c>
    </row>
    <row r="51" spans="1:4" x14ac:dyDescent="0.3">
      <c r="A51" t="s">
        <v>47</v>
      </c>
      <c r="B51">
        <v>2</v>
      </c>
      <c r="C51" t="s">
        <v>56</v>
      </c>
      <c r="D51">
        <v>2.0948857998131589</v>
      </c>
    </row>
    <row r="52" spans="1:4" x14ac:dyDescent="0.3">
      <c r="A52" t="s">
        <v>47</v>
      </c>
      <c r="B52">
        <v>3</v>
      </c>
      <c r="C52" t="s">
        <v>75</v>
      </c>
      <c r="D52">
        <v>2.1024054059528718</v>
      </c>
    </row>
    <row r="53" spans="1:4" x14ac:dyDescent="0.3">
      <c r="A53" t="s">
        <v>49</v>
      </c>
      <c r="B53">
        <v>1</v>
      </c>
      <c r="C53" t="s">
        <v>51</v>
      </c>
      <c r="D53">
        <v>0.95290565026523966</v>
      </c>
    </row>
    <row r="54" spans="1:4" x14ac:dyDescent="0.3">
      <c r="A54" t="s">
        <v>49</v>
      </c>
      <c r="B54">
        <v>2</v>
      </c>
      <c r="C54" t="s">
        <v>73</v>
      </c>
      <c r="D54">
        <v>1.1518565613407989</v>
      </c>
    </row>
    <row r="55" spans="1:4" x14ac:dyDescent="0.3">
      <c r="A55" t="s">
        <v>49</v>
      </c>
      <c r="B55">
        <v>3</v>
      </c>
      <c r="C55" t="s">
        <v>36</v>
      </c>
      <c r="D55">
        <v>1.260223225287554</v>
      </c>
    </row>
    <row r="56" spans="1:4" x14ac:dyDescent="0.3">
      <c r="A56" t="s">
        <v>53</v>
      </c>
      <c r="B56">
        <v>1</v>
      </c>
      <c r="C56" t="s">
        <v>42</v>
      </c>
      <c r="D56">
        <v>1.175180669759281</v>
      </c>
    </row>
    <row r="57" spans="1:4" x14ac:dyDescent="0.3">
      <c r="A57" t="s">
        <v>53</v>
      </c>
      <c r="B57">
        <v>2</v>
      </c>
      <c r="C57" t="s">
        <v>24</v>
      </c>
      <c r="D57">
        <v>1.469126013073129</v>
      </c>
    </row>
    <row r="58" spans="1:4" x14ac:dyDescent="0.3">
      <c r="A58" t="s">
        <v>53</v>
      </c>
      <c r="B58">
        <v>3</v>
      </c>
      <c r="C58" t="s">
        <v>8</v>
      </c>
      <c r="D58">
        <v>1.712976122044839</v>
      </c>
    </row>
    <row r="59" spans="1:4" x14ac:dyDescent="0.3">
      <c r="A59" t="s">
        <v>60</v>
      </c>
      <c r="B59">
        <v>1</v>
      </c>
      <c r="C59" t="s">
        <v>42</v>
      </c>
      <c r="D59">
        <v>0.78940335234920489</v>
      </c>
    </row>
    <row r="60" spans="1:4" x14ac:dyDescent="0.3">
      <c r="A60" t="s">
        <v>60</v>
      </c>
      <c r="B60">
        <v>2</v>
      </c>
      <c r="C60" t="s">
        <v>79</v>
      </c>
      <c r="D60">
        <v>0.81905046088821232</v>
      </c>
    </row>
    <row r="61" spans="1:4" x14ac:dyDescent="0.3">
      <c r="A61" t="s">
        <v>60</v>
      </c>
      <c r="B61">
        <v>3</v>
      </c>
      <c r="C61" t="s">
        <v>78</v>
      </c>
      <c r="D61">
        <v>0.82781295435553304</v>
      </c>
    </row>
    <row r="62" spans="1:4" x14ac:dyDescent="0.3">
      <c r="A62" t="s">
        <v>61</v>
      </c>
      <c r="B62">
        <v>1</v>
      </c>
      <c r="C62" t="s">
        <v>33</v>
      </c>
      <c r="D62">
        <v>0.45453412288402018</v>
      </c>
    </row>
    <row r="63" spans="1:4" x14ac:dyDescent="0.3">
      <c r="A63" t="s">
        <v>61</v>
      </c>
      <c r="B63">
        <v>2</v>
      </c>
      <c r="C63" t="s">
        <v>82</v>
      </c>
      <c r="D63">
        <v>0.53020881439454659</v>
      </c>
    </row>
    <row r="64" spans="1:4" x14ac:dyDescent="0.3">
      <c r="A64" t="s">
        <v>61</v>
      </c>
      <c r="B64">
        <v>3</v>
      </c>
      <c r="C64" t="s">
        <v>81</v>
      </c>
      <c r="D64">
        <v>0.60983050696296248</v>
      </c>
    </row>
    <row r="65" spans="1:4" x14ac:dyDescent="0.3">
      <c r="A65" t="s">
        <v>63</v>
      </c>
      <c r="B65">
        <v>1</v>
      </c>
      <c r="C65" t="s">
        <v>14</v>
      </c>
      <c r="D65">
        <v>1.2982732123665801</v>
      </c>
    </row>
    <row r="66" spans="1:4" x14ac:dyDescent="0.3">
      <c r="A66" t="s">
        <v>63</v>
      </c>
      <c r="B66">
        <v>2</v>
      </c>
      <c r="C66" t="s">
        <v>73</v>
      </c>
      <c r="D66">
        <v>1.5008085566896261</v>
      </c>
    </row>
    <row r="67" spans="1:4" x14ac:dyDescent="0.3">
      <c r="A67" t="s">
        <v>63</v>
      </c>
      <c r="B67">
        <v>3</v>
      </c>
      <c r="C67" t="s">
        <v>42</v>
      </c>
      <c r="D67">
        <v>1.621690193249878</v>
      </c>
    </row>
    <row r="68" spans="1:4" x14ac:dyDescent="0.3">
      <c r="A68" t="s">
        <v>67</v>
      </c>
      <c r="B68">
        <v>1</v>
      </c>
      <c r="C68" t="s">
        <v>51</v>
      </c>
      <c r="D68">
        <v>0.86344646830358396</v>
      </c>
    </row>
    <row r="69" spans="1:4" x14ac:dyDescent="0.3">
      <c r="A69" t="s">
        <v>67</v>
      </c>
      <c r="B69">
        <v>2</v>
      </c>
      <c r="C69" t="s">
        <v>19</v>
      </c>
      <c r="D69">
        <v>1.0722629805507189</v>
      </c>
    </row>
    <row r="70" spans="1:4" x14ac:dyDescent="0.3">
      <c r="A70" t="s">
        <v>67</v>
      </c>
      <c r="B70">
        <v>3</v>
      </c>
      <c r="C70" t="s">
        <v>45</v>
      </c>
      <c r="D70">
        <v>1.104413029623214</v>
      </c>
    </row>
    <row r="71" spans="1:4" x14ac:dyDescent="0.3">
      <c r="A71" t="s">
        <v>68</v>
      </c>
      <c r="B71">
        <v>1</v>
      </c>
      <c r="C71" t="s">
        <v>48</v>
      </c>
      <c r="D71">
        <v>2.1291492212480332</v>
      </c>
    </row>
    <row r="72" spans="1:4" x14ac:dyDescent="0.3">
      <c r="A72" t="s">
        <v>68</v>
      </c>
      <c r="B72">
        <v>2</v>
      </c>
      <c r="C72" t="s">
        <v>64</v>
      </c>
      <c r="D72">
        <v>2.1988526983046301</v>
      </c>
    </row>
    <row r="73" spans="1:4" x14ac:dyDescent="0.3">
      <c r="A73" t="s">
        <v>68</v>
      </c>
      <c r="B73">
        <v>3</v>
      </c>
      <c r="C73" t="s">
        <v>50</v>
      </c>
      <c r="D73">
        <v>2.3318618917830038</v>
      </c>
    </row>
    <row r="74" spans="1:4" x14ac:dyDescent="0.3">
      <c r="A74" t="s">
        <v>70</v>
      </c>
      <c r="B74">
        <v>1</v>
      </c>
      <c r="C74" t="s">
        <v>82</v>
      </c>
      <c r="D74">
        <v>0.70076211109565234</v>
      </c>
    </row>
    <row r="75" spans="1:4" x14ac:dyDescent="0.3">
      <c r="A75" t="s">
        <v>70</v>
      </c>
      <c r="B75">
        <v>2</v>
      </c>
      <c r="C75" t="s">
        <v>79</v>
      </c>
      <c r="D75">
        <v>0.73680332091938594</v>
      </c>
    </row>
    <row r="76" spans="1:4" x14ac:dyDescent="0.3">
      <c r="A76" t="s">
        <v>70</v>
      </c>
      <c r="B76">
        <v>3</v>
      </c>
      <c r="C76" t="s">
        <v>33</v>
      </c>
      <c r="D76">
        <v>0.75838741757894579</v>
      </c>
    </row>
    <row r="77" spans="1:4" x14ac:dyDescent="0.3">
      <c r="A77" t="s">
        <v>72</v>
      </c>
      <c r="B77">
        <v>1</v>
      </c>
      <c r="C77" t="s">
        <v>48</v>
      </c>
      <c r="D77">
        <v>0.64602007029833564</v>
      </c>
    </row>
    <row r="78" spans="1:4" x14ac:dyDescent="0.3">
      <c r="A78" t="s">
        <v>72</v>
      </c>
      <c r="B78">
        <v>2</v>
      </c>
      <c r="C78" t="s">
        <v>64</v>
      </c>
      <c r="D78">
        <v>0.79765965307815123</v>
      </c>
    </row>
    <row r="79" spans="1:4" x14ac:dyDescent="0.3">
      <c r="A79" t="s">
        <v>72</v>
      </c>
      <c r="B79">
        <v>3</v>
      </c>
      <c r="C79" t="s">
        <v>35</v>
      </c>
      <c r="D79">
        <v>0.81482206948180624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9"/>
  <sheetViews>
    <sheetView topLeftCell="A14" workbookViewId="0">
      <selection activeCell="A20" sqref="A20:C22"/>
    </sheetView>
  </sheetViews>
  <sheetFormatPr defaultRowHeight="14.4" x14ac:dyDescent="0.3"/>
  <cols>
    <col min="3" max="3" width="16.33203125" style="65" customWidth="1"/>
  </cols>
  <sheetData>
    <row r="1" spans="1:3" s="1" customFormat="1" x14ac:dyDescent="0.3">
      <c r="A1" s="1" t="s">
        <v>86</v>
      </c>
      <c r="B1" s="1" t="s">
        <v>88</v>
      </c>
      <c r="C1" s="64" t="s">
        <v>90</v>
      </c>
    </row>
    <row r="2" spans="1:3" x14ac:dyDescent="0.3">
      <c r="A2" t="s">
        <v>9</v>
      </c>
      <c r="B2" t="s">
        <v>77</v>
      </c>
      <c r="C2" s="65">
        <v>2.0363097138546361E-9</v>
      </c>
    </row>
    <row r="3" spans="1:3" x14ac:dyDescent="0.3">
      <c r="A3" t="s">
        <v>9</v>
      </c>
      <c r="B3" t="s">
        <v>54</v>
      </c>
      <c r="C3" s="65">
        <v>0.64903507398879612</v>
      </c>
    </row>
    <row r="4" spans="1:3" x14ac:dyDescent="0.3">
      <c r="A4" t="s">
        <v>9</v>
      </c>
      <c r="B4" t="s">
        <v>48</v>
      </c>
      <c r="C4" s="65">
        <v>0.35096492397489409</v>
      </c>
    </row>
    <row r="5" spans="1:3" x14ac:dyDescent="0.3">
      <c r="A5" t="s">
        <v>13</v>
      </c>
      <c r="B5" t="s">
        <v>77</v>
      </c>
      <c r="C5" s="65">
        <v>0.99999873825536978</v>
      </c>
    </row>
    <row r="6" spans="1:3" x14ac:dyDescent="0.3">
      <c r="A6" t="s">
        <v>13</v>
      </c>
      <c r="B6" t="s">
        <v>54</v>
      </c>
      <c r="C6" s="65">
        <v>1.2517394440572831E-6</v>
      </c>
    </row>
    <row r="7" spans="1:3" x14ac:dyDescent="0.3">
      <c r="A7" t="s">
        <v>13</v>
      </c>
      <c r="B7" t="s">
        <v>14</v>
      </c>
      <c r="C7" s="65">
        <v>1.000518617098721E-8</v>
      </c>
    </row>
    <row r="8" spans="1:3" x14ac:dyDescent="0.3">
      <c r="A8" t="s">
        <v>17</v>
      </c>
      <c r="B8" t="s">
        <v>48</v>
      </c>
      <c r="C8" s="65">
        <v>0.67580221289686704</v>
      </c>
    </row>
    <row r="9" spans="1:3" x14ac:dyDescent="0.3">
      <c r="A9" t="s">
        <v>17</v>
      </c>
      <c r="B9" t="s">
        <v>50</v>
      </c>
      <c r="C9" s="65">
        <v>0.32419778655420278</v>
      </c>
    </row>
    <row r="10" spans="1:3" x14ac:dyDescent="0.3">
      <c r="A10" t="s">
        <v>17</v>
      </c>
      <c r="B10" t="s">
        <v>64</v>
      </c>
      <c r="C10" s="65">
        <v>5.4893011563366283E-10</v>
      </c>
    </row>
    <row r="11" spans="1:3" x14ac:dyDescent="0.3">
      <c r="A11" t="s">
        <v>20</v>
      </c>
      <c r="B11" t="s">
        <v>42</v>
      </c>
      <c r="C11" s="65">
        <v>1.123184115723512E-9</v>
      </c>
    </row>
    <row r="12" spans="1:3" x14ac:dyDescent="0.3">
      <c r="A12" t="s">
        <v>20</v>
      </c>
      <c r="B12" t="s">
        <v>73</v>
      </c>
      <c r="C12" s="65">
        <v>1.3048872302889341E-8</v>
      </c>
    </row>
    <row r="13" spans="1:3" x14ac:dyDescent="0.3">
      <c r="A13" t="s">
        <v>20</v>
      </c>
      <c r="B13" t="s">
        <v>24</v>
      </c>
      <c r="C13" s="65">
        <v>0.99999998582794369</v>
      </c>
    </row>
    <row r="14" spans="1:3" x14ac:dyDescent="0.3">
      <c r="A14" t="s">
        <v>21</v>
      </c>
      <c r="B14" t="s">
        <v>64</v>
      </c>
      <c r="C14" s="65">
        <v>7.7418319723476075E-10</v>
      </c>
    </row>
    <row r="15" spans="1:3" x14ac:dyDescent="0.3">
      <c r="A15" t="s">
        <v>21</v>
      </c>
      <c r="B15" t="s">
        <v>48</v>
      </c>
      <c r="C15" s="65">
        <v>0.79471318156278947</v>
      </c>
    </row>
    <row r="16" spans="1:3" x14ac:dyDescent="0.3">
      <c r="A16" t="s">
        <v>21</v>
      </c>
      <c r="B16" t="s">
        <v>50</v>
      </c>
      <c r="C16" s="65">
        <v>0.2052868176630272</v>
      </c>
    </row>
    <row r="17" spans="1:3" x14ac:dyDescent="0.3">
      <c r="A17" t="s">
        <v>22</v>
      </c>
      <c r="B17" t="s">
        <v>42</v>
      </c>
      <c r="C17" s="65">
        <v>0.31777391101652008</v>
      </c>
    </row>
    <row r="18" spans="1:3" x14ac:dyDescent="0.3">
      <c r="A18" t="s">
        <v>22</v>
      </c>
      <c r="B18" t="s">
        <v>24</v>
      </c>
      <c r="C18" s="65">
        <v>0.68222606641491146</v>
      </c>
    </row>
    <row r="19" spans="1:3" x14ac:dyDescent="0.3">
      <c r="A19" t="s">
        <v>22</v>
      </c>
      <c r="B19" t="s">
        <v>73</v>
      </c>
      <c r="C19" s="65">
        <v>2.2568568492421111E-8</v>
      </c>
    </row>
    <row r="20" spans="1:3" x14ac:dyDescent="0.3">
      <c r="A20" t="s">
        <v>23</v>
      </c>
      <c r="B20" t="s">
        <v>54</v>
      </c>
      <c r="C20" s="65">
        <v>0.45973532226379249</v>
      </c>
    </row>
    <row r="21" spans="1:3" x14ac:dyDescent="0.3">
      <c r="A21" t="s">
        <v>23</v>
      </c>
      <c r="B21" t="s">
        <v>77</v>
      </c>
      <c r="C21" s="65">
        <v>8.0865157072275651E-2</v>
      </c>
    </row>
    <row r="22" spans="1:3" x14ac:dyDescent="0.3">
      <c r="A22" t="s">
        <v>23</v>
      </c>
      <c r="B22" t="s">
        <v>42</v>
      </c>
      <c r="C22" s="65">
        <v>0.45939952066393192</v>
      </c>
    </row>
    <row r="23" spans="1:3" x14ac:dyDescent="0.3">
      <c r="A23" t="s">
        <v>25</v>
      </c>
      <c r="B23" t="s">
        <v>35</v>
      </c>
      <c r="C23" s="65">
        <v>1.5650705155873499E-9</v>
      </c>
    </row>
    <row r="24" spans="1:3" x14ac:dyDescent="0.3">
      <c r="A24" t="s">
        <v>25</v>
      </c>
      <c r="B24" t="s">
        <v>48</v>
      </c>
      <c r="C24" s="65">
        <v>2.8177492279081748E-10</v>
      </c>
    </row>
    <row r="25" spans="1:3" x14ac:dyDescent="0.3">
      <c r="A25" t="s">
        <v>25</v>
      </c>
      <c r="B25" t="s">
        <v>64</v>
      </c>
      <c r="C25" s="65">
        <v>0.99999999815315466</v>
      </c>
    </row>
    <row r="26" spans="1:3" x14ac:dyDescent="0.3">
      <c r="A26" t="s">
        <v>26</v>
      </c>
      <c r="B26" t="s">
        <v>48</v>
      </c>
      <c r="C26" s="65">
        <v>2.7079212771711909E-11</v>
      </c>
    </row>
    <row r="27" spans="1:3" x14ac:dyDescent="0.3">
      <c r="A27" t="s">
        <v>26</v>
      </c>
      <c r="B27" t="s">
        <v>64</v>
      </c>
      <c r="C27" s="65">
        <v>0.99999999832666442</v>
      </c>
    </row>
    <row r="28" spans="1:3" x14ac:dyDescent="0.3">
      <c r="A28" t="s">
        <v>26</v>
      </c>
      <c r="B28" t="s">
        <v>35</v>
      </c>
      <c r="C28" s="65">
        <v>1.6462565278836949E-9</v>
      </c>
    </row>
    <row r="29" spans="1:3" x14ac:dyDescent="0.3">
      <c r="A29" t="s">
        <v>27</v>
      </c>
      <c r="B29" t="s">
        <v>42</v>
      </c>
      <c r="C29" s="65">
        <v>0.99999992608228272</v>
      </c>
    </row>
    <row r="30" spans="1:3" x14ac:dyDescent="0.3">
      <c r="A30" t="s">
        <v>27</v>
      </c>
      <c r="B30" t="s">
        <v>24</v>
      </c>
      <c r="C30" s="65">
        <v>1.3838223336319641E-9</v>
      </c>
    </row>
    <row r="31" spans="1:3" x14ac:dyDescent="0.3">
      <c r="A31" t="s">
        <v>27</v>
      </c>
      <c r="B31" t="s">
        <v>73</v>
      </c>
      <c r="C31" s="65">
        <v>7.2533895014210998E-8</v>
      </c>
    </row>
    <row r="32" spans="1:3" x14ac:dyDescent="0.3">
      <c r="A32" t="s">
        <v>28</v>
      </c>
      <c r="B32" t="s">
        <v>54</v>
      </c>
      <c r="C32" s="65">
        <v>1.7944391509783481E-6</v>
      </c>
    </row>
    <row r="33" spans="1:3" x14ac:dyDescent="0.3">
      <c r="A33" t="s">
        <v>28</v>
      </c>
      <c r="B33" t="s">
        <v>77</v>
      </c>
      <c r="C33" s="65">
        <v>0.99999820536976203</v>
      </c>
    </row>
    <row r="34" spans="1:3" x14ac:dyDescent="0.3">
      <c r="A34" t="s">
        <v>28</v>
      </c>
      <c r="B34" t="s">
        <v>36</v>
      </c>
      <c r="C34" s="65">
        <v>1.910871013607014E-10</v>
      </c>
    </row>
    <row r="35" spans="1:3" x14ac:dyDescent="0.3">
      <c r="A35" t="s">
        <v>30</v>
      </c>
      <c r="B35" t="s">
        <v>50</v>
      </c>
      <c r="C35" s="65">
        <v>0.29239882456873839</v>
      </c>
    </row>
    <row r="36" spans="1:3" x14ac:dyDescent="0.3">
      <c r="A36" t="s">
        <v>30</v>
      </c>
      <c r="B36" t="s">
        <v>48</v>
      </c>
      <c r="C36" s="65">
        <v>0.70760117535026024</v>
      </c>
    </row>
    <row r="37" spans="1:3" x14ac:dyDescent="0.3">
      <c r="A37" t="s">
        <v>30</v>
      </c>
      <c r="B37" t="s">
        <v>16</v>
      </c>
      <c r="C37" s="65">
        <v>8.1001349514994056E-11</v>
      </c>
    </row>
    <row r="38" spans="1:3" x14ac:dyDescent="0.3">
      <c r="A38" t="s">
        <v>31</v>
      </c>
      <c r="B38" t="s">
        <v>82</v>
      </c>
      <c r="C38" s="65">
        <v>0.2277946293803047</v>
      </c>
    </row>
    <row r="39" spans="1:3" x14ac:dyDescent="0.3">
      <c r="A39" t="s">
        <v>31</v>
      </c>
      <c r="B39" t="s">
        <v>33</v>
      </c>
      <c r="C39" s="65">
        <v>0.59250011986721529</v>
      </c>
    </row>
    <row r="40" spans="1:3" x14ac:dyDescent="0.3">
      <c r="A40" t="s">
        <v>31</v>
      </c>
      <c r="B40" t="s">
        <v>45</v>
      </c>
      <c r="C40" s="65">
        <v>0.17970525075248001</v>
      </c>
    </row>
    <row r="41" spans="1:3" x14ac:dyDescent="0.3">
      <c r="A41" t="s">
        <v>37</v>
      </c>
      <c r="B41" t="s">
        <v>77</v>
      </c>
      <c r="C41" s="65">
        <v>0.99999846482277954</v>
      </c>
    </row>
    <row r="42" spans="1:3" x14ac:dyDescent="0.3">
      <c r="A42" t="s">
        <v>37</v>
      </c>
      <c r="B42" t="s">
        <v>14</v>
      </c>
      <c r="C42" s="65">
        <v>4.1863649963411411E-10</v>
      </c>
    </row>
    <row r="43" spans="1:3" x14ac:dyDescent="0.3">
      <c r="A43" t="s">
        <v>37</v>
      </c>
      <c r="B43" t="s">
        <v>54</v>
      </c>
      <c r="C43" s="65">
        <v>1.534758584483447E-6</v>
      </c>
    </row>
    <row r="44" spans="1:3" x14ac:dyDescent="0.3">
      <c r="A44" t="s">
        <v>44</v>
      </c>
      <c r="B44" t="s">
        <v>45</v>
      </c>
      <c r="C44" s="65">
        <v>1.199532595512779E-12</v>
      </c>
    </row>
    <row r="45" spans="1:3" x14ac:dyDescent="0.3">
      <c r="A45" t="s">
        <v>44</v>
      </c>
      <c r="B45" t="s">
        <v>85</v>
      </c>
      <c r="C45" s="65">
        <v>0.96067366971460844</v>
      </c>
    </row>
    <row r="46" spans="1:3" x14ac:dyDescent="0.3">
      <c r="A46" t="s">
        <v>44</v>
      </c>
      <c r="B46" t="s">
        <v>19</v>
      </c>
      <c r="C46" s="65">
        <v>3.9326330284191947E-2</v>
      </c>
    </row>
    <row r="47" spans="1:3" x14ac:dyDescent="0.3">
      <c r="A47" t="s">
        <v>46</v>
      </c>
      <c r="B47" t="s">
        <v>54</v>
      </c>
      <c r="C47" s="65">
        <v>1.202984178023427E-10</v>
      </c>
    </row>
    <row r="48" spans="1:3" x14ac:dyDescent="0.3">
      <c r="A48" t="s">
        <v>46</v>
      </c>
      <c r="B48" t="s">
        <v>34</v>
      </c>
      <c r="C48" s="65">
        <v>8.7987163081138333E-9</v>
      </c>
    </row>
    <row r="49" spans="1:3" x14ac:dyDescent="0.3">
      <c r="A49" t="s">
        <v>46</v>
      </c>
      <c r="B49" t="s">
        <v>62</v>
      </c>
      <c r="C49" s="65">
        <v>0.99999999108098547</v>
      </c>
    </row>
    <row r="50" spans="1:3" x14ac:dyDescent="0.3">
      <c r="A50" t="s">
        <v>47</v>
      </c>
      <c r="B50" t="s">
        <v>50</v>
      </c>
      <c r="C50" s="65">
        <v>0.24192905717418789</v>
      </c>
    </row>
    <row r="51" spans="1:3" x14ac:dyDescent="0.3">
      <c r="A51" t="s">
        <v>47</v>
      </c>
      <c r="B51" t="s">
        <v>56</v>
      </c>
      <c r="C51" s="65">
        <v>0.32611526601641638</v>
      </c>
    </row>
    <row r="52" spans="1:3" x14ac:dyDescent="0.3">
      <c r="A52" t="s">
        <v>47</v>
      </c>
      <c r="B52" t="s">
        <v>75</v>
      </c>
      <c r="C52" s="65">
        <v>0.43195567680939573</v>
      </c>
    </row>
    <row r="53" spans="1:3" x14ac:dyDescent="0.3">
      <c r="A53" t="s">
        <v>49</v>
      </c>
      <c r="B53" t="s">
        <v>51</v>
      </c>
      <c r="C53" s="65">
        <v>1.7342610302663891E-7</v>
      </c>
    </row>
    <row r="54" spans="1:3" x14ac:dyDescent="0.3">
      <c r="A54" t="s">
        <v>49</v>
      </c>
      <c r="B54" t="s">
        <v>73</v>
      </c>
      <c r="C54" s="65">
        <v>2.1726236488301869E-10</v>
      </c>
    </row>
    <row r="55" spans="1:3" x14ac:dyDescent="0.3">
      <c r="A55" t="s">
        <v>49</v>
      </c>
      <c r="B55" t="s">
        <v>36</v>
      </c>
      <c r="C55" s="65">
        <v>0.99999982635663465</v>
      </c>
    </row>
    <row r="56" spans="1:3" x14ac:dyDescent="0.3">
      <c r="A56" t="s">
        <v>53</v>
      </c>
      <c r="B56" t="s">
        <v>42</v>
      </c>
      <c r="C56" s="65">
        <v>0.39986170408838201</v>
      </c>
    </row>
    <row r="57" spans="1:3" x14ac:dyDescent="0.3">
      <c r="A57" t="s">
        <v>53</v>
      </c>
      <c r="B57" t="s">
        <v>24</v>
      </c>
      <c r="C57" s="65">
        <v>0.1643168440569889</v>
      </c>
    </row>
    <row r="58" spans="1:3" x14ac:dyDescent="0.3">
      <c r="A58" t="s">
        <v>53</v>
      </c>
      <c r="B58" t="s">
        <v>8</v>
      </c>
      <c r="C58" s="65">
        <v>0.43582145185462912</v>
      </c>
    </row>
    <row r="59" spans="1:3" x14ac:dyDescent="0.3">
      <c r="A59" t="s">
        <v>60</v>
      </c>
      <c r="B59" t="s">
        <v>42</v>
      </c>
      <c r="C59" s="65">
        <v>0.9999998852556381</v>
      </c>
    </row>
    <row r="60" spans="1:3" x14ac:dyDescent="0.3">
      <c r="A60" t="s">
        <v>60</v>
      </c>
      <c r="B60" t="s">
        <v>79</v>
      </c>
      <c r="C60" s="65">
        <v>3.3097314909353621E-10</v>
      </c>
    </row>
    <row r="61" spans="1:3" x14ac:dyDescent="0.3">
      <c r="A61" t="s">
        <v>60</v>
      </c>
      <c r="B61" t="s">
        <v>78</v>
      </c>
      <c r="C61" s="65">
        <v>1.1441338874861271E-7</v>
      </c>
    </row>
    <row r="62" spans="1:3" x14ac:dyDescent="0.3">
      <c r="A62" t="s">
        <v>61</v>
      </c>
      <c r="B62" t="s">
        <v>33</v>
      </c>
      <c r="C62" s="65">
        <v>7.6725612798815526E-2</v>
      </c>
    </row>
    <row r="63" spans="1:3" x14ac:dyDescent="0.3">
      <c r="A63" t="s">
        <v>61</v>
      </c>
      <c r="B63" t="s">
        <v>82</v>
      </c>
      <c r="C63" s="65">
        <v>1.687688923342771E-9</v>
      </c>
    </row>
    <row r="64" spans="1:3" x14ac:dyDescent="0.3">
      <c r="A64" t="s">
        <v>61</v>
      </c>
      <c r="B64" t="s">
        <v>81</v>
      </c>
      <c r="C64" s="65">
        <v>0.92327438551349561</v>
      </c>
    </row>
    <row r="65" spans="1:3" x14ac:dyDescent="0.3">
      <c r="A65" t="s">
        <v>63</v>
      </c>
      <c r="B65" t="s">
        <v>14</v>
      </c>
      <c r="C65" s="65">
        <v>2.7033091665574352E-13</v>
      </c>
    </row>
    <row r="66" spans="1:3" x14ac:dyDescent="0.3">
      <c r="A66" t="s">
        <v>63</v>
      </c>
      <c r="B66" t="s">
        <v>73</v>
      </c>
      <c r="C66" s="65">
        <v>3.3301639146560272E-7</v>
      </c>
    </row>
    <row r="67" spans="1:3" x14ac:dyDescent="0.3">
      <c r="A67" t="s">
        <v>63</v>
      </c>
      <c r="B67" t="s">
        <v>42</v>
      </c>
      <c r="C67" s="65">
        <v>0.9999996669833382</v>
      </c>
    </row>
    <row r="68" spans="1:3" x14ac:dyDescent="0.3">
      <c r="A68" t="s">
        <v>67</v>
      </c>
      <c r="B68" t="s">
        <v>51</v>
      </c>
      <c r="C68" s="65">
        <v>0.61909911223363645</v>
      </c>
    </row>
    <row r="69" spans="1:3" x14ac:dyDescent="0.3">
      <c r="A69" t="s">
        <v>67</v>
      </c>
      <c r="B69" t="s">
        <v>19</v>
      </c>
      <c r="C69" s="65">
        <v>0.29050540905599781</v>
      </c>
    </row>
    <row r="70" spans="1:3" x14ac:dyDescent="0.3">
      <c r="A70" t="s">
        <v>67</v>
      </c>
      <c r="B70" t="s">
        <v>45</v>
      </c>
      <c r="C70" s="65">
        <v>9.039547871036574E-2</v>
      </c>
    </row>
    <row r="71" spans="1:3" x14ac:dyDescent="0.3">
      <c r="A71" t="s">
        <v>68</v>
      </c>
      <c r="B71" t="s">
        <v>48</v>
      </c>
      <c r="C71" s="65">
        <v>6.2071219128572069E-10</v>
      </c>
    </row>
    <row r="72" spans="1:3" x14ac:dyDescent="0.3">
      <c r="A72" t="s">
        <v>68</v>
      </c>
      <c r="B72" t="s">
        <v>64</v>
      </c>
      <c r="C72" s="65">
        <v>7.5412267184569806E-8</v>
      </c>
    </row>
    <row r="73" spans="1:3" x14ac:dyDescent="0.3">
      <c r="A73" t="s">
        <v>68</v>
      </c>
      <c r="B73" t="s">
        <v>50</v>
      </c>
      <c r="C73" s="65">
        <v>0.99999992396702087</v>
      </c>
    </row>
    <row r="74" spans="1:3" x14ac:dyDescent="0.3">
      <c r="A74" t="s">
        <v>70</v>
      </c>
      <c r="B74" t="s">
        <v>82</v>
      </c>
      <c r="C74" s="65">
        <v>0.87392972297862725</v>
      </c>
    </row>
    <row r="75" spans="1:3" x14ac:dyDescent="0.3">
      <c r="A75" t="s">
        <v>70</v>
      </c>
      <c r="B75" t="s">
        <v>79</v>
      </c>
      <c r="C75" s="65">
        <v>2.2439626276665712E-9</v>
      </c>
    </row>
    <row r="76" spans="1:3" x14ac:dyDescent="0.3">
      <c r="A76" t="s">
        <v>70</v>
      </c>
      <c r="B76" t="s">
        <v>33</v>
      </c>
      <c r="C76" s="65">
        <v>0.1260702747774102</v>
      </c>
    </row>
    <row r="77" spans="1:3" x14ac:dyDescent="0.3">
      <c r="A77" t="s">
        <v>72</v>
      </c>
      <c r="B77" t="s">
        <v>48</v>
      </c>
      <c r="C77" s="65">
        <v>4.1636069321933687E-9</v>
      </c>
    </row>
    <row r="78" spans="1:3" x14ac:dyDescent="0.3">
      <c r="A78" t="s">
        <v>72</v>
      </c>
      <c r="B78" t="s">
        <v>64</v>
      </c>
      <c r="C78" s="65">
        <v>0.80290188916571481</v>
      </c>
    </row>
    <row r="79" spans="1:3" x14ac:dyDescent="0.3">
      <c r="A79" t="s">
        <v>72</v>
      </c>
      <c r="B79" t="s">
        <v>35</v>
      </c>
      <c r="C79" s="65">
        <v>0.19709810667067831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5E5D-D467-4BCD-9988-18C4D5BCD66B}">
  <sheetPr>
    <tabColor rgb="FFFF0000"/>
  </sheetPr>
  <dimension ref="B1:R41"/>
  <sheetViews>
    <sheetView topLeftCell="D9" zoomScale="113" zoomScaleNormal="75" workbookViewId="0">
      <selection activeCell="K23" sqref="K23"/>
    </sheetView>
  </sheetViews>
  <sheetFormatPr defaultRowHeight="14.4" x14ac:dyDescent="0.3"/>
  <cols>
    <col min="2" max="2" width="17.33203125" customWidth="1"/>
    <col min="3" max="3" width="15.6640625" customWidth="1"/>
    <col min="4" max="4" width="11.33203125" style="2" customWidth="1"/>
    <col min="5" max="9" width="12.44140625" bestFit="1" customWidth="1"/>
    <col min="10" max="10" width="11.33203125" bestFit="1" customWidth="1"/>
    <col min="11" max="11" width="14.77734375" customWidth="1"/>
    <col min="12" max="12" width="13.44140625" bestFit="1" customWidth="1"/>
    <col min="13" max="18" width="9" bestFit="1" customWidth="1"/>
  </cols>
  <sheetData>
    <row r="1" spans="2:9" ht="15" thickBot="1" x14ac:dyDescent="0.35"/>
    <row r="2" spans="2:9" x14ac:dyDescent="0.3">
      <c r="B2" s="15" t="s">
        <v>108</v>
      </c>
      <c r="C2" s="16"/>
      <c r="D2" s="17"/>
      <c r="E2" s="16"/>
      <c r="F2" s="16"/>
      <c r="G2" s="16"/>
      <c r="H2" s="16"/>
      <c r="I2" s="18"/>
    </row>
    <row r="3" spans="2:9" x14ac:dyDescent="0.3">
      <c r="B3" s="76" t="s">
        <v>106</v>
      </c>
      <c r="C3" s="77"/>
      <c r="D3" s="77"/>
      <c r="E3" s="77"/>
      <c r="F3" s="13"/>
      <c r="G3" s="13"/>
      <c r="H3" s="13"/>
      <c r="I3" s="19"/>
    </row>
    <row r="4" spans="2:9" x14ac:dyDescent="0.3">
      <c r="B4" s="20" t="s">
        <v>86</v>
      </c>
      <c r="C4" s="9" t="s">
        <v>87</v>
      </c>
      <c r="D4" s="10" t="s">
        <v>88</v>
      </c>
      <c r="E4" s="9" t="s">
        <v>89</v>
      </c>
      <c r="F4" s="13"/>
      <c r="G4" s="13"/>
      <c r="H4" s="13"/>
      <c r="I4" s="19"/>
    </row>
    <row r="5" spans="2:9" x14ac:dyDescent="0.3">
      <c r="B5" s="21" t="s">
        <v>17</v>
      </c>
      <c r="C5" s="11">
        <v>1</v>
      </c>
      <c r="D5" s="12" t="s">
        <v>48</v>
      </c>
      <c r="E5" s="11">
        <v>1.917850942661258</v>
      </c>
      <c r="F5" s="13"/>
      <c r="G5" s="13"/>
      <c r="H5" s="13"/>
      <c r="I5" s="19"/>
    </row>
    <row r="6" spans="2:9" x14ac:dyDescent="0.3">
      <c r="B6" s="21" t="s">
        <v>17</v>
      </c>
      <c r="C6" s="11">
        <v>2</v>
      </c>
      <c r="D6" s="12" t="s">
        <v>50</v>
      </c>
      <c r="E6" s="11">
        <v>2.0880670236391929</v>
      </c>
      <c r="F6" s="13"/>
      <c r="G6" s="13"/>
      <c r="H6" s="13"/>
      <c r="I6" s="19"/>
    </row>
    <row r="7" spans="2:9" ht="28.8" x14ac:dyDescent="0.3">
      <c r="B7" s="21" t="s">
        <v>17</v>
      </c>
      <c r="C7" s="11">
        <v>3</v>
      </c>
      <c r="D7" s="12" t="s">
        <v>64</v>
      </c>
      <c r="E7" s="11">
        <v>2.1317474833802672</v>
      </c>
      <c r="F7" s="13"/>
      <c r="G7" s="13"/>
      <c r="H7" s="13"/>
      <c r="I7" s="19"/>
    </row>
    <row r="8" spans="2:9" x14ac:dyDescent="0.3">
      <c r="B8" s="22"/>
      <c r="C8" s="13"/>
      <c r="D8" s="14"/>
      <c r="E8" s="13"/>
      <c r="F8" s="13"/>
      <c r="G8" s="13"/>
      <c r="H8" s="13"/>
      <c r="I8" s="19"/>
    </row>
    <row r="9" spans="2:9" x14ac:dyDescent="0.3">
      <c r="B9" s="73" t="s">
        <v>105</v>
      </c>
      <c r="C9" s="74"/>
      <c r="D9" s="74"/>
      <c r="E9" s="74"/>
      <c r="F9" s="74"/>
      <c r="G9" s="74"/>
      <c r="H9" s="74"/>
      <c r="I9" s="75"/>
    </row>
    <row r="10" spans="2:9" x14ac:dyDescent="0.3">
      <c r="B10" s="23" t="s">
        <v>0</v>
      </c>
      <c r="C10" s="7" t="s">
        <v>1</v>
      </c>
      <c r="D10" s="8" t="s">
        <v>2</v>
      </c>
      <c r="E10" s="7" t="s">
        <v>3</v>
      </c>
      <c r="F10" s="7" t="s">
        <v>4</v>
      </c>
      <c r="G10" s="7" t="s">
        <v>5</v>
      </c>
      <c r="H10" s="7" t="s">
        <v>6</v>
      </c>
      <c r="I10" s="24" t="s">
        <v>7</v>
      </c>
    </row>
    <row r="11" spans="2:9" x14ac:dyDescent="0.3">
      <c r="B11" s="23" t="s">
        <v>17</v>
      </c>
      <c r="C11" s="7">
        <v>7.741099090035366</v>
      </c>
      <c r="D11" s="8">
        <v>7.7454356102743809</v>
      </c>
      <c r="E11" s="7">
        <v>7.8304256178203309</v>
      </c>
      <c r="F11" s="7">
        <v>7.7257714415879519</v>
      </c>
      <c r="G11" s="7">
        <v>7.7257714415879519</v>
      </c>
      <c r="H11" s="7">
        <v>7.6596429545646822</v>
      </c>
      <c r="I11" s="24">
        <v>7.568379267836522</v>
      </c>
    </row>
    <row r="12" spans="2:9" x14ac:dyDescent="0.3">
      <c r="B12" s="23" t="s">
        <v>48</v>
      </c>
      <c r="C12" s="7">
        <v>8.7727652099497853</v>
      </c>
      <c r="D12" s="8">
        <v>8.8181862779276905</v>
      </c>
      <c r="E12" s="7">
        <v>8.647519453091812</v>
      </c>
      <c r="F12" s="7">
        <v>8.4879703327393337</v>
      </c>
      <c r="G12" s="7">
        <v>8.3963805711994901</v>
      </c>
      <c r="H12" s="7">
        <v>8.39185670010494</v>
      </c>
      <c r="I12" s="24">
        <v>8.2967958657700525</v>
      </c>
    </row>
    <row r="13" spans="2:9" x14ac:dyDescent="0.3">
      <c r="B13" s="23" t="s">
        <v>50</v>
      </c>
      <c r="C13" s="7">
        <v>6.2461067654815627</v>
      </c>
      <c r="D13" s="8">
        <v>6.0185932144962342</v>
      </c>
      <c r="E13" s="7">
        <v>6.0426328336823811</v>
      </c>
      <c r="F13" s="7">
        <v>5.9427993751267012</v>
      </c>
      <c r="G13" s="7">
        <v>5.9026333334013659</v>
      </c>
      <c r="H13" s="7">
        <v>5.8464387750577247</v>
      </c>
      <c r="I13" s="24">
        <v>5.8171111599632042</v>
      </c>
    </row>
    <row r="14" spans="2:9" x14ac:dyDescent="0.3">
      <c r="B14" s="23" t="s">
        <v>64</v>
      </c>
      <c r="C14" s="7">
        <v>7.13966033596492</v>
      </c>
      <c r="D14" s="8">
        <v>7.2011708832816783</v>
      </c>
      <c r="E14" s="7">
        <v>6.9810057407217299</v>
      </c>
      <c r="F14" s="7">
        <v>6.8627579130514009</v>
      </c>
      <c r="G14" s="7">
        <v>6.7923444274708089</v>
      </c>
      <c r="H14" s="7">
        <v>6.6795991858443831</v>
      </c>
      <c r="I14" s="24">
        <v>6.7226297948554494</v>
      </c>
    </row>
    <row r="15" spans="2:9" x14ac:dyDescent="0.3">
      <c r="B15" s="22"/>
      <c r="C15" s="13"/>
      <c r="D15" s="14"/>
      <c r="E15" s="13"/>
      <c r="F15" s="13"/>
      <c r="G15" s="13"/>
      <c r="H15" s="13"/>
      <c r="I15" s="19"/>
    </row>
    <row r="16" spans="2:9" x14ac:dyDescent="0.3">
      <c r="B16" s="71" t="s">
        <v>107</v>
      </c>
      <c r="C16" s="72"/>
      <c r="D16" s="72"/>
      <c r="E16" s="13"/>
      <c r="F16" s="13"/>
      <c r="G16" s="13"/>
      <c r="H16" s="13"/>
      <c r="I16" s="19"/>
    </row>
    <row r="17" spans="2:18" x14ac:dyDescent="0.3">
      <c r="B17" s="25" t="s">
        <v>86</v>
      </c>
      <c r="C17" s="6" t="s">
        <v>88</v>
      </c>
      <c r="D17" s="6" t="s">
        <v>90</v>
      </c>
      <c r="E17" s="13"/>
      <c r="F17" s="13"/>
      <c r="G17" s="13"/>
      <c r="H17" s="13"/>
      <c r="I17" s="19"/>
    </row>
    <row r="18" spans="2:18" x14ac:dyDescent="0.3">
      <c r="B18" s="23" t="s">
        <v>17</v>
      </c>
      <c r="C18" s="7" t="s">
        <v>48</v>
      </c>
      <c r="D18" s="7">
        <v>0.67580221289686704</v>
      </c>
      <c r="E18" s="13"/>
      <c r="F18" s="13"/>
      <c r="G18" s="13"/>
      <c r="H18" s="13"/>
      <c r="I18" s="19"/>
    </row>
    <row r="19" spans="2:18" x14ac:dyDescent="0.3">
      <c r="B19" s="23" t="s">
        <v>17</v>
      </c>
      <c r="C19" s="7" t="s">
        <v>50</v>
      </c>
      <c r="D19" s="7">
        <v>0.32419778655420278</v>
      </c>
      <c r="E19" s="13"/>
      <c r="F19" s="13"/>
      <c r="G19" s="13"/>
      <c r="H19" s="13"/>
      <c r="I19" s="19"/>
    </row>
    <row r="20" spans="2:18" ht="15" thickBot="1" x14ac:dyDescent="0.35">
      <c r="B20" s="26" t="s">
        <v>17</v>
      </c>
      <c r="C20" s="27" t="s">
        <v>64</v>
      </c>
      <c r="D20" s="49">
        <v>5.4893011563366283E-10</v>
      </c>
      <c r="E20" s="28"/>
      <c r="F20" s="28"/>
      <c r="G20" s="28"/>
      <c r="H20" s="28"/>
      <c r="I20" s="29"/>
    </row>
    <row r="22" spans="2:18" ht="15" thickBot="1" x14ac:dyDescent="0.35"/>
    <row r="23" spans="2:18" x14ac:dyDescent="0.3">
      <c r="B23" s="30" t="s">
        <v>109</v>
      </c>
      <c r="C23" s="31"/>
      <c r="D23" s="32"/>
      <c r="E23" s="31"/>
      <c r="F23" s="31"/>
      <c r="G23" s="31"/>
      <c r="H23" s="31"/>
      <c r="I23" s="33"/>
      <c r="K23" s="78" t="s">
        <v>145</v>
      </c>
      <c r="L23" s="31"/>
      <c r="M23" s="32"/>
      <c r="N23" s="31"/>
      <c r="O23" s="31"/>
      <c r="P23" s="31"/>
      <c r="Q23" s="31"/>
      <c r="R23" s="33"/>
    </row>
    <row r="24" spans="2:18" x14ac:dyDescent="0.3">
      <c r="B24" s="34" t="s">
        <v>91</v>
      </c>
      <c r="C24" s="35"/>
      <c r="D24" s="36"/>
      <c r="E24" s="35"/>
      <c r="F24" s="35"/>
      <c r="G24" s="35"/>
      <c r="H24" s="35"/>
      <c r="I24" s="37"/>
      <c r="K24" s="34" t="s">
        <v>91</v>
      </c>
      <c r="L24" s="35"/>
      <c r="M24" s="36"/>
      <c r="N24" s="35"/>
      <c r="O24" s="35"/>
      <c r="P24" s="35"/>
      <c r="Q24" s="35"/>
      <c r="R24" s="37"/>
    </row>
    <row r="25" spans="2:18" x14ac:dyDescent="0.3">
      <c r="B25" s="34" t="s">
        <v>92</v>
      </c>
      <c r="C25" s="35"/>
      <c r="D25" s="36"/>
      <c r="E25" s="35"/>
      <c r="F25" s="35"/>
      <c r="G25" s="35"/>
      <c r="H25" s="35"/>
      <c r="I25" s="37"/>
      <c r="K25" s="34" t="s">
        <v>92</v>
      </c>
      <c r="L25" s="35"/>
      <c r="M25" s="36"/>
      <c r="N25" s="35"/>
      <c r="O25" s="35"/>
      <c r="P25" s="35"/>
      <c r="Q25" s="35"/>
      <c r="R25" s="37"/>
    </row>
    <row r="26" spans="2:18" x14ac:dyDescent="0.3">
      <c r="B26" s="34" t="s">
        <v>93</v>
      </c>
      <c r="C26" s="35"/>
      <c r="D26" s="36"/>
      <c r="E26" s="35"/>
      <c r="F26" s="35"/>
      <c r="G26" s="35"/>
      <c r="H26" s="35"/>
      <c r="I26" s="37"/>
      <c r="K26" s="34" t="s">
        <v>93</v>
      </c>
      <c r="L26" s="35"/>
      <c r="M26" s="36"/>
      <c r="N26" s="35"/>
      <c r="O26" s="35"/>
      <c r="P26" s="35"/>
      <c r="Q26" s="35"/>
      <c r="R26" s="37"/>
    </row>
    <row r="27" spans="2:18" x14ac:dyDescent="0.3">
      <c r="B27" s="34"/>
      <c r="C27" s="35"/>
      <c r="D27" s="36"/>
      <c r="E27" s="35"/>
      <c r="F27" s="35"/>
      <c r="G27" s="35"/>
      <c r="H27" s="35"/>
      <c r="I27" s="37"/>
      <c r="K27" s="34"/>
      <c r="L27" s="35"/>
      <c r="M27" s="36"/>
      <c r="N27" s="35"/>
      <c r="O27" s="35"/>
      <c r="P27" s="35"/>
      <c r="Q27" s="35"/>
      <c r="R27" s="37"/>
    </row>
    <row r="28" spans="2:18" x14ac:dyDescent="0.3">
      <c r="B28" s="34" t="s">
        <v>97</v>
      </c>
      <c r="C28" s="35" t="s">
        <v>98</v>
      </c>
      <c r="D28" s="36"/>
      <c r="E28" s="35"/>
      <c r="F28" s="35"/>
      <c r="G28" s="35"/>
      <c r="H28" s="35"/>
      <c r="I28" s="37"/>
      <c r="K28" s="34" t="s">
        <v>97</v>
      </c>
      <c r="L28" s="35" t="s">
        <v>98</v>
      </c>
      <c r="M28" s="36"/>
      <c r="N28" s="35"/>
      <c r="O28" s="35"/>
      <c r="P28" s="35"/>
      <c r="Q28" s="35"/>
      <c r="R28" s="37"/>
    </row>
    <row r="29" spans="2:18" x14ac:dyDescent="0.3">
      <c r="B29" s="34" t="s">
        <v>94</v>
      </c>
      <c r="C29" s="35">
        <v>0.6758001745087735</v>
      </c>
      <c r="D29" s="36"/>
      <c r="E29" s="35"/>
      <c r="F29" s="35"/>
      <c r="G29" s="35"/>
      <c r="H29" s="35"/>
      <c r="I29" s="37"/>
      <c r="K29" s="34" t="s">
        <v>94</v>
      </c>
      <c r="L29" s="35">
        <v>0.33300000000000002</v>
      </c>
      <c r="M29" s="36"/>
      <c r="N29" s="35"/>
      <c r="O29" s="35"/>
      <c r="P29" s="35"/>
      <c r="Q29" s="35"/>
      <c r="R29" s="37"/>
    </row>
    <row r="30" spans="2:18" x14ac:dyDescent="0.3">
      <c r="B30" s="34" t="s">
        <v>95</v>
      </c>
      <c r="C30" s="35">
        <v>0.32420082549122647</v>
      </c>
      <c r="D30" s="36"/>
      <c r="E30" s="35"/>
      <c r="F30" s="35"/>
      <c r="G30" s="35"/>
      <c r="H30" s="35"/>
      <c r="I30" s="37"/>
      <c r="K30" s="34" t="s">
        <v>95</v>
      </c>
      <c r="L30" s="35">
        <v>0.33300000000000002</v>
      </c>
      <c r="M30" s="36"/>
      <c r="N30" s="35"/>
      <c r="O30" s="35"/>
      <c r="P30" s="35"/>
      <c r="Q30" s="35"/>
      <c r="R30" s="37"/>
    </row>
    <row r="31" spans="2:18" x14ac:dyDescent="0.3">
      <c r="B31" s="34" t="s">
        <v>96</v>
      </c>
      <c r="C31" s="35">
        <v>0</v>
      </c>
      <c r="D31" s="36"/>
      <c r="E31" s="35"/>
      <c r="F31" s="35"/>
      <c r="G31" s="35"/>
      <c r="H31" s="35"/>
      <c r="I31" s="37"/>
      <c r="K31" s="34" t="s">
        <v>96</v>
      </c>
      <c r="L31" s="35">
        <v>0.33300000000000002</v>
      </c>
      <c r="M31" s="36"/>
      <c r="N31" s="35"/>
      <c r="O31" s="35"/>
      <c r="P31" s="35"/>
      <c r="Q31" s="35"/>
      <c r="R31" s="37"/>
    </row>
    <row r="32" spans="2:18" x14ac:dyDescent="0.3">
      <c r="B32" s="34" t="s">
        <v>99</v>
      </c>
      <c r="C32" s="35">
        <f>SUM(C29:C31)</f>
        <v>1.0000009999999999</v>
      </c>
      <c r="D32" s="36"/>
      <c r="E32" s="35"/>
      <c r="F32" s="35"/>
      <c r="G32" s="35"/>
      <c r="H32" s="35"/>
      <c r="I32" s="37"/>
      <c r="K32" s="34" t="s">
        <v>99</v>
      </c>
      <c r="L32" s="35">
        <f>SUM(L29:L31)</f>
        <v>0.99900000000000011</v>
      </c>
      <c r="M32" s="36"/>
      <c r="N32" s="35"/>
      <c r="O32" s="35"/>
      <c r="P32" s="35"/>
      <c r="Q32" s="35"/>
      <c r="R32" s="37"/>
    </row>
    <row r="33" spans="2:18" x14ac:dyDescent="0.3">
      <c r="B33" s="34"/>
      <c r="C33" s="35"/>
      <c r="D33" s="36"/>
      <c r="E33" s="35"/>
      <c r="F33" s="35"/>
      <c r="G33" s="35"/>
      <c r="H33" s="35"/>
      <c r="I33" s="37"/>
      <c r="K33" s="34"/>
      <c r="L33" s="35"/>
      <c r="M33" s="36"/>
      <c r="N33" s="35"/>
      <c r="O33" s="35"/>
      <c r="P33" s="35"/>
      <c r="Q33" s="35"/>
      <c r="R33" s="37"/>
    </row>
    <row r="34" spans="2:18" x14ac:dyDescent="0.3">
      <c r="B34" s="38" t="s">
        <v>100</v>
      </c>
      <c r="C34" s="39">
        <f t="shared" ref="C34:I34" si="0">C12*$C$29+C13*$C$30+C14*$C$31</f>
        <v>7.9536292292840196</v>
      </c>
      <c r="D34" s="39">
        <f t="shared" si="0"/>
        <v>7.9105647139099782</v>
      </c>
      <c r="E34" s="39">
        <f t="shared" si="0"/>
        <v>7.8030217082876767</v>
      </c>
      <c r="F34" s="39">
        <f t="shared" si="0"/>
        <v>7.6628322952353551</v>
      </c>
      <c r="G34" s="39">
        <f t="shared" si="0"/>
        <v>7.5879140545194437</v>
      </c>
      <c r="H34" s="39">
        <f t="shared" si="0"/>
        <v>7.5666384994411677</v>
      </c>
      <c r="I34" s="40">
        <f t="shared" si="0"/>
        <v>7.4928883339853689</v>
      </c>
      <c r="J34" s="3"/>
      <c r="K34" s="48" t="s">
        <v>100</v>
      </c>
      <c r="L34" s="39">
        <f>C12*$L$29+C13*$L$30+C14*$L$31</f>
        <v>7.3787912596949585</v>
      </c>
      <c r="M34" s="39">
        <f t="shared" ref="M34:R34" si="1">D12*$L$29+D13*$L$30+D14*$L$31</f>
        <v>7.3386374751099659</v>
      </c>
      <c r="N34" s="39">
        <f t="shared" si="1"/>
        <v>7.2164956231561419</v>
      </c>
      <c r="O34" s="39">
        <f t="shared" si="1"/>
        <v>7.0907446977655066</v>
      </c>
      <c r="P34" s="39">
        <f t="shared" si="1"/>
        <v>7.0234223245798653</v>
      </c>
      <c r="Q34" s="39">
        <f t="shared" si="1"/>
        <v>6.9656589221153471</v>
      </c>
      <c r="R34" s="40">
        <f t="shared" si="1"/>
        <v>6.9385667612560393</v>
      </c>
    </row>
    <row r="35" spans="2:18" x14ac:dyDescent="0.3">
      <c r="B35" s="34" t="s">
        <v>101</v>
      </c>
      <c r="C35" s="39">
        <f>C11-C34</f>
        <v>-0.2125301392486536</v>
      </c>
      <c r="D35" s="39">
        <f t="shared" ref="D35:H35" si="2">D11-D34</f>
        <v>-0.1651291036355973</v>
      </c>
      <c r="E35" s="39">
        <f t="shared" si="2"/>
        <v>2.7403909532654147E-2</v>
      </c>
      <c r="F35" s="39">
        <f t="shared" si="2"/>
        <v>6.2939146352596786E-2</v>
      </c>
      <c r="G35" s="39">
        <f t="shared" si="2"/>
        <v>0.13785738706850825</v>
      </c>
      <c r="H35" s="39">
        <f t="shared" si="2"/>
        <v>9.3004455123514518E-2</v>
      </c>
      <c r="I35" s="40">
        <f>I11-I34</f>
        <v>7.549093385115313E-2</v>
      </c>
      <c r="K35" s="34" t="s">
        <v>101</v>
      </c>
      <c r="L35" s="39">
        <f>C11-L34</f>
        <v>0.36230783034040748</v>
      </c>
      <c r="M35" s="39">
        <f t="shared" ref="M35:R35" si="3">D11-M34</f>
        <v>0.40679813516441499</v>
      </c>
      <c r="N35" s="39">
        <f t="shared" si="3"/>
        <v>0.61392999466418896</v>
      </c>
      <c r="O35" s="39">
        <f t="shared" si="3"/>
        <v>0.63502674382244528</v>
      </c>
      <c r="P35" s="39">
        <f t="shared" si="3"/>
        <v>0.70234911700808667</v>
      </c>
      <c r="Q35" s="39">
        <f t="shared" si="3"/>
        <v>0.69398403244933515</v>
      </c>
      <c r="R35" s="40">
        <f t="shared" si="3"/>
        <v>0.62981250658048271</v>
      </c>
    </row>
    <row r="36" spans="2:18" x14ac:dyDescent="0.3">
      <c r="B36" s="38" t="s">
        <v>102</v>
      </c>
      <c r="C36" s="39">
        <f>C35^2</f>
        <v>4.5169060089052089E-2</v>
      </c>
      <c r="D36" s="39">
        <f t="shared" ref="D36:I36" si="4">D35^2</f>
        <v>2.7267620867495831E-2</v>
      </c>
      <c r="E36" s="39">
        <f t="shared" si="4"/>
        <v>7.5097425767389281E-4</v>
      </c>
      <c r="F36" s="39">
        <f t="shared" si="4"/>
        <v>3.9613361435935973E-3</v>
      </c>
      <c r="G36" s="39">
        <f t="shared" si="4"/>
        <v>1.9004659169356505E-2</v>
      </c>
      <c r="H36" s="39">
        <f t="shared" si="4"/>
        <v>8.6498286728218261E-3</v>
      </c>
      <c r="I36" s="40">
        <f t="shared" si="4"/>
        <v>5.6988810937191776E-3</v>
      </c>
      <c r="K36" s="47" t="s">
        <v>102</v>
      </c>
      <c r="L36" s="39">
        <f>L35^2</f>
        <v>0.13126696392597348</v>
      </c>
      <c r="M36" s="39">
        <f t="shared" ref="M36" si="5">M35^2</f>
        <v>0.16548472277324563</v>
      </c>
      <c r="N36" s="39">
        <f t="shared" ref="N36" si="6">N35^2</f>
        <v>0.37691003834837111</v>
      </c>
      <c r="O36" s="39">
        <f t="shared" ref="O36" si="7">O35^2</f>
        <v>0.40325896536973754</v>
      </c>
      <c r="P36" s="39">
        <f t="shared" ref="P36" si="8">P35^2</f>
        <v>0.49329428216203902</v>
      </c>
      <c r="Q36" s="39">
        <f t="shared" ref="Q36" si="9">Q35^2</f>
        <v>0.48161383729463986</v>
      </c>
      <c r="R36" s="40">
        <f t="shared" ref="R36" si="10">R35^2</f>
        <v>0.39666379344519059</v>
      </c>
    </row>
    <row r="37" spans="2:18" x14ac:dyDescent="0.3">
      <c r="B37" s="34"/>
      <c r="C37" s="35"/>
      <c r="D37" s="36"/>
      <c r="E37" s="35"/>
      <c r="F37" s="35"/>
      <c r="G37" s="35"/>
      <c r="H37" s="35"/>
      <c r="I37" s="37"/>
      <c r="K37" s="34"/>
      <c r="L37" s="35"/>
      <c r="M37" s="36"/>
      <c r="N37" s="35"/>
      <c r="O37" s="35"/>
      <c r="P37" s="35"/>
      <c r="Q37" s="35"/>
      <c r="R37" s="37"/>
    </row>
    <row r="38" spans="2:18" x14ac:dyDescent="0.3">
      <c r="B38" s="38" t="s">
        <v>103</v>
      </c>
      <c r="C38" s="41">
        <f>SUM(C36:I36)</f>
        <v>0.11050236029371292</v>
      </c>
      <c r="D38" s="36"/>
      <c r="E38" s="35"/>
      <c r="F38" s="35"/>
      <c r="G38" s="35"/>
      <c r="H38" s="35"/>
      <c r="I38" s="37"/>
      <c r="K38" s="38" t="s">
        <v>103</v>
      </c>
      <c r="L38" s="41">
        <f>SUM(L36:R36)</f>
        <v>2.4484926033191972</v>
      </c>
      <c r="M38" s="36"/>
      <c r="N38" s="35"/>
      <c r="O38" s="35"/>
      <c r="P38" s="35"/>
      <c r="Q38" s="35"/>
      <c r="R38" s="37"/>
    </row>
    <row r="39" spans="2:18" ht="15" thickBot="1" x14ac:dyDescent="0.35">
      <c r="B39" s="42" t="s">
        <v>104</v>
      </c>
      <c r="C39" s="43">
        <f>SQRT(AVERAGE(C36:I36))</f>
        <v>0.12564255437760893</v>
      </c>
      <c r="D39" s="44"/>
      <c r="E39" s="45"/>
      <c r="F39" s="45"/>
      <c r="G39" s="45"/>
      <c r="H39" s="45"/>
      <c r="I39" s="46"/>
      <c r="K39" s="42" t="s">
        <v>104</v>
      </c>
      <c r="L39" s="43">
        <f>SQRT(AVERAGE(L36:R36))</f>
        <v>0.59142595277602428</v>
      </c>
      <c r="M39" s="44"/>
      <c r="N39" s="45"/>
      <c r="O39" s="45"/>
      <c r="P39" s="45"/>
      <c r="Q39" s="45"/>
      <c r="R39" s="46"/>
    </row>
    <row r="41" spans="2:18" x14ac:dyDescent="0.3">
      <c r="B41" s="66" t="s">
        <v>119</v>
      </c>
      <c r="C41" s="4">
        <f>L38-C38</f>
        <v>2.3379902430254842</v>
      </c>
    </row>
  </sheetData>
  <mergeCells count="3">
    <mergeCell ref="B16:D16"/>
    <mergeCell ref="B9:I9"/>
    <mergeCell ref="B3:E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E3EC-719C-4340-A4DD-6DBA4F415B03}">
  <sheetPr>
    <tabColor rgb="FFFF0000"/>
  </sheetPr>
  <dimension ref="B1:R41"/>
  <sheetViews>
    <sheetView zoomScale="82" zoomScaleNormal="82" workbookViewId="0">
      <selection activeCell="K23" sqref="K23"/>
    </sheetView>
  </sheetViews>
  <sheetFormatPr defaultRowHeight="14.4" x14ac:dyDescent="0.3"/>
  <cols>
    <col min="2" max="2" width="15.5546875" style="2" customWidth="1"/>
    <col min="3" max="3" width="10.5546875" customWidth="1"/>
    <col min="4" max="4" width="11.33203125" style="2" customWidth="1"/>
    <col min="5" max="9" width="12.33203125" bestFit="1" customWidth="1"/>
    <col min="10" max="10" width="11.33203125" bestFit="1" customWidth="1"/>
    <col min="11" max="11" width="14.77734375" customWidth="1"/>
  </cols>
  <sheetData>
    <row r="1" spans="2:9" ht="15" thickBot="1" x14ac:dyDescent="0.35"/>
    <row r="2" spans="2:9" x14ac:dyDescent="0.3">
      <c r="B2" s="52" t="s">
        <v>108</v>
      </c>
      <c r="C2" s="16"/>
      <c r="D2" s="17"/>
      <c r="E2" s="16"/>
      <c r="F2" s="16"/>
      <c r="G2" s="16"/>
      <c r="H2" s="16"/>
      <c r="I2" s="18"/>
    </row>
    <row r="3" spans="2:9" x14ac:dyDescent="0.3">
      <c r="B3" s="76" t="s">
        <v>106</v>
      </c>
      <c r="C3" s="77"/>
      <c r="D3" s="77"/>
      <c r="E3" s="77"/>
      <c r="F3" s="13"/>
      <c r="G3" s="13"/>
      <c r="H3" s="13"/>
      <c r="I3" s="19"/>
    </row>
    <row r="4" spans="2:9" x14ac:dyDescent="0.3">
      <c r="B4" s="53" t="s">
        <v>86</v>
      </c>
      <c r="C4" s="9" t="s">
        <v>87</v>
      </c>
      <c r="D4" s="10" t="s">
        <v>88</v>
      </c>
      <c r="E4" s="9" t="s">
        <v>89</v>
      </c>
      <c r="F4" s="13"/>
      <c r="G4" s="13"/>
      <c r="H4" s="13"/>
      <c r="I4" s="19"/>
    </row>
    <row r="5" spans="2:9" ht="30.6" customHeight="1" x14ac:dyDescent="0.3">
      <c r="B5" s="50" t="s">
        <v>22</v>
      </c>
      <c r="C5" s="11">
        <v>1</v>
      </c>
      <c r="D5" s="12" t="s">
        <v>42</v>
      </c>
      <c r="E5" s="11">
        <v>0.71480107750477195</v>
      </c>
      <c r="F5" s="13"/>
      <c r="G5" s="13"/>
      <c r="H5" s="13"/>
      <c r="I5" s="19"/>
    </row>
    <row r="6" spans="2:9" x14ac:dyDescent="0.3">
      <c r="B6" s="50" t="s">
        <v>22</v>
      </c>
      <c r="C6" s="11">
        <v>2</v>
      </c>
      <c r="D6" s="12" t="s">
        <v>24</v>
      </c>
      <c r="E6" s="11">
        <v>0.9325909975614225</v>
      </c>
      <c r="F6" s="13"/>
      <c r="G6" s="13"/>
      <c r="H6" s="13"/>
      <c r="I6" s="19"/>
    </row>
    <row r="7" spans="2:9" x14ac:dyDescent="0.3">
      <c r="B7" s="50" t="s">
        <v>22</v>
      </c>
      <c r="C7" s="11">
        <v>3</v>
      </c>
      <c r="D7" s="12" t="s">
        <v>73</v>
      </c>
      <c r="E7" s="11">
        <v>1.051645326352604</v>
      </c>
      <c r="F7" s="13"/>
      <c r="G7" s="13"/>
      <c r="H7" s="13"/>
      <c r="I7" s="19"/>
    </row>
    <row r="8" spans="2:9" x14ac:dyDescent="0.3">
      <c r="B8" s="54"/>
      <c r="C8" s="13"/>
      <c r="D8" s="14"/>
      <c r="E8" s="13"/>
      <c r="F8" s="13"/>
      <c r="G8" s="13"/>
      <c r="H8" s="13"/>
      <c r="I8" s="19"/>
    </row>
    <row r="9" spans="2:9" x14ac:dyDescent="0.3">
      <c r="B9" s="73" t="s">
        <v>105</v>
      </c>
      <c r="C9" s="74"/>
      <c r="D9" s="74"/>
      <c r="E9" s="74"/>
      <c r="F9" s="74"/>
      <c r="G9" s="74"/>
      <c r="H9" s="74"/>
      <c r="I9" s="75"/>
    </row>
    <row r="10" spans="2:9" x14ac:dyDescent="0.3">
      <c r="B10" s="55" t="s">
        <v>0</v>
      </c>
      <c r="C10" s="7" t="s">
        <v>1</v>
      </c>
      <c r="D10" s="8" t="s">
        <v>2</v>
      </c>
      <c r="E10" s="7" t="s">
        <v>3</v>
      </c>
      <c r="F10" s="7" t="s">
        <v>4</v>
      </c>
      <c r="G10" s="7" t="s">
        <v>5</v>
      </c>
      <c r="H10" s="7" t="s">
        <v>6</v>
      </c>
      <c r="I10" s="24" t="s">
        <v>7</v>
      </c>
    </row>
    <row r="11" spans="2:9" x14ac:dyDescent="0.3">
      <c r="B11" s="55" t="s">
        <v>22</v>
      </c>
      <c r="C11" s="7">
        <v>6.4150969591715956</v>
      </c>
      <c r="D11" s="8">
        <v>6.7580945044277314</v>
      </c>
      <c r="E11" s="7">
        <v>7.0175061429412562</v>
      </c>
      <c r="F11" s="7">
        <v>6.9994224675079613</v>
      </c>
      <c r="G11" s="7">
        <v>7.0039741367226798</v>
      </c>
      <c r="H11" s="7">
        <v>7.0825485693552999</v>
      </c>
      <c r="I11" s="24">
        <v>7.1861443045223252</v>
      </c>
    </row>
    <row r="12" spans="2:9" x14ac:dyDescent="0.3">
      <c r="B12" s="55" t="s">
        <v>24</v>
      </c>
      <c r="C12" s="7">
        <v>6.4707995037826018</v>
      </c>
      <c r="D12" s="8">
        <v>6.6147256002037604</v>
      </c>
      <c r="E12" s="7">
        <v>6.8035052576083377</v>
      </c>
      <c r="F12" s="7">
        <v>6.7810576259361799</v>
      </c>
      <c r="G12" s="7">
        <v>6.6669567924292066</v>
      </c>
      <c r="H12" s="7">
        <v>6.7464121285733736</v>
      </c>
      <c r="I12" s="24">
        <v>6.7867169506050811</v>
      </c>
    </row>
    <row r="13" spans="2:9" ht="28.8" x14ac:dyDescent="0.3">
      <c r="B13" s="55" t="s">
        <v>42</v>
      </c>
      <c r="C13" s="7">
        <v>7.2591161280971006</v>
      </c>
      <c r="D13" s="8">
        <v>7.3498737047383367</v>
      </c>
      <c r="E13" s="7">
        <v>7.3938782901077564</v>
      </c>
      <c r="F13" s="7">
        <v>7.3907985217356762</v>
      </c>
      <c r="G13" s="7">
        <v>7.4271441334086159</v>
      </c>
      <c r="H13" s="7">
        <v>7.4506607962115394</v>
      </c>
      <c r="I13" s="24">
        <v>7.4271441334086159</v>
      </c>
    </row>
    <row r="14" spans="2:9" x14ac:dyDescent="0.3">
      <c r="B14" s="55" t="s">
        <v>73</v>
      </c>
      <c r="C14" s="7">
        <v>7.0527210492323231</v>
      </c>
      <c r="D14" s="8">
        <v>7.1747243098363764</v>
      </c>
      <c r="E14" s="7">
        <v>7.1974353540965907</v>
      </c>
      <c r="F14" s="7">
        <v>7.1747243098363764</v>
      </c>
      <c r="G14" s="7">
        <v>7.2696167496081694</v>
      </c>
      <c r="H14" s="7">
        <v>7.2305631534092916</v>
      </c>
      <c r="I14" s="24">
        <v>7.2591161280971006</v>
      </c>
    </row>
    <row r="15" spans="2:9" x14ac:dyDescent="0.3">
      <c r="B15" s="54"/>
      <c r="C15" s="13"/>
      <c r="D15" s="14"/>
      <c r="E15" s="13"/>
      <c r="F15" s="13"/>
      <c r="G15" s="13"/>
      <c r="H15" s="13"/>
      <c r="I15" s="19"/>
    </row>
    <row r="16" spans="2:9" x14ac:dyDescent="0.3">
      <c r="B16" s="71" t="s">
        <v>107</v>
      </c>
      <c r="C16" s="72"/>
      <c r="D16" s="72"/>
      <c r="E16" s="13"/>
      <c r="F16" s="13"/>
      <c r="G16" s="13"/>
      <c r="H16" s="13"/>
      <c r="I16" s="19"/>
    </row>
    <row r="17" spans="2:18" x14ac:dyDescent="0.3">
      <c r="B17" s="56" t="s">
        <v>86</v>
      </c>
      <c r="C17" s="6" t="s">
        <v>88</v>
      </c>
      <c r="D17" s="6" t="s">
        <v>90</v>
      </c>
      <c r="E17" s="13"/>
      <c r="F17" s="13"/>
      <c r="G17" s="13"/>
      <c r="H17" s="13"/>
      <c r="I17" s="19"/>
    </row>
    <row r="18" spans="2:18" x14ac:dyDescent="0.3">
      <c r="B18" s="55" t="s">
        <v>22</v>
      </c>
      <c r="C18" s="7" t="s">
        <v>42</v>
      </c>
      <c r="D18" s="7">
        <v>0.31777391101652008</v>
      </c>
      <c r="E18" s="13"/>
      <c r="F18" s="13"/>
      <c r="G18" s="13"/>
      <c r="H18" s="13"/>
      <c r="I18" s="19"/>
    </row>
    <row r="19" spans="2:18" x14ac:dyDescent="0.3">
      <c r="B19" s="55" t="s">
        <v>22</v>
      </c>
      <c r="C19" s="7" t="s">
        <v>24</v>
      </c>
      <c r="D19" s="7">
        <v>0.68222606641491146</v>
      </c>
      <c r="E19" s="13"/>
      <c r="F19" s="13"/>
      <c r="G19" s="13"/>
      <c r="H19" s="13"/>
      <c r="I19" s="19"/>
    </row>
    <row r="20" spans="2:18" ht="15" thickBot="1" x14ac:dyDescent="0.35">
      <c r="B20" s="57" t="s">
        <v>22</v>
      </c>
      <c r="C20" s="27" t="s">
        <v>73</v>
      </c>
      <c r="D20" s="49">
        <v>2.2568568492421111E-8</v>
      </c>
      <c r="E20" s="28"/>
      <c r="F20" s="28"/>
      <c r="G20" s="28"/>
      <c r="H20" s="28"/>
      <c r="I20" s="29"/>
    </row>
    <row r="22" spans="2:18" ht="15" thickBot="1" x14ac:dyDescent="0.35"/>
    <row r="23" spans="2:18" x14ac:dyDescent="0.3">
      <c r="B23" s="30" t="s">
        <v>109</v>
      </c>
      <c r="C23" s="31"/>
      <c r="D23" s="32"/>
      <c r="E23" s="31"/>
      <c r="F23" s="31"/>
      <c r="G23" s="31"/>
      <c r="H23" s="31"/>
      <c r="I23" s="33"/>
      <c r="K23" s="78" t="s">
        <v>145</v>
      </c>
      <c r="L23" s="31"/>
      <c r="M23" s="32"/>
      <c r="N23" s="31"/>
      <c r="O23" s="31"/>
      <c r="P23" s="31"/>
      <c r="Q23" s="31"/>
      <c r="R23" s="33"/>
    </row>
    <row r="24" spans="2:18" x14ac:dyDescent="0.3">
      <c r="B24" s="58"/>
      <c r="C24" s="35"/>
      <c r="D24" s="36"/>
      <c r="E24" s="35"/>
      <c r="F24" s="35"/>
      <c r="G24" s="35"/>
      <c r="H24" s="35"/>
      <c r="I24" s="37"/>
      <c r="K24" s="58"/>
      <c r="L24" s="35"/>
      <c r="M24" s="36"/>
      <c r="N24" s="35"/>
      <c r="O24" s="35"/>
      <c r="P24" s="35"/>
      <c r="Q24" s="35"/>
      <c r="R24" s="37"/>
    </row>
    <row r="25" spans="2:18" x14ac:dyDescent="0.3">
      <c r="B25" s="58" t="s">
        <v>113</v>
      </c>
      <c r="C25" s="35"/>
      <c r="D25" s="36"/>
      <c r="E25" s="35"/>
      <c r="F25" s="35"/>
      <c r="G25" s="35"/>
      <c r="H25" s="35"/>
      <c r="I25" s="37"/>
      <c r="K25" s="58" t="s">
        <v>113</v>
      </c>
      <c r="L25" s="35"/>
      <c r="M25" s="36"/>
      <c r="N25" s="35"/>
      <c r="O25" s="35"/>
      <c r="P25" s="35"/>
      <c r="Q25" s="35"/>
      <c r="R25" s="37"/>
    </row>
    <row r="26" spans="2:18" ht="28.8" x14ac:dyDescent="0.3">
      <c r="B26" s="58" t="s">
        <v>114</v>
      </c>
      <c r="C26" s="35"/>
      <c r="D26" s="36"/>
      <c r="E26" s="35"/>
      <c r="F26" s="35"/>
      <c r="G26" s="35"/>
      <c r="H26" s="35"/>
      <c r="I26" s="37"/>
      <c r="K26" s="58" t="s">
        <v>114</v>
      </c>
      <c r="L26" s="35"/>
      <c r="M26" s="36"/>
      <c r="N26" s="35"/>
      <c r="O26" s="35"/>
      <c r="P26" s="35"/>
      <c r="Q26" s="35"/>
      <c r="R26" s="37"/>
    </row>
    <row r="27" spans="2:18" x14ac:dyDescent="0.3">
      <c r="B27" s="58" t="s">
        <v>115</v>
      </c>
      <c r="C27" s="35"/>
      <c r="D27" s="36"/>
      <c r="E27" s="35"/>
      <c r="F27" s="35"/>
      <c r="G27" s="35"/>
      <c r="H27" s="35"/>
      <c r="I27" s="37"/>
      <c r="K27" s="58" t="s">
        <v>115</v>
      </c>
      <c r="L27" s="35"/>
      <c r="M27" s="36"/>
      <c r="N27" s="35"/>
      <c r="O27" s="35"/>
      <c r="P27" s="35"/>
      <c r="Q27" s="35"/>
      <c r="R27" s="37"/>
    </row>
    <row r="28" spans="2:18" x14ac:dyDescent="0.3">
      <c r="B28" s="58"/>
      <c r="C28" s="35"/>
      <c r="D28" s="36"/>
      <c r="E28" s="35"/>
      <c r="F28" s="35"/>
      <c r="G28" s="35"/>
      <c r="H28" s="35"/>
      <c r="I28" s="37"/>
      <c r="K28" s="58"/>
      <c r="L28" s="35"/>
      <c r="M28" s="36"/>
      <c r="N28" s="35"/>
      <c r="O28" s="35"/>
      <c r="P28" s="35"/>
      <c r="Q28" s="35"/>
      <c r="R28" s="37"/>
    </row>
    <row r="29" spans="2:18" x14ac:dyDescent="0.3">
      <c r="B29" s="58" t="s">
        <v>110</v>
      </c>
      <c r="C29" s="35" t="s">
        <v>98</v>
      </c>
      <c r="D29" s="36"/>
      <c r="E29" s="35"/>
      <c r="F29" s="35"/>
      <c r="G29" s="35"/>
      <c r="H29" s="35"/>
      <c r="I29" s="37"/>
      <c r="K29" s="58" t="s">
        <v>110</v>
      </c>
      <c r="L29" s="35" t="s">
        <v>98</v>
      </c>
      <c r="M29" s="36"/>
      <c r="N29" s="35"/>
      <c r="O29" s="35"/>
      <c r="P29" s="35"/>
      <c r="Q29" s="35"/>
      <c r="R29" s="37"/>
    </row>
    <row r="30" spans="2:18" x14ac:dyDescent="0.3">
      <c r="B30" s="58" t="s">
        <v>94</v>
      </c>
      <c r="C30" s="35">
        <v>0.68222505771782804</v>
      </c>
      <c r="D30" s="36"/>
      <c r="E30" s="35"/>
      <c r="F30" s="35"/>
      <c r="G30" s="35"/>
      <c r="H30" s="35"/>
      <c r="I30" s="37"/>
      <c r="K30" s="58" t="s">
        <v>94</v>
      </c>
      <c r="L30" s="35">
        <v>0.33300000000000002</v>
      </c>
      <c r="M30" s="36"/>
      <c r="N30" s="35"/>
      <c r="O30" s="35"/>
      <c r="P30" s="35"/>
      <c r="Q30" s="35"/>
      <c r="R30" s="37"/>
    </row>
    <row r="31" spans="2:18" x14ac:dyDescent="0.3">
      <c r="B31" s="58" t="s">
        <v>95</v>
      </c>
      <c r="C31" s="35">
        <v>0.31777494228220149</v>
      </c>
      <c r="D31" s="36"/>
      <c r="E31" s="35"/>
      <c r="F31" s="35"/>
      <c r="G31" s="35"/>
      <c r="H31" s="35"/>
      <c r="I31" s="37"/>
      <c r="K31" s="58" t="s">
        <v>95</v>
      </c>
      <c r="L31" s="35">
        <v>0.33300000000000002</v>
      </c>
      <c r="M31" s="36"/>
      <c r="N31" s="35"/>
      <c r="O31" s="35"/>
      <c r="P31" s="35"/>
      <c r="Q31" s="35"/>
      <c r="R31" s="37"/>
    </row>
    <row r="32" spans="2:18" x14ac:dyDescent="0.3">
      <c r="B32" s="58" t="s">
        <v>96</v>
      </c>
      <c r="C32" s="35">
        <v>0</v>
      </c>
      <c r="D32" s="36"/>
      <c r="E32" s="35"/>
      <c r="F32" s="35"/>
      <c r="G32" s="35"/>
      <c r="H32" s="35"/>
      <c r="I32" s="37"/>
      <c r="K32" s="58" t="s">
        <v>96</v>
      </c>
      <c r="L32" s="35">
        <v>0.33300000000000002</v>
      </c>
      <c r="M32" s="36"/>
      <c r="N32" s="35"/>
      <c r="O32" s="35"/>
      <c r="P32" s="35"/>
      <c r="Q32" s="35"/>
      <c r="R32" s="37"/>
    </row>
    <row r="33" spans="2:18" x14ac:dyDescent="0.3">
      <c r="B33" s="58" t="s">
        <v>99</v>
      </c>
      <c r="C33" s="35">
        <f>SUM(C30:C32)</f>
        <v>1.0000000000000295</v>
      </c>
      <c r="D33" s="36"/>
      <c r="E33" s="35"/>
      <c r="F33" s="35"/>
      <c r="G33" s="35"/>
      <c r="H33" s="35"/>
      <c r="I33" s="37"/>
      <c r="K33" s="58" t="s">
        <v>99</v>
      </c>
      <c r="L33" s="35">
        <f>SUM(L30:L32)</f>
        <v>0.99900000000000011</v>
      </c>
      <c r="M33" s="36"/>
      <c r="N33" s="35"/>
      <c r="O33" s="35"/>
      <c r="P33" s="35"/>
      <c r="Q33" s="35"/>
      <c r="R33" s="37"/>
    </row>
    <row r="34" spans="2:18" x14ac:dyDescent="0.3">
      <c r="B34" s="59"/>
      <c r="C34" s="39"/>
      <c r="D34" s="39"/>
      <c r="E34" s="39"/>
      <c r="F34" s="39"/>
      <c r="G34" s="39"/>
      <c r="H34" s="39"/>
      <c r="I34" s="40"/>
      <c r="J34" s="3"/>
      <c r="K34" s="59"/>
      <c r="L34" s="39"/>
      <c r="M34" s="39"/>
      <c r="N34" s="39"/>
      <c r="O34" s="39"/>
      <c r="P34" s="39"/>
      <c r="Q34" s="39"/>
      <c r="R34" s="40"/>
    </row>
    <row r="35" spans="2:18" x14ac:dyDescent="0.3">
      <c r="B35" s="58" t="s">
        <v>111</v>
      </c>
      <c r="C35" s="39">
        <f>$C$30*C12+C13*$C$31+C14*$C$32</f>
        <v>6.7213067735744323</v>
      </c>
      <c r="D35" s="39">
        <f t="shared" ref="D35:I35" si="0">$C$30*D12+D13*$C$31+D14*$C$32</f>
        <v>6.8483372466913011</v>
      </c>
      <c r="E35" s="39">
        <f>$C$30*E12+E13*$C$31+E14*$C$32</f>
        <v>6.9911110139360098</v>
      </c>
      <c r="F35" s="39">
        <f>$C$30*F12+F13*$C$31+F14*$C$32</f>
        <v>6.9748180039061634</v>
      </c>
      <c r="G35" s="39">
        <f t="shared" si="0"/>
        <v>6.9085252808327953</v>
      </c>
      <c r="H35" s="39">
        <f>$C$30*H12+H13*$C$31+H14*$C$32</f>
        <v>6.9702047082846086</v>
      </c>
      <c r="I35" s="39">
        <f t="shared" si="0"/>
        <v>6.9902286616566274</v>
      </c>
      <c r="K35" s="58" t="s">
        <v>111</v>
      </c>
      <c r="L35" s="39">
        <f>$L$30*C12+C13*$L$31+C14*$L$32</f>
        <v>6.9206180148103051</v>
      </c>
      <c r="M35" s="39">
        <f t="shared" ref="M35:R35" si="1">$L$30*D12+D13*$L$31+D14*$L$32</f>
        <v>7.0393947637212317</v>
      </c>
      <c r="N35" s="39">
        <f t="shared" si="1"/>
        <v>7.1244746943036237</v>
      </c>
      <c r="O35" s="39">
        <f t="shared" si="1"/>
        <v>7.1084112923502421</v>
      </c>
      <c r="P35" s="39">
        <f t="shared" si="1"/>
        <v>7.1141179859235155</v>
      </c>
      <c r="Q35" s="39">
        <f t="shared" si="1"/>
        <v>7.1354028140386703</v>
      </c>
      <c r="R35" s="39">
        <f t="shared" si="1"/>
        <v>7.150501411632896</v>
      </c>
    </row>
    <row r="36" spans="2:18" x14ac:dyDescent="0.3">
      <c r="B36" s="59" t="s">
        <v>101</v>
      </c>
      <c r="C36" s="39">
        <f>C11-C35</f>
        <v>-0.30620981440283668</v>
      </c>
      <c r="D36" s="39">
        <f t="shared" ref="D36:I36" si="2">D11-D35</f>
        <v>-9.0242742263569653E-2</v>
      </c>
      <c r="E36" s="39">
        <f t="shared" si="2"/>
        <v>2.6395129005246432E-2</v>
      </c>
      <c r="F36" s="39">
        <f t="shared" si="2"/>
        <v>2.460446360179791E-2</v>
      </c>
      <c r="G36" s="39">
        <f t="shared" si="2"/>
        <v>9.5448855889884499E-2</v>
      </c>
      <c r="H36" s="39">
        <f t="shared" si="2"/>
        <v>0.11234386107069128</v>
      </c>
      <c r="I36" s="39">
        <f t="shared" si="2"/>
        <v>0.19591564286569785</v>
      </c>
      <c r="K36" s="59" t="s">
        <v>101</v>
      </c>
      <c r="L36" s="39">
        <f>C11-L35</f>
        <v>-0.50552105563870953</v>
      </c>
      <c r="M36" s="39">
        <f t="shared" ref="M36:R36" si="3">D11-M35</f>
        <v>-0.28130025929350033</v>
      </c>
      <c r="N36" s="39">
        <f t="shared" si="3"/>
        <v>-0.10696855136236749</v>
      </c>
      <c r="O36" s="39">
        <f t="shared" si="3"/>
        <v>-0.10898882484228078</v>
      </c>
      <c r="P36" s="39">
        <f t="shared" si="3"/>
        <v>-0.11014384920083575</v>
      </c>
      <c r="Q36" s="39">
        <f t="shared" si="3"/>
        <v>-5.285424468337041E-2</v>
      </c>
      <c r="R36" s="40">
        <f t="shared" si="3"/>
        <v>3.5642892889429234E-2</v>
      </c>
    </row>
    <row r="37" spans="2:18" x14ac:dyDescent="0.3">
      <c r="B37" s="58" t="s">
        <v>102</v>
      </c>
      <c r="C37" s="61">
        <f>C36^2</f>
        <v>9.3764450436619684E-2</v>
      </c>
      <c r="D37" s="61">
        <f t="shared" ref="D37:I37" si="4">D36^2</f>
        <v>8.143752531249061E-3</v>
      </c>
      <c r="E37" s="61">
        <f t="shared" si="4"/>
        <v>6.9670283520360148E-4</v>
      </c>
      <c r="F37" s="61">
        <f t="shared" si="4"/>
        <v>6.0537962913219823E-4</v>
      </c>
      <c r="G37" s="61">
        <f t="shared" si="4"/>
        <v>9.1104840906879384E-3</v>
      </c>
      <c r="H37" s="61">
        <f t="shared" si="4"/>
        <v>1.2621143120270783E-2</v>
      </c>
      <c r="I37" s="61">
        <f t="shared" si="4"/>
        <v>3.8382939119479667E-2</v>
      </c>
      <c r="K37" s="58" t="s">
        <v>102</v>
      </c>
      <c r="L37" s="61">
        <f>L36^2</f>
        <v>0.25555153769407524</v>
      </c>
      <c r="M37" s="61">
        <f t="shared" ref="M37" si="5">M36^2</f>
        <v>7.9129835878590515E-2</v>
      </c>
      <c r="N37" s="61">
        <f t="shared" ref="N37" si="6">N36^2</f>
        <v>1.1442270980563453E-2</v>
      </c>
      <c r="O37" s="61">
        <f t="shared" ref="O37" si="7">O36^2</f>
        <v>1.1878563940501361E-2</v>
      </c>
      <c r="P37" s="61">
        <f t="shared" ref="P37" si="8">P36^2</f>
        <v>1.2131667516776447E-2</v>
      </c>
      <c r="Q37" s="61">
        <f t="shared" ref="Q37" si="9">Q36^2</f>
        <v>2.7935711810495893E-3</v>
      </c>
      <c r="R37" s="63">
        <f t="shared" ref="R37" si="10">R36^2</f>
        <v>1.2704158135273251E-3</v>
      </c>
    </row>
    <row r="38" spans="2:18" x14ac:dyDescent="0.3">
      <c r="B38" s="59" t="s">
        <v>112</v>
      </c>
      <c r="C38" s="41">
        <f>SUM(C37:I37)</f>
        <v>0.16332485176264294</v>
      </c>
      <c r="D38" s="36"/>
      <c r="E38" s="35"/>
      <c r="F38" s="35"/>
      <c r="G38" s="35"/>
      <c r="H38" s="35"/>
      <c r="I38" s="37"/>
      <c r="K38" s="59" t="s">
        <v>112</v>
      </c>
      <c r="L38" s="41">
        <f>SUM(L37:R37)</f>
        <v>0.37419786300508395</v>
      </c>
      <c r="M38" s="36"/>
      <c r="N38" s="35"/>
      <c r="O38" s="35"/>
      <c r="P38" s="35"/>
      <c r="Q38" s="35"/>
      <c r="R38" s="37"/>
    </row>
    <row r="39" spans="2:18" ht="15" thickBot="1" x14ac:dyDescent="0.35">
      <c r="B39" s="60" t="s">
        <v>104</v>
      </c>
      <c r="C39" s="62">
        <f>SQRT(AVERAGE(C37:I37))</f>
        <v>0.15274855704843029</v>
      </c>
      <c r="D39" s="44"/>
      <c r="E39" s="45"/>
      <c r="F39" s="45"/>
      <c r="G39" s="45"/>
      <c r="H39" s="45"/>
      <c r="I39" s="46"/>
      <c r="K39" s="60" t="s">
        <v>104</v>
      </c>
      <c r="L39" s="62">
        <f>SQRT(AVERAGE(L37:R37))</f>
        <v>0.23120734757389275</v>
      </c>
      <c r="M39" s="44"/>
      <c r="N39" s="45"/>
      <c r="O39" s="45"/>
      <c r="P39" s="45"/>
      <c r="Q39" s="45"/>
      <c r="R39" s="46"/>
    </row>
    <row r="41" spans="2:18" x14ac:dyDescent="0.3">
      <c r="B41" s="2" t="s">
        <v>119</v>
      </c>
      <c r="C41" s="4">
        <f>L38-C38</f>
        <v>0.21087301124244101</v>
      </c>
    </row>
  </sheetData>
  <mergeCells count="3">
    <mergeCell ref="B3:E3"/>
    <mergeCell ref="B9:I9"/>
    <mergeCell ref="B16:D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6C4F-71BA-4B6E-BD04-3C2FE3AC01F6}">
  <sheetPr>
    <tabColor rgb="FFFF0000"/>
  </sheetPr>
  <dimension ref="B1:R41"/>
  <sheetViews>
    <sheetView tabSelected="1" zoomScale="68" zoomScaleNormal="68" workbookViewId="0">
      <selection activeCell="K23" sqref="K23"/>
    </sheetView>
  </sheetViews>
  <sheetFormatPr defaultRowHeight="14.4" x14ac:dyDescent="0.3"/>
  <cols>
    <col min="2" max="2" width="15.5546875" style="2" customWidth="1"/>
    <col min="3" max="3" width="10.5546875" customWidth="1"/>
    <col min="4" max="4" width="15.77734375" style="2" customWidth="1"/>
    <col min="5" max="9" width="12.33203125" bestFit="1" customWidth="1"/>
    <col min="10" max="10" width="11.33203125" bestFit="1" customWidth="1"/>
    <col min="11" max="11" width="14.77734375" customWidth="1"/>
  </cols>
  <sheetData>
    <row r="1" spans="2:9" ht="15" thickBot="1" x14ac:dyDescent="0.35"/>
    <row r="2" spans="2:9" x14ac:dyDescent="0.3">
      <c r="B2" s="52" t="s">
        <v>108</v>
      </c>
      <c r="C2" s="16"/>
      <c r="D2" s="17"/>
      <c r="E2" s="16"/>
      <c r="F2" s="16"/>
      <c r="G2" s="16"/>
      <c r="H2" s="16"/>
      <c r="I2" s="18"/>
    </row>
    <row r="3" spans="2:9" x14ac:dyDescent="0.3">
      <c r="B3" s="76" t="s">
        <v>106</v>
      </c>
      <c r="C3" s="77"/>
      <c r="D3" s="77"/>
      <c r="E3" s="77"/>
      <c r="F3" s="13"/>
      <c r="G3" s="13"/>
      <c r="H3" s="13"/>
      <c r="I3" s="19"/>
    </row>
    <row r="4" spans="2:9" x14ac:dyDescent="0.3">
      <c r="B4" s="53" t="s">
        <v>86</v>
      </c>
      <c r="C4" s="9" t="s">
        <v>87</v>
      </c>
      <c r="D4" s="10" t="s">
        <v>88</v>
      </c>
      <c r="E4" s="9" t="s">
        <v>89</v>
      </c>
      <c r="F4" s="13"/>
      <c r="G4" s="13"/>
      <c r="H4" s="13"/>
      <c r="I4" s="19"/>
    </row>
    <row r="5" spans="2:9" ht="30.6" customHeight="1" x14ac:dyDescent="0.3">
      <c r="B5" s="50" t="s">
        <v>23</v>
      </c>
      <c r="C5" s="11">
        <v>1</v>
      </c>
      <c r="D5" s="12" t="s">
        <v>54</v>
      </c>
      <c r="E5" s="11">
        <v>1.313773130643523</v>
      </c>
      <c r="F5" s="13"/>
      <c r="G5" s="13"/>
      <c r="H5" s="13"/>
      <c r="I5" s="19"/>
    </row>
    <row r="6" spans="2:9" ht="28.8" x14ac:dyDescent="0.3">
      <c r="B6" s="50" t="s">
        <v>23</v>
      </c>
      <c r="C6" s="11">
        <v>2</v>
      </c>
      <c r="D6" s="12" t="s">
        <v>77</v>
      </c>
      <c r="E6" s="11">
        <v>2.120359351148926</v>
      </c>
      <c r="F6" s="13"/>
      <c r="G6" s="13"/>
      <c r="H6" s="13"/>
      <c r="I6" s="19"/>
    </row>
    <row r="7" spans="2:9" ht="28.8" x14ac:dyDescent="0.3">
      <c r="B7" s="50" t="s">
        <v>23</v>
      </c>
      <c r="C7" s="11">
        <v>3</v>
      </c>
      <c r="D7" s="12" t="s">
        <v>42</v>
      </c>
      <c r="E7" s="11">
        <v>2.232442595052639</v>
      </c>
      <c r="F7" s="13"/>
      <c r="G7" s="13"/>
      <c r="H7" s="13"/>
      <c r="I7" s="19"/>
    </row>
    <row r="8" spans="2:9" x14ac:dyDescent="0.3">
      <c r="B8" s="54"/>
      <c r="C8" s="13"/>
      <c r="D8" s="14"/>
      <c r="E8" s="13"/>
      <c r="F8" s="13"/>
      <c r="G8" s="13"/>
      <c r="H8" s="13"/>
      <c r="I8" s="19"/>
    </row>
    <row r="9" spans="2:9" x14ac:dyDescent="0.3">
      <c r="B9" s="73" t="s">
        <v>105</v>
      </c>
      <c r="C9" s="74"/>
      <c r="D9" s="74"/>
      <c r="E9" s="74"/>
      <c r="F9" s="74"/>
      <c r="G9" s="74"/>
      <c r="H9" s="74"/>
      <c r="I9" s="75"/>
    </row>
    <row r="10" spans="2:9" x14ac:dyDescent="0.3">
      <c r="B10" s="55" t="s">
        <v>0</v>
      </c>
      <c r="C10" s="7" t="s">
        <v>1</v>
      </c>
      <c r="D10" s="8" t="s">
        <v>2</v>
      </c>
      <c r="E10" s="7" t="s">
        <v>3</v>
      </c>
      <c r="F10" s="7" t="s">
        <v>4</v>
      </c>
      <c r="G10" s="7" t="s">
        <v>5</v>
      </c>
      <c r="H10" s="7" t="s">
        <v>6</v>
      </c>
      <c r="I10" s="24" t="s">
        <v>7</v>
      </c>
    </row>
    <row r="11" spans="2:9" x14ac:dyDescent="0.3">
      <c r="B11" s="55" t="s">
        <v>23</v>
      </c>
      <c r="C11" s="7">
        <v>6.1441856341256456</v>
      </c>
      <c r="D11" s="8">
        <v>6.2065759267249279</v>
      </c>
      <c r="E11" s="7">
        <v>6.2557500417533669</v>
      </c>
      <c r="F11" s="7">
        <v>6.3026189757449051</v>
      </c>
      <c r="G11" s="7">
        <v>6.3117348091529148</v>
      </c>
      <c r="H11" s="7">
        <v>6.2747620212419388</v>
      </c>
      <c r="I11" s="24">
        <v>6.1548580940164177</v>
      </c>
    </row>
    <row r="12" spans="2:9" ht="19.8" customHeight="1" x14ac:dyDescent="0.3">
      <c r="B12" s="55" t="s">
        <v>42</v>
      </c>
      <c r="C12" s="7">
        <v>7.2591161280971006</v>
      </c>
      <c r="D12" s="8">
        <v>7.3498737047383367</v>
      </c>
      <c r="E12" s="7">
        <v>7.3938782901077564</v>
      </c>
      <c r="F12" s="7">
        <v>7.3907985217356762</v>
      </c>
      <c r="G12" s="7">
        <v>7.4271441334086159</v>
      </c>
      <c r="H12" s="7">
        <v>7.4506607962115394</v>
      </c>
      <c r="I12" s="24">
        <v>7.4271441334086159</v>
      </c>
    </row>
    <row r="13" spans="2:9" x14ac:dyDescent="0.3">
      <c r="B13" s="55" t="s">
        <v>54</v>
      </c>
      <c r="C13" s="7">
        <v>5.1704839950381514</v>
      </c>
      <c r="D13" s="8">
        <v>5.1984970312658261</v>
      </c>
      <c r="E13" s="7">
        <v>5.3278761687895813</v>
      </c>
      <c r="F13" s="7">
        <v>5.2522734280466299</v>
      </c>
      <c r="G13" s="7">
        <v>5.3518581334760666</v>
      </c>
      <c r="H13" s="7">
        <v>5.3278761687895813</v>
      </c>
      <c r="I13" s="24">
        <v>5.1704839950381514</v>
      </c>
    </row>
    <row r="14" spans="2:9" ht="28.8" x14ac:dyDescent="0.3">
      <c r="B14" s="55" t="s">
        <v>77</v>
      </c>
      <c r="C14" s="7">
        <v>5.1416635565026603</v>
      </c>
      <c r="D14" s="8">
        <v>5.3518581334760666</v>
      </c>
      <c r="E14" s="7">
        <v>5.3278761687895813</v>
      </c>
      <c r="F14" s="7">
        <v>5.2257466737132017</v>
      </c>
      <c r="G14" s="7">
        <v>5.3518581334760666</v>
      </c>
      <c r="H14" s="7">
        <v>5.2781146592305168</v>
      </c>
      <c r="I14" s="24">
        <v>5.1704839950381514</v>
      </c>
    </row>
    <row r="15" spans="2:9" x14ac:dyDescent="0.3">
      <c r="B15" s="54"/>
      <c r="C15" s="13"/>
      <c r="D15" s="14"/>
      <c r="E15" s="13"/>
      <c r="F15" s="13"/>
      <c r="G15" s="13"/>
      <c r="H15" s="13"/>
      <c r="I15" s="19"/>
    </row>
    <row r="16" spans="2:9" x14ac:dyDescent="0.3">
      <c r="B16" s="71" t="s">
        <v>107</v>
      </c>
      <c r="C16" s="72"/>
      <c r="D16" s="72"/>
      <c r="E16" s="13"/>
      <c r="F16" s="13"/>
      <c r="G16" s="13"/>
      <c r="H16" s="13"/>
      <c r="I16" s="19"/>
    </row>
    <row r="17" spans="2:18" x14ac:dyDescent="0.3">
      <c r="B17" s="56" t="s">
        <v>86</v>
      </c>
      <c r="C17" s="6" t="s">
        <v>88</v>
      </c>
      <c r="D17" s="6" t="s">
        <v>90</v>
      </c>
      <c r="E17" s="13"/>
      <c r="F17" s="13"/>
      <c r="G17" s="13"/>
      <c r="H17" s="13"/>
      <c r="I17" s="19"/>
    </row>
    <row r="18" spans="2:18" x14ac:dyDescent="0.3">
      <c r="B18" s="55" t="s">
        <v>23</v>
      </c>
      <c r="C18" s="7" t="s">
        <v>54</v>
      </c>
      <c r="D18" s="7">
        <v>0.45973532226379249</v>
      </c>
      <c r="E18" s="13"/>
      <c r="F18" s="13"/>
      <c r="G18" s="13"/>
      <c r="H18" s="13"/>
      <c r="I18" s="19"/>
    </row>
    <row r="19" spans="2:18" x14ac:dyDescent="0.3">
      <c r="B19" s="55" t="s">
        <v>23</v>
      </c>
      <c r="C19" s="7" t="s">
        <v>77</v>
      </c>
      <c r="D19" s="7">
        <v>8.0865157072275651E-2</v>
      </c>
      <c r="E19" s="13"/>
      <c r="F19" s="13"/>
      <c r="G19" s="13"/>
      <c r="H19" s="13"/>
      <c r="I19" s="19"/>
    </row>
    <row r="20" spans="2:18" ht="15" thickBot="1" x14ac:dyDescent="0.35">
      <c r="B20" s="57" t="s">
        <v>23</v>
      </c>
      <c r="C20" s="27" t="s">
        <v>42</v>
      </c>
      <c r="D20" s="49">
        <v>0.45939952066393192</v>
      </c>
      <c r="E20" s="28"/>
      <c r="F20" s="28"/>
      <c r="G20" s="28"/>
      <c r="H20" s="28"/>
      <c r="I20" s="29"/>
    </row>
    <row r="22" spans="2:18" ht="15" thickBot="1" x14ac:dyDescent="0.35"/>
    <row r="23" spans="2:18" x14ac:dyDescent="0.3">
      <c r="B23" s="30" t="s">
        <v>109</v>
      </c>
      <c r="C23" s="31"/>
      <c r="D23" s="32"/>
      <c r="E23" s="31"/>
      <c r="F23" s="31"/>
      <c r="G23" s="31"/>
      <c r="H23" s="31"/>
      <c r="I23" s="33"/>
      <c r="K23" s="78" t="s">
        <v>145</v>
      </c>
      <c r="L23" s="31"/>
      <c r="M23" s="32"/>
      <c r="N23" s="31"/>
      <c r="O23" s="31"/>
      <c r="P23" s="31"/>
      <c r="Q23" s="31"/>
      <c r="R23" s="33"/>
    </row>
    <row r="24" spans="2:18" x14ac:dyDescent="0.3">
      <c r="B24" s="58"/>
      <c r="C24" s="35"/>
      <c r="D24" s="36"/>
      <c r="E24" s="35"/>
      <c r="F24" s="35"/>
      <c r="G24" s="35"/>
      <c r="H24" s="35"/>
      <c r="I24" s="37"/>
      <c r="K24" s="58"/>
      <c r="L24" s="35"/>
      <c r="M24" s="36"/>
      <c r="N24" s="35"/>
      <c r="O24" s="35"/>
      <c r="P24" s="35"/>
      <c r="Q24" s="35"/>
      <c r="R24" s="37"/>
    </row>
    <row r="25" spans="2:18" x14ac:dyDescent="0.3">
      <c r="B25" s="58" t="s">
        <v>116</v>
      </c>
      <c r="C25" s="35"/>
      <c r="D25" s="36"/>
      <c r="E25" s="35"/>
      <c r="F25" s="35"/>
      <c r="G25" s="35"/>
      <c r="H25" s="35"/>
      <c r="I25" s="37"/>
      <c r="K25" s="58" t="s">
        <v>116</v>
      </c>
      <c r="L25" s="35"/>
      <c r="M25" s="36"/>
      <c r="N25" s="35"/>
      <c r="O25" s="35"/>
      <c r="P25" s="35"/>
      <c r="Q25" s="35"/>
      <c r="R25" s="37"/>
    </row>
    <row r="26" spans="2:18" ht="28.8" x14ac:dyDescent="0.3">
      <c r="B26" s="58" t="s">
        <v>117</v>
      </c>
      <c r="C26" s="35"/>
      <c r="D26" s="36"/>
      <c r="E26" s="35"/>
      <c r="F26" s="35"/>
      <c r="G26" s="35"/>
      <c r="H26" s="35"/>
      <c r="I26" s="37"/>
      <c r="K26" s="58" t="s">
        <v>117</v>
      </c>
      <c r="L26" s="35"/>
      <c r="M26" s="36"/>
      <c r="N26" s="35"/>
      <c r="O26" s="35"/>
      <c r="P26" s="35"/>
      <c r="Q26" s="35"/>
      <c r="R26" s="37"/>
    </row>
    <row r="27" spans="2:18" ht="28.8" x14ac:dyDescent="0.3">
      <c r="B27" s="58" t="s">
        <v>118</v>
      </c>
      <c r="C27" s="35"/>
      <c r="D27" s="36"/>
      <c r="E27" s="35"/>
      <c r="F27" s="35"/>
      <c r="G27" s="35"/>
      <c r="H27" s="35"/>
      <c r="I27" s="37"/>
      <c r="K27" s="58" t="s">
        <v>118</v>
      </c>
      <c r="L27" s="35"/>
      <c r="M27" s="36"/>
      <c r="N27" s="35"/>
      <c r="O27" s="35"/>
      <c r="P27" s="35"/>
      <c r="Q27" s="35"/>
      <c r="R27" s="37"/>
    </row>
    <row r="28" spans="2:18" x14ac:dyDescent="0.3">
      <c r="B28" s="58"/>
      <c r="C28" s="35"/>
      <c r="D28" s="36"/>
      <c r="E28" s="35"/>
      <c r="F28" s="35"/>
      <c r="G28" s="35"/>
      <c r="H28" s="35"/>
      <c r="I28" s="37"/>
      <c r="K28" s="58"/>
      <c r="L28" s="35"/>
      <c r="M28" s="36"/>
      <c r="N28" s="35"/>
      <c r="O28" s="35"/>
      <c r="P28" s="35"/>
      <c r="Q28" s="35"/>
      <c r="R28" s="37"/>
    </row>
    <row r="29" spans="2:18" x14ac:dyDescent="0.3">
      <c r="B29" s="58" t="s">
        <v>110</v>
      </c>
      <c r="C29" s="35" t="s">
        <v>98</v>
      </c>
      <c r="D29" s="36"/>
      <c r="E29" s="35"/>
      <c r="F29" s="35"/>
      <c r="G29" s="35"/>
      <c r="H29" s="35"/>
      <c r="I29" s="37"/>
      <c r="K29" s="58" t="s">
        <v>110</v>
      </c>
      <c r="L29" s="35" t="s">
        <v>98</v>
      </c>
      <c r="M29" s="36"/>
      <c r="N29" s="35"/>
      <c r="O29" s="35"/>
      <c r="P29" s="35"/>
      <c r="Q29" s="35"/>
      <c r="R29" s="37"/>
    </row>
    <row r="30" spans="2:18" x14ac:dyDescent="0.3">
      <c r="B30" s="58" t="s">
        <v>94</v>
      </c>
      <c r="C30" s="35">
        <v>0.45939567508331203</v>
      </c>
      <c r="D30" s="36"/>
      <c r="E30" s="35"/>
      <c r="F30" s="35"/>
      <c r="G30" s="35"/>
      <c r="H30" s="35"/>
      <c r="I30" s="37"/>
      <c r="K30" s="58" t="s">
        <v>94</v>
      </c>
      <c r="L30" s="35">
        <v>0.33300000000000002</v>
      </c>
      <c r="M30" s="36"/>
      <c r="N30" s="35"/>
      <c r="O30" s="35"/>
      <c r="P30" s="35"/>
      <c r="Q30" s="35"/>
      <c r="R30" s="37"/>
    </row>
    <row r="31" spans="2:18" x14ac:dyDescent="0.3">
      <c r="B31" s="58" t="s">
        <v>95</v>
      </c>
      <c r="C31" s="35">
        <v>0.45840328589011387</v>
      </c>
      <c r="D31" s="36"/>
      <c r="E31" s="35"/>
      <c r="F31" s="35"/>
      <c r="G31" s="35"/>
      <c r="H31" s="35"/>
      <c r="I31" s="37"/>
      <c r="K31" s="58" t="s">
        <v>95</v>
      </c>
      <c r="L31" s="35">
        <v>0.33300000000000002</v>
      </c>
      <c r="M31" s="36"/>
      <c r="N31" s="35"/>
      <c r="O31" s="35"/>
      <c r="P31" s="35"/>
      <c r="Q31" s="35"/>
      <c r="R31" s="37"/>
    </row>
    <row r="32" spans="2:18" x14ac:dyDescent="0.3">
      <c r="B32" s="58" t="s">
        <v>96</v>
      </c>
      <c r="C32" s="35">
        <v>8.2201039026603986E-2</v>
      </c>
      <c r="D32" s="36"/>
      <c r="E32" s="35"/>
      <c r="F32" s="35"/>
      <c r="G32" s="35"/>
      <c r="H32" s="35"/>
      <c r="I32" s="37"/>
      <c r="K32" s="58" t="s">
        <v>96</v>
      </c>
      <c r="L32" s="35">
        <v>0.33300000000000002</v>
      </c>
      <c r="M32" s="36"/>
      <c r="N32" s="35"/>
      <c r="O32" s="35"/>
      <c r="P32" s="35"/>
      <c r="Q32" s="35"/>
      <c r="R32" s="37"/>
    </row>
    <row r="33" spans="2:18" x14ac:dyDescent="0.3">
      <c r="B33" s="58" t="s">
        <v>99</v>
      </c>
      <c r="C33" s="35">
        <f>SUM(C30:C32)</f>
        <v>1.0000000000000298</v>
      </c>
      <c r="D33" s="36"/>
      <c r="E33" s="35"/>
      <c r="F33" s="35"/>
      <c r="G33" s="35"/>
      <c r="H33" s="35"/>
      <c r="I33" s="37"/>
      <c r="K33" s="58" t="s">
        <v>99</v>
      </c>
      <c r="L33" s="35">
        <f>SUM(L30:L32)</f>
        <v>0.99900000000000011</v>
      </c>
      <c r="M33" s="36"/>
      <c r="N33" s="35"/>
      <c r="O33" s="35"/>
      <c r="P33" s="35"/>
      <c r="Q33" s="35"/>
      <c r="R33" s="37"/>
    </row>
    <row r="34" spans="2:18" x14ac:dyDescent="0.3">
      <c r="B34" s="59"/>
      <c r="C34" s="39"/>
      <c r="D34" s="39"/>
      <c r="E34" s="39"/>
      <c r="F34" s="39"/>
      <c r="G34" s="39"/>
      <c r="H34" s="39"/>
      <c r="I34" s="40"/>
      <c r="J34" s="3"/>
      <c r="K34" s="59"/>
      <c r="L34" s="39"/>
      <c r="M34" s="39"/>
      <c r="N34" s="39"/>
      <c r="O34" s="39"/>
      <c r="P34" s="39"/>
      <c r="Q34" s="39"/>
      <c r="R34" s="40"/>
    </row>
    <row r="35" spans="2:18" x14ac:dyDescent="0.3">
      <c r="B35" s="58" t="s">
        <v>111</v>
      </c>
      <c r="C35" s="39">
        <f>$C$30*C12+C13*$C$31+C14*$C$32</f>
        <v>6.1276234938128002</v>
      </c>
      <c r="D35" s="39">
        <f t="shared" ref="D35:I35" si="0">$C$30*D12+D13*$C$31+D14*$C$32</f>
        <v>6.199436612482323</v>
      </c>
      <c r="E35" s="39">
        <f>$C$30*E12+E13*$C$31+E14*$C$32</f>
        <v>6.276988608036258</v>
      </c>
      <c r="F35" s="39">
        <f>$C$30*F12+F13*$C$31+F14*$C$32</f>
        <v>6.2325220803764578</v>
      </c>
      <c r="G35" s="39">
        <f t="shared" si="0"/>
        <v>6.3052355464061867</v>
      </c>
      <c r="H35" s="39">
        <f>$C$30*H12+H13*$C$31+H14*$C$32</f>
        <v>6.2989837979714407</v>
      </c>
      <c r="I35" s="40">
        <f t="shared" si="0"/>
        <v>6.2071839027386062</v>
      </c>
      <c r="K35" s="58" t="s">
        <v>111</v>
      </c>
      <c r="L35" s="39">
        <f>$L$30*C12+C13*$L$31+C14*$L$32</f>
        <v>5.8512308053194246</v>
      </c>
      <c r="M35" s="39">
        <f t="shared" ref="M35:R35" si="1">$L$30*D12+D13*$L$31+D14*$L$32</f>
        <v>5.9607762135369162</v>
      </c>
      <c r="N35" s="39">
        <f t="shared" si="1"/>
        <v>6.0105269990197439</v>
      </c>
      <c r="O35" s="39">
        <f t="shared" si="1"/>
        <v>5.9503166016240048</v>
      </c>
      <c r="P35" s="39">
        <f t="shared" si="1"/>
        <v>6.03757651332013</v>
      </c>
      <c r="Q35" s="39">
        <f t="shared" si="1"/>
        <v>6.0128649908691356</v>
      </c>
      <c r="R35" s="40">
        <f t="shared" si="1"/>
        <v>5.9167813371204785</v>
      </c>
    </row>
    <row r="36" spans="2:18" x14ac:dyDescent="0.3">
      <c r="B36" s="59" t="s">
        <v>101</v>
      </c>
      <c r="C36" s="39">
        <f>C11-C35</f>
        <v>1.6562140312845308E-2</v>
      </c>
      <c r="D36" s="39">
        <f t="shared" ref="D36:I36" si="2">D11-D35</f>
        <v>7.1393142426048328E-3</v>
      </c>
      <c r="E36" s="39">
        <f t="shared" si="2"/>
        <v>-2.1238566282891114E-2</v>
      </c>
      <c r="F36" s="39">
        <f t="shared" si="2"/>
        <v>7.0096895368447321E-2</v>
      </c>
      <c r="G36" s="39">
        <f t="shared" si="2"/>
        <v>6.4992627467281849E-3</v>
      </c>
      <c r="H36" s="39">
        <f t="shared" si="2"/>
        <v>-2.4221776729501876E-2</v>
      </c>
      <c r="I36" s="40">
        <f t="shared" si="2"/>
        <v>-5.2325808722188505E-2</v>
      </c>
      <c r="K36" s="59" t="s">
        <v>101</v>
      </c>
      <c r="L36" s="39">
        <f>C11-L35</f>
        <v>0.29295482880622092</v>
      </c>
      <c r="M36" s="39">
        <f t="shared" ref="M36:R36" si="3">D11-M35</f>
        <v>0.24579971318801164</v>
      </c>
      <c r="N36" s="39">
        <f t="shared" si="3"/>
        <v>0.24522304273362305</v>
      </c>
      <c r="O36" s="39">
        <f t="shared" si="3"/>
        <v>0.35230237412090037</v>
      </c>
      <c r="P36" s="39">
        <f t="shared" si="3"/>
        <v>0.27415829583278484</v>
      </c>
      <c r="Q36" s="39">
        <f t="shared" si="3"/>
        <v>0.26189703037280321</v>
      </c>
      <c r="R36" s="40">
        <f t="shared" si="3"/>
        <v>0.23807675689593921</v>
      </c>
    </row>
    <row r="37" spans="2:18" x14ac:dyDescent="0.3">
      <c r="B37" s="58" t="s">
        <v>102</v>
      </c>
      <c r="C37" s="61">
        <f>C36^2</f>
        <v>2.7430449174237567E-4</v>
      </c>
      <c r="D37" s="61">
        <f t="shared" ref="D37:I37" si="4">D36^2</f>
        <v>5.0969807854660215E-5</v>
      </c>
      <c r="E37" s="61">
        <f t="shared" si="4"/>
        <v>4.5107669775275923E-4</v>
      </c>
      <c r="F37" s="61">
        <f t="shared" si="4"/>
        <v>4.9135747402950514E-3</v>
      </c>
      <c r="G37" s="61">
        <f t="shared" si="4"/>
        <v>4.2240416251008788E-5</v>
      </c>
      <c r="H37" s="61">
        <f t="shared" si="4"/>
        <v>5.8669446793383861E-4</v>
      </c>
      <c r="I37" s="63">
        <f t="shared" si="4"/>
        <v>2.7379902584310587E-3</v>
      </c>
      <c r="K37" s="58" t="s">
        <v>102</v>
      </c>
      <c r="L37" s="61">
        <f>L36^2</f>
        <v>8.5822531720882209E-2</v>
      </c>
      <c r="M37" s="61">
        <f t="shared" ref="M37:R37" si="5">M36^2</f>
        <v>6.0417499003308783E-2</v>
      </c>
      <c r="N37" s="61">
        <f t="shared" si="5"/>
        <v>6.0134340687536321E-2</v>
      </c>
      <c r="O37" s="61">
        <f t="shared" si="5"/>
        <v>0.12411696281122285</v>
      </c>
      <c r="P37" s="61">
        <f t="shared" si="5"/>
        <v>7.5162771173936771E-2</v>
      </c>
      <c r="Q37" s="61">
        <f t="shared" si="5"/>
        <v>6.859005451809301E-2</v>
      </c>
      <c r="R37" s="63">
        <f t="shared" si="5"/>
        <v>5.668054217408814E-2</v>
      </c>
    </row>
    <row r="38" spans="2:18" x14ac:dyDescent="0.3">
      <c r="B38" s="59" t="s">
        <v>112</v>
      </c>
      <c r="C38" s="41">
        <f>SUM(C37:I37)</f>
        <v>9.0568508802607531E-3</v>
      </c>
      <c r="D38" s="36"/>
      <c r="E38" s="35"/>
      <c r="F38" s="35"/>
      <c r="G38" s="35"/>
      <c r="H38" s="35"/>
      <c r="I38" s="37"/>
      <c r="K38" s="59" t="s">
        <v>112</v>
      </c>
      <c r="L38" s="41">
        <f>SUM(L37:R37)</f>
        <v>0.53092470208906817</v>
      </c>
      <c r="M38" s="36"/>
      <c r="N38" s="35"/>
      <c r="O38" s="35"/>
      <c r="P38" s="35"/>
      <c r="Q38" s="35"/>
      <c r="R38" s="37"/>
    </row>
    <row r="39" spans="2:18" ht="15" thickBot="1" x14ac:dyDescent="0.35">
      <c r="B39" s="60" t="s">
        <v>104</v>
      </c>
      <c r="C39" s="62">
        <f>SQRT(AVERAGE(C37:I37))</f>
        <v>3.5969929664057591E-2</v>
      </c>
      <c r="D39" s="44"/>
      <c r="E39" s="45"/>
      <c r="F39" s="45"/>
      <c r="G39" s="45"/>
      <c r="H39" s="45"/>
      <c r="I39" s="46"/>
      <c r="K39" s="60" t="s">
        <v>104</v>
      </c>
      <c r="L39" s="62">
        <f>SQRT(AVERAGE(L37:R37))</f>
        <v>0.2754022258674102</v>
      </c>
      <c r="M39" s="44"/>
      <c r="N39" s="45"/>
      <c r="O39" s="45"/>
      <c r="P39" s="45"/>
      <c r="Q39" s="45"/>
      <c r="R39" s="46"/>
    </row>
    <row r="41" spans="2:18" x14ac:dyDescent="0.3">
      <c r="B41" s="2" t="s">
        <v>119</v>
      </c>
      <c r="C41" s="4">
        <f>L38-C38</f>
        <v>0.52186785120880741</v>
      </c>
    </row>
  </sheetData>
  <mergeCells count="3">
    <mergeCell ref="B3:E3"/>
    <mergeCell ref="B9:I9"/>
    <mergeCell ref="B16:D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33B3-C885-4F67-96C0-C3B576B26AD9}">
  <dimension ref="A1:S65"/>
  <sheetViews>
    <sheetView topLeftCell="A22" zoomScale="70" zoomScaleNormal="70" workbookViewId="0">
      <selection activeCell="F21" sqref="F21"/>
    </sheetView>
  </sheetViews>
  <sheetFormatPr defaultRowHeight="14.4" x14ac:dyDescent="0.3"/>
  <cols>
    <col min="7" max="7" width="18.109375" customWidth="1"/>
    <col min="17" max="17" width="12.21875" customWidth="1"/>
    <col min="19" max="19" width="12.109375" customWidth="1"/>
  </cols>
  <sheetData>
    <row r="1" spans="1:12" x14ac:dyDescent="0.3">
      <c r="G1" t="s">
        <v>144</v>
      </c>
    </row>
    <row r="2" spans="1:12" ht="43.2" x14ac:dyDescent="0.3">
      <c r="A2" s="55" t="s">
        <v>23</v>
      </c>
      <c r="B2" s="55" t="s">
        <v>42</v>
      </c>
      <c r="C2" s="55" t="s">
        <v>54</v>
      </c>
      <c r="D2" s="55" t="s">
        <v>77</v>
      </c>
      <c r="G2" t="s">
        <v>120</v>
      </c>
    </row>
    <row r="3" spans="1:12" ht="15" thickBot="1" x14ac:dyDescent="0.35">
      <c r="A3" s="7">
        <v>6.1441856341256456</v>
      </c>
      <c r="B3" s="7">
        <v>7.2591161280971006</v>
      </c>
      <c r="C3" s="7">
        <v>5.1704839950381514</v>
      </c>
      <c r="D3" s="7">
        <v>5.1416635565026603</v>
      </c>
    </row>
    <row r="4" spans="1:12" x14ac:dyDescent="0.3">
      <c r="A4" s="8">
        <v>6.2065759267249279</v>
      </c>
      <c r="B4" s="8">
        <v>7.3498737047383367</v>
      </c>
      <c r="C4" s="8">
        <v>5.1984970312658261</v>
      </c>
      <c r="D4" s="8">
        <v>5.3518581334760666</v>
      </c>
      <c r="G4" s="70" t="s">
        <v>121</v>
      </c>
      <c r="H4" s="70"/>
    </row>
    <row r="5" spans="1:12" x14ac:dyDescent="0.3">
      <c r="A5" s="7">
        <v>6.2557500417533669</v>
      </c>
      <c r="B5" s="7">
        <v>7.3938782901077564</v>
      </c>
      <c r="C5" s="7">
        <v>5.3278761687895813</v>
      </c>
      <c r="D5" s="7">
        <v>5.3278761687895813</v>
      </c>
      <c r="G5" s="67" t="s">
        <v>122</v>
      </c>
      <c r="H5" s="67">
        <v>0.86290520914814961</v>
      </c>
    </row>
    <row r="6" spans="1:12" x14ac:dyDescent="0.3">
      <c r="A6" s="7">
        <v>6.3026189757449051</v>
      </c>
      <c r="B6" s="7">
        <v>7.3907985217356762</v>
      </c>
      <c r="C6" s="7">
        <v>5.2522734280466299</v>
      </c>
      <c r="D6" s="7">
        <v>5.2257466737132017</v>
      </c>
      <c r="G6" s="67" t="s">
        <v>123</v>
      </c>
      <c r="H6" s="67">
        <v>0.74460539997501185</v>
      </c>
    </row>
    <row r="7" spans="1:12" x14ac:dyDescent="0.3">
      <c r="A7" s="7">
        <v>6.3117348091529148</v>
      </c>
      <c r="B7" s="7">
        <v>7.4271441334086159</v>
      </c>
      <c r="C7" s="7">
        <v>5.3518581334760666</v>
      </c>
      <c r="D7" s="7">
        <v>5.3518581334760666</v>
      </c>
      <c r="G7" s="67" t="s">
        <v>124</v>
      </c>
      <c r="H7" s="67">
        <v>0.48921079995002376</v>
      </c>
    </row>
    <row r="8" spans="1:12" x14ac:dyDescent="0.3">
      <c r="A8" s="7">
        <v>6.2747620212419388</v>
      </c>
      <c r="B8" s="7">
        <v>7.4506607962115394</v>
      </c>
      <c r="C8" s="7">
        <v>5.3278761687895813</v>
      </c>
      <c r="D8" s="7">
        <v>5.2781146592305168</v>
      </c>
      <c r="G8" s="67" t="s">
        <v>125</v>
      </c>
      <c r="H8" s="67">
        <v>4.877564898742489E-2</v>
      </c>
    </row>
    <row r="9" spans="1:12" ht="15" thickBot="1" x14ac:dyDescent="0.35">
      <c r="A9" s="24">
        <v>6.1548580940164177</v>
      </c>
      <c r="B9" s="24">
        <v>7.4271441334086159</v>
      </c>
      <c r="C9" s="24">
        <v>5.1704839950381514</v>
      </c>
      <c r="D9" s="24">
        <v>5.1704839950381514</v>
      </c>
      <c r="G9" s="68" t="s">
        <v>126</v>
      </c>
      <c r="H9" s="68">
        <v>7</v>
      </c>
    </row>
    <row r="11" spans="1:12" ht="15" thickBot="1" x14ac:dyDescent="0.35">
      <c r="G11" t="s">
        <v>127</v>
      </c>
    </row>
    <row r="12" spans="1:12" x14ac:dyDescent="0.3">
      <c r="G12" s="69"/>
      <c r="H12" s="69" t="s">
        <v>132</v>
      </c>
      <c r="I12" s="69" t="s">
        <v>133</v>
      </c>
      <c r="J12" s="69" t="s">
        <v>134</v>
      </c>
      <c r="K12" s="69" t="s">
        <v>135</v>
      </c>
      <c r="L12" s="69" t="s">
        <v>136</v>
      </c>
    </row>
    <row r="13" spans="1:12" x14ac:dyDescent="0.3">
      <c r="G13" s="67" t="s">
        <v>128</v>
      </c>
      <c r="H13" s="67">
        <v>3</v>
      </c>
      <c r="I13" s="67">
        <v>2.0808550988272129E-2</v>
      </c>
      <c r="J13" s="67">
        <v>6.9361836627573762E-3</v>
      </c>
      <c r="K13" s="67">
        <v>2.9155095679476331</v>
      </c>
      <c r="L13" s="67">
        <v>0.20147069597019612</v>
      </c>
    </row>
    <row r="14" spans="1:12" x14ac:dyDescent="0.3">
      <c r="G14" s="67" t="s">
        <v>129</v>
      </c>
      <c r="H14" s="67">
        <v>3</v>
      </c>
      <c r="I14" s="67">
        <v>7.1371918024334471E-3</v>
      </c>
      <c r="J14" s="67">
        <v>2.3790639341444825E-3</v>
      </c>
      <c r="K14" s="67"/>
      <c r="L14" s="67"/>
    </row>
    <row r="15" spans="1:12" ht="15" thickBot="1" x14ac:dyDescent="0.35">
      <c r="G15" s="68" t="s">
        <v>130</v>
      </c>
      <c r="H15" s="68">
        <v>6</v>
      </c>
      <c r="I15" s="68">
        <v>2.7945742790705577E-2</v>
      </c>
      <c r="J15" s="68"/>
      <c r="K15" s="68"/>
      <c r="L15" s="68"/>
    </row>
    <row r="16" spans="1:12" ht="15" thickBot="1" x14ac:dyDescent="0.35"/>
    <row r="17" spans="1:19" x14ac:dyDescent="0.3">
      <c r="G17" s="69"/>
      <c r="H17" s="69" t="s">
        <v>137</v>
      </c>
      <c r="I17" s="69" t="s">
        <v>125</v>
      </c>
      <c r="J17" s="69" t="s">
        <v>138</v>
      </c>
      <c r="K17" s="69" t="s">
        <v>139</v>
      </c>
      <c r="L17" s="69" t="s">
        <v>140</v>
      </c>
      <c r="M17" s="69" t="s">
        <v>141</v>
      </c>
      <c r="N17" s="69" t="s">
        <v>142</v>
      </c>
      <c r="O17" s="69" t="s">
        <v>143</v>
      </c>
      <c r="Q17" s="71" t="s">
        <v>107</v>
      </c>
      <c r="R17" s="72"/>
      <c r="S17" s="72"/>
    </row>
    <row r="18" spans="1:19" x14ac:dyDescent="0.3">
      <c r="G18" s="67" t="s">
        <v>131</v>
      </c>
      <c r="H18" s="67">
        <v>1.7120617507696769</v>
      </c>
      <c r="I18" s="67">
        <v>2.3234250580078584</v>
      </c>
      <c r="J18" s="67">
        <v>0.73686979697017896</v>
      </c>
      <c r="K18" s="67">
        <v>0.51459709573416323</v>
      </c>
      <c r="L18" s="67">
        <v>-5.6821137406910198</v>
      </c>
      <c r="M18" s="67">
        <v>9.1062372422303746</v>
      </c>
      <c r="N18" s="67">
        <v>-5.6821137406910198</v>
      </c>
      <c r="O18" s="67">
        <v>9.1062372422303746</v>
      </c>
      <c r="Q18" s="56" t="s">
        <v>86</v>
      </c>
      <c r="R18" s="6" t="s">
        <v>88</v>
      </c>
      <c r="S18" s="6" t="s">
        <v>90</v>
      </c>
    </row>
    <row r="19" spans="1:19" x14ac:dyDescent="0.3">
      <c r="G19" s="67" t="s">
        <v>42</v>
      </c>
      <c r="H19" s="67">
        <v>0.11181418771210382</v>
      </c>
      <c r="I19" s="67">
        <v>0.38727905935494056</v>
      </c>
      <c r="J19" s="67">
        <v>0.28871736028884099</v>
      </c>
      <c r="K19" s="67">
        <v>0.79159806290232615</v>
      </c>
      <c r="L19" s="67">
        <v>-1.1206806238457772</v>
      </c>
      <c r="M19" s="67">
        <v>1.3443089992699846</v>
      </c>
      <c r="N19" s="67">
        <v>-1.1206806238457772</v>
      </c>
      <c r="O19" s="67">
        <v>1.3443089992699846</v>
      </c>
      <c r="Q19" s="55" t="s">
        <v>23</v>
      </c>
      <c r="R19" s="7" t="s">
        <v>54</v>
      </c>
      <c r="S19" s="7">
        <v>0.45973532226379249</v>
      </c>
    </row>
    <row r="20" spans="1:19" x14ac:dyDescent="0.3">
      <c r="G20" s="67" t="s">
        <v>54</v>
      </c>
      <c r="H20" s="67">
        <v>0.63049883399917306</v>
      </c>
      <c r="I20" s="67">
        <v>0.39259230689446123</v>
      </c>
      <c r="J20" s="67">
        <v>1.6059887647484319</v>
      </c>
      <c r="K20" s="67">
        <v>0.20662749118486082</v>
      </c>
      <c r="L20" s="67">
        <v>-0.61890510255991305</v>
      </c>
      <c r="M20" s="67">
        <v>1.8799027705582592</v>
      </c>
      <c r="N20" s="67">
        <v>-0.61890510255991305</v>
      </c>
      <c r="O20" s="67">
        <v>1.8799027705582592</v>
      </c>
      <c r="Q20" s="55" t="s">
        <v>23</v>
      </c>
      <c r="R20" s="7" t="s">
        <v>77</v>
      </c>
      <c r="S20" s="7">
        <v>8.0865157072275651E-2</v>
      </c>
    </row>
    <row r="21" spans="1:19" ht="15" thickBot="1" x14ac:dyDescent="0.35">
      <c r="G21" s="68" t="s">
        <v>77</v>
      </c>
      <c r="H21" s="68">
        <v>7.2826122834573154E-2</v>
      </c>
      <c r="I21" s="68">
        <v>0.31108188829558769</v>
      </c>
      <c r="J21" s="68">
        <v>0.23410595593843866</v>
      </c>
      <c r="K21" s="68">
        <v>0.82996954292996972</v>
      </c>
      <c r="L21" s="68">
        <v>-0.91717528321239938</v>
      </c>
      <c r="M21" s="68">
        <v>1.0628275288815456</v>
      </c>
      <c r="N21" s="68">
        <v>-0.91717528321239938</v>
      </c>
      <c r="O21" s="68">
        <v>1.0628275288815456</v>
      </c>
      <c r="Q21" s="57" t="s">
        <v>23</v>
      </c>
      <c r="R21" s="27" t="s">
        <v>42</v>
      </c>
      <c r="S21" s="49">
        <v>0.45939952066393192</v>
      </c>
    </row>
    <row r="24" spans="1:19" x14ac:dyDescent="0.3">
      <c r="A24" s="23" t="s">
        <v>17</v>
      </c>
      <c r="B24" s="23" t="s">
        <v>48</v>
      </c>
      <c r="C24" s="23" t="s">
        <v>50</v>
      </c>
      <c r="D24" s="23" t="s">
        <v>64</v>
      </c>
      <c r="G24" t="s">
        <v>120</v>
      </c>
    </row>
    <row r="25" spans="1:19" ht="15" thickBot="1" x14ac:dyDescent="0.35">
      <c r="A25" s="7">
        <v>7.741099090035366</v>
      </c>
      <c r="B25" s="7">
        <v>8.7727652099497853</v>
      </c>
      <c r="C25" s="7">
        <v>6.2461067654815627</v>
      </c>
      <c r="D25" s="7">
        <v>7.13966033596492</v>
      </c>
    </row>
    <row r="26" spans="1:19" x14ac:dyDescent="0.3">
      <c r="A26" s="8">
        <v>7.7454356102743809</v>
      </c>
      <c r="B26" s="8">
        <v>8.8181862779276905</v>
      </c>
      <c r="C26" s="8">
        <v>6.0185932144962342</v>
      </c>
      <c r="D26" s="8">
        <v>7.2011708832816783</v>
      </c>
      <c r="G26" s="70" t="s">
        <v>121</v>
      </c>
      <c r="H26" s="70"/>
    </row>
    <row r="27" spans="1:19" x14ac:dyDescent="0.3">
      <c r="A27" s="7">
        <v>7.8304256178203309</v>
      </c>
      <c r="B27" s="7">
        <v>8.647519453091812</v>
      </c>
      <c r="C27" s="7">
        <v>6.0426328336823811</v>
      </c>
      <c r="D27" s="7">
        <v>6.9810057407217299</v>
      </c>
      <c r="G27" s="67" t="s">
        <v>122</v>
      </c>
      <c r="H27" s="67">
        <v>0.74397087646375004</v>
      </c>
    </row>
    <row r="28" spans="1:19" x14ac:dyDescent="0.3">
      <c r="A28" s="7">
        <v>7.7257714415879519</v>
      </c>
      <c r="B28" s="7">
        <v>8.4879703327393337</v>
      </c>
      <c r="C28" s="7">
        <v>5.9427993751267012</v>
      </c>
      <c r="D28" s="7">
        <v>6.8627579130514009</v>
      </c>
      <c r="G28" s="67" t="s">
        <v>123</v>
      </c>
      <c r="H28" s="67">
        <v>0.5534926650262405</v>
      </c>
    </row>
    <row r="29" spans="1:19" x14ac:dyDescent="0.3">
      <c r="A29" s="7">
        <v>7.7257714415879519</v>
      </c>
      <c r="B29" s="7">
        <v>8.3963805711994901</v>
      </c>
      <c r="C29" s="7">
        <v>5.9026333334013659</v>
      </c>
      <c r="D29" s="7">
        <v>6.7923444274708089</v>
      </c>
      <c r="G29" s="67" t="s">
        <v>124</v>
      </c>
      <c r="H29" s="67">
        <v>0.10698533005248094</v>
      </c>
    </row>
    <row r="30" spans="1:19" x14ac:dyDescent="0.3">
      <c r="A30" s="7">
        <v>7.6596429545646822</v>
      </c>
      <c r="B30" s="7">
        <v>8.39185670010494</v>
      </c>
      <c r="C30" s="7">
        <v>5.8464387750577247</v>
      </c>
      <c r="D30" s="7">
        <v>6.6795991858443831</v>
      </c>
      <c r="G30" s="67" t="s">
        <v>125</v>
      </c>
      <c r="H30" s="67">
        <v>7.6882523495558103E-2</v>
      </c>
    </row>
    <row r="31" spans="1:19" ht="15" thickBot="1" x14ac:dyDescent="0.35">
      <c r="A31" s="24">
        <v>7.568379267836522</v>
      </c>
      <c r="B31" s="24">
        <v>8.2967958657700525</v>
      </c>
      <c r="C31" s="24">
        <v>5.8171111599632042</v>
      </c>
      <c r="D31" s="24">
        <v>6.7226297948554494</v>
      </c>
      <c r="G31" s="68" t="s">
        <v>126</v>
      </c>
      <c r="H31" s="68">
        <v>7</v>
      </c>
    </row>
    <row r="33" spans="1:19" ht="15" thickBot="1" x14ac:dyDescent="0.35">
      <c r="G33" t="s">
        <v>127</v>
      </c>
    </row>
    <row r="34" spans="1:19" x14ac:dyDescent="0.3">
      <c r="G34" s="69"/>
      <c r="H34" s="69" t="s">
        <v>132</v>
      </c>
      <c r="I34" s="69" t="s">
        <v>133</v>
      </c>
      <c r="J34" s="69" t="s">
        <v>134</v>
      </c>
      <c r="K34" s="69" t="s">
        <v>135</v>
      </c>
      <c r="L34" s="69" t="s">
        <v>136</v>
      </c>
    </row>
    <row r="35" spans="1:19" x14ac:dyDescent="0.3">
      <c r="G35" s="67" t="s">
        <v>128</v>
      </c>
      <c r="H35" s="67">
        <v>3</v>
      </c>
      <c r="I35" s="67">
        <v>2.1981624575145197E-2</v>
      </c>
      <c r="J35" s="67">
        <v>7.3272081917150657E-3</v>
      </c>
      <c r="K35" s="67">
        <v>1.2396048657493348</v>
      </c>
      <c r="L35" s="67">
        <v>0.43202117516685606</v>
      </c>
    </row>
    <row r="36" spans="1:19" x14ac:dyDescent="0.3">
      <c r="G36" s="67" t="s">
        <v>129</v>
      </c>
      <c r="H36" s="67">
        <v>3</v>
      </c>
      <c r="I36" s="67">
        <v>1.7732767257135133E-2</v>
      </c>
      <c r="J36" s="67">
        <v>5.9109224190450442E-3</v>
      </c>
      <c r="K36" s="67"/>
      <c r="L36" s="67"/>
    </row>
    <row r="37" spans="1:19" ht="15" thickBot="1" x14ac:dyDescent="0.35">
      <c r="G37" s="68" t="s">
        <v>130</v>
      </c>
      <c r="H37" s="68">
        <v>6</v>
      </c>
      <c r="I37" s="68">
        <v>3.971439183228033E-2</v>
      </c>
      <c r="J37" s="68"/>
      <c r="K37" s="68"/>
      <c r="L37" s="68"/>
    </row>
    <row r="38" spans="1:19" ht="15" thickBot="1" x14ac:dyDescent="0.35">
      <c r="Q38" s="71" t="s">
        <v>107</v>
      </c>
      <c r="R38" s="72"/>
      <c r="S38" s="72"/>
    </row>
    <row r="39" spans="1:19" x14ac:dyDescent="0.3">
      <c r="G39" s="69"/>
      <c r="H39" s="69" t="s">
        <v>137</v>
      </c>
      <c r="I39" s="69" t="s">
        <v>125</v>
      </c>
      <c r="J39" s="69" t="s">
        <v>138</v>
      </c>
      <c r="K39" s="69" t="s">
        <v>139</v>
      </c>
      <c r="L39" s="69" t="s">
        <v>140</v>
      </c>
      <c r="M39" s="69" t="s">
        <v>141</v>
      </c>
      <c r="N39" s="69" t="s">
        <v>142</v>
      </c>
      <c r="O39" s="69" t="s">
        <v>143</v>
      </c>
      <c r="Q39" s="25" t="s">
        <v>86</v>
      </c>
      <c r="R39" s="6" t="s">
        <v>88</v>
      </c>
      <c r="S39" s="6" t="s">
        <v>90</v>
      </c>
    </row>
    <row r="40" spans="1:19" x14ac:dyDescent="0.3">
      <c r="G40" s="67" t="s">
        <v>131</v>
      </c>
      <c r="H40" s="67">
        <v>4.6027071697835797</v>
      </c>
      <c r="I40" s="67">
        <v>1.6911952049598171</v>
      </c>
      <c r="J40" s="67">
        <v>2.7215706124787293</v>
      </c>
      <c r="K40" s="67">
        <v>7.2453368870255913E-2</v>
      </c>
      <c r="L40" s="67">
        <v>-0.77943076175431525</v>
      </c>
      <c r="M40" s="67">
        <v>9.9848451013214756</v>
      </c>
      <c r="N40" s="67">
        <v>-0.77943076175431525</v>
      </c>
      <c r="O40" s="67">
        <v>9.9848451013214756</v>
      </c>
      <c r="Q40" s="23" t="s">
        <v>17</v>
      </c>
      <c r="R40" s="7" t="s">
        <v>48</v>
      </c>
      <c r="S40" s="7">
        <v>0.67580221289686704</v>
      </c>
    </row>
    <row r="41" spans="1:19" x14ac:dyDescent="0.3">
      <c r="G41" s="67" t="s">
        <v>48</v>
      </c>
      <c r="H41" s="67">
        <v>0.67230105269544693</v>
      </c>
      <c r="I41" s="67">
        <v>0.74080983335146799</v>
      </c>
      <c r="J41" s="67">
        <v>0.90752177202335016</v>
      </c>
      <c r="K41" s="67">
        <v>0.43103503632652562</v>
      </c>
      <c r="L41" s="67">
        <v>-1.6852864643717724</v>
      </c>
      <c r="M41" s="67">
        <v>3.0298885697626661</v>
      </c>
      <c r="N41" s="67">
        <v>-1.6852864643717724</v>
      </c>
      <c r="O41" s="67">
        <v>3.0298885697626661</v>
      </c>
      <c r="Q41" s="23" t="s">
        <v>17</v>
      </c>
      <c r="R41" s="7" t="s">
        <v>50</v>
      </c>
      <c r="S41" s="7">
        <v>0.32419778655420278</v>
      </c>
    </row>
    <row r="42" spans="1:19" ht="15" thickBot="1" x14ac:dyDescent="0.35">
      <c r="G42" s="67" t="s">
        <v>50</v>
      </c>
      <c r="H42" s="67">
        <v>0.10163173627153886</v>
      </c>
      <c r="I42" s="67">
        <v>0.41582235887400953</v>
      </c>
      <c r="J42" s="67">
        <v>0.24441142738630939</v>
      </c>
      <c r="K42" s="67">
        <v>0.82267501442910396</v>
      </c>
      <c r="L42" s="67">
        <v>-1.2217005933814093</v>
      </c>
      <c r="M42" s="67">
        <v>1.4249640659244871</v>
      </c>
      <c r="N42" s="67">
        <v>-1.2217005933814093</v>
      </c>
      <c r="O42" s="67">
        <v>1.4249640659244871</v>
      </c>
      <c r="Q42" s="26" t="s">
        <v>17</v>
      </c>
      <c r="R42" s="27" t="s">
        <v>64</v>
      </c>
      <c r="S42" s="49">
        <v>5.4893011563366283E-10</v>
      </c>
    </row>
    <row r="43" spans="1:19" ht="15" thickBot="1" x14ac:dyDescent="0.35">
      <c r="G43" s="68" t="s">
        <v>64</v>
      </c>
      <c r="H43" s="68">
        <v>-0.46887136601784019</v>
      </c>
      <c r="I43" s="68">
        <v>0.70655636190531124</v>
      </c>
      <c r="J43" s="68">
        <v>-0.66360079860221499</v>
      </c>
      <c r="K43" s="68">
        <v>0.55438599160298363</v>
      </c>
      <c r="L43" s="68">
        <v>-2.717449049438097</v>
      </c>
      <c r="M43" s="68">
        <v>1.7797063174024168</v>
      </c>
      <c r="N43" s="68">
        <v>-2.717449049438097</v>
      </c>
      <c r="O43" s="68">
        <v>1.7797063174024168</v>
      </c>
    </row>
    <row r="46" spans="1:19" ht="43.2" x14ac:dyDescent="0.3">
      <c r="A46" s="55" t="s">
        <v>22</v>
      </c>
      <c r="B46" s="55" t="s">
        <v>24</v>
      </c>
      <c r="C46" s="55" t="s">
        <v>42</v>
      </c>
      <c r="D46" s="55" t="s">
        <v>73</v>
      </c>
      <c r="G46" t="s">
        <v>120</v>
      </c>
    </row>
    <row r="47" spans="1:19" ht="15" thickBot="1" x14ac:dyDescent="0.35">
      <c r="A47" s="7">
        <v>6.4150969591715956</v>
      </c>
      <c r="B47" s="7">
        <v>6.4707995037826018</v>
      </c>
      <c r="C47" s="7">
        <v>7.2591161280971006</v>
      </c>
      <c r="D47" s="7">
        <v>7.0527210492323231</v>
      </c>
    </row>
    <row r="48" spans="1:19" x14ac:dyDescent="0.3">
      <c r="A48" s="8">
        <v>6.7580945044277314</v>
      </c>
      <c r="B48" s="8">
        <v>6.6147256002037604</v>
      </c>
      <c r="C48" s="8">
        <v>7.3498737047383367</v>
      </c>
      <c r="D48" s="8">
        <v>7.1747243098363764</v>
      </c>
      <c r="G48" s="70" t="s">
        <v>121</v>
      </c>
      <c r="H48" s="70"/>
    </row>
    <row r="49" spans="1:19" x14ac:dyDescent="0.3">
      <c r="A49" s="7">
        <v>7.0175061429412562</v>
      </c>
      <c r="B49" s="7">
        <v>6.8035052576083377</v>
      </c>
      <c r="C49" s="7">
        <v>7.3938782901077564</v>
      </c>
      <c r="D49" s="7">
        <v>7.1974353540965907</v>
      </c>
      <c r="G49" s="67" t="s">
        <v>122</v>
      </c>
      <c r="H49" s="67">
        <v>0.994187651589854</v>
      </c>
    </row>
    <row r="50" spans="1:19" x14ac:dyDescent="0.3">
      <c r="A50" s="7">
        <v>6.9994224675079613</v>
      </c>
      <c r="B50" s="7">
        <v>6.7810576259361799</v>
      </c>
      <c r="C50" s="7">
        <v>7.3907985217356762</v>
      </c>
      <c r="D50" s="7">
        <v>7.1747243098363764</v>
      </c>
      <c r="G50" s="67" t="s">
        <v>123</v>
      </c>
      <c r="H50" s="67">
        <v>0.98840908657374904</v>
      </c>
    </row>
    <row r="51" spans="1:19" x14ac:dyDescent="0.3">
      <c r="A51" s="7">
        <v>7.0039741367226798</v>
      </c>
      <c r="B51" s="7">
        <v>6.6669567924292066</v>
      </c>
      <c r="C51" s="7">
        <v>7.4271441334086159</v>
      </c>
      <c r="D51" s="7">
        <v>7.2696167496081694</v>
      </c>
      <c r="G51" s="67" t="s">
        <v>124</v>
      </c>
      <c r="H51" s="67">
        <v>0.97681817314749819</v>
      </c>
    </row>
    <row r="52" spans="1:19" x14ac:dyDescent="0.3">
      <c r="A52" s="7">
        <v>7.0825485693552999</v>
      </c>
      <c r="B52" s="7">
        <v>6.7464121285733736</v>
      </c>
      <c r="C52" s="7">
        <v>7.4506607962115394</v>
      </c>
      <c r="D52" s="7">
        <v>7.2305631534092916</v>
      </c>
      <c r="G52" s="67" t="s">
        <v>125</v>
      </c>
      <c r="H52" s="67">
        <v>3.9370619891004696E-2</v>
      </c>
    </row>
    <row r="53" spans="1:19" ht="15" thickBot="1" x14ac:dyDescent="0.35">
      <c r="A53" s="24">
        <v>7.1861443045223252</v>
      </c>
      <c r="B53" s="24">
        <v>6.7867169506050811</v>
      </c>
      <c r="C53" s="24">
        <v>7.4271441334086159</v>
      </c>
      <c r="D53" s="24">
        <v>7.2591161280971006</v>
      </c>
      <c r="G53" s="68" t="s">
        <v>126</v>
      </c>
      <c r="H53" s="68">
        <v>7</v>
      </c>
    </row>
    <row r="55" spans="1:19" ht="15" thickBot="1" x14ac:dyDescent="0.35">
      <c r="G55" t="s">
        <v>127</v>
      </c>
    </row>
    <row r="56" spans="1:19" x14ac:dyDescent="0.3">
      <c r="G56" s="69"/>
      <c r="H56" s="69" t="s">
        <v>132</v>
      </c>
      <c r="I56" s="69" t="s">
        <v>133</v>
      </c>
      <c r="J56" s="69" t="s">
        <v>134</v>
      </c>
      <c r="K56" s="69" t="s">
        <v>135</v>
      </c>
      <c r="L56" s="69" t="s">
        <v>136</v>
      </c>
    </row>
    <row r="57" spans="1:19" x14ac:dyDescent="0.3">
      <c r="G57" s="67" t="s">
        <v>128</v>
      </c>
      <c r="H57" s="67">
        <v>3</v>
      </c>
      <c r="I57" s="67">
        <v>0.3965380143795606</v>
      </c>
      <c r="J57" s="67">
        <v>0.13217933812652019</v>
      </c>
      <c r="K57" s="67">
        <v>85.274477534721939</v>
      </c>
      <c r="L57" s="67">
        <v>2.1111029119418373E-3</v>
      </c>
    </row>
    <row r="58" spans="1:19" x14ac:dyDescent="0.3">
      <c r="G58" s="67" t="s">
        <v>129</v>
      </c>
      <c r="H58" s="67">
        <v>3</v>
      </c>
      <c r="I58" s="67">
        <v>4.6501371318059242E-3</v>
      </c>
      <c r="J58" s="67">
        <v>1.5500457106019747E-3</v>
      </c>
      <c r="K58" s="67"/>
      <c r="L58" s="67"/>
    </row>
    <row r="59" spans="1:19" ht="15" thickBot="1" x14ac:dyDescent="0.35">
      <c r="G59" s="68" t="s">
        <v>130</v>
      </c>
      <c r="H59" s="68">
        <v>6</v>
      </c>
      <c r="I59" s="68">
        <v>0.4011881515113665</v>
      </c>
      <c r="J59" s="68"/>
      <c r="K59" s="68"/>
      <c r="L59" s="68"/>
    </row>
    <row r="60" spans="1:19" ht="15" thickBot="1" x14ac:dyDescent="0.35"/>
    <row r="61" spans="1:19" x14ac:dyDescent="0.3">
      <c r="G61" s="69"/>
      <c r="H61" s="69" t="s">
        <v>137</v>
      </c>
      <c r="I61" s="69" t="s">
        <v>125</v>
      </c>
      <c r="J61" s="69" t="s">
        <v>138</v>
      </c>
      <c r="K61" s="69" t="s">
        <v>139</v>
      </c>
      <c r="L61" s="69" t="s">
        <v>140</v>
      </c>
      <c r="M61" s="69" t="s">
        <v>141</v>
      </c>
      <c r="N61" s="69" t="s">
        <v>142</v>
      </c>
      <c r="O61" s="69" t="s">
        <v>143</v>
      </c>
      <c r="Q61" s="71" t="s">
        <v>107</v>
      </c>
      <c r="R61" s="72"/>
      <c r="S61" s="72"/>
    </row>
    <row r="62" spans="1:19" x14ac:dyDescent="0.3">
      <c r="G62" s="67" t="s">
        <v>131</v>
      </c>
      <c r="H62" s="67">
        <v>-15.55333146150058</v>
      </c>
      <c r="I62" s="67">
        <v>2.3111182145329354</v>
      </c>
      <c r="J62" s="67">
        <v>-6.7297861977362441</v>
      </c>
      <c r="K62" s="67">
        <v>6.6985339245472448E-3</v>
      </c>
      <c r="L62" s="67">
        <v>-22.908341084414804</v>
      </c>
      <c r="M62" s="67">
        <v>-8.1983218385863559</v>
      </c>
      <c r="N62" s="67">
        <v>-22.908341084414804</v>
      </c>
      <c r="O62" s="67">
        <v>-8.1983218385863559</v>
      </c>
      <c r="Q62" s="56" t="s">
        <v>86</v>
      </c>
      <c r="R62" s="6" t="s">
        <v>88</v>
      </c>
      <c r="S62" s="6" t="s">
        <v>90</v>
      </c>
    </row>
    <row r="63" spans="1:19" ht="28.8" x14ac:dyDescent="0.3">
      <c r="G63" s="67" t="s">
        <v>24</v>
      </c>
      <c r="H63" s="67">
        <v>1.0712217158941915</v>
      </c>
      <c r="I63" s="67">
        <v>0.24893188129409366</v>
      </c>
      <c r="J63" s="67">
        <v>4.3032724869364012</v>
      </c>
      <c r="K63" s="67">
        <v>2.309344466681278E-2</v>
      </c>
      <c r="L63" s="67">
        <v>0.27900937000248027</v>
      </c>
      <c r="M63" s="67">
        <v>1.8634340617859027</v>
      </c>
      <c r="N63" s="67">
        <v>0.27900937000248027</v>
      </c>
      <c r="O63" s="67">
        <v>1.8634340617859027</v>
      </c>
      <c r="Q63" s="55" t="s">
        <v>22</v>
      </c>
      <c r="R63" s="7" t="s">
        <v>42</v>
      </c>
      <c r="S63" s="7">
        <v>0.31777391101652008</v>
      </c>
    </row>
    <row r="64" spans="1:19" ht="28.8" x14ac:dyDescent="0.3">
      <c r="G64" s="67" t="s">
        <v>42</v>
      </c>
      <c r="H64" s="67">
        <v>0.9050544989883258</v>
      </c>
      <c r="I64" s="67">
        <v>0.98650421299138458</v>
      </c>
      <c r="J64" s="67">
        <v>0.91743602010975889</v>
      </c>
      <c r="K64" s="67">
        <v>0.42656962637205087</v>
      </c>
      <c r="L64" s="67">
        <v>-2.2344421887929196</v>
      </c>
      <c r="M64" s="67">
        <v>4.0445511867695707</v>
      </c>
      <c r="N64" s="67">
        <v>-2.2344421887929196</v>
      </c>
      <c r="O64" s="67">
        <v>4.0445511867695707</v>
      </c>
      <c r="Q64" s="55" t="s">
        <v>22</v>
      </c>
      <c r="R64" s="7" t="s">
        <v>24</v>
      </c>
      <c r="S64" s="7">
        <v>0.68222606641491146</v>
      </c>
    </row>
    <row r="65" spans="7:19" ht="29.4" thickBot="1" x14ac:dyDescent="0.35">
      <c r="G65" s="68" t="s">
        <v>73</v>
      </c>
      <c r="H65" s="68">
        <v>1.1981535190162029</v>
      </c>
      <c r="I65" s="68">
        <v>0.70570865793492354</v>
      </c>
      <c r="J65" s="68">
        <v>1.6978019265376363</v>
      </c>
      <c r="K65" s="68">
        <v>0.18811035682836591</v>
      </c>
      <c r="L65" s="68">
        <v>-1.0477263920355195</v>
      </c>
      <c r="M65" s="68">
        <v>3.4440334300679254</v>
      </c>
      <c r="N65" s="68">
        <v>-1.0477263920355195</v>
      </c>
      <c r="O65" s="68">
        <v>3.4440334300679254</v>
      </c>
      <c r="Q65" s="57" t="s">
        <v>22</v>
      </c>
      <c r="R65" s="27" t="s">
        <v>73</v>
      </c>
      <c r="S65" s="49">
        <v>2.2568568492421111E-8</v>
      </c>
    </row>
  </sheetData>
  <mergeCells count="3">
    <mergeCell ref="Q17:S17"/>
    <mergeCell ref="Q38:S38"/>
    <mergeCell ref="Q61:S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logmat</vt:lpstr>
      <vt:lpstr>donor_selection</vt:lpstr>
      <vt:lpstr>weight_results</vt:lpstr>
      <vt:lpstr>tests_Bulgaria</vt:lpstr>
      <vt:lpstr>tests_Check_republic</vt:lpstr>
      <vt:lpstr>test_DENMARK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Stoycho Rusinov</cp:lastModifiedBy>
  <dcterms:created xsi:type="dcterms:W3CDTF">2026-06-20T13:36:21Z</dcterms:created>
  <dcterms:modified xsi:type="dcterms:W3CDTF">2026-06-20T20:33:49Z</dcterms:modified>
</cp:coreProperties>
</file>