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ycho.rusinov\Documents\GitHub\Estimating_price_elasticity\Statistical_documentation_in_R\Control_group_construction\Checks_in_excel\"/>
    </mc:Choice>
  </mc:AlternateContent>
  <xr:revisionPtr revIDLastSave="0" documentId="13_ncr:1_{3B1445FE-AD62-4874-9267-51BE3B2DB243}" xr6:coauthVersionLast="36" xr6:coauthVersionMax="36" xr10:uidLastSave="{00000000-0000-0000-0000-000000000000}"/>
  <bookViews>
    <workbookView xWindow="240" yWindow="12" windowWidth="16092" windowHeight="9660" activeTab="2" xr2:uid="{00000000-000D-0000-FFFF-FFFF00000000}"/>
  </bookViews>
  <sheets>
    <sheet name="logtraj" sheetId="1" r:id="rId1"/>
    <sheet name="traj_scaled" sheetId="2" r:id="rId2"/>
    <sheet name="tests" sheetId="3" r:id="rId3"/>
  </sheets>
  <calcPr calcId="191029"/>
</workbook>
</file>

<file path=xl/calcChain.xml><?xml version="1.0" encoding="utf-8"?>
<calcChain xmlns="http://schemas.openxmlformats.org/spreadsheetml/2006/main">
  <c r="E21" i="3" l="1"/>
  <c r="E22" i="3"/>
  <c r="D20" i="3"/>
  <c r="D21" i="3"/>
  <c r="D22" i="3"/>
  <c r="D23" i="3"/>
  <c r="E23" i="3" s="1"/>
  <c r="D24" i="3"/>
  <c r="E24" i="3" s="1"/>
  <c r="D25" i="3"/>
  <c r="E25" i="3" s="1"/>
  <c r="D26" i="3"/>
  <c r="E28" i="3" s="1"/>
  <c r="D27" i="3"/>
  <c r="E27" i="3" s="1"/>
  <c r="D28" i="3"/>
  <c r="D29" i="3"/>
  <c r="D30" i="3"/>
  <c r="D31" i="3"/>
  <c r="D32" i="3"/>
  <c r="D33" i="3"/>
  <c r="E33" i="3" s="1"/>
  <c r="D34" i="3"/>
  <c r="D35" i="3"/>
  <c r="E34" i="3" s="1"/>
  <c r="D36" i="3"/>
  <c r="E35" i="3" s="1"/>
  <c r="D37" i="3"/>
  <c r="E36" i="3" s="1"/>
  <c r="D38" i="3"/>
  <c r="D39" i="3"/>
  <c r="E39" i="3" s="1"/>
  <c r="D40" i="3"/>
  <c r="D41" i="3"/>
  <c r="E41" i="3" s="1"/>
  <c r="D42" i="3"/>
  <c r="E42" i="3" s="1"/>
  <c r="D43" i="3"/>
  <c r="E43" i="3" s="1"/>
  <c r="D44" i="3"/>
  <c r="E44" i="3" s="1"/>
  <c r="D45" i="3"/>
  <c r="E45" i="3" s="1"/>
  <c r="D46" i="3"/>
  <c r="E46" i="3" s="1"/>
  <c r="D19" i="3"/>
  <c r="E19" i="3" s="1"/>
  <c r="E38" i="3" l="1"/>
  <c r="E20" i="3"/>
  <c r="E29" i="3"/>
  <c r="E37" i="3"/>
  <c r="E26" i="3"/>
  <c r="E32" i="3"/>
  <c r="E31" i="3"/>
  <c r="E40" i="3"/>
  <c r="E30" i="3"/>
</calcChain>
</file>

<file path=xl/sharedStrings.xml><?xml version="1.0" encoding="utf-8"?>
<sst xmlns="http://schemas.openxmlformats.org/spreadsheetml/2006/main" count="237" uniqueCount="98">
  <si>
    <t>country</t>
  </si>
  <si>
    <t>2014</t>
  </si>
  <si>
    <t>2015</t>
  </si>
  <si>
    <t>2016</t>
  </si>
  <si>
    <t>2017</t>
  </si>
  <si>
    <t>2018</t>
  </si>
  <si>
    <t>2019</t>
  </si>
  <si>
    <t>2020</t>
  </si>
  <si>
    <t>Australia</t>
  </si>
  <si>
    <t>Austria</t>
  </si>
  <si>
    <t>Azerbaijan</t>
  </si>
  <si>
    <t>Bahrain</t>
  </si>
  <si>
    <t>Bangladesh</t>
  </si>
  <si>
    <t>Belgium</t>
  </si>
  <si>
    <t>Botswana</t>
  </si>
  <si>
    <t>Brazil</t>
  </si>
  <si>
    <t>Brunei Darussalam</t>
  </si>
  <si>
    <t>Bulgaria</t>
  </si>
  <si>
    <t>Canada</t>
  </si>
  <si>
    <t>China</t>
  </si>
  <si>
    <t>Croatia</t>
  </si>
  <si>
    <t>Cyprus (European Union)</t>
  </si>
  <si>
    <t>Czech Republic</t>
  </si>
  <si>
    <t>Denmark</t>
  </si>
  <si>
    <t>Egypt</t>
  </si>
  <si>
    <t>Estonia</t>
  </si>
  <si>
    <t>Finland</t>
  </si>
  <si>
    <t>France</t>
  </si>
  <si>
    <t>Germany</t>
  </si>
  <si>
    <t>Ghana</t>
  </si>
  <si>
    <t>Greece</t>
  </si>
  <si>
    <t>Hungary</t>
  </si>
  <si>
    <t>India</t>
  </si>
  <si>
    <t>Indonesia</t>
  </si>
  <si>
    <t>Iran, Islamic Republic of</t>
  </si>
  <si>
    <t>Ireland</t>
  </si>
  <si>
    <t>Israel</t>
  </si>
  <si>
    <t>Italy</t>
  </si>
  <si>
    <t>Japan</t>
  </si>
  <si>
    <t>Jordan</t>
  </si>
  <si>
    <t>Kazakhstan</t>
  </si>
  <si>
    <t>Kenya</t>
  </si>
  <si>
    <t>Korea, Republic of</t>
  </si>
  <si>
    <t>Kuwait</t>
  </si>
  <si>
    <t>Latvia</t>
  </si>
  <si>
    <t>Lebanon</t>
  </si>
  <si>
    <t>Lithuania</t>
  </si>
  <si>
    <t>Luxembourg</t>
  </si>
  <si>
    <t>Malaysia</t>
  </si>
  <si>
    <t>Malta</t>
  </si>
  <si>
    <t>Mauritius</t>
  </si>
  <si>
    <t>Mexico</t>
  </si>
  <si>
    <t>Morocco</t>
  </si>
  <si>
    <t>Netherlands</t>
  </si>
  <si>
    <t>New Zealand</t>
  </si>
  <si>
    <t>Nigeria</t>
  </si>
  <si>
    <t>Norway</t>
  </si>
  <si>
    <t>Oman</t>
  </si>
  <si>
    <t>Pakistan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</si>
  <si>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</si>
  <si>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</si>
  <si>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</si>
  <si>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</si>
  <si>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</si>
  <si>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</si>
  <si>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</si>
  <si>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</si>
  <si>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Slovakia</t>
  </si>
  <si>
    <t>Slovenia</t>
  </si>
  <si>
    <t>South Africa</t>
  </si>
  <si>
    <t>Spain</t>
  </si>
  <si>
    <t>Sri Lanka</t>
  </si>
  <si>
    <t>Sweden</t>
  </si>
  <si>
    <t>Switzerland</t>
  </si>
  <si>
    <t>Taiwan</t>
  </si>
  <si>
    <t>Tanzania, United Republic of</t>
  </si>
  <si>
    <t>Thailand</t>
  </si>
  <si>
    <t>Trinidad and Tobago</t>
  </si>
  <si>
    <t>Turkey</t>
  </si>
  <si>
    <t>Uganda</t>
  </si>
  <si>
    <t>Ukraine</t>
  </si>
  <si>
    <t>United Arab Emirates</t>
  </si>
  <si>
    <t>United States of America</t>
  </si>
  <si>
    <t>Vietnam [Viet Nam]</t>
  </si>
  <si>
    <t>Zambia</t>
  </si>
  <si>
    <t>Zimbabwe</t>
  </si>
  <si>
    <t>Year</t>
  </si>
  <si>
    <t>Domicile_named_country</t>
  </si>
  <si>
    <t>Applicants</t>
  </si>
  <si>
    <r>
      <rPr>
        <b/>
        <sz val="11"/>
        <color theme="1"/>
        <rFont val="Calibri"/>
        <family val="2"/>
        <charset val="204"/>
        <scheme val="minor"/>
      </rPr>
      <t>Note</t>
    </r>
    <r>
      <rPr>
        <sz val="11"/>
        <color theme="1"/>
        <rFont val="Calibri"/>
        <family val="2"/>
        <charset val="204"/>
        <scheme val="minor"/>
      </rPr>
      <t>: In R log(x) computes natural logarithm but in excel log(x) computes logarithm with a base of 10</t>
    </r>
  </si>
  <si>
    <t>LN(APPLICANTS+1)</t>
  </si>
  <si>
    <t>Standardization</t>
  </si>
  <si>
    <t>In R logged values</t>
  </si>
  <si>
    <t>in R standardized variables</t>
  </si>
  <si>
    <t>Excel transformations:</t>
  </si>
  <si>
    <t>Source: R  control_group_new.RMD</t>
  </si>
  <si>
    <t>Source: UCAS database core filters</t>
  </si>
  <si>
    <r>
      <rPr>
        <b/>
        <sz val="11"/>
        <color theme="1"/>
        <rFont val="Calibri"/>
        <family val="2"/>
        <charset val="204"/>
        <scheme val="minor"/>
      </rPr>
      <t>Conclusion</t>
    </r>
    <r>
      <rPr>
        <sz val="11"/>
        <color theme="1"/>
        <rFont val="Calibri"/>
        <family val="2"/>
        <charset val="204"/>
        <scheme val="minor"/>
      </rPr>
      <t>: The transofrmations are fully executed and performed correctly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</si>
</sst>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horizontal="center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wrapText="1"/>
    </xf>
    <xf numFmtId="0" fontId="0" fillId="0" borderId="0" xfId="0" applyFill="1"/>
    <xf numFmtId="0" fontId="3" fillId="0" borderId="12" xfId="0" applyFont="1" applyBorder="1" applyAlignment="1">
      <alignment horizontal="center"/>
    </xf>
    <xf numFmtId="0" fontId="0" fillId="2" borderId="12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/>
    </xf>
    <xf numFmtId="0" fontId="2" fillId="0" borderId="0" xfId="0" applyFont="1" applyAlignment="1">
      <alignment horizontal="left" vertical="top" wrapText="1"/>
    </xf>
    <xf numFmtId="0" fontId="5" fillId="0" borderId="16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workbookViewId="0">
      <selection activeCell="A23" activeCellId="4" sqref="A1:H1 A3:H3 A11:H11 A19:H19 A23:H23"/>
    </sheetView>
  </sheetViews>
  <sheetFormatPr defaultRowHeight="14.4" x14ac:dyDescent="0.3"/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0" t="s">
        <v>8</v>
      </c>
      <c r="B2" s="10">
        <v>6.3561076606958924</v>
      </c>
      <c r="C2" s="10">
        <v>6.39024066706535</v>
      </c>
      <c r="D2" s="10">
        <v>6.3647507568519108</v>
      </c>
      <c r="E2" s="10">
        <v>6.3985949345352076</v>
      </c>
      <c r="F2" s="10">
        <v>6.4150969591715956</v>
      </c>
      <c r="G2" s="10">
        <v>6.4551985633401223</v>
      </c>
      <c r="H2" s="10">
        <v>6.39024066706535</v>
      </c>
    </row>
    <row r="3" spans="1:8" x14ac:dyDescent="0.3">
      <c r="A3" s="2" t="s">
        <v>9</v>
      </c>
      <c r="B3" s="2">
        <v>6.39024066706535</v>
      </c>
      <c r="C3" s="2">
        <v>6.4473058625412127</v>
      </c>
      <c r="D3" s="2">
        <v>6.4785096422085688</v>
      </c>
      <c r="E3" s="2">
        <v>6.3818160174060976</v>
      </c>
      <c r="F3" s="2">
        <v>6.4393503711000983</v>
      </c>
      <c r="G3" s="2">
        <v>6.4393503711000983</v>
      </c>
      <c r="H3" s="2">
        <v>6.3117348091529148</v>
      </c>
    </row>
    <row r="4" spans="1:8" x14ac:dyDescent="0.3">
      <c r="A4" t="s">
        <v>10</v>
      </c>
      <c r="B4">
        <v>5.9939614273065693</v>
      </c>
      <c r="C4">
        <v>5.7397929121792339</v>
      </c>
      <c r="D4">
        <v>5.1984970312658261</v>
      </c>
      <c r="E4">
        <v>4.9836066217083363</v>
      </c>
      <c r="F4">
        <v>4.9126548857360524</v>
      </c>
      <c r="G4">
        <v>5.1704839950381514</v>
      </c>
      <c r="H4">
        <v>5.0172798368149243</v>
      </c>
    </row>
    <row r="5" spans="1:8" x14ac:dyDescent="0.3">
      <c r="A5" t="s">
        <v>11</v>
      </c>
      <c r="B5">
        <v>6.1114673395026786</v>
      </c>
      <c r="C5">
        <v>5.9814142112544806</v>
      </c>
      <c r="D5">
        <v>5.9939614273065693</v>
      </c>
      <c r="E5">
        <v>6.1548580940164177</v>
      </c>
      <c r="F5">
        <v>6.089044875446846</v>
      </c>
      <c r="G5">
        <v>5.9939614273065693</v>
      </c>
      <c r="H5">
        <v>6.0776422433490342</v>
      </c>
    </row>
    <row r="6" spans="1:8" x14ac:dyDescent="0.3">
      <c r="A6" t="s">
        <v>12</v>
      </c>
      <c r="B6">
        <v>5.9687075599853658</v>
      </c>
      <c r="C6">
        <v>5.9026333334013659</v>
      </c>
      <c r="D6">
        <v>5.6204008657171496</v>
      </c>
      <c r="E6">
        <v>5.7714411231300158</v>
      </c>
      <c r="F6">
        <v>5.6733232671714928</v>
      </c>
      <c r="G6">
        <v>5.8464387750577247</v>
      </c>
      <c r="H6">
        <v>6.0544393462693709</v>
      </c>
    </row>
    <row r="7" spans="1:8" x14ac:dyDescent="0.3">
      <c r="A7" t="s">
        <v>13</v>
      </c>
      <c r="B7">
        <v>6.9382844840169602</v>
      </c>
      <c r="C7">
        <v>7.0130157896396303</v>
      </c>
      <c r="D7">
        <v>7.035268599281097</v>
      </c>
      <c r="E7">
        <v>7.0085051820822803</v>
      </c>
      <c r="F7">
        <v>7.0130157896396303</v>
      </c>
      <c r="G7">
        <v>6.9622434642662068</v>
      </c>
      <c r="H7">
        <v>6.9334230257307148</v>
      </c>
    </row>
    <row r="8" spans="1:8" x14ac:dyDescent="0.3">
      <c r="A8" t="s">
        <v>14</v>
      </c>
      <c r="B8">
        <v>4.8751973232011512</v>
      </c>
      <c r="C8">
        <v>5.1416635565026603</v>
      </c>
      <c r="D8">
        <v>5.1416635565026603</v>
      </c>
      <c r="E8">
        <v>5.0814043649844631</v>
      </c>
      <c r="F8">
        <v>4.9836066217083363</v>
      </c>
      <c r="G8">
        <v>5.0498560072495371</v>
      </c>
      <c r="H8">
        <v>5.1416635565026603</v>
      </c>
    </row>
    <row r="9" spans="1:8" x14ac:dyDescent="0.3">
      <c r="A9" t="s">
        <v>15</v>
      </c>
      <c r="B9">
        <v>5.6733232671714928</v>
      </c>
      <c r="C9">
        <v>5.7071102647488754</v>
      </c>
      <c r="D9">
        <v>5.7235851019523807</v>
      </c>
      <c r="E9">
        <v>5.5834963087816991</v>
      </c>
      <c r="F9">
        <v>5.8749307308520304</v>
      </c>
      <c r="G9">
        <v>5.916202062607435</v>
      </c>
      <c r="H9">
        <v>5.8318824772835169</v>
      </c>
    </row>
    <row r="10" spans="1:8" x14ac:dyDescent="0.3">
      <c r="A10" t="s">
        <v>16</v>
      </c>
      <c r="B10">
        <v>6.7979404129749303</v>
      </c>
      <c r="C10">
        <v>6.3473892096560114</v>
      </c>
      <c r="D10">
        <v>6.1224928095143856</v>
      </c>
      <c r="E10">
        <v>5.9814142112544806</v>
      </c>
      <c r="F10">
        <v>5.8607862234658654</v>
      </c>
      <c r="G10">
        <v>5.8171111599632042</v>
      </c>
      <c r="H10">
        <v>5.8607862234658654</v>
      </c>
    </row>
    <row r="11" spans="1:8" x14ac:dyDescent="0.3">
      <c r="A11" s="2" t="s">
        <v>17</v>
      </c>
      <c r="B11" s="2">
        <v>7.741099090035366</v>
      </c>
      <c r="C11" s="2">
        <v>7.7454356102743809</v>
      </c>
      <c r="D11" s="2">
        <v>7.8304256178203309</v>
      </c>
      <c r="E11" s="2">
        <v>7.7257714415879519</v>
      </c>
      <c r="F11" s="2">
        <v>7.7257714415879519</v>
      </c>
      <c r="G11" s="2">
        <v>7.6596429545646822</v>
      </c>
      <c r="H11" s="2">
        <v>7.568379267836522</v>
      </c>
    </row>
    <row r="12" spans="1:8" x14ac:dyDescent="0.3">
      <c r="A12" t="s">
        <v>18</v>
      </c>
      <c r="B12">
        <v>7.7668405370855131</v>
      </c>
      <c r="C12">
        <v>7.8164169836918012</v>
      </c>
      <c r="D12">
        <v>7.7710670860654059</v>
      </c>
      <c r="E12">
        <v>7.7497534062744373</v>
      </c>
      <c r="F12">
        <v>7.8022093162471178</v>
      </c>
      <c r="G12">
        <v>7.8284363591575854</v>
      </c>
      <c r="H12">
        <v>7.8481530861995257</v>
      </c>
    </row>
    <row r="13" spans="1:8" x14ac:dyDescent="0.3">
      <c r="A13" t="s">
        <v>19</v>
      </c>
      <c r="B13">
        <v>9.3998030369215044</v>
      </c>
      <c r="C13">
        <v>9.4677694012569429</v>
      </c>
      <c r="D13">
        <v>9.53935630792094</v>
      </c>
      <c r="E13">
        <v>9.6317444438858502</v>
      </c>
      <c r="F13">
        <v>9.745429247877853</v>
      </c>
      <c r="G13">
        <v>9.9735265433161029</v>
      </c>
      <c r="H13">
        <v>10.190769544966569</v>
      </c>
    </row>
    <row r="14" spans="1:8" x14ac:dyDescent="0.3">
      <c r="A14" t="s">
        <v>20</v>
      </c>
      <c r="B14">
        <v>5.0814043649844631</v>
      </c>
      <c r="C14">
        <v>5.6204008657171496</v>
      </c>
      <c r="D14">
        <v>5.9295891433898946</v>
      </c>
      <c r="E14">
        <v>5.8171111599632042</v>
      </c>
      <c r="F14">
        <v>6.0063531596017334</v>
      </c>
      <c r="G14">
        <v>5.9026333334013659</v>
      </c>
      <c r="H14">
        <v>5.8749307308520304</v>
      </c>
    </row>
    <row r="15" spans="1:8" x14ac:dyDescent="0.3">
      <c r="A15" t="s">
        <v>21</v>
      </c>
      <c r="B15">
        <v>8.1303535474312376</v>
      </c>
      <c r="C15">
        <v>8.1125277634786368</v>
      </c>
      <c r="D15">
        <v>8.052296499538647</v>
      </c>
      <c r="E15">
        <v>8.1155208815467699</v>
      </c>
      <c r="F15">
        <v>7.935945103353701</v>
      </c>
      <c r="G15">
        <v>7.9032268087307331</v>
      </c>
      <c r="H15">
        <v>7.8845765105963244</v>
      </c>
    </row>
    <row r="16" spans="1:8" x14ac:dyDescent="0.3">
      <c r="A16" t="s">
        <v>22</v>
      </c>
      <c r="B16">
        <v>6.4150969591715956</v>
      </c>
      <c r="C16">
        <v>6.7580945044277314</v>
      </c>
      <c r="D16">
        <v>7.0175061429412562</v>
      </c>
      <c r="E16">
        <v>6.9994224675079613</v>
      </c>
      <c r="F16">
        <v>7.0039741367226798</v>
      </c>
      <c r="G16">
        <v>7.0825485693552999</v>
      </c>
      <c r="H16">
        <v>7.1861443045223252</v>
      </c>
    </row>
    <row r="17" spans="1:8" x14ac:dyDescent="0.3">
      <c r="A17" t="s">
        <v>23</v>
      </c>
      <c r="B17">
        <v>6.1441856341256456</v>
      </c>
      <c r="C17">
        <v>6.2065759267249279</v>
      </c>
      <c r="D17">
        <v>6.2557500417533669</v>
      </c>
      <c r="E17">
        <v>6.3026189757449051</v>
      </c>
      <c r="F17">
        <v>6.3117348091529148</v>
      </c>
      <c r="G17">
        <v>6.2747620212419388</v>
      </c>
      <c r="H17">
        <v>6.1548580940164177</v>
      </c>
    </row>
    <row r="18" spans="1:8" x14ac:dyDescent="0.3">
      <c r="A18" t="s">
        <v>24</v>
      </c>
      <c r="B18">
        <v>6.4707995037826018</v>
      </c>
      <c r="C18">
        <v>6.6147256002037604</v>
      </c>
      <c r="D18">
        <v>6.8035052576083377</v>
      </c>
      <c r="E18">
        <v>6.7810576259361799</v>
      </c>
      <c r="F18">
        <v>6.6669567924292066</v>
      </c>
      <c r="G18">
        <v>6.7464121285733736</v>
      </c>
      <c r="H18">
        <v>6.7867169506050811</v>
      </c>
    </row>
    <row r="19" spans="1:8" x14ac:dyDescent="0.3">
      <c r="A19" s="2" t="s">
        <v>25</v>
      </c>
      <c r="B19" s="2">
        <v>6.2557500417533669</v>
      </c>
      <c r="C19" s="2">
        <v>6.2363695902037044</v>
      </c>
      <c r="D19" s="2">
        <v>6.1548580940164177</v>
      </c>
      <c r="E19" s="2">
        <v>6.0185932144962342</v>
      </c>
      <c r="F19" s="2">
        <v>5.9814142112544806</v>
      </c>
      <c r="G19" s="2">
        <v>6.0185932144962342</v>
      </c>
      <c r="H19" s="2">
        <v>5.9939614273065693</v>
      </c>
    </row>
    <row r="20" spans="1:8" x14ac:dyDescent="0.3">
      <c r="A20" t="s">
        <v>26</v>
      </c>
      <c r="B20">
        <v>6.8469431395853793</v>
      </c>
      <c r="C20">
        <v>6.9527286446248686</v>
      </c>
      <c r="D20">
        <v>6.9186952190204716</v>
      </c>
      <c r="E20">
        <v>6.7753660909363917</v>
      </c>
      <c r="F20">
        <v>6.8254600362553068</v>
      </c>
      <c r="G20">
        <v>6.692083742506628</v>
      </c>
      <c r="H20">
        <v>6.5944134597497781</v>
      </c>
    </row>
    <row r="21" spans="1:8" x14ac:dyDescent="0.3">
      <c r="A21" t="s">
        <v>27</v>
      </c>
      <c r="B21">
        <v>8.4351150803806298</v>
      </c>
      <c r="C21">
        <v>8.5604442334105517</v>
      </c>
      <c r="D21">
        <v>8.6026366732337056</v>
      </c>
      <c r="E21">
        <v>8.5934132173276456</v>
      </c>
      <c r="F21">
        <v>8.5878380309855693</v>
      </c>
      <c r="G21">
        <v>8.621733370690162</v>
      </c>
      <c r="H21">
        <v>8.5794165345963691</v>
      </c>
    </row>
    <row r="22" spans="1:8" x14ac:dyDescent="0.3">
      <c r="A22" t="s">
        <v>28</v>
      </c>
      <c r="B22">
        <v>8.0774471493311992</v>
      </c>
      <c r="C22">
        <v>8.12740456269308</v>
      </c>
      <c r="D22">
        <v>8.2350954972583565</v>
      </c>
      <c r="E22">
        <v>8.144969417087875</v>
      </c>
      <c r="F22">
        <v>8.1958853913147962</v>
      </c>
      <c r="G22">
        <v>8.1110278381936798</v>
      </c>
      <c r="H22">
        <v>8.0867179203039061</v>
      </c>
    </row>
    <row r="23" spans="1:8" x14ac:dyDescent="0.3">
      <c r="A23" s="2" t="s">
        <v>29</v>
      </c>
      <c r="B23" s="2">
        <v>5.6559918108198524</v>
      </c>
      <c r="C23" s="2">
        <v>5.7071102647488754</v>
      </c>
      <c r="D23" s="2">
        <v>5.7071102647488754</v>
      </c>
      <c r="E23" s="2">
        <v>5.8888779583328814</v>
      </c>
      <c r="F23" s="2">
        <v>6.0185932144962342</v>
      </c>
      <c r="G23" s="2">
        <v>6.2363695902037044</v>
      </c>
      <c r="H23" s="2">
        <v>6.1862086239004936</v>
      </c>
    </row>
    <row r="24" spans="1:8" x14ac:dyDescent="0.3">
      <c r="A24" t="s">
        <v>30</v>
      </c>
      <c r="B24">
        <v>7.818430272070656</v>
      </c>
      <c r="C24">
        <v>7.798112628829788</v>
      </c>
      <c r="D24">
        <v>7.8083230503910546</v>
      </c>
      <c r="E24">
        <v>7.8042513835281122</v>
      </c>
      <c r="F24">
        <v>7.7960579743161231</v>
      </c>
      <c r="G24">
        <v>7.7836405962212529</v>
      </c>
      <c r="H24">
        <v>7.7689560445383323</v>
      </c>
    </row>
    <row r="25" spans="1:8" x14ac:dyDescent="0.3">
      <c r="A25" t="s">
        <v>31</v>
      </c>
      <c r="B25">
        <v>6.6605751498396861</v>
      </c>
      <c r="C25">
        <v>6.7345916599729483</v>
      </c>
      <c r="D25">
        <v>6.8469431395853793</v>
      </c>
      <c r="E25">
        <v>6.8200163646741299</v>
      </c>
      <c r="F25">
        <v>6.8987145343299883</v>
      </c>
      <c r="G25">
        <v>6.9527286446248686</v>
      </c>
      <c r="H25">
        <v>7.0039741367226798</v>
      </c>
    </row>
    <row r="26" spans="1:8" x14ac:dyDescent="0.3">
      <c r="A26" t="s">
        <v>32</v>
      </c>
      <c r="B26">
        <v>8.3442673562626446</v>
      </c>
      <c r="C26">
        <v>8.3596032708414665</v>
      </c>
      <c r="D26">
        <v>8.39185670010494</v>
      </c>
      <c r="E26">
        <v>8.5053230188457505</v>
      </c>
      <c r="F26">
        <v>8.7211131477626882</v>
      </c>
      <c r="G26">
        <v>8.8062742847817255</v>
      </c>
      <c r="H26">
        <v>9.1045353130792055</v>
      </c>
    </row>
    <row r="27" spans="1:8" x14ac:dyDescent="0.3">
      <c r="A27" t="s">
        <v>33</v>
      </c>
      <c r="B27">
        <v>6.2461067654815627</v>
      </c>
      <c r="C27">
        <v>6.39024066706535</v>
      </c>
      <c r="D27">
        <v>6.4393503711000983</v>
      </c>
      <c r="E27">
        <v>6.4861607889440887</v>
      </c>
      <c r="F27">
        <v>6.692083742506628</v>
      </c>
      <c r="G27">
        <v>6.7696419768525029</v>
      </c>
      <c r="H27">
        <v>6.7044143549641069</v>
      </c>
    </row>
    <row r="28" spans="1:8" x14ac:dyDescent="0.3">
      <c r="A28" t="s">
        <v>34</v>
      </c>
      <c r="B28">
        <v>5.6383546693337454</v>
      </c>
      <c r="C28">
        <v>5.4847969334906548</v>
      </c>
      <c r="D28">
        <v>5.5834963087816991</v>
      </c>
      <c r="E28">
        <v>5.8318824772835169</v>
      </c>
      <c r="F28">
        <v>5.955837369464831</v>
      </c>
      <c r="G28">
        <v>5.7868973813667077</v>
      </c>
      <c r="H28">
        <v>5.7397929121792339</v>
      </c>
    </row>
    <row r="29" spans="1:8" x14ac:dyDescent="0.3">
      <c r="A29" t="s">
        <v>35</v>
      </c>
      <c r="B29">
        <v>8.6692273472717361</v>
      </c>
      <c r="C29">
        <v>8.6623319570824755</v>
      </c>
      <c r="D29">
        <v>8.5671255601644472</v>
      </c>
      <c r="E29">
        <v>8.4020067816071204</v>
      </c>
      <c r="F29">
        <v>8.3466420902211986</v>
      </c>
      <c r="G29">
        <v>8.3383057313565647</v>
      </c>
      <c r="H29">
        <v>8.3816025371098899</v>
      </c>
    </row>
    <row r="30" spans="1:8" x14ac:dyDescent="0.3">
      <c r="A30" t="s">
        <v>36</v>
      </c>
      <c r="B30">
        <v>4.7535901911063636</v>
      </c>
      <c r="C30">
        <v>4.8751973232011512</v>
      </c>
      <c r="D30">
        <v>4.9836066217083363</v>
      </c>
      <c r="E30">
        <v>4.7535901911063636</v>
      </c>
      <c r="F30">
        <v>5.0814043649844631</v>
      </c>
      <c r="G30">
        <v>4.836281906951478</v>
      </c>
      <c r="H30">
        <v>4.9836066217083363</v>
      </c>
    </row>
    <row r="31" spans="1:8" x14ac:dyDescent="0.3">
      <c r="A31" t="s">
        <v>37</v>
      </c>
      <c r="B31">
        <v>8.3128713943426149</v>
      </c>
      <c r="C31">
        <v>8.4661104011869206</v>
      </c>
      <c r="D31">
        <v>8.5243673951642371</v>
      </c>
      <c r="E31">
        <v>8.4242003245670727</v>
      </c>
      <c r="F31">
        <v>8.3975083484702573</v>
      </c>
      <c r="G31">
        <v>8.4362000322067061</v>
      </c>
      <c r="H31">
        <v>8.3311045480530392</v>
      </c>
    </row>
    <row r="32" spans="1:8" x14ac:dyDescent="0.3">
      <c r="A32" t="s">
        <v>38</v>
      </c>
      <c r="B32">
        <v>6.3473892096560114</v>
      </c>
      <c r="C32">
        <v>6.2557500417533669</v>
      </c>
      <c r="D32">
        <v>6.1654178542314204</v>
      </c>
      <c r="E32">
        <v>6.1758672701057611</v>
      </c>
      <c r="F32">
        <v>6.2747620212419388</v>
      </c>
      <c r="G32">
        <v>6.3385940782031831</v>
      </c>
      <c r="H32">
        <v>6.4785096422085688</v>
      </c>
    </row>
    <row r="33" spans="1:8" x14ac:dyDescent="0.3">
      <c r="A33" t="s">
        <v>39</v>
      </c>
      <c r="B33">
        <v>6.0544393462693709</v>
      </c>
      <c r="C33">
        <v>6.0544393462693709</v>
      </c>
      <c r="D33">
        <v>6.0544393462693709</v>
      </c>
      <c r="E33">
        <v>6.2363695902037044</v>
      </c>
      <c r="F33">
        <v>6.3117348091529148</v>
      </c>
      <c r="G33">
        <v>6.2747620212419388</v>
      </c>
      <c r="H33">
        <v>6.2653012127377101</v>
      </c>
    </row>
    <row r="34" spans="1:8" x14ac:dyDescent="0.3">
      <c r="A34" t="s">
        <v>40</v>
      </c>
      <c r="B34">
        <v>5.9687075599853658</v>
      </c>
      <c r="C34">
        <v>5.9427993751267012</v>
      </c>
      <c r="D34">
        <v>5.7868973813667077</v>
      </c>
      <c r="E34">
        <v>5.5645204073226937</v>
      </c>
      <c r="F34">
        <v>5.6733232671714928</v>
      </c>
      <c r="G34">
        <v>5.7714411231300158</v>
      </c>
      <c r="H34">
        <v>5.7714411231300158</v>
      </c>
    </row>
    <row r="35" spans="1:8" x14ac:dyDescent="0.3">
      <c r="A35" t="s">
        <v>41</v>
      </c>
      <c r="B35">
        <v>6.5806391372849493</v>
      </c>
      <c r="C35">
        <v>6.6476883735633292</v>
      </c>
      <c r="D35">
        <v>6.5944134597497781</v>
      </c>
      <c r="E35">
        <v>6.5596152374932419</v>
      </c>
      <c r="F35">
        <v>6.692083742506628</v>
      </c>
      <c r="G35">
        <v>6.654152520183219</v>
      </c>
      <c r="H35">
        <v>6.6147256002037604</v>
      </c>
    </row>
    <row r="36" spans="1:8" x14ac:dyDescent="0.3">
      <c r="A36" t="s">
        <v>42</v>
      </c>
      <c r="B36">
        <v>7.2591161280971006</v>
      </c>
      <c r="C36">
        <v>7.3498737047383367</v>
      </c>
      <c r="D36">
        <v>7.3938782901077564</v>
      </c>
      <c r="E36">
        <v>7.3907985217356762</v>
      </c>
      <c r="F36">
        <v>7.4271441334086159</v>
      </c>
      <c r="G36">
        <v>7.4506607962115394</v>
      </c>
      <c r="H36">
        <v>7.4271441334086159</v>
      </c>
    </row>
    <row r="37" spans="1:8" x14ac:dyDescent="0.3">
      <c r="A37" t="s">
        <v>43</v>
      </c>
      <c r="B37">
        <v>6.4068799860693142</v>
      </c>
      <c r="C37">
        <v>6.4630294569206699</v>
      </c>
      <c r="D37">
        <v>6.4707995037826018</v>
      </c>
      <c r="E37">
        <v>6.7405193596062229</v>
      </c>
      <c r="F37">
        <v>6.8090393060429797</v>
      </c>
      <c r="G37">
        <v>7.0483864087218828</v>
      </c>
      <c r="H37">
        <v>7.0698741284585722</v>
      </c>
    </row>
    <row r="38" spans="1:8" x14ac:dyDescent="0.3">
      <c r="A38" t="s">
        <v>44</v>
      </c>
      <c r="B38">
        <v>6.3207682942505823</v>
      </c>
      <c r="C38">
        <v>6.2934192788464811</v>
      </c>
      <c r="D38">
        <v>6.3818160174060976</v>
      </c>
      <c r="E38">
        <v>6.3818160174060976</v>
      </c>
      <c r="F38">
        <v>6.3561076606958924</v>
      </c>
      <c r="G38">
        <v>6.4150969591715956</v>
      </c>
      <c r="H38">
        <v>6.4937538398516859</v>
      </c>
    </row>
    <row r="39" spans="1:8" x14ac:dyDescent="0.3">
      <c r="A39" t="s">
        <v>45</v>
      </c>
      <c r="B39">
        <v>5.5834963087816991</v>
      </c>
      <c r="C39">
        <v>5.602118820879701</v>
      </c>
      <c r="D39">
        <v>5.8607862234658654</v>
      </c>
      <c r="E39">
        <v>5.8318824772835169</v>
      </c>
      <c r="F39">
        <v>5.9939614273065693</v>
      </c>
      <c r="G39">
        <v>5.9814142112544806</v>
      </c>
      <c r="H39">
        <v>6.3733197895770122</v>
      </c>
    </row>
    <row r="40" spans="1:8" x14ac:dyDescent="0.3">
      <c r="A40" t="s">
        <v>46</v>
      </c>
      <c r="B40">
        <v>7.568379267836522</v>
      </c>
      <c r="C40">
        <v>7.5234813125734972</v>
      </c>
      <c r="D40">
        <v>7.5657932824285146</v>
      </c>
      <c r="E40">
        <v>7.633369649679584</v>
      </c>
      <c r="F40">
        <v>7.6619975589018932</v>
      </c>
      <c r="G40">
        <v>7.5888298783078127</v>
      </c>
      <c r="H40">
        <v>7.4650827363995473</v>
      </c>
    </row>
    <row r="41" spans="1:8" x14ac:dyDescent="0.3">
      <c r="A41" t="s">
        <v>47</v>
      </c>
      <c r="B41">
        <v>6.1441856341256456</v>
      </c>
      <c r="C41">
        <v>6.089044875446846</v>
      </c>
      <c r="D41">
        <v>6.0776422433490342</v>
      </c>
      <c r="E41">
        <v>6.1003189520200642</v>
      </c>
      <c r="F41">
        <v>6.1333980429966486</v>
      </c>
      <c r="G41">
        <v>6.0544393462693709</v>
      </c>
      <c r="H41">
        <v>6.0306852602612633</v>
      </c>
    </row>
    <row r="42" spans="1:8" x14ac:dyDescent="0.3">
      <c r="A42" t="s">
        <v>48</v>
      </c>
      <c r="B42">
        <v>8.7727652099497853</v>
      </c>
      <c r="C42">
        <v>8.8181862779276905</v>
      </c>
      <c r="D42">
        <v>8.647519453091812</v>
      </c>
      <c r="E42">
        <v>8.4879703327393337</v>
      </c>
      <c r="F42">
        <v>8.3963805711994901</v>
      </c>
      <c r="G42">
        <v>8.39185670010494</v>
      </c>
      <c r="H42">
        <v>8.2967958657700525</v>
      </c>
    </row>
    <row r="43" spans="1:8" x14ac:dyDescent="0.3">
      <c r="A43" t="s">
        <v>49</v>
      </c>
      <c r="B43">
        <v>4.6151205168412597</v>
      </c>
      <c r="C43">
        <v>4.7095302013123339</v>
      </c>
      <c r="D43">
        <v>4.8751973232011512</v>
      </c>
      <c r="E43">
        <v>4.6634390941120669</v>
      </c>
      <c r="F43">
        <v>4.9487598903781684</v>
      </c>
      <c r="G43">
        <v>4.8751973232011512</v>
      </c>
      <c r="H43">
        <v>4.9126548857360524</v>
      </c>
    </row>
    <row r="44" spans="1:8" x14ac:dyDescent="0.3">
      <c r="A44" t="s">
        <v>50</v>
      </c>
      <c r="B44">
        <v>6.2461067654815627</v>
      </c>
      <c r="C44">
        <v>6.0185932144962342</v>
      </c>
      <c r="D44">
        <v>6.0426328336823811</v>
      </c>
      <c r="E44">
        <v>5.9427993751267012</v>
      </c>
      <c r="F44">
        <v>5.9026333334013659</v>
      </c>
      <c r="G44">
        <v>5.8464387750577247</v>
      </c>
      <c r="H44">
        <v>5.8171111599632042</v>
      </c>
    </row>
    <row r="45" spans="1:8" x14ac:dyDescent="0.3">
      <c r="A45" t="s">
        <v>51</v>
      </c>
      <c r="B45">
        <v>5.1119877883565437</v>
      </c>
      <c r="C45">
        <v>5.1704839950381514</v>
      </c>
      <c r="D45">
        <v>5.3518581334760666</v>
      </c>
      <c r="E45">
        <v>5.1704839950381514</v>
      </c>
      <c r="F45">
        <v>5.5053315359323616</v>
      </c>
      <c r="G45">
        <v>5.5834963087816991</v>
      </c>
      <c r="H45">
        <v>5.5451774444795623</v>
      </c>
    </row>
    <row r="46" spans="1:8" x14ac:dyDescent="0.3">
      <c r="A46" t="s">
        <v>52</v>
      </c>
      <c r="B46">
        <v>5.8318824772835169</v>
      </c>
      <c r="C46">
        <v>5.9026333334013659</v>
      </c>
      <c r="D46">
        <v>5.8318824772835169</v>
      </c>
      <c r="E46">
        <v>5.9026333334013659</v>
      </c>
      <c r="F46">
        <v>6.0426328336823811</v>
      </c>
      <c r="G46">
        <v>6.0661080901037474</v>
      </c>
      <c r="H46">
        <v>6.1114673395026786</v>
      </c>
    </row>
    <row r="47" spans="1:8" x14ac:dyDescent="0.3">
      <c r="A47" t="s">
        <v>53</v>
      </c>
      <c r="B47">
        <v>6.7345916599729483</v>
      </c>
      <c r="C47">
        <v>6.8254600362553068</v>
      </c>
      <c r="D47">
        <v>6.8627579130514009</v>
      </c>
      <c r="E47">
        <v>6.8679744089702934</v>
      </c>
      <c r="F47">
        <v>6.8416154764775916</v>
      </c>
      <c r="G47">
        <v>6.9186952190204716</v>
      </c>
      <c r="H47">
        <v>6.8362592772770672</v>
      </c>
    </row>
    <row r="48" spans="1:8" x14ac:dyDescent="0.3">
      <c r="A48" t="s">
        <v>54</v>
      </c>
      <c r="B48">
        <v>5.1704839950381514</v>
      </c>
      <c r="C48">
        <v>5.1984970312658261</v>
      </c>
      <c r="D48">
        <v>5.3278761687895813</v>
      </c>
      <c r="E48">
        <v>5.2522734280466299</v>
      </c>
      <c r="F48">
        <v>5.3518581334760666</v>
      </c>
      <c r="G48">
        <v>5.3278761687895813</v>
      </c>
      <c r="H48">
        <v>5.1704839950381514</v>
      </c>
    </row>
    <row r="49" spans="1:8" x14ac:dyDescent="0.3">
      <c r="A49" t="s">
        <v>55</v>
      </c>
      <c r="B49">
        <v>7.7836405962212529</v>
      </c>
      <c r="C49">
        <v>7.7102051944325316</v>
      </c>
      <c r="D49">
        <v>7.5016344578834131</v>
      </c>
      <c r="E49">
        <v>7.4181808227267876</v>
      </c>
      <c r="F49">
        <v>7.415175109613295</v>
      </c>
      <c r="G49">
        <v>7.5098830611549134</v>
      </c>
      <c r="H49">
        <v>7.7367436824534952</v>
      </c>
    </row>
    <row r="50" spans="1:8" x14ac:dyDescent="0.3">
      <c r="A50" t="s">
        <v>56</v>
      </c>
      <c r="B50">
        <v>7.7323692222843876</v>
      </c>
      <c r="C50">
        <v>7.6760099320288866</v>
      </c>
      <c r="D50">
        <v>7.3498737047383367</v>
      </c>
      <c r="E50">
        <v>7.384610383176974</v>
      </c>
      <c r="F50">
        <v>7.3877092390810404</v>
      </c>
      <c r="G50">
        <v>7.3434262291473669</v>
      </c>
      <c r="H50">
        <v>7.2626286009742413</v>
      </c>
    </row>
    <row r="51" spans="1:8" x14ac:dyDescent="0.3">
      <c r="A51" t="s">
        <v>57</v>
      </c>
      <c r="B51">
        <v>6.0544393462693709</v>
      </c>
      <c r="C51">
        <v>6.089044875446846</v>
      </c>
      <c r="D51">
        <v>5.9026333334013659</v>
      </c>
      <c r="E51">
        <v>6.0426328336823811</v>
      </c>
      <c r="F51">
        <v>6.0544393462693709</v>
      </c>
      <c r="G51">
        <v>6.0661080901037474</v>
      </c>
      <c r="H51">
        <v>6.0661080901037474</v>
      </c>
    </row>
    <row r="52" spans="1:8" x14ac:dyDescent="0.3">
      <c r="A52" t="s">
        <v>58</v>
      </c>
      <c r="B52">
        <v>7.5475016828149668</v>
      </c>
      <c r="C52">
        <v>7.560601162768557</v>
      </c>
      <c r="D52">
        <v>7.57095858316901</v>
      </c>
      <c r="E52">
        <v>7.6477860454409328</v>
      </c>
      <c r="F52">
        <v>7.7432697008290043</v>
      </c>
      <c r="G52">
        <v>7.7877968781811706</v>
      </c>
      <c r="H52">
        <v>7.8539930872242438</v>
      </c>
    </row>
    <row r="53" spans="1:8" x14ac:dyDescent="0.3">
      <c r="A53" t="s">
        <v>59</v>
      </c>
      <c r="B53">
        <v>4.8751973232011512</v>
      </c>
      <c r="C53">
        <v>5.1119877883565437</v>
      </c>
      <c r="D53">
        <v>4.9487598903781684</v>
      </c>
      <c r="E53">
        <v>5.0172798368149243</v>
      </c>
      <c r="F53">
        <v>5.1704839950381514</v>
      </c>
      <c r="G53">
        <v>5.3518581334760666</v>
      </c>
      <c r="H53">
        <v>5.3752784076841653</v>
      </c>
    </row>
    <row r="54" spans="1:8" x14ac:dyDescent="0.3">
      <c r="A54" t="s">
        <v>60</v>
      </c>
      <c r="B54">
        <v>7.8617270778239803</v>
      </c>
      <c r="C54">
        <v>8.0149968943483021</v>
      </c>
      <c r="D54">
        <v>8.2534880283459042</v>
      </c>
      <c r="E54">
        <v>8.2482674474468993</v>
      </c>
      <c r="F54">
        <v>8.39185670010494</v>
      </c>
      <c r="G54">
        <v>8.3873122705617167</v>
      </c>
      <c r="H54">
        <v>8.4889994570454554</v>
      </c>
    </row>
    <row r="55" spans="1:8" x14ac:dyDescent="0.3">
      <c r="A55" t="s">
        <v>61</v>
      </c>
      <c r="B55">
        <v>6.8987145343299883</v>
      </c>
      <c r="C55">
        <v>7.1708884785125049</v>
      </c>
      <c r="D55">
        <v>7.3401868353201154</v>
      </c>
      <c r="E55">
        <v>7.5180641812330782</v>
      </c>
      <c r="F55">
        <v>7.7857208965346238</v>
      </c>
      <c r="G55">
        <v>7.8559321997186142</v>
      </c>
      <c r="H55">
        <v>7.8674885686991276</v>
      </c>
    </row>
    <row r="56" spans="1:8" x14ac:dyDescent="0.3">
      <c r="A56" t="s">
        <v>62</v>
      </c>
      <c r="B56">
        <v>6.3385940782031831</v>
      </c>
      <c r="C56">
        <v>6.2934192788464811</v>
      </c>
      <c r="D56">
        <v>6.4150969591715956</v>
      </c>
      <c r="E56">
        <v>6.3818160174060976</v>
      </c>
      <c r="F56">
        <v>6.5596152374932419</v>
      </c>
      <c r="G56">
        <v>6.4785096422085688</v>
      </c>
      <c r="H56">
        <v>6.4630294569206699</v>
      </c>
    </row>
    <row r="57" spans="1:8" x14ac:dyDescent="0.3">
      <c r="A57" t="s">
        <v>63</v>
      </c>
      <c r="B57">
        <v>7.930565854233965</v>
      </c>
      <c r="C57">
        <v>8.1806009475944492</v>
      </c>
      <c r="D57">
        <v>8.2230905511615333</v>
      </c>
      <c r="E57">
        <v>8.0758936302988573</v>
      </c>
      <c r="F57">
        <v>8.1362255549084601</v>
      </c>
      <c r="G57">
        <v>8.1847926541650775</v>
      </c>
      <c r="H57">
        <v>8.2271082343481456</v>
      </c>
    </row>
    <row r="58" spans="1:8" x14ac:dyDescent="0.3">
      <c r="A58" t="s">
        <v>64</v>
      </c>
      <c r="B58">
        <v>7.13966033596492</v>
      </c>
      <c r="C58">
        <v>7.2011708832816783</v>
      </c>
      <c r="D58">
        <v>6.9810057407217299</v>
      </c>
      <c r="E58">
        <v>6.8627579130514009</v>
      </c>
      <c r="F58">
        <v>6.7923444274708089</v>
      </c>
      <c r="G58">
        <v>6.6795991858443831</v>
      </c>
      <c r="H58">
        <v>6.7226297948554494</v>
      </c>
    </row>
    <row r="59" spans="1:8" x14ac:dyDescent="0.3">
      <c r="A59" t="s">
        <v>65</v>
      </c>
      <c r="B59">
        <v>7.0950643772871311</v>
      </c>
      <c r="C59">
        <v>7.13966033596492</v>
      </c>
      <c r="D59">
        <v>7.0741168161973622</v>
      </c>
      <c r="E59">
        <v>7.0039741367226798</v>
      </c>
      <c r="F59">
        <v>7.1033220625261126</v>
      </c>
      <c r="G59">
        <v>7.215975002651466</v>
      </c>
      <c r="H59">
        <v>7.2765564027187102</v>
      </c>
    </row>
    <row r="60" spans="1:8" x14ac:dyDescent="0.3">
      <c r="A60" t="s">
        <v>66</v>
      </c>
      <c r="B60">
        <v>8.3747075431194826</v>
      </c>
      <c r="C60">
        <v>8.3371091295624744</v>
      </c>
      <c r="D60">
        <v>8.2163583323861555</v>
      </c>
      <c r="E60">
        <v>8.1693363959283865</v>
      </c>
      <c r="F60">
        <v>8.1665003191550518</v>
      </c>
      <c r="G60">
        <v>8.1622310654811798</v>
      </c>
      <c r="H60">
        <v>8.1958853913147962</v>
      </c>
    </row>
    <row r="61" spans="1:8" x14ac:dyDescent="0.3">
      <c r="A61" t="s">
        <v>67</v>
      </c>
      <c r="B61">
        <v>6.4068799860693142</v>
      </c>
      <c r="C61">
        <v>6.3985949345352076</v>
      </c>
      <c r="D61">
        <v>6.7226297948554494</v>
      </c>
      <c r="E61">
        <v>6.5525078870345901</v>
      </c>
      <c r="F61">
        <v>6.7044143549641069</v>
      </c>
      <c r="G61">
        <v>6.9186952190204716</v>
      </c>
      <c r="H61">
        <v>6.9431224228194282</v>
      </c>
    </row>
    <row r="62" spans="1:8" x14ac:dyDescent="0.3">
      <c r="A62" t="s">
        <v>68</v>
      </c>
      <c r="B62">
        <v>5.0498560072495371</v>
      </c>
      <c r="C62">
        <v>5.0814043649844631</v>
      </c>
      <c r="D62">
        <v>5.0498560072495371</v>
      </c>
      <c r="E62">
        <v>5.0814043649844631</v>
      </c>
      <c r="F62">
        <v>5.0814043649844631</v>
      </c>
      <c r="G62">
        <v>4.9487598903781684</v>
      </c>
      <c r="H62">
        <v>4.836281906951478</v>
      </c>
    </row>
    <row r="63" spans="1:8" x14ac:dyDescent="0.3">
      <c r="A63" t="s">
        <v>69</v>
      </c>
      <c r="B63">
        <v>5.8318824772835169</v>
      </c>
      <c r="C63">
        <v>6.0661080901037474</v>
      </c>
      <c r="D63">
        <v>6.1862086239004936</v>
      </c>
      <c r="E63">
        <v>6.6012301187288767</v>
      </c>
      <c r="F63">
        <v>6.3647507568519108</v>
      </c>
      <c r="G63">
        <v>6.5161930760429643</v>
      </c>
      <c r="H63">
        <v>6.6012301187288767</v>
      </c>
    </row>
    <row r="64" spans="1:8" x14ac:dyDescent="0.3">
      <c r="A64" t="s">
        <v>70</v>
      </c>
      <c r="B64">
        <v>7.8383433155571156</v>
      </c>
      <c r="C64">
        <v>8.0000140936780717</v>
      </c>
      <c r="D64">
        <v>8.1650792588050685</v>
      </c>
      <c r="E64">
        <v>8.1931237215120678</v>
      </c>
      <c r="F64">
        <v>8.3017697631171661</v>
      </c>
      <c r="G64">
        <v>8.367764677924308</v>
      </c>
      <c r="H64">
        <v>8.4383664108702661</v>
      </c>
    </row>
    <row r="65" spans="1:8" x14ac:dyDescent="0.3">
      <c r="A65" t="s">
        <v>71</v>
      </c>
      <c r="B65">
        <v>5.8021183753770629</v>
      </c>
      <c r="C65">
        <v>5.5834963087816991</v>
      </c>
      <c r="D65">
        <v>5.5254529391317826</v>
      </c>
      <c r="E65">
        <v>5.7557422135869123</v>
      </c>
      <c r="F65">
        <v>5.7714411231300158</v>
      </c>
      <c r="G65">
        <v>5.8021183753770629</v>
      </c>
      <c r="H65">
        <v>5.9687075599853658</v>
      </c>
    </row>
    <row r="66" spans="1:8" x14ac:dyDescent="0.3">
      <c r="A66" t="s">
        <v>72</v>
      </c>
      <c r="B66">
        <v>7.3938782901077564</v>
      </c>
      <c r="C66">
        <v>7.3369369137076177</v>
      </c>
      <c r="D66">
        <v>7.2661287795564506</v>
      </c>
      <c r="E66">
        <v>7.1553963018967339</v>
      </c>
      <c r="F66">
        <v>7.1670378769122198</v>
      </c>
      <c r="G66">
        <v>7.1276936993473976</v>
      </c>
      <c r="H66">
        <v>7.0783415795576712</v>
      </c>
    </row>
    <row r="67" spans="1:8" x14ac:dyDescent="0.3">
      <c r="A67" t="s">
        <v>73</v>
      </c>
      <c r="B67">
        <v>7.0527210492323231</v>
      </c>
      <c r="C67">
        <v>7.1747243098363764</v>
      </c>
      <c r="D67">
        <v>7.1974353540965907</v>
      </c>
      <c r="E67">
        <v>7.1747243098363764</v>
      </c>
      <c r="F67">
        <v>7.2696167496081694</v>
      </c>
      <c r="G67">
        <v>7.2305631534092916</v>
      </c>
      <c r="H67">
        <v>7.2591161280971006</v>
      </c>
    </row>
    <row r="68" spans="1:8" x14ac:dyDescent="0.3">
      <c r="A68" t="s">
        <v>74</v>
      </c>
      <c r="B68">
        <v>5.8888779583328814</v>
      </c>
      <c r="C68">
        <v>5.955837369464831</v>
      </c>
      <c r="D68">
        <v>5.8888779583328814</v>
      </c>
      <c r="E68">
        <v>6.1114673395026786</v>
      </c>
      <c r="F68">
        <v>6.1758672701057611</v>
      </c>
      <c r="G68">
        <v>6.2934192788464811</v>
      </c>
      <c r="H68">
        <v>6.39024066706535</v>
      </c>
    </row>
    <row r="69" spans="1:8" x14ac:dyDescent="0.3">
      <c r="A69" t="s">
        <v>75</v>
      </c>
      <c r="B69">
        <v>5.3278761687895813</v>
      </c>
      <c r="C69">
        <v>5.1704839950381514</v>
      </c>
      <c r="D69">
        <v>5.1119877883565437</v>
      </c>
      <c r="E69">
        <v>5.0172798368149243</v>
      </c>
      <c r="F69">
        <v>5.1119877883565437</v>
      </c>
      <c r="G69">
        <v>5.1416635565026603</v>
      </c>
      <c r="H69">
        <v>4.9836066217083363</v>
      </c>
    </row>
    <row r="70" spans="1:8" x14ac:dyDescent="0.3">
      <c r="A70" t="s">
        <v>76</v>
      </c>
      <c r="B70">
        <v>6.7405193596062229</v>
      </c>
      <c r="C70">
        <v>6.752270376141742</v>
      </c>
      <c r="D70">
        <v>6.7405193596062229</v>
      </c>
      <c r="E70">
        <v>6.7464121285733736</v>
      </c>
      <c r="F70">
        <v>6.8679744089702934</v>
      </c>
      <c r="G70">
        <v>6.9382844840169602</v>
      </c>
      <c r="H70">
        <v>6.9087547793152204</v>
      </c>
    </row>
    <row r="71" spans="1:8" x14ac:dyDescent="0.3">
      <c r="A71" t="s">
        <v>77</v>
      </c>
      <c r="B71">
        <v>5.1416635565026603</v>
      </c>
      <c r="C71">
        <v>5.3518581334760666</v>
      </c>
      <c r="D71">
        <v>5.3278761687895813</v>
      </c>
      <c r="E71">
        <v>5.2257466737132017</v>
      </c>
      <c r="F71">
        <v>5.3518581334760666</v>
      </c>
      <c r="G71">
        <v>5.2781146592305168</v>
      </c>
      <c r="H71">
        <v>5.1704839950381514</v>
      </c>
    </row>
    <row r="72" spans="1:8" x14ac:dyDescent="0.3">
      <c r="A72" t="s">
        <v>78</v>
      </c>
      <c r="B72">
        <v>6.4785096422085688</v>
      </c>
      <c r="C72">
        <v>6.4551985633401223</v>
      </c>
      <c r="D72">
        <v>6.7405193596062229</v>
      </c>
      <c r="E72">
        <v>6.9622434642662068</v>
      </c>
      <c r="F72">
        <v>7.1974353540965907</v>
      </c>
      <c r="G72">
        <v>7.1708884785125049</v>
      </c>
      <c r="H72">
        <v>7.2269360184932889</v>
      </c>
    </row>
    <row r="73" spans="1:8" x14ac:dyDescent="0.3">
      <c r="A73" t="s">
        <v>79</v>
      </c>
      <c r="B73">
        <v>4.9487598903781684</v>
      </c>
      <c r="C73">
        <v>5.1416635565026603</v>
      </c>
      <c r="D73">
        <v>5.1416635565026603</v>
      </c>
      <c r="E73">
        <v>5.2522734280466299</v>
      </c>
      <c r="F73">
        <v>5.3518581334760666</v>
      </c>
      <c r="G73">
        <v>5.3033049080590757</v>
      </c>
      <c r="H73">
        <v>5.4424177105217932</v>
      </c>
    </row>
    <row r="74" spans="1:8" x14ac:dyDescent="0.3">
      <c r="A74" t="s">
        <v>80</v>
      </c>
      <c r="B74">
        <v>5.8171111599632042</v>
      </c>
      <c r="C74">
        <v>5.6903594543240601</v>
      </c>
      <c r="D74">
        <v>5.5645204073226937</v>
      </c>
      <c r="E74">
        <v>5.4847969334906548</v>
      </c>
      <c r="F74">
        <v>5.4424177105217932</v>
      </c>
      <c r="G74">
        <v>5.4424177105217932</v>
      </c>
      <c r="H74">
        <v>5.5254529391317826</v>
      </c>
    </row>
    <row r="75" spans="1:8" x14ac:dyDescent="0.3">
      <c r="A75" t="s">
        <v>81</v>
      </c>
      <c r="B75">
        <v>7.2086003379601991</v>
      </c>
      <c r="C75">
        <v>7.3038432252777046</v>
      </c>
      <c r="D75">
        <v>7.3626452704178247</v>
      </c>
      <c r="E75">
        <v>7.6309465808904591</v>
      </c>
      <c r="F75">
        <v>7.7561953439481179</v>
      </c>
      <c r="G75">
        <v>7.8083230503910546</v>
      </c>
      <c r="H75">
        <v>7.9483852851118986</v>
      </c>
    </row>
    <row r="76" spans="1:8" x14ac:dyDescent="0.3">
      <c r="A76" t="s">
        <v>82</v>
      </c>
      <c r="B76">
        <v>8.2677056647624259</v>
      </c>
      <c r="C76">
        <v>8.279189777195004</v>
      </c>
      <c r="D76">
        <v>8.3513747067212964</v>
      </c>
      <c r="E76">
        <v>8.4296725938867425</v>
      </c>
      <c r="F76">
        <v>8.5103699660681116</v>
      </c>
      <c r="G76">
        <v>8.5430558509419647</v>
      </c>
      <c r="H76">
        <v>8.5747070976168445</v>
      </c>
    </row>
    <row r="77" spans="1:8" x14ac:dyDescent="0.3">
      <c r="A77" t="s">
        <v>83</v>
      </c>
      <c r="B77">
        <v>6.4313310819334788</v>
      </c>
      <c r="C77">
        <v>6.2363695902037044</v>
      </c>
      <c r="D77">
        <v>6.1333980429966486</v>
      </c>
      <c r="E77">
        <v>6.089044875446846</v>
      </c>
      <c r="F77">
        <v>6.0185932144962342</v>
      </c>
      <c r="G77">
        <v>6.0185932144962342</v>
      </c>
      <c r="H77">
        <v>6.1964441277945204</v>
      </c>
    </row>
    <row r="78" spans="1:8" x14ac:dyDescent="0.3">
      <c r="A78" t="s">
        <v>84</v>
      </c>
      <c r="B78">
        <v>5.0498560072495371</v>
      </c>
      <c r="C78">
        <v>5.1119877883565437</v>
      </c>
      <c r="D78">
        <v>5.1119877883565437</v>
      </c>
      <c r="E78">
        <v>5.0498560072495371</v>
      </c>
      <c r="F78">
        <v>5.0498560072495371</v>
      </c>
      <c r="G78">
        <v>5.2522734280466299</v>
      </c>
      <c r="H78">
        <v>5.0814043649844631</v>
      </c>
    </row>
    <row r="79" spans="1:8" x14ac:dyDescent="0.3">
      <c r="A79" t="s">
        <v>85</v>
      </c>
      <c r="B79">
        <v>6.1548580940164177</v>
      </c>
      <c r="C79">
        <v>6.0776422433490342</v>
      </c>
      <c r="D79">
        <v>6.1441856341256456</v>
      </c>
      <c r="E79">
        <v>6.2065759267249279</v>
      </c>
      <c r="F79">
        <v>6.2461067654815627</v>
      </c>
      <c r="G79">
        <v>6.329720905522696</v>
      </c>
      <c r="H79">
        <v>6.508769136971682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9"/>
  <sheetViews>
    <sheetView workbookViewId="0">
      <selection activeCell="A23" activeCellId="4" sqref="A1:H1 A3:H3 A11:H11 A19:H19 A23:H23"/>
    </sheetView>
  </sheetViews>
  <sheetFormatPr defaultRowHeight="14.4" x14ac:dyDescent="0.3"/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-1.2034368671147191</v>
      </c>
      <c r="C2">
        <v>-0.167174910306226</v>
      </c>
      <c r="D2">
        <v>-0.94103654882530341</v>
      </c>
      <c r="E2">
        <v>8.64567054474462E-2</v>
      </c>
      <c r="F2">
        <v>0.58745038165366958</v>
      </c>
      <c r="G2">
        <v>1.804916149451385</v>
      </c>
      <c r="H2">
        <v>-0.167174910306226</v>
      </c>
    </row>
    <row r="3" spans="1:8" x14ac:dyDescent="0.3">
      <c r="A3" s="2" t="s">
        <v>9</v>
      </c>
      <c r="B3" s="2">
        <v>-0.40184980529788439</v>
      </c>
      <c r="C3" s="2">
        <v>0.6230404787077708</v>
      </c>
      <c r="D3" s="2">
        <v>1.183460018825766</v>
      </c>
      <c r="E3" s="2">
        <v>-0.55315642065102966</v>
      </c>
      <c r="F3" s="2">
        <v>0.48015993979965399</v>
      </c>
      <c r="G3" s="2">
        <v>0.48015993979965399</v>
      </c>
      <c r="H3" s="2">
        <v>-1.811814151183915</v>
      </c>
    </row>
    <row r="4" spans="1:8" x14ac:dyDescent="0.3">
      <c r="A4" t="s">
        <v>10</v>
      </c>
      <c r="B4">
        <v>1.7028320265956169</v>
      </c>
      <c r="C4">
        <v>1.08972413269582</v>
      </c>
      <c r="D4">
        <v>-0.21599533203485469</v>
      </c>
      <c r="E4">
        <v>-0.73435617762208905</v>
      </c>
      <c r="F4">
        <v>-0.90550668140776835</v>
      </c>
      <c r="G4">
        <v>-0.28356866476917819</v>
      </c>
      <c r="H4">
        <v>-0.65312930345755338</v>
      </c>
    </row>
    <row r="5" spans="1:8" x14ac:dyDescent="0.3">
      <c r="A5" t="s">
        <v>11</v>
      </c>
      <c r="B5">
        <v>0.79522684870633031</v>
      </c>
      <c r="C5">
        <v>-1.1203870566051659</v>
      </c>
      <c r="D5">
        <v>-0.93557318964105574</v>
      </c>
      <c r="E5">
        <v>1.4343497504626579</v>
      </c>
      <c r="F5">
        <v>0.46495579321332059</v>
      </c>
      <c r="G5">
        <v>-0.93557318964105574</v>
      </c>
      <c r="H5">
        <v>0.29700104350492912</v>
      </c>
    </row>
    <row r="6" spans="1:8" x14ac:dyDescent="0.3">
      <c r="A6" t="s">
        <v>12</v>
      </c>
      <c r="B6">
        <v>0.86129403703746454</v>
      </c>
      <c r="C6">
        <v>0.43910391672864862</v>
      </c>
      <c r="D6">
        <v>-1.3642582359129849</v>
      </c>
      <c r="E6">
        <v>-0.39916628182791097</v>
      </c>
      <c r="F6">
        <v>-1.026103463739668</v>
      </c>
      <c r="G6">
        <v>8.0041259859840799E-2</v>
      </c>
      <c r="H6">
        <v>1.409088767854616</v>
      </c>
    </row>
    <row r="7" spans="1:8" x14ac:dyDescent="0.3">
      <c r="A7" t="s">
        <v>13</v>
      </c>
      <c r="B7">
        <v>-1.1750133526809341</v>
      </c>
      <c r="C7">
        <v>0.65564818637352262</v>
      </c>
      <c r="D7">
        <v>1.200765957394712</v>
      </c>
      <c r="E7">
        <v>0.5451537195070949</v>
      </c>
      <c r="F7">
        <v>0.65564818637352262</v>
      </c>
      <c r="G7">
        <v>-0.58810023385064181</v>
      </c>
      <c r="H7">
        <v>-1.294102463117234</v>
      </c>
    </row>
    <row r="8" spans="1:8" x14ac:dyDescent="0.3">
      <c r="A8" t="s">
        <v>14</v>
      </c>
      <c r="B8">
        <v>-1.8325468620683409</v>
      </c>
      <c r="C8">
        <v>0.81993448637678346</v>
      </c>
      <c r="D8">
        <v>0.81993448637678346</v>
      </c>
      <c r="E8">
        <v>0.22009720270285479</v>
      </c>
      <c r="F8">
        <v>-0.75340959681132502</v>
      </c>
      <c r="G8">
        <v>-9.3944202953521364E-2</v>
      </c>
      <c r="H8">
        <v>0.81993448637678346</v>
      </c>
    </row>
    <row r="9" spans="1:8" x14ac:dyDescent="0.3">
      <c r="A9" t="s">
        <v>15</v>
      </c>
      <c r="B9">
        <v>-0.71454687828080321</v>
      </c>
      <c r="C9">
        <v>-0.43159694397967058</v>
      </c>
      <c r="D9">
        <v>-0.2936280672341921</v>
      </c>
      <c r="E9">
        <v>-1.4668046637395751</v>
      </c>
      <c r="F9">
        <v>0.97381914099557654</v>
      </c>
      <c r="G9">
        <v>1.3194467920458479</v>
      </c>
      <c r="H9">
        <v>0.61331062019279392</v>
      </c>
    </row>
    <row r="10" spans="1:8" x14ac:dyDescent="0.3">
      <c r="A10" t="s">
        <v>16</v>
      </c>
      <c r="B10">
        <v>1.9305097700791469</v>
      </c>
      <c r="C10">
        <v>0.66144294406648607</v>
      </c>
      <c r="D10">
        <v>2.7977627345581541E-2</v>
      </c>
      <c r="E10">
        <v>-0.36939822603835232</v>
      </c>
      <c r="F10">
        <v>-0.70917087887672825</v>
      </c>
      <c r="G10">
        <v>-0.83219035769940586</v>
      </c>
      <c r="H10">
        <v>-0.70917087887672825</v>
      </c>
    </row>
    <row r="11" spans="1:8" x14ac:dyDescent="0.3">
      <c r="A11" s="2" t="s">
        <v>17</v>
      </c>
      <c r="B11" s="2">
        <v>0.33567522817958872</v>
      </c>
      <c r="C11" s="2">
        <v>0.38897717168558099</v>
      </c>
      <c r="D11" s="2">
        <v>1.4336241077315199</v>
      </c>
      <c r="E11" s="2">
        <v>0.1472768334774408</v>
      </c>
      <c r="F11" s="2">
        <v>0.1472768334774408</v>
      </c>
      <c r="G11" s="2">
        <v>-0.66553544115218055</v>
      </c>
      <c r="H11" s="2">
        <v>-1.7872947333993801</v>
      </c>
    </row>
    <row r="12" spans="1:8" x14ac:dyDescent="0.3">
      <c r="A12" t="s">
        <v>18</v>
      </c>
      <c r="B12">
        <v>-0.85067579510777014</v>
      </c>
      <c r="C12">
        <v>0.52245896361610877</v>
      </c>
      <c r="D12">
        <v>-0.73361171103112832</v>
      </c>
      <c r="E12">
        <v>-1.3239435431955091</v>
      </c>
      <c r="F12">
        <v>0.12894463687107741</v>
      </c>
      <c r="G12">
        <v>0.85536346484609505</v>
      </c>
      <c r="H12">
        <v>1.4014639840012</v>
      </c>
    </row>
    <row r="13" spans="1:8" x14ac:dyDescent="0.3">
      <c r="A13" t="s">
        <v>19</v>
      </c>
      <c r="B13">
        <v>-1.0725707184712829</v>
      </c>
      <c r="C13">
        <v>-0.83520141828462857</v>
      </c>
      <c r="D13">
        <v>-0.58518754593012012</v>
      </c>
      <c r="E13">
        <v>-0.26252636794938827</v>
      </c>
      <c r="F13">
        <v>0.13451241188377419</v>
      </c>
      <c r="G13">
        <v>0.9311313854311779</v>
      </c>
      <c r="H13">
        <v>1.6898422533204549</v>
      </c>
    </row>
    <row r="14" spans="1:8" x14ac:dyDescent="0.3">
      <c r="A14" t="s">
        <v>20</v>
      </c>
      <c r="B14">
        <v>-2.0973631025757191</v>
      </c>
      <c r="C14">
        <v>-0.40017422848631978</v>
      </c>
      <c r="D14">
        <v>0.57339592299281761</v>
      </c>
      <c r="E14">
        <v>0.2192259389719653</v>
      </c>
      <c r="F14">
        <v>0.81510998619740049</v>
      </c>
      <c r="G14">
        <v>0.48851763390854758</v>
      </c>
      <c r="H14">
        <v>0.40128784899131598</v>
      </c>
    </row>
    <row r="15" spans="1:8" x14ac:dyDescent="0.3">
      <c r="A15" t="s">
        <v>21</v>
      </c>
      <c r="B15">
        <v>1.029439405430894</v>
      </c>
      <c r="C15">
        <v>0.86433738120832049</v>
      </c>
      <c r="D15">
        <v>0.30647672136757609</v>
      </c>
      <c r="E15">
        <v>0.89205957581698059</v>
      </c>
      <c r="F15">
        <v>-0.77116738574921173</v>
      </c>
      <c r="G15">
        <v>-1.0742035206943119</v>
      </c>
      <c r="H15">
        <v>-1.246942177380215</v>
      </c>
    </row>
    <row r="16" spans="1:8" x14ac:dyDescent="0.3">
      <c r="A16" t="s">
        <v>22</v>
      </c>
      <c r="B16">
        <v>-1.9651722938956671</v>
      </c>
      <c r="C16">
        <v>-0.6387170897526333</v>
      </c>
      <c r="D16">
        <v>0.36449101677938572</v>
      </c>
      <c r="E16">
        <v>0.29455703118594639</v>
      </c>
      <c r="F16">
        <v>0.31215944671604118</v>
      </c>
      <c r="G16">
        <v>0.61602595106753544</v>
      </c>
      <c r="H16">
        <v>1.016655937899392</v>
      </c>
    </row>
    <row r="17" spans="1:8" x14ac:dyDescent="0.3">
      <c r="A17" t="s">
        <v>23</v>
      </c>
      <c r="B17">
        <v>-1.342158576294596</v>
      </c>
      <c r="C17">
        <v>-0.42797204441647002</v>
      </c>
      <c r="D17">
        <v>0.29256174061889401</v>
      </c>
      <c r="E17">
        <v>0.97931838870427323</v>
      </c>
      <c r="F17">
        <v>1.112890003474085</v>
      </c>
      <c r="G17">
        <v>0.57113866130151247</v>
      </c>
      <c r="H17">
        <v>-1.185778173387724</v>
      </c>
    </row>
    <row r="18" spans="1:8" x14ac:dyDescent="0.3">
      <c r="A18" t="s">
        <v>24</v>
      </c>
      <c r="B18">
        <v>-1.860266059538987</v>
      </c>
      <c r="C18">
        <v>-0.66998738163309857</v>
      </c>
      <c r="D18">
        <v>0.89123331856240517</v>
      </c>
      <c r="E18">
        <v>0.70558986672675617</v>
      </c>
      <c r="F18">
        <v>-0.23803184352393891</v>
      </c>
      <c r="G18">
        <v>0.41906922994299067</v>
      </c>
      <c r="H18">
        <v>0.75239286946385797</v>
      </c>
    </row>
    <row r="19" spans="1:8" x14ac:dyDescent="0.3">
      <c r="A19" s="2" t="s">
        <v>25</v>
      </c>
      <c r="B19" s="2">
        <v>1.363627314944285</v>
      </c>
      <c r="C19" s="2">
        <v>1.2000186883607411</v>
      </c>
      <c r="D19" s="2">
        <v>0.5119034549360586</v>
      </c>
      <c r="E19" s="2">
        <v>-0.63843660462037366</v>
      </c>
      <c r="F19" s="2">
        <v>-0.95229955268126987</v>
      </c>
      <c r="G19" s="2">
        <v>-0.63843660462037366</v>
      </c>
      <c r="H19" s="2">
        <v>-0.8463766963190823</v>
      </c>
    </row>
    <row r="20" spans="1:8" x14ac:dyDescent="0.3">
      <c r="A20" t="s">
        <v>26</v>
      </c>
      <c r="B20">
        <v>0.36703036158382968</v>
      </c>
      <c r="C20">
        <v>1.208701604638438</v>
      </c>
      <c r="D20">
        <v>0.93791823386220263</v>
      </c>
      <c r="E20">
        <v>-0.202464896656744</v>
      </c>
      <c r="F20">
        <v>0.19610230978937249</v>
      </c>
      <c r="G20">
        <v>-0.86509214129881096</v>
      </c>
      <c r="H20">
        <v>-1.6421954719183101</v>
      </c>
    </row>
    <row r="21" spans="1:8" x14ac:dyDescent="0.3">
      <c r="A21" t="s">
        <v>27</v>
      </c>
      <c r="B21">
        <v>-2.1583396619183151</v>
      </c>
      <c r="C21">
        <v>-0.132732866673583</v>
      </c>
      <c r="D21">
        <v>0.5491938099818513</v>
      </c>
      <c r="E21">
        <v>0.40012159089093668</v>
      </c>
      <c r="F21">
        <v>0.31001378224270282</v>
      </c>
      <c r="G21">
        <v>0.85784027570316301</v>
      </c>
      <c r="H21">
        <v>0.17390306977327269</v>
      </c>
    </row>
    <row r="22" spans="1:8" x14ac:dyDescent="0.3">
      <c r="A22" t="s">
        <v>28</v>
      </c>
      <c r="B22">
        <v>-1.0814611397423879</v>
      </c>
      <c r="C22">
        <v>-0.21488542202053509</v>
      </c>
      <c r="D22">
        <v>1.653152625446707</v>
      </c>
      <c r="E22">
        <v>8.9799614284081244E-2</v>
      </c>
      <c r="F22">
        <v>0.97300280556196739</v>
      </c>
      <c r="G22">
        <v>-0.49896081407895432</v>
      </c>
      <c r="H22">
        <v>-0.92064766945094012</v>
      </c>
    </row>
    <row r="23" spans="1:8" x14ac:dyDescent="0.3">
      <c r="A23" s="2" t="s">
        <v>29</v>
      </c>
      <c r="B23" s="2">
        <v>-1.0824030313233091</v>
      </c>
      <c r="C23" s="2">
        <v>-0.86821771590482111</v>
      </c>
      <c r="D23" s="2">
        <v>-0.86821771590482111</v>
      </c>
      <c r="E23" s="2">
        <v>-0.1066146588711025</v>
      </c>
      <c r="F23" s="2">
        <v>0.43688971030473728</v>
      </c>
      <c r="G23" s="2">
        <v>1.3493684364094951</v>
      </c>
      <c r="H23" s="2">
        <v>1.1391949752898209</v>
      </c>
    </row>
    <row r="24" spans="1:8" x14ac:dyDescent="0.3">
      <c r="A24" t="s">
        <v>30</v>
      </c>
      <c r="B24">
        <v>1.320231287587406</v>
      </c>
      <c r="C24">
        <v>7.8708050067654897E-2</v>
      </c>
      <c r="D24">
        <v>0.70262271787165165</v>
      </c>
      <c r="E24">
        <v>0.45382077928779357</v>
      </c>
      <c r="F24">
        <v>-4.6842994093741493E-2</v>
      </c>
      <c r="G24">
        <v>-0.80561522328814728</v>
      </c>
      <c r="H24">
        <v>-1.7029246174325641</v>
      </c>
    </row>
    <row r="25" spans="1:8" x14ac:dyDescent="0.3">
      <c r="A25" t="s">
        <v>31</v>
      </c>
      <c r="B25">
        <v>-1.538184412397037</v>
      </c>
      <c r="C25">
        <v>-0.92206808988683076</v>
      </c>
      <c r="D25">
        <v>1.3150016489195469E-2</v>
      </c>
      <c r="E25">
        <v>-0.21098951002333191</v>
      </c>
      <c r="F25">
        <v>0.44409712928664818</v>
      </c>
      <c r="G25">
        <v>0.89371269395763331</v>
      </c>
      <c r="H25">
        <v>1.3202821725737379</v>
      </c>
    </row>
    <row r="26" spans="1:8" x14ac:dyDescent="0.3">
      <c r="A26" t="s">
        <v>32</v>
      </c>
      <c r="B26">
        <v>-0.91407439281435321</v>
      </c>
      <c r="C26">
        <v>-0.86025009264123531</v>
      </c>
      <c r="D26">
        <v>-0.74705056682443316</v>
      </c>
      <c r="E26">
        <v>-0.34881900599676369</v>
      </c>
      <c r="F26">
        <v>0.40853736903550419</v>
      </c>
      <c r="G26">
        <v>0.70742652745104395</v>
      </c>
      <c r="H26">
        <v>1.75423016179025</v>
      </c>
    </row>
    <row r="27" spans="1:8" x14ac:dyDescent="0.3">
      <c r="A27" t="s">
        <v>33</v>
      </c>
      <c r="B27">
        <v>-1.4814680315177871</v>
      </c>
      <c r="C27">
        <v>-0.73607100032675565</v>
      </c>
      <c r="D27">
        <v>-0.48209724961348649</v>
      </c>
      <c r="E27">
        <v>-0.2400143939749842</v>
      </c>
      <c r="F27">
        <v>0.8249283887635851</v>
      </c>
      <c r="G27">
        <v>1.2260254033491971</v>
      </c>
      <c r="H27">
        <v>0.88869688332021757</v>
      </c>
    </row>
    <row r="28" spans="1:8" x14ac:dyDescent="0.3">
      <c r="A28" t="s">
        <v>34</v>
      </c>
      <c r="B28">
        <v>-0.49341516952237607</v>
      </c>
      <c r="C28">
        <v>-1.453237206351889</v>
      </c>
      <c r="D28">
        <v>-0.83631071348895547</v>
      </c>
      <c r="E28">
        <v>0.71624225209594661</v>
      </c>
      <c r="F28">
        <v>1.491029900762654</v>
      </c>
      <c r="G28">
        <v>0.43506015369640438</v>
      </c>
      <c r="H28">
        <v>0.14063078280822691</v>
      </c>
    </row>
    <row r="29" spans="1:8" x14ac:dyDescent="0.3">
      <c r="A29" t="s">
        <v>35</v>
      </c>
      <c r="B29">
        <v>1.277232210228159</v>
      </c>
      <c r="C29">
        <v>1.2304343751649569</v>
      </c>
      <c r="D29">
        <v>0.58428482631550704</v>
      </c>
      <c r="E29">
        <v>-0.53634811144022954</v>
      </c>
      <c r="F29">
        <v>-0.91209881222563249</v>
      </c>
      <c r="G29">
        <v>-0.96867625548365277</v>
      </c>
      <c r="H29">
        <v>-0.6748282325590953</v>
      </c>
    </row>
    <row r="30" spans="1:8" x14ac:dyDescent="0.3">
      <c r="A30" t="s">
        <v>36</v>
      </c>
      <c r="B30">
        <v>-1.130680185947192</v>
      </c>
      <c r="C30">
        <v>-0.16056939924065819</v>
      </c>
      <c r="D30">
        <v>0.7042567671977944</v>
      </c>
      <c r="E30">
        <v>-1.130680185947192</v>
      </c>
      <c r="F30">
        <v>1.484430133952114</v>
      </c>
      <c r="G30">
        <v>-0.47101389721267439</v>
      </c>
      <c r="H30">
        <v>0.7042567671977944</v>
      </c>
    </row>
    <row r="31" spans="1:8" x14ac:dyDescent="0.3">
      <c r="A31" t="s">
        <v>37</v>
      </c>
      <c r="B31">
        <v>-1.355648727579764</v>
      </c>
      <c r="C31">
        <v>0.71504061201241742</v>
      </c>
      <c r="D31">
        <v>1.5022562098535091</v>
      </c>
      <c r="E31">
        <v>0.14871777642797751</v>
      </c>
      <c r="F31">
        <v>-0.21196578250738771</v>
      </c>
      <c r="G31">
        <v>0.31086752667308049</v>
      </c>
      <c r="H31">
        <v>-1.109267614879905</v>
      </c>
    </row>
    <row r="32" spans="1:8" x14ac:dyDescent="0.3">
      <c r="A32" t="s">
        <v>38</v>
      </c>
      <c r="B32">
        <v>0.51880365589947008</v>
      </c>
      <c r="C32">
        <v>-0.32280038572943343</v>
      </c>
      <c r="D32">
        <v>-1.152401263253956</v>
      </c>
      <c r="E32">
        <v>-1.0564349768528261</v>
      </c>
      <c r="F32">
        <v>-0.1481964566109723</v>
      </c>
      <c r="G32">
        <v>0.438030135724987</v>
      </c>
      <c r="H32">
        <v>1.7229992908227301</v>
      </c>
    </row>
    <row r="33" spans="1:8" x14ac:dyDescent="0.3">
      <c r="A33" t="s">
        <v>39</v>
      </c>
      <c r="B33">
        <v>-1.050439946209266</v>
      </c>
      <c r="C33">
        <v>-1.050439946209266</v>
      </c>
      <c r="D33">
        <v>-1.050439946209266</v>
      </c>
      <c r="E33">
        <v>0.48647620596339092</v>
      </c>
      <c r="F33">
        <v>1.123148920791819</v>
      </c>
      <c r="G33">
        <v>0.81080901675836314</v>
      </c>
      <c r="H33">
        <v>0.73088569511421797</v>
      </c>
    </row>
    <row r="34" spans="1:8" x14ac:dyDescent="0.3">
      <c r="A34" t="s">
        <v>40</v>
      </c>
      <c r="B34">
        <v>1.314670553774635</v>
      </c>
      <c r="C34">
        <v>1.1315234191279679</v>
      </c>
      <c r="D34">
        <v>2.9439131918772558E-2</v>
      </c>
      <c r="E34">
        <v>-1.542562373772844</v>
      </c>
      <c r="F34">
        <v>-0.77342581976967062</v>
      </c>
      <c r="G34">
        <v>-7.9822455639430079E-2</v>
      </c>
      <c r="H34">
        <v>-7.9822455639430079E-2</v>
      </c>
    </row>
    <row r="35" spans="1:8" x14ac:dyDescent="0.3">
      <c r="A35" t="s">
        <v>41</v>
      </c>
      <c r="B35">
        <v>-0.85560538710241063</v>
      </c>
      <c r="C35">
        <v>0.58453195106915479</v>
      </c>
      <c r="D35">
        <v>-0.5597494282477119</v>
      </c>
      <c r="E35">
        <v>-1.307173589286067</v>
      </c>
      <c r="F35">
        <v>1.538091335275936</v>
      </c>
      <c r="G35">
        <v>0.72337408296261851</v>
      </c>
      <c r="H35">
        <v>-0.12346896467146209</v>
      </c>
    </row>
    <row r="36" spans="1:8" x14ac:dyDescent="0.3">
      <c r="A36" t="s">
        <v>42</v>
      </c>
      <c r="B36">
        <v>-1.956044683701162</v>
      </c>
      <c r="C36">
        <v>-0.55157228423045246</v>
      </c>
      <c r="D36">
        <v>0.12939814147636231</v>
      </c>
      <c r="E36">
        <v>8.1738763213688434E-2</v>
      </c>
      <c r="F36">
        <v>0.64418666371581701</v>
      </c>
      <c r="G36">
        <v>1.00810673580993</v>
      </c>
      <c r="H36">
        <v>0.64418666371581701</v>
      </c>
    </row>
    <row r="37" spans="1:8" x14ac:dyDescent="0.3">
      <c r="A37" t="s">
        <v>43</v>
      </c>
      <c r="B37">
        <v>-1.1090444538613551</v>
      </c>
      <c r="C37">
        <v>-0.90727060571008411</v>
      </c>
      <c r="D37">
        <v>-0.87934884203401809</v>
      </c>
      <c r="E37">
        <v>8.9892940785452832E-2</v>
      </c>
      <c r="F37">
        <v>0.33612025260222189</v>
      </c>
      <c r="G37">
        <v>1.196217155015213</v>
      </c>
      <c r="H37">
        <v>1.273433553202572</v>
      </c>
    </row>
    <row r="38" spans="1:8" x14ac:dyDescent="0.3">
      <c r="A38" t="s">
        <v>44</v>
      </c>
      <c r="B38">
        <v>-0.86724627507687968</v>
      </c>
      <c r="C38">
        <v>-1.285032683893663</v>
      </c>
      <c r="D38">
        <v>6.5325104430977818E-2</v>
      </c>
      <c r="E38">
        <v>6.5325104430977818E-2</v>
      </c>
      <c r="F38">
        <v>-0.3273984312370592</v>
      </c>
      <c r="G38">
        <v>0.57372823839398224</v>
      </c>
      <c r="H38">
        <v>1.775298942951677</v>
      </c>
    </row>
    <row r="39" spans="1:8" x14ac:dyDescent="0.3">
      <c r="A39" t="s">
        <v>45</v>
      </c>
      <c r="B39">
        <v>-1.138278292210519</v>
      </c>
      <c r="C39">
        <v>-1.0690214166607119</v>
      </c>
      <c r="D39">
        <v>-0.1070407764857661</v>
      </c>
      <c r="E39">
        <v>-0.21453342526159211</v>
      </c>
      <c r="F39">
        <v>0.38823604063630668</v>
      </c>
      <c r="G39">
        <v>0.34157311052016648</v>
      </c>
      <c r="H39">
        <v>1.799064759462123</v>
      </c>
    </row>
    <row r="40" spans="1:8" x14ac:dyDescent="0.3">
      <c r="A40" t="s">
        <v>46</v>
      </c>
      <c r="B40">
        <v>-6.1387364108351737E-2</v>
      </c>
      <c r="C40">
        <v>-0.74363562789788962</v>
      </c>
      <c r="D40">
        <v>-0.1006827851239081</v>
      </c>
      <c r="E40">
        <v>0.92617598740051754</v>
      </c>
      <c r="F40">
        <v>1.36119226483286</v>
      </c>
      <c r="G40">
        <v>0.24937051797641541</v>
      </c>
      <c r="H40">
        <v>-1.6310329930796841</v>
      </c>
    </row>
    <row r="41" spans="1:8" x14ac:dyDescent="0.3">
      <c r="A41" t="s">
        <v>47</v>
      </c>
      <c r="B41">
        <v>1.3375072443755971</v>
      </c>
      <c r="C41">
        <v>-2.2551858458706261E-2</v>
      </c>
      <c r="D41">
        <v>-0.30380032062145351</v>
      </c>
      <c r="E41">
        <v>0.25552575303690378</v>
      </c>
      <c r="F41">
        <v>1.07142890479178</v>
      </c>
      <c r="G41">
        <v>-0.87610494865800581</v>
      </c>
      <c r="H41">
        <v>-1.462004774466116</v>
      </c>
    </row>
    <row r="42" spans="1:8" x14ac:dyDescent="0.3">
      <c r="A42" t="s">
        <v>48</v>
      </c>
      <c r="B42">
        <v>1.124112436341373</v>
      </c>
      <c r="C42">
        <v>1.3477889647297561</v>
      </c>
      <c r="D42">
        <v>0.50733838551997146</v>
      </c>
      <c r="E42">
        <v>-0.27836294068447692</v>
      </c>
      <c r="F42">
        <v>-0.72939768753625678</v>
      </c>
      <c r="G42">
        <v>-0.75167553846212543</v>
      </c>
      <c r="H42">
        <v>-1.21980361990825</v>
      </c>
    </row>
    <row r="43" spans="1:8" x14ac:dyDescent="0.3">
      <c r="A43" t="s">
        <v>49</v>
      </c>
      <c r="B43">
        <v>-1.383396328768618</v>
      </c>
      <c r="C43">
        <v>-0.6769026786137422</v>
      </c>
      <c r="D43">
        <v>0.56282998556800834</v>
      </c>
      <c r="E43">
        <v>-1.021815117925762</v>
      </c>
      <c r="F43">
        <v>1.1133189199482261</v>
      </c>
      <c r="G43">
        <v>0.56282998556800834</v>
      </c>
      <c r="H43">
        <v>0.84313523422388026</v>
      </c>
    </row>
    <row r="44" spans="1:8" x14ac:dyDescent="0.3">
      <c r="A44" t="s">
        <v>50</v>
      </c>
      <c r="B44">
        <v>1.8668727738016671</v>
      </c>
      <c r="C44">
        <v>0.30732481605594247</v>
      </c>
      <c r="D44">
        <v>0.47211033693754512</v>
      </c>
      <c r="E44">
        <v>-0.21222281917957439</v>
      </c>
      <c r="F44">
        <v>-0.48755089556090492</v>
      </c>
      <c r="G44">
        <v>-0.87275040707000162</v>
      </c>
      <c r="H44">
        <v>-1.073783804984668</v>
      </c>
    </row>
    <row r="45" spans="1:8" x14ac:dyDescent="0.3">
      <c r="A45" t="s">
        <v>51</v>
      </c>
      <c r="B45">
        <v>-1.187455135167232</v>
      </c>
      <c r="C45">
        <v>-0.89364283758084617</v>
      </c>
      <c r="D45">
        <v>1.7355590526636041E-2</v>
      </c>
      <c r="E45">
        <v>-0.89364283758084617</v>
      </c>
      <c r="F45">
        <v>0.78821537019611243</v>
      </c>
      <c r="G45">
        <v>1.180818118374011</v>
      </c>
      <c r="H45">
        <v>0.98835173123216469</v>
      </c>
    </row>
    <row r="46" spans="1:8" x14ac:dyDescent="0.3">
      <c r="A46" t="s">
        <v>52</v>
      </c>
      <c r="B46">
        <v>-1.069442066446973</v>
      </c>
      <c r="C46">
        <v>-0.45788393331248139</v>
      </c>
      <c r="D46">
        <v>-1.069442066446973</v>
      </c>
      <c r="E46">
        <v>-0.45788393331248139</v>
      </c>
      <c r="F46">
        <v>0.75224747328147967</v>
      </c>
      <c r="G46">
        <v>0.95516351952678324</v>
      </c>
      <c r="H46">
        <v>1.3472410067106311</v>
      </c>
    </row>
    <row r="47" spans="1:8" x14ac:dyDescent="0.3">
      <c r="A47" t="s">
        <v>53</v>
      </c>
      <c r="B47">
        <v>-1.900615992853893</v>
      </c>
      <c r="C47">
        <v>-0.27833854397276869</v>
      </c>
      <c r="D47">
        <v>0.38754222657641402</v>
      </c>
      <c r="E47">
        <v>0.48067257662363111</v>
      </c>
      <c r="F47">
        <v>1.0085299630650539E-2</v>
      </c>
      <c r="G47">
        <v>1.38619361375218</v>
      </c>
      <c r="H47">
        <v>-8.5539179756166164E-2</v>
      </c>
    </row>
    <row r="48" spans="1:8" x14ac:dyDescent="0.3">
      <c r="A48" t="s">
        <v>54</v>
      </c>
      <c r="B48">
        <v>-1.0955671371060891</v>
      </c>
      <c r="C48">
        <v>-0.74103747397211095</v>
      </c>
      <c r="D48">
        <v>0.8963695414640388</v>
      </c>
      <c r="E48">
        <v>-6.0449776147964748E-2</v>
      </c>
      <c r="F48">
        <v>1.19988244140421</v>
      </c>
      <c r="G48">
        <v>0.8963695414640388</v>
      </c>
      <c r="H48">
        <v>-1.0955671371060891</v>
      </c>
    </row>
    <row r="49" spans="1:8" x14ac:dyDescent="0.3">
      <c r="A49" t="s">
        <v>55</v>
      </c>
      <c r="B49">
        <v>1.285293527413323</v>
      </c>
      <c r="C49">
        <v>0.81671737889549612</v>
      </c>
      <c r="D49">
        <v>-0.51412946125516523</v>
      </c>
      <c r="E49">
        <v>-1.046629890053935</v>
      </c>
      <c r="F49">
        <v>-1.0658087253290791</v>
      </c>
      <c r="G49">
        <v>-0.46149682553089449</v>
      </c>
      <c r="H49">
        <v>0.98605399586024789</v>
      </c>
    </row>
    <row r="50" spans="1:8" x14ac:dyDescent="0.3">
      <c r="A50" t="s">
        <v>56</v>
      </c>
      <c r="B50">
        <v>1.57514545247991</v>
      </c>
      <c r="C50">
        <v>1.262868110865875</v>
      </c>
      <c r="D50">
        <v>-0.54419783337540695</v>
      </c>
      <c r="E50">
        <v>-0.35172774459069889</v>
      </c>
      <c r="F50">
        <v>-0.334557505586982</v>
      </c>
      <c r="G50">
        <v>-0.57992221046642145</v>
      </c>
      <c r="H50">
        <v>-1.027608269326266</v>
      </c>
    </row>
    <row r="51" spans="1:8" x14ac:dyDescent="0.3">
      <c r="A51" t="s">
        <v>57</v>
      </c>
      <c r="B51">
        <v>0.2435036191750464</v>
      </c>
      <c r="C51">
        <v>0.80171574643752763</v>
      </c>
      <c r="D51">
        <v>-2.2052367812301621</v>
      </c>
      <c r="E51">
        <v>5.3056061707131889E-2</v>
      </c>
      <c r="F51">
        <v>0.2435036191750464</v>
      </c>
      <c r="G51">
        <v>0.43172886736769761</v>
      </c>
      <c r="H51">
        <v>0.43172886736769761</v>
      </c>
    </row>
    <row r="52" spans="1:8" x14ac:dyDescent="0.3">
      <c r="A52" t="s">
        <v>58</v>
      </c>
      <c r="B52">
        <v>-1.024007932396509</v>
      </c>
      <c r="C52">
        <v>-0.91723252298110514</v>
      </c>
      <c r="D52">
        <v>-0.83280796508537447</v>
      </c>
      <c r="E52">
        <v>-0.20657823936387329</v>
      </c>
      <c r="F52">
        <v>0.57172032154552321</v>
      </c>
      <c r="G52">
        <v>0.93466660710297633</v>
      </c>
      <c r="H52">
        <v>1.474239731178385</v>
      </c>
    </row>
    <row r="53" spans="1:8" x14ac:dyDescent="0.3">
      <c r="A53" t="s">
        <v>59</v>
      </c>
      <c r="B53">
        <v>-1.2826768364342851</v>
      </c>
      <c r="C53">
        <v>-4.9783963952102973E-2</v>
      </c>
      <c r="D53">
        <v>-0.89965987376005585</v>
      </c>
      <c r="E53">
        <v>-0.54289823840747065</v>
      </c>
      <c r="F53">
        <v>0.25478723674075709</v>
      </c>
      <c r="G53">
        <v>1.1991448669601841</v>
      </c>
      <c r="H53">
        <v>1.3210868088529639</v>
      </c>
    </row>
    <row r="54" spans="1:8" x14ac:dyDescent="0.3">
      <c r="A54" t="s">
        <v>60</v>
      </c>
      <c r="B54">
        <v>-1.668794715712747</v>
      </c>
      <c r="C54">
        <v>-0.98400180132569526</v>
      </c>
      <c r="D54">
        <v>8.1550715205011753E-2</v>
      </c>
      <c r="E54">
        <v>5.8225726047373957E-2</v>
      </c>
      <c r="F54">
        <v>0.69976693117274802</v>
      </c>
      <c r="G54">
        <v>0.67946291292766403</v>
      </c>
      <c r="H54">
        <v>1.133790231685621</v>
      </c>
    </row>
    <row r="55" spans="1:8" x14ac:dyDescent="0.3">
      <c r="A55" t="s">
        <v>61</v>
      </c>
      <c r="B55">
        <v>-1.5843346535494069</v>
      </c>
      <c r="C55">
        <v>-0.85628190808143445</v>
      </c>
      <c r="D55">
        <v>-0.40341661325239719</v>
      </c>
      <c r="E55">
        <v>7.2397081689852483E-2</v>
      </c>
      <c r="F55">
        <v>0.78836644827827806</v>
      </c>
      <c r="G55">
        <v>0.97617844549028743</v>
      </c>
      <c r="H55">
        <v>1.007091199424816</v>
      </c>
    </row>
    <row r="56" spans="1:8" x14ac:dyDescent="0.3">
      <c r="A56" t="s">
        <v>62</v>
      </c>
      <c r="B56">
        <v>-0.88617136518243234</v>
      </c>
      <c r="C56">
        <v>-1.3866486349664351</v>
      </c>
      <c r="D56">
        <v>-3.8620218461039163E-2</v>
      </c>
      <c r="E56">
        <v>-0.40732921347211037</v>
      </c>
      <c r="F56">
        <v>1.5624519367730449</v>
      </c>
      <c r="G56">
        <v>0.66390877841239915</v>
      </c>
      <c r="H56">
        <v>0.49240871689660259</v>
      </c>
    </row>
    <row r="57" spans="1:8" x14ac:dyDescent="0.3">
      <c r="A57" t="s">
        <v>63</v>
      </c>
      <c r="B57">
        <v>-1.9663078026557661</v>
      </c>
      <c r="C57">
        <v>0.41649528185003842</v>
      </c>
      <c r="D57">
        <v>0.8214158755089026</v>
      </c>
      <c r="E57">
        <v>-0.58135232133643133</v>
      </c>
      <c r="F57">
        <v>-6.3966456278588772E-3</v>
      </c>
      <c r="G57">
        <v>0.45644171981439352</v>
      </c>
      <c r="H57">
        <v>0.85970389244668799</v>
      </c>
    </row>
    <row r="58" spans="1:8" x14ac:dyDescent="0.3">
      <c r="A58" t="s">
        <v>64</v>
      </c>
      <c r="B58">
        <v>1.125866114276447</v>
      </c>
      <c r="C58">
        <v>1.4291394426684769</v>
      </c>
      <c r="D58">
        <v>0.34363104625936208</v>
      </c>
      <c r="E58">
        <v>-0.23938136115808131</v>
      </c>
      <c r="F58">
        <v>-0.58654998617033804</v>
      </c>
      <c r="G58">
        <v>-1.1424322889619141</v>
      </c>
      <c r="H58">
        <v>-0.93027296691396222</v>
      </c>
    </row>
    <row r="59" spans="1:8" x14ac:dyDescent="0.3">
      <c r="A59" t="s">
        <v>65</v>
      </c>
      <c r="B59">
        <v>-0.38099445029087159</v>
      </c>
      <c r="C59">
        <v>0.10801314052123349</v>
      </c>
      <c r="D59">
        <v>-0.61069051884963776</v>
      </c>
      <c r="E59">
        <v>-1.37982529518316</v>
      </c>
      <c r="F59">
        <v>-0.29044654227134509</v>
      </c>
      <c r="G59">
        <v>0.94482554250695883</v>
      </c>
      <c r="H59">
        <v>1.609118123566823</v>
      </c>
    </row>
    <row r="60" spans="1:8" x14ac:dyDescent="0.3">
      <c r="A60" t="s">
        <v>66</v>
      </c>
      <c r="B60">
        <v>1.6320653637958951</v>
      </c>
      <c r="C60">
        <v>1.2028778030400089</v>
      </c>
      <c r="D60">
        <v>-0.17549791009624499</v>
      </c>
      <c r="E60">
        <v>-0.71225540332740456</v>
      </c>
      <c r="F60">
        <v>-0.7446293456645815</v>
      </c>
      <c r="G60">
        <v>-0.79336306597857831</v>
      </c>
      <c r="H60">
        <v>-0.40919744176911488</v>
      </c>
    </row>
    <row r="61" spans="1:8" x14ac:dyDescent="0.3">
      <c r="A61" t="s">
        <v>67</v>
      </c>
      <c r="B61">
        <v>-1.1552561416158229</v>
      </c>
      <c r="C61">
        <v>-1.1925053030710591</v>
      </c>
      <c r="D61">
        <v>0.26433860182262042</v>
      </c>
      <c r="E61">
        <v>-0.5005206613219767</v>
      </c>
      <c r="F61">
        <v>0.18244292999758299</v>
      </c>
      <c r="G61">
        <v>1.145838567205713</v>
      </c>
      <c r="H61">
        <v>1.2556620069829509</v>
      </c>
    </row>
    <row r="62" spans="1:8" x14ac:dyDescent="0.3">
      <c r="A62" t="s">
        <v>68</v>
      </c>
      <c r="B62">
        <v>0.33794654775288979</v>
      </c>
      <c r="C62">
        <v>0.67714237211072048</v>
      </c>
      <c r="D62">
        <v>0.33794654775288979</v>
      </c>
      <c r="E62">
        <v>0.67714237211072048</v>
      </c>
      <c r="F62">
        <v>0.67714237211072048</v>
      </c>
      <c r="G62">
        <v>-0.74900006891986182</v>
      </c>
      <c r="H62">
        <v>-1.9583201429180701</v>
      </c>
    </row>
    <row r="63" spans="1:8" x14ac:dyDescent="0.3">
      <c r="A63" t="s">
        <v>69</v>
      </c>
      <c r="B63">
        <v>-1.6251946832347739</v>
      </c>
      <c r="C63">
        <v>-0.82845538996095591</v>
      </c>
      <c r="D63">
        <v>-0.41992272238941403</v>
      </c>
      <c r="E63">
        <v>0.99180987380960173</v>
      </c>
      <c r="F63">
        <v>0.1874042522932868</v>
      </c>
      <c r="G63">
        <v>0.70254879567264472</v>
      </c>
      <c r="H63">
        <v>0.99180987380960173</v>
      </c>
    </row>
    <row r="64" spans="1:8" x14ac:dyDescent="0.3">
      <c r="A64" t="s">
        <v>70</v>
      </c>
      <c r="B64">
        <v>-1.6525878058470971</v>
      </c>
      <c r="C64">
        <v>-0.88486139276863951</v>
      </c>
      <c r="D64">
        <v>-0.10101604594694991</v>
      </c>
      <c r="E64">
        <v>3.2158761590928023E-2</v>
      </c>
      <c r="F64">
        <v>0.54808648078734856</v>
      </c>
      <c r="G64">
        <v>0.8614766915303147</v>
      </c>
      <c r="H64">
        <v>1.196743310654095</v>
      </c>
    </row>
    <row r="65" spans="1:8" x14ac:dyDescent="0.3">
      <c r="A65" t="s">
        <v>71</v>
      </c>
      <c r="B65">
        <v>0.39129519101426308</v>
      </c>
      <c r="C65">
        <v>-1.0845342276529419</v>
      </c>
      <c r="D65">
        <v>-1.476361611877921</v>
      </c>
      <c r="E65">
        <v>7.8228422592151722E-2</v>
      </c>
      <c r="F65">
        <v>0.184205430794117</v>
      </c>
      <c r="G65">
        <v>0.39129519101426308</v>
      </c>
      <c r="H65">
        <v>1.515871604116056</v>
      </c>
    </row>
    <row r="66" spans="1:8" x14ac:dyDescent="0.3">
      <c r="A66" t="s">
        <v>72</v>
      </c>
      <c r="B66">
        <v>1.5091254716042599</v>
      </c>
      <c r="C66">
        <v>1.02077207498698</v>
      </c>
      <c r="D66">
        <v>0.41349148208633513</v>
      </c>
      <c r="E66">
        <v>-0.53619721530242126</v>
      </c>
      <c r="F66">
        <v>-0.43635413000647733</v>
      </c>
      <c r="G66">
        <v>-0.77378648527436622</v>
      </c>
      <c r="H66">
        <v>-1.1970511980943019</v>
      </c>
    </row>
    <row r="67" spans="1:8" x14ac:dyDescent="0.3">
      <c r="A67" t="s">
        <v>73</v>
      </c>
      <c r="B67">
        <v>-1.936019996490111</v>
      </c>
      <c r="C67">
        <v>-0.2656668429751059</v>
      </c>
      <c r="D67">
        <v>4.5271276316498528E-2</v>
      </c>
      <c r="E67">
        <v>-0.2656668429751059</v>
      </c>
      <c r="F67">
        <v>1.033510615338505</v>
      </c>
      <c r="G67">
        <v>0.49882574508243521</v>
      </c>
      <c r="H67">
        <v>0.88974604570290849</v>
      </c>
    </row>
    <row r="68" spans="1:8" x14ac:dyDescent="0.3">
      <c r="A68" t="s">
        <v>74</v>
      </c>
      <c r="B68">
        <v>-1.0645288994667219</v>
      </c>
      <c r="C68">
        <v>-0.72794807349480917</v>
      </c>
      <c r="D68">
        <v>-1.0645288994667219</v>
      </c>
      <c r="E68">
        <v>5.4347693086807522E-2</v>
      </c>
      <c r="F68">
        <v>0.37806293293867832</v>
      </c>
      <c r="G68">
        <v>0.96895451229621876</v>
      </c>
      <c r="H68">
        <v>1.455640734106558</v>
      </c>
    </row>
    <row r="69" spans="1:8" x14ac:dyDescent="0.3">
      <c r="A69" t="s">
        <v>75</v>
      </c>
      <c r="B69">
        <v>1.822347705557094</v>
      </c>
      <c r="C69">
        <v>0.41856061912913661</v>
      </c>
      <c r="D69">
        <v>-0.1031693855301053</v>
      </c>
      <c r="E69">
        <v>-0.94787338946703692</v>
      </c>
      <c r="F69">
        <v>-0.1031693855301053</v>
      </c>
      <c r="G69">
        <v>0.16150997628581329</v>
      </c>
      <c r="H69">
        <v>-1.2482061404448119</v>
      </c>
    </row>
    <row r="70" spans="1:8" x14ac:dyDescent="0.3">
      <c r="A70" t="s">
        <v>76</v>
      </c>
      <c r="B70">
        <v>-0.82925812677565414</v>
      </c>
      <c r="C70">
        <v>-0.69579605555391544</v>
      </c>
      <c r="D70">
        <v>-0.82925812677565414</v>
      </c>
      <c r="E70">
        <v>-0.76233105291697623</v>
      </c>
      <c r="F70">
        <v>0.61831152172083315</v>
      </c>
      <c r="G70">
        <v>1.416857606233656</v>
      </c>
      <c r="H70">
        <v>1.0814742340676811</v>
      </c>
    </row>
    <row r="71" spans="1:8" x14ac:dyDescent="0.3">
      <c r="A71" t="s">
        <v>77</v>
      </c>
      <c r="B71">
        <v>-1.4136556365053039</v>
      </c>
      <c r="C71">
        <v>1.0163737195096429</v>
      </c>
      <c r="D71">
        <v>0.73912166552136882</v>
      </c>
      <c r="E71">
        <v>-0.4415827785423122</v>
      </c>
      <c r="F71">
        <v>1.0163737195096429</v>
      </c>
      <c r="G71">
        <v>0.16383599084174119</v>
      </c>
      <c r="H71">
        <v>-1.08046668033481</v>
      </c>
    </row>
    <row r="72" spans="1:8" x14ac:dyDescent="0.3">
      <c r="A72" t="s">
        <v>78</v>
      </c>
      <c r="B72">
        <v>-1.2294962823475131</v>
      </c>
      <c r="C72">
        <v>-1.29910586613571</v>
      </c>
      <c r="D72">
        <v>-0.44710489328139058</v>
      </c>
      <c r="E72">
        <v>0.21498898612645859</v>
      </c>
      <c r="F72">
        <v>0.91729923327734564</v>
      </c>
      <c r="G72">
        <v>0.83802718539342835</v>
      </c>
      <c r="H72">
        <v>1.005391636967381</v>
      </c>
    </row>
    <row r="73" spans="1:8" x14ac:dyDescent="0.3">
      <c r="A73" t="s">
        <v>79</v>
      </c>
      <c r="B73">
        <v>-1.695410776460561</v>
      </c>
      <c r="C73">
        <v>-0.51570821792117383</v>
      </c>
      <c r="D73">
        <v>-0.51570821792117383</v>
      </c>
      <c r="E73">
        <v>0.16072655950769729</v>
      </c>
      <c r="F73">
        <v>0.76973692279794659</v>
      </c>
      <c r="G73">
        <v>0.47280962535198329</v>
      </c>
      <c r="H73">
        <v>1.3235541046452981</v>
      </c>
    </row>
    <row r="74" spans="1:8" x14ac:dyDescent="0.3">
      <c r="A74" t="s">
        <v>80</v>
      </c>
      <c r="B74">
        <v>1.7907280918933111</v>
      </c>
      <c r="C74">
        <v>0.88421628490197612</v>
      </c>
      <c r="D74">
        <v>-1.5768305538494901E-2</v>
      </c>
      <c r="E74">
        <v>-0.58594028041398871</v>
      </c>
      <c r="F74">
        <v>-0.88903100253620981</v>
      </c>
      <c r="G74">
        <v>-0.88903100253620981</v>
      </c>
      <c r="H74">
        <v>-0.29517378577040332</v>
      </c>
    </row>
    <row r="75" spans="1:8" x14ac:dyDescent="0.3">
      <c r="A75" t="s">
        <v>81</v>
      </c>
      <c r="B75">
        <v>-1.28876177008871</v>
      </c>
      <c r="C75">
        <v>-0.95296413415426384</v>
      </c>
      <c r="D75">
        <v>-0.74564589441696749</v>
      </c>
      <c r="E75">
        <v>0.20030343904328621</v>
      </c>
      <c r="F75">
        <v>0.64189272432259914</v>
      </c>
      <c r="G75">
        <v>0.82567926296322181</v>
      </c>
      <c r="H75">
        <v>1.319496372330824</v>
      </c>
    </row>
    <row r="76" spans="1:8" x14ac:dyDescent="0.3">
      <c r="A76" t="s">
        <v>82</v>
      </c>
      <c r="B76">
        <v>-1.2283637104786529</v>
      </c>
      <c r="C76">
        <v>-1.1371120855786061</v>
      </c>
      <c r="D76">
        <v>-0.56353775397561878</v>
      </c>
      <c r="E76">
        <v>5.8609536207563533E-2</v>
      </c>
      <c r="F76">
        <v>0.69982289770550876</v>
      </c>
      <c r="G76">
        <v>0.95954171564165247</v>
      </c>
      <c r="H76">
        <v>1.21103940047811</v>
      </c>
    </row>
    <row r="77" spans="1:8" x14ac:dyDescent="0.3">
      <c r="A77" t="s">
        <v>83</v>
      </c>
      <c r="B77">
        <v>1.8648488649611581</v>
      </c>
      <c r="C77">
        <v>0.52221752198498939</v>
      </c>
      <c r="D77">
        <v>-0.18691137053788931</v>
      </c>
      <c r="E77">
        <v>-0.49235606315019981</v>
      </c>
      <c r="F77">
        <v>-0.97753191668813122</v>
      </c>
      <c r="G77">
        <v>-0.97753191668813122</v>
      </c>
      <c r="H77">
        <v>0.24726488011822251</v>
      </c>
    </row>
    <row r="78" spans="1:8" x14ac:dyDescent="0.3">
      <c r="A78" t="s">
        <v>84</v>
      </c>
      <c r="B78">
        <v>-0.70790812197503106</v>
      </c>
      <c r="C78">
        <v>0.1515556693151742</v>
      </c>
      <c r="D78">
        <v>0.1515556693151742</v>
      </c>
      <c r="E78">
        <v>-0.70790812197503106</v>
      </c>
      <c r="F78">
        <v>-0.70790812197503106</v>
      </c>
      <c r="G78">
        <v>2.0921153249922031</v>
      </c>
      <c r="H78">
        <v>-0.27150229769742162</v>
      </c>
    </row>
    <row r="79" spans="1:8" x14ac:dyDescent="0.3">
      <c r="A79" t="s">
        <v>85</v>
      </c>
      <c r="B79">
        <v>-0.57969918320702629</v>
      </c>
      <c r="C79">
        <v>-1.116365552657324</v>
      </c>
      <c r="D79">
        <v>-0.65387501955644001</v>
      </c>
      <c r="E79">
        <v>-0.2202493905074297</v>
      </c>
      <c r="F79">
        <v>5.4498236223174637E-2</v>
      </c>
      <c r="G79">
        <v>0.63563405979752208</v>
      </c>
      <c r="H79">
        <v>1.8800568499075421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5D3A-C262-4713-9A8F-D33E61C65BA2}">
  <sheetPr>
    <tabColor rgb="FFFF0000"/>
  </sheetPr>
  <dimension ref="A1:M46"/>
  <sheetViews>
    <sheetView tabSelected="1" workbookViewId="0">
      <selection activeCell="E20" sqref="E20"/>
    </sheetView>
  </sheetViews>
  <sheetFormatPr defaultRowHeight="14.4" x14ac:dyDescent="0.3"/>
  <cols>
    <col min="2" max="2" width="13.5546875" customWidth="1"/>
    <col min="3" max="3" width="9.44140625" customWidth="1"/>
    <col min="4" max="4" width="16.44140625" customWidth="1"/>
    <col min="5" max="5" width="14.44140625" customWidth="1"/>
  </cols>
  <sheetData>
    <row r="1" spans="1:13" x14ac:dyDescent="0.3">
      <c r="A1" s="21" t="s">
        <v>92</v>
      </c>
      <c r="B1" s="21"/>
      <c r="C1" s="21"/>
      <c r="D1" s="21"/>
      <c r="E1" s="21"/>
      <c r="F1" s="21"/>
      <c r="G1" s="21"/>
      <c r="H1" s="21"/>
    </row>
    <row r="2" spans="1:13" x14ac:dyDescent="0.3">
      <c r="A2" s="19" t="s">
        <v>95</v>
      </c>
      <c r="B2" s="19"/>
      <c r="C2" s="19"/>
      <c r="D2" s="19"/>
      <c r="E2" s="19"/>
      <c r="F2" s="19"/>
      <c r="G2" s="19"/>
      <c r="H2" s="19"/>
    </row>
    <row r="3" spans="1:13" x14ac:dyDescent="0.3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J3" s="20" t="s">
        <v>89</v>
      </c>
      <c r="K3" s="20"/>
      <c r="L3" s="20"/>
      <c r="M3" s="20"/>
    </row>
    <row r="4" spans="1:13" x14ac:dyDescent="0.3">
      <c r="A4" s="12" t="s">
        <v>9</v>
      </c>
      <c r="B4" s="12">
        <v>6.39024066706535</v>
      </c>
      <c r="C4" s="12">
        <v>6.4473058625412127</v>
      </c>
      <c r="D4" s="12">
        <v>6.4785096422085688</v>
      </c>
      <c r="E4" s="12">
        <v>6.3818160174060976</v>
      </c>
      <c r="F4" s="12">
        <v>6.4393503711000983</v>
      </c>
      <c r="G4" s="12">
        <v>6.4393503711000983</v>
      </c>
      <c r="H4" s="12">
        <v>6.3117348091529148</v>
      </c>
      <c r="J4" s="20"/>
      <c r="K4" s="20"/>
      <c r="L4" s="20"/>
      <c r="M4" s="20"/>
    </row>
    <row r="5" spans="1:13" x14ac:dyDescent="0.3">
      <c r="A5" s="12" t="s">
        <v>17</v>
      </c>
      <c r="B5" s="12">
        <v>7.741099090035366</v>
      </c>
      <c r="C5" s="12">
        <v>7.7454356102743809</v>
      </c>
      <c r="D5" s="12">
        <v>7.8304256178203309</v>
      </c>
      <c r="E5" s="12">
        <v>7.7257714415879519</v>
      </c>
      <c r="F5" s="12">
        <v>7.7257714415879519</v>
      </c>
      <c r="G5" s="12">
        <v>7.6596429545646822</v>
      </c>
      <c r="H5" s="12">
        <v>7.568379267836522</v>
      </c>
      <c r="J5" s="20"/>
      <c r="K5" s="20"/>
      <c r="L5" s="20"/>
      <c r="M5" s="20"/>
    </row>
    <row r="6" spans="1:13" x14ac:dyDescent="0.3">
      <c r="A6" s="12" t="s">
        <v>25</v>
      </c>
      <c r="B6" s="12">
        <v>6.2557500417533669</v>
      </c>
      <c r="C6" s="12">
        <v>6.2363695902037044</v>
      </c>
      <c r="D6" s="12">
        <v>6.1548580940164177</v>
      </c>
      <c r="E6" s="12">
        <v>6.0185932144962342</v>
      </c>
      <c r="F6" s="12">
        <v>5.9814142112544806</v>
      </c>
      <c r="G6" s="12">
        <v>6.0185932144962342</v>
      </c>
      <c r="H6" s="12">
        <v>5.9939614273065693</v>
      </c>
      <c r="J6" s="20"/>
      <c r="K6" s="20"/>
      <c r="L6" s="20"/>
      <c r="M6" s="20"/>
    </row>
    <row r="7" spans="1:13" ht="15" thickBot="1" x14ac:dyDescent="0.35">
      <c r="A7" s="12" t="s">
        <v>29</v>
      </c>
      <c r="B7" s="12">
        <v>5.6559918108198524</v>
      </c>
      <c r="C7" s="12">
        <v>5.7071102647488754</v>
      </c>
      <c r="D7" s="12">
        <v>5.7071102647488754</v>
      </c>
      <c r="E7" s="12">
        <v>5.8888779583328814</v>
      </c>
      <c r="F7" s="12">
        <v>6.0185932144962342</v>
      </c>
      <c r="G7" s="12">
        <v>6.2363695902037044</v>
      </c>
      <c r="H7" s="12">
        <v>6.1862086239004936</v>
      </c>
    </row>
    <row r="8" spans="1:13" x14ac:dyDescent="0.3">
      <c r="A8" s="22" t="s">
        <v>93</v>
      </c>
      <c r="B8" s="23"/>
      <c r="C8" s="23"/>
      <c r="D8" s="23"/>
      <c r="E8" s="23"/>
      <c r="F8" s="23"/>
      <c r="G8" s="23"/>
      <c r="H8" s="24"/>
      <c r="J8" s="25" t="s">
        <v>97</v>
      </c>
      <c r="K8" s="26"/>
      <c r="L8" s="26"/>
      <c r="M8" s="27"/>
    </row>
    <row r="9" spans="1:13" x14ac:dyDescent="0.3">
      <c r="A9" s="19" t="s">
        <v>95</v>
      </c>
      <c r="B9" s="19"/>
      <c r="C9" s="19"/>
      <c r="D9" s="19"/>
      <c r="E9" s="19"/>
      <c r="F9" s="19"/>
      <c r="G9" s="19"/>
      <c r="H9" s="19"/>
      <c r="J9" s="28"/>
      <c r="K9" s="29"/>
      <c r="L9" s="29"/>
      <c r="M9" s="30"/>
    </row>
    <row r="10" spans="1:13" x14ac:dyDescent="0.3">
      <c r="A10" s="11" t="s">
        <v>0</v>
      </c>
      <c r="B10" s="11" t="s">
        <v>1</v>
      </c>
      <c r="C10" s="11" t="s">
        <v>2</v>
      </c>
      <c r="D10" s="11" t="s">
        <v>3</v>
      </c>
      <c r="E10" s="11" t="s">
        <v>4</v>
      </c>
      <c r="F10" s="11" t="s">
        <v>5</v>
      </c>
      <c r="G10" s="11" t="s">
        <v>6</v>
      </c>
      <c r="H10" s="11" t="s">
        <v>7</v>
      </c>
      <c r="J10" s="28"/>
      <c r="K10" s="29"/>
      <c r="L10" s="29"/>
      <c r="M10" s="30"/>
    </row>
    <row r="11" spans="1:13" ht="15" thickBot="1" x14ac:dyDescent="0.35">
      <c r="A11" s="12" t="s">
        <v>9</v>
      </c>
      <c r="B11" s="12">
        <v>-0.40184980529788439</v>
      </c>
      <c r="C11" s="12">
        <v>0.6230404787077708</v>
      </c>
      <c r="D11" s="12">
        <v>1.183460018825766</v>
      </c>
      <c r="E11" s="12">
        <v>-0.55315642065102966</v>
      </c>
      <c r="F11" s="12">
        <v>0.48015993979965399</v>
      </c>
      <c r="G11" s="12">
        <v>0.48015993979965399</v>
      </c>
      <c r="H11" s="12">
        <v>-1.811814151183915</v>
      </c>
      <c r="J11" s="31"/>
      <c r="K11" s="32"/>
      <c r="L11" s="32"/>
      <c r="M11" s="33"/>
    </row>
    <row r="12" spans="1:13" x14ac:dyDescent="0.3">
      <c r="A12" s="12" t="s">
        <v>17</v>
      </c>
      <c r="B12" s="12">
        <v>0.33567522817958872</v>
      </c>
      <c r="C12" s="12">
        <v>0.38897717168558099</v>
      </c>
      <c r="D12" s="12">
        <v>1.4336241077315199</v>
      </c>
      <c r="E12" s="12">
        <v>0.1472768334774408</v>
      </c>
      <c r="F12" s="12">
        <v>0.1472768334774408</v>
      </c>
      <c r="G12" s="12">
        <v>-0.66553544115218055</v>
      </c>
      <c r="H12" s="12">
        <v>-1.7872947333993801</v>
      </c>
    </row>
    <row r="13" spans="1:13" x14ac:dyDescent="0.3">
      <c r="A13" s="12" t="s">
        <v>25</v>
      </c>
      <c r="B13" s="12">
        <v>1.363627314944285</v>
      </c>
      <c r="C13" s="12">
        <v>1.2000186883607411</v>
      </c>
      <c r="D13" s="12">
        <v>0.5119034549360586</v>
      </c>
      <c r="E13" s="12">
        <v>-0.63843660462037366</v>
      </c>
      <c r="F13" s="12">
        <v>-0.95229955268126987</v>
      </c>
      <c r="G13" s="12">
        <v>-0.63843660462037366</v>
      </c>
      <c r="H13" s="12">
        <v>-0.8463766963190823</v>
      </c>
    </row>
    <row r="14" spans="1:13" x14ac:dyDescent="0.3">
      <c r="A14" s="12" t="s">
        <v>29</v>
      </c>
      <c r="B14" s="12">
        <v>-1.0824030313233091</v>
      </c>
      <c r="C14" s="12">
        <v>-0.86821771590482111</v>
      </c>
      <c r="D14" s="12">
        <v>-0.86821771590482111</v>
      </c>
      <c r="E14" s="12">
        <v>-0.1066146588711025</v>
      </c>
      <c r="F14" s="12">
        <v>0.43688971030473728</v>
      </c>
      <c r="G14" s="12">
        <v>1.3493684364094951</v>
      </c>
      <c r="H14" s="12">
        <v>1.1391949752898209</v>
      </c>
    </row>
    <row r="16" spans="1:13" x14ac:dyDescent="0.3">
      <c r="A16" s="21" t="s">
        <v>94</v>
      </c>
      <c r="B16" s="21"/>
      <c r="C16" s="21"/>
      <c r="D16" s="21"/>
      <c r="E16" s="21"/>
      <c r="F16" s="21"/>
      <c r="G16" s="21"/>
      <c r="H16" s="21"/>
    </row>
    <row r="17" spans="1:8" ht="15" thickBot="1" x14ac:dyDescent="0.35">
      <c r="A17" s="19" t="s">
        <v>96</v>
      </c>
      <c r="B17" s="19"/>
      <c r="C17" s="19"/>
      <c r="D17" s="19"/>
      <c r="E17" s="19"/>
      <c r="F17" s="19"/>
      <c r="G17" s="19"/>
      <c r="H17" s="19"/>
    </row>
    <row r="18" spans="1:8" s="9" customFormat="1" ht="29.4" customHeight="1" thickBot="1" x14ac:dyDescent="0.35">
      <c r="A18" s="16" t="s">
        <v>86</v>
      </c>
      <c r="B18" s="17" t="s">
        <v>87</v>
      </c>
      <c r="C18" s="18" t="s">
        <v>88</v>
      </c>
      <c r="D18" s="18" t="s">
        <v>90</v>
      </c>
      <c r="E18" s="18" t="s">
        <v>91</v>
      </c>
    </row>
    <row r="19" spans="1:8" x14ac:dyDescent="0.3">
      <c r="A19" s="3">
        <v>2014</v>
      </c>
      <c r="B19" s="4" t="s">
        <v>9</v>
      </c>
      <c r="C19" s="13">
        <v>595</v>
      </c>
      <c r="D19" s="13">
        <f>LN(C19+1)</f>
        <v>6.39024066706535</v>
      </c>
      <c r="E19" s="13">
        <f t="shared" ref="E19:E25" si="0">(D19-AVERAGE($D$19:$D$25))/_xlfn.STDEV.S($D$19:$D$25)</f>
        <v>-0.40184980529788444</v>
      </c>
    </row>
    <row r="20" spans="1:8" x14ac:dyDescent="0.3">
      <c r="A20" s="5">
        <v>2015</v>
      </c>
      <c r="B20" s="6" t="s">
        <v>9</v>
      </c>
      <c r="C20" s="14">
        <v>630</v>
      </c>
      <c r="D20" s="14">
        <f t="shared" ref="D20:D46" si="1">LN(C20+1)</f>
        <v>6.4473058625412127</v>
      </c>
      <c r="E20" s="14">
        <f t="shared" si="0"/>
        <v>0.62304047870777091</v>
      </c>
    </row>
    <row r="21" spans="1:8" x14ac:dyDescent="0.3">
      <c r="A21" s="5">
        <v>2016</v>
      </c>
      <c r="B21" s="6" t="s">
        <v>9</v>
      </c>
      <c r="C21" s="14">
        <v>650</v>
      </c>
      <c r="D21" s="14">
        <f t="shared" si="1"/>
        <v>6.4785096422085688</v>
      </c>
      <c r="E21" s="14">
        <f t="shared" si="0"/>
        <v>1.1834600188257658</v>
      </c>
    </row>
    <row r="22" spans="1:8" x14ac:dyDescent="0.3">
      <c r="A22" s="5">
        <v>2017</v>
      </c>
      <c r="B22" s="6" t="s">
        <v>9</v>
      </c>
      <c r="C22" s="14">
        <v>590</v>
      </c>
      <c r="D22" s="14">
        <f t="shared" si="1"/>
        <v>6.3818160174060985</v>
      </c>
      <c r="E22" s="14">
        <f t="shared" si="0"/>
        <v>-0.55315642065102977</v>
      </c>
    </row>
    <row r="23" spans="1:8" x14ac:dyDescent="0.3">
      <c r="A23" s="5">
        <v>2018</v>
      </c>
      <c r="B23" s="6" t="s">
        <v>9</v>
      </c>
      <c r="C23" s="14">
        <v>625</v>
      </c>
      <c r="D23" s="14">
        <f t="shared" si="1"/>
        <v>6.4393503711000983</v>
      </c>
      <c r="E23" s="14">
        <f t="shared" si="0"/>
        <v>0.48015993979965405</v>
      </c>
    </row>
    <row r="24" spans="1:8" x14ac:dyDescent="0.3">
      <c r="A24" s="5">
        <v>2019</v>
      </c>
      <c r="B24" s="6" t="s">
        <v>9</v>
      </c>
      <c r="C24" s="14">
        <v>625</v>
      </c>
      <c r="D24" s="14">
        <f t="shared" si="1"/>
        <v>6.4393503711000983</v>
      </c>
      <c r="E24" s="14">
        <f t="shared" si="0"/>
        <v>0.48015993979965405</v>
      </c>
    </row>
    <row r="25" spans="1:8" ht="15" thickBot="1" x14ac:dyDescent="0.35">
      <c r="A25" s="7">
        <v>2020</v>
      </c>
      <c r="B25" s="8" t="s">
        <v>9</v>
      </c>
      <c r="C25" s="15">
        <v>550</v>
      </c>
      <c r="D25" s="15">
        <f t="shared" si="1"/>
        <v>6.3117348091529148</v>
      </c>
      <c r="E25" s="15">
        <f t="shared" si="0"/>
        <v>-1.8118141511839148</v>
      </c>
    </row>
    <row r="26" spans="1:8" x14ac:dyDescent="0.3">
      <c r="A26" s="3">
        <v>2014</v>
      </c>
      <c r="B26" s="4" t="s">
        <v>17</v>
      </c>
      <c r="C26" s="13">
        <v>2300</v>
      </c>
      <c r="D26" s="13">
        <f t="shared" si="1"/>
        <v>7.741099090035366</v>
      </c>
      <c r="E26" s="13">
        <f t="shared" ref="E26:E32" si="2">(D26-AVERAGE($D$26:$D$32))/_xlfn.STDEV.S($D$26:$D$32)</f>
        <v>0.33567522817958867</v>
      </c>
    </row>
    <row r="27" spans="1:8" x14ac:dyDescent="0.3">
      <c r="A27" s="5">
        <v>2015</v>
      </c>
      <c r="B27" s="6" t="s">
        <v>17</v>
      </c>
      <c r="C27" s="14">
        <v>2310</v>
      </c>
      <c r="D27" s="14">
        <f t="shared" si="1"/>
        <v>7.7454356102743809</v>
      </c>
      <c r="E27" s="14">
        <f t="shared" si="2"/>
        <v>0.38897717168558105</v>
      </c>
    </row>
    <row r="28" spans="1:8" x14ac:dyDescent="0.3">
      <c r="A28" s="5">
        <v>2016</v>
      </c>
      <c r="B28" s="6" t="s">
        <v>17</v>
      </c>
      <c r="C28" s="14">
        <v>2515</v>
      </c>
      <c r="D28" s="14">
        <f t="shared" si="1"/>
        <v>7.8304256178203309</v>
      </c>
      <c r="E28" s="14">
        <f t="shared" si="2"/>
        <v>1.4336241077315199</v>
      </c>
    </row>
    <row r="29" spans="1:8" x14ac:dyDescent="0.3">
      <c r="A29" s="5">
        <v>2017</v>
      </c>
      <c r="B29" s="6" t="s">
        <v>17</v>
      </c>
      <c r="C29" s="14">
        <v>2265</v>
      </c>
      <c r="D29" s="14">
        <f t="shared" si="1"/>
        <v>7.7257714415879519</v>
      </c>
      <c r="E29" s="14">
        <f t="shared" si="2"/>
        <v>0.14727683347744083</v>
      </c>
    </row>
    <row r="30" spans="1:8" x14ac:dyDescent="0.3">
      <c r="A30" s="5">
        <v>2018</v>
      </c>
      <c r="B30" s="6" t="s">
        <v>17</v>
      </c>
      <c r="C30" s="14">
        <v>2265</v>
      </c>
      <c r="D30" s="14">
        <f t="shared" si="1"/>
        <v>7.7257714415879519</v>
      </c>
      <c r="E30" s="14">
        <f t="shared" si="2"/>
        <v>0.14727683347744083</v>
      </c>
    </row>
    <row r="31" spans="1:8" x14ac:dyDescent="0.3">
      <c r="A31" s="5">
        <v>2019</v>
      </c>
      <c r="B31" s="6" t="s">
        <v>17</v>
      </c>
      <c r="C31" s="14">
        <v>2120</v>
      </c>
      <c r="D31" s="14">
        <f t="shared" si="1"/>
        <v>7.6596429545646822</v>
      </c>
      <c r="E31" s="14">
        <f t="shared" si="2"/>
        <v>-0.66553544115218055</v>
      </c>
    </row>
    <row r="32" spans="1:8" ht="15" thickBot="1" x14ac:dyDescent="0.35">
      <c r="A32" s="7">
        <v>2020</v>
      </c>
      <c r="B32" s="8" t="s">
        <v>17</v>
      </c>
      <c r="C32" s="15">
        <v>1935</v>
      </c>
      <c r="D32" s="15">
        <f t="shared" si="1"/>
        <v>7.568379267836522</v>
      </c>
      <c r="E32" s="15">
        <f t="shared" si="2"/>
        <v>-1.7872947333993798</v>
      </c>
    </row>
    <row r="33" spans="1:5" x14ac:dyDescent="0.3">
      <c r="A33" s="3">
        <v>2014</v>
      </c>
      <c r="B33" s="4" t="s">
        <v>25</v>
      </c>
      <c r="C33" s="13">
        <v>520</v>
      </c>
      <c r="D33" s="13">
        <f t="shared" si="1"/>
        <v>6.2557500417533669</v>
      </c>
      <c r="E33" s="13">
        <f>(D33-AVERAGE($D$33:$D$39))/_xlfn.STDEV.S($D$33:$D$39)</f>
        <v>1.3636273149442923</v>
      </c>
    </row>
    <row r="34" spans="1:5" x14ac:dyDescent="0.3">
      <c r="A34" s="5">
        <v>2015</v>
      </c>
      <c r="B34" s="6" t="s">
        <v>25</v>
      </c>
      <c r="C34" s="14">
        <v>510</v>
      </c>
      <c r="D34" s="14">
        <f t="shared" si="1"/>
        <v>6.2363695902037044</v>
      </c>
      <c r="E34" s="14">
        <f t="shared" ref="E34:E39" si="3">(D34-AVERAGE($D$33:$D$39))/_xlfn.STDEV.S($D$33:$D$39)</f>
        <v>1.2000186883607484</v>
      </c>
    </row>
    <row r="35" spans="1:5" x14ac:dyDescent="0.3">
      <c r="A35" s="5">
        <v>2016</v>
      </c>
      <c r="B35" s="6" t="s">
        <v>25</v>
      </c>
      <c r="C35" s="14">
        <v>470</v>
      </c>
      <c r="D35" s="14">
        <f t="shared" si="1"/>
        <v>6.1548580940164177</v>
      </c>
      <c r="E35" s="14">
        <f t="shared" si="3"/>
        <v>0.51190345493606604</v>
      </c>
    </row>
    <row r="36" spans="1:5" x14ac:dyDescent="0.3">
      <c r="A36" s="5">
        <v>2017</v>
      </c>
      <c r="B36" s="6" t="s">
        <v>25</v>
      </c>
      <c r="C36" s="14">
        <v>410</v>
      </c>
      <c r="D36" s="14">
        <f t="shared" si="1"/>
        <v>6.0185932144962342</v>
      </c>
      <c r="E36" s="14">
        <f t="shared" si="3"/>
        <v>-0.63843660462036611</v>
      </c>
    </row>
    <row r="37" spans="1:5" x14ac:dyDescent="0.3">
      <c r="A37" s="5">
        <v>2018</v>
      </c>
      <c r="B37" s="6" t="s">
        <v>25</v>
      </c>
      <c r="C37" s="14">
        <v>395</v>
      </c>
      <c r="D37" s="14">
        <f t="shared" si="1"/>
        <v>5.9814142112544806</v>
      </c>
      <c r="E37" s="14">
        <f t="shared" si="3"/>
        <v>-0.95229955268126232</v>
      </c>
    </row>
    <row r="38" spans="1:5" x14ac:dyDescent="0.3">
      <c r="A38" s="5">
        <v>2019</v>
      </c>
      <c r="B38" s="6" t="s">
        <v>25</v>
      </c>
      <c r="C38" s="14">
        <v>410</v>
      </c>
      <c r="D38" s="14">
        <f t="shared" si="1"/>
        <v>6.0185932144962342</v>
      </c>
      <c r="E38" s="14">
        <f t="shared" si="3"/>
        <v>-0.63843660462036611</v>
      </c>
    </row>
    <row r="39" spans="1:5" ht="15" thickBot="1" x14ac:dyDescent="0.35">
      <c r="A39" s="7">
        <v>2020</v>
      </c>
      <c r="B39" s="8" t="s">
        <v>25</v>
      </c>
      <c r="C39" s="15">
        <v>400</v>
      </c>
      <c r="D39" s="15">
        <f t="shared" si="1"/>
        <v>5.9939614273065693</v>
      </c>
      <c r="E39" s="15">
        <f t="shared" si="3"/>
        <v>-0.84637669631907475</v>
      </c>
    </row>
    <row r="40" spans="1:5" x14ac:dyDescent="0.3">
      <c r="A40" s="3">
        <v>2014</v>
      </c>
      <c r="B40" s="4" t="s">
        <v>29</v>
      </c>
      <c r="C40" s="13">
        <v>285</v>
      </c>
      <c r="D40" s="13">
        <f t="shared" si="1"/>
        <v>5.6559918108198524</v>
      </c>
      <c r="E40" s="13">
        <f>(D40-AVERAGE($D$40:$D$46))/_xlfn.STDEV.S($D$40:$D$46)</f>
        <v>-1.0824030313233093</v>
      </c>
    </row>
    <row r="41" spans="1:5" x14ac:dyDescent="0.3">
      <c r="A41" s="5">
        <v>2015</v>
      </c>
      <c r="B41" s="6" t="s">
        <v>29</v>
      </c>
      <c r="C41" s="14">
        <v>300</v>
      </c>
      <c r="D41" s="14">
        <f t="shared" si="1"/>
        <v>5.7071102647488754</v>
      </c>
      <c r="E41" s="14">
        <f t="shared" ref="E41:E46" si="4">(D41-AVERAGE($D$40:$D$46))/_xlfn.STDEV.S($D$40:$D$46)</f>
        <v>-0.86821771590482111</v>
      </c>
    </row>
    <row r="42" spans="1:5" x14ac:dyDescent="0.3">
      <c r="A42" s="5">
        <v>2016</v>
      </c>
      <c r="B42" s="6" t="s">
        <v>29</v>
      </c>
      <c r="C42" s="14">
        <v>300</v>
      </c>
      <c r="D42" s="14">
        <f t="shared" si="1"/>
        <v>5.7071102647488754</v>
      </c>
      <c r="E42" s="14">
        <f t="shared" si="4"/>
        <v>-0.86821771590482111</v>
      </c>
    </row>
    <row r="43" spans="1:5" x14ac:dyDescent="0.3">
      <c r="A43" s="5">
        <v>2017</v>
      </c>
      <c r="B43" s="6" t="s">
        <v>29</v>
      </c>
      <c r="C43" s="14">
        <v>360</v>
      </c>
      <c r="D43" s="14">
        <f t="shared" si="1"/>
        <v>5.8888779583328805</v>
      </c>
      <c r="E43" s="14">
        <f t="shared" si="4"/>
        <v>-0.10661465887110251</v>
      </c>
    </row>
    <row r="44" spans="1:5" x14ac:dyDescent="0.3">
      <c r="A44" s="5">
        <v>2018</v>
      </c>
      <c r="B44" s="6" t="s">
        <v>29</v>
      </c>
      <c r="C44" s="14">
        <v>410</v>
      </c>
      <c r="D44" s="14">
        <f t="shared" si="1"/>
        <v>6.0185932144962342</v>
      </c>
      <c r="E44" s="14">
        <f t="shared" si="4"/>
        <v>0.43688971030473733</v>
      </c>
    </row>
    <row r="45" spans="1:5" x14ac:dyDescent="0.3">
      <c r="A45" s="5">
        <v>2019</v>
      </c>
      <c r="B45" s="6" t="s">
        <v>29</v>
      </c>
      <c r="C45" s="14">
        <v>510</v>
      </c>
      <c r="D45" s="14">
        <f t="shared" si="1"/>
        <v>6.2363695902037044</v>
      </c>
      <c r="E45" s="14">
        <f t="shared" si="4"/>
        <v>1.3493684364094951</v>
      </c>
    </row>
    <row r="46" spans="1:5" ht="15" thickBot="1" x14ac:dyDescent="0.35">
      <c r="A46" s="7">
        <v>2020</v>
      </c>
      <c r="B46" s="8" t="s">
        <v>29</v>
      </c>
      <c r="C46" s="15">
        <v>485</v>
      </c>
      <c r="D46" s="15">
        <f t="shared" si="1"/>
        <v>6.1862086239004936</v>
      </c>
      <c r="E46" s="15">
        <f t="shared" si="4"/>
        <v>1.1391949752898214</v>
      </c>
    </row>
  </sheetData>
  <mergeCells count="5">
    <mergeCell ref="J3:M6"/>
    <mergeCell ref="A1:H1"/>
    <mergeCell ref="A8:H8"/>
    <mergeCell ref="A16:H16"/>
    <mergeCell ref="J8:M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logtraj</vt:lpstr>
      <vt:lpstr>traj_scaled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Stoycho Rusinov</cp:lastModifiedBy>
  <dcterms:created xsi:type="dcterms:W3CDTF">2026-06-20T11:50:50Z</dcterms:created>
  <dcterms:modified xsi:type="dcterms:W3CDTF">2026-06-20T20:32:36Z</dcterms:modified>
</cp:coreProperties>
</file>