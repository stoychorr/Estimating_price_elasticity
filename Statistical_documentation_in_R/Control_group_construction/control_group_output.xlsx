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oycho.rusinov\Documents\GitHub\Estimating_price_elasticity\Statistical_documentation_in_R\Control_group_construction\"/>
    </mc:Choice>
  </mc:AlternateContent>
  <xr:revisionPtr revIDLastSave="0" documentId="13_ncr:1_{A62F9CD4-9D50-44D7-A14E-D29733566934}" xr6:coauthVersionLast="36" xr6:coauthVersionMax="36" xr10:uidLastSave="{00000000-0000-0000-0000-000000000000}"/>
  <bookViews>
    <workbookView xWindow="240" yWindow="12" windowWidth="16092" windowHeight="9660" xr2:uid="{00000000-000D-0000-FFFF-FFFF00000000}"/>
  </bookViews>
  <sheets>
    <sheet name="donor_pool" sheetId="1" r:id="rId1"/>
    <sheet name="weights" sheetId="2" r:id="rId2"/>
  </sheets>
  <calcPr calcId="191029"/>
</workbook>
</file>

<file path=xl/calcChain.xml><?xml version="1.0" encoding="utf-8"?>
<calcChain xmlns="http://schemas.openxmlformats.org/spreadsheetml/2006/main">
  <c r="L4" i="1" l="1"/>
  <c r="L2" i="1"/>
  <c r="F2" i="2"/>
</calcChain>
</file>

<file path=xl/sharedStrings.xml><?xml version="1.0" encoding="utf-8"?>
<sst xmlns="http://schemas.openxmlformats.org/spreadsheetml/2006/main" count="203" uniqueCount="73">
  <si>
    <t>EU_country</t>
  </si>
  <si>
    <t>donor_rank</t>
  </si>
  <si>
    <t>donor</t>
  </si>
  <si>
    <t>distance</t>
  </si>
  <si>
    <t>synth_weight</t>
  </si>
  <si>
    <t>rmspe</t>
  </si>
  <si>
    <t>Austria</t>
  </si>
  <si>
    <t>Dominica</t>
  </si>
  <si>
    <t>Trinidad and Tobago</t>
  </si>
  <si>
    <t>Yemen</t>
  </si>
  <si>
    <t>Belgium</t>
  </si>
  <si>
    <t>South Sudan</t>
  </si>
  <si>
    <t>St Lucia</t>
  </si>
  <si>
    <t>Bulgaria</t>
  </si>
  <si>
    <t>Colombia</t>
  </si>
  <si>
    <t>Angola</t>
  </si>
  <si>
    <t>Croatia</t>
  </si>
  <si>
    <t>Korea, Republic of</t>
  </si>
  <si>
    <t>Tunisia</t>
  </si>
  <si>
    <t>Switzerland</t>
  </si>
  <si>
    <t>Cyprus (European Union)</t>
  </si>
  <si>
    <t>Russian Federation</t>
  </si>
  <si>
    <t>Malaysia</t>
  </si>
  <si>
    <t>Montenegro</t>
  </si>
  <si>
    <t>Czech Republic</t>
  </si>
  <si>
    <t>Panama</t>
  </si>
  <si>
    <t>Denmark</t>
  </si>
  <si>
    <t>New Zealand</t>
  </si>
  <si>
    <t>Lesotho</t>
  </si>
  <si>
    <t>Lao PDR</t>
  </si>
  <si>
    <t>Estonia</t>
  </si>
  <si>
    <t>Ireland</t>
  </si>
  <si>
    <t>Finland</t>
  </si>
  <si>
    <t>France</t>
  </si>
  <si>
    <t>Egypt</t>
  </si>
  <si>
    <t>Germany</t>
  </si>
  <si>
    <t>Greece</t>
  </si>
  <si>
    <t>Mauritius</t>
  </si>
  <si>
    <t>Venezuela (Bolivarian Republic of)</t>
  </si>
  <si>
    <t>Hungary</t>
  </si>
  <si>
    <t>Peru</t>
  </si>
  <si>
    <t>Algeria</t>
  </si>
  <si>
    <t>United States of America</t>
  </si>
  <si>
    <t>Italy</t>
  </si>
  <si>
    <t>Guatemala</t>
  </si>
  <si>
    <t>Latvia</t>
  </si>
  <si>
    <t>Lebanon</t>
  </si>
  <si>
    <t>Zimbabwe</t>
  </si>
  <si>
    <t>Lithuania</t>
  </si>
  <si>
    <t>Uruguay</t>
  </si>
  <si>
    <t>Iran, Islamic Republic of</t>
  </si>
  <si>
    <t>Luxembourg</t>
  </si>
  <si>
    <t>Eritrea</t>
  </si>
  <si>
    <t>Malta</t>
  </si>
  <si>
    <t>Mexico</t>
  </si>
  <si>
    <t>Burma (Myanmar)</t>
  </si>
  <si>
    <t>Netherlands</t>
  </si>
  <si>
    <t>Seychelles</t>
  </si>
  <si>
    <t>Poland</t>
  </si>
  <si>
    <t>Portugal</t>
  </si>
  <si>
    <t>Indonesia</t>
  </si>
  <si>
    <t>Romania</t>
  </si>
  <si>
    <t>Botswana</t>
  </si>
  <si>
    <t>Mozambique</t>
  </si>
  <si>
    <t>Slovakia</t>
  </si>
  <si>
    <t>Slovenia</t>
  </si>
  <si>
    <t>Bahamas</t>
  </si>
  <si>
    <t>Spain</t>
  </si>
  <si>
    <t>Sweden</t>
  </si>
  <si>
    <t>donor_country</t>
  </si>
  <si>
    <t>global_weight</t>
  </si>
  <si>
    <t>normalized_weight</t>
  </si>
  <si>
    <t>regression_weight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</si>
</sst>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7" formatCode="0.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5" formatCode="0.0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003EB0-9C44-40E7-ADAA-E05134DC02FF}" name="Table1" displayName="Table1" ref="A1:F79" totalsRowShown="0" headerRowDxfId="0">
  <autoFilter ref="A1:F79" xr:uid="{DA4D35D1-855F-4E04-AB70-F0F4E2C4EC50}"/>
  <tableColumns count="6">
    <tableColumn id="1" xr3:uid="{CCF8EBCC-3010-428C-B37F-A77FA05A80AB}" name="EU_country"/>
    <tableColumn id="2" xr3:uid="{86DB9034-9540-40DF-B4E5-2B5D3F2E0947}" name="donor_rank"/>
    <tableColumn id="3" xr3:uid="{0F20D7F1-BD22-4256-B082-D94BC035483A}" name="donor"/>
    <tableColumn id="4" xr3:uid="{ED02FD61-4790-4E3F-8F2F-0FC2E8684EB1}" name="distance"/>
    <tableColumn id="5" xr3:uid="{CCD2F864-4C4B-45CE-986B-6B0F7B1717BD}" name="synth_weight" dataDxfId="1"/>
    <tableColumn id="6" xr3:uid="{F389C37E-5AC4-44FF-B6F5-7FB20969478E}" name="rmsp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9"/>
  <sheetViews>
    <sheetView tabSelected="1" zoomScale="70" workbookViewId="0">
      <selection activeCell="B12" sqref="B12"/>
    </sheetView>
  </sheetViews>
  <sheetFormatPr defaultRowHeight="14.4" x14ac:dyDescent="0.3"/>
  <cols>
    <col min="1" max="2" width="12.77734375" customWidth="1"/>
    <col min="3" max="3" width="18" customWidth="1"/>
    <col min="4" max="4" width="9.88671875" customWidth="1"/>
    <col min="5" max="5" width="18.6640625" style="5" customWidth="1"/>
    <col min="6" max="6" width="13.109375" customWidth="1"/>
  </cols>
  <sheetData>
    <row r="1" spans="1:1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4" t="s">
        <v>4</v>
      </c>
      <c r="F1" s="1" t="s">
        <v>5</v>
      </c>
    </row>
    <row r="2" spans="1:12" x14ac:dyDescent="0.3">
      <c r="A2" t="s">
        <v>6</v>
      </c>
      <c r="B2">
        <v>1</v>
      </c>
      <c r="C2" t="s">
        <v>7</v>
      </c>
      <c r="D2">
        <v>1.5187182737379521</v>
      </c>
      <c r="E2" s="5">
        <v>6.3258227075876619E-11</v>
      </c>
      <c r="F2">
        <v>1.149718315004282</v>
      </c>
      <c r="L2" s="5">
        <f>SUM(E2:E79)</f>
        <v>25.999999999999989</v>
      </c>
    </row>
    <row r="3" spans="1:12" x14ac:dyDescent="0.3">
      <c r="A3" t="s">
        <v>6</v>
      </c>
      <c r="B3">
        <v>2</v>
      </c>
      <c r="C3" t="s">
        <v>8</v>
      </c>
      <c r="D3">
        <v>1.5201323986969979</v>
      </c>
      <c r="E3" s="6">
        <v>0.99999999963449226</v>
      </c>
      <c r="F3">
        <v>1.149718315004282</v>
      </c>
    </row>
    <row r="4" spans="1:12" x14ac:dyDescent="0.3">
      <c r="A4" t="s">
        <v>6</v>
      </c>
      <c r="B4">
        <v>3</v>
      </c>
      <c r="C4" t="s">
        <v>9</v>
      </c>
      <c r="D4">
        <v>1.6898934397847869</v>
      </c>
      <c r="E4" s="5">
        <v>3.022495719971637E-10</v>
      </c>
      <c r="F4">
        <v>1.149718315004282</v>
      </c>
      <c r="L4">
        <f>4/26</f>
        <v>0.15384615384615385</v>
      </c>
    </row>
    <row r="5" spans="1:12" x14ac:dyDescent="0.3">
      <c r="A5" t="s">
        <v>10</v>
      </c>
      <c r="B5">
        <v>1</v>
      </c>
      <c r="C5" t="s">
        <v>11</v>
      </c>
      <c r="D5">
        <v>0.74896260578724061</v>
      </c>
      <c r="E5" s="5">
        <v>2.8579181426896582E-10</v>
      </c>
      <c r="F5">
        <v>1.7231366093716729</v>
      </c>
    </row>
    <row r="6" spans="1:12" x14ac:dyDescent="0.3">
      <c r="A6" t="s">
        <v>10</v>
      </c>
      <c r="B6">
        <v>2</v>
      </c>
      <c r="C6" t="s">
        <v>8</v>
      </c>
      <c r="D6">
        <v>1.454306935496537</v>
      </c>
      <c r="E6" s="6">
        <v>0.9999999623254614</v>
      </c>
      <c r="F6">
        <v>1.7231366093716729</v>
      </c>
    </row>
    <row r="7" spans="1:12" x14ac:dyDescent="0.3">
      <c r="A7" t="s">
        <v>10</v>
      </c>
      <c r="B7">
        <v>3</v>
      </c>
      <c r="C7" t="s">
        <v>12</v>
      </c>
      <c r="D7">
        <v>1.535241214029287</v>
      </c>
      <c r="E7" s="5">
        <v>3.7388746930803258E-8</v>
      </c>
      <c r="F7">
        <v>1.7231366093716729</v>
      </c>
    </row>
    <row r="8" spans="1:12" x14ac:dyDescent="0.3">
      <c r="A8" t="s">
        <v>13</v>
      </c>
      <c r="B8">
        <v>1</v>
      </c>
      <c r="C8" t="s">
        <v>14</v>
      </c>
      <c r="D8">
        <v>1.1003699455084379</v>
      </c>
      <c r="E8" s="5">
        <v>3.2754497539209078E-7</v>
      </c>
      <c r="F8">
        <v>3.0031983163643381</v>
      </c>
    </row>
    <row r="9" spans="1:12" x14ac:dyDescent="0.3">
      <c r="A9" t="s">
        <v>13</v>
      </c>
      <c r="B9">
        <v>2</v>
      </c>
      <c r="C9" t="s">
        <v>12</v>
      </c>
      <c r="D9">
        <v>1.4764143428058869</v>
      </c>
      <c r="E9" s="5">
        <v>4.0620291397907289E-11</v>
      </c>
      <c r="F9">
        <v>3.0031983163643381</v>
      </c>
    </row>
    <row r="10" spans="1:12" x14ac:dyDescent="0.3">
      <c r="A10" t="s">
        <v>13</v>
      </c>
      <c r="B10">
        <v>3</v>
      </c>
      <c r="C10" t="s">
        <v>15</v>
      </c>
      <c r="D10">
        <v>1.556176735995302</v>
      </c>
      <c r="E10" s="5">
        <v>0.99999967241440435</v>
      </c>
      <c r="F10">
        <v>3.0031983163643381</v>
      </c>
    </row>
    <row r="11" spans="1:12" x14ac:dyDescent="0.3">
      <c r="A11" t="s">
        <v>16</v>
      </c>
      <c r="B11">
        <v>1</v>
      </c>
      <c r="C11" t="s">
        <v>17</v>
      </c>
      <c r="D11">
        <v>0.78556761100698713</v>
      </c>
      <c r="E11" s="5">
        <v>0.48191113974224542</v>
      </c>
      <c r="F11">
        <v>0.15101786987536131</v>
      </c>
    </row>
    <row r="12" spans="1:12" x14ac:dyDescent="0.3">
      <c r="A12" t="s">
        <v>16</v>
      </c>
      <c r="B12">
        <v>2</v>
      </c>
      <c r="C12" t="s">
        <v>18</v>
      </c>
      <c r="D12">
        <v>0.90117395699057945</v>
      </c>
      <c r="E12" s="5">
        <v>0.51808870837731336</v>
      </c>
      <c r="F12">
        <v>0.15101786987536131</v>
      </c>
    </row>
    <row r="13" spans="1:12" x14ac:dyDescent="0.3">
      <c r="A13" t="s">
        <v>16</v>
      </c>
      <c r="B13">
        <v>3</v>
      </c>
      <c r="C13" t="s">
        <v>19</v>
      </c>
      <c r="D13">
        <v>0.91899781770672062</v>
      </c>
      <c r="E13" s="5">
        <v>1.5188044112457829E-7</v>
      </c>
      <c r="F13">
        <v>0.15101786987536131</v>
      </c>
    </row>
    <row r="14" spans="1:12" x14ac:dyDescent="0.3">
      <c r="A14" t="s">
        <v>20</v>
      </c>
      <c r="B14">
        <v>1</v>
      </c>
      <c r="C14" t="s">
        <v>21</v>
      </c>
      <c r="D14">
        <v>1.322443440920442</v>
      </c>
      <c r="E14" s="5">
        <v>2.8922721083251071E-8</v>
      </c>
      <c r="F14">
        <v>0.1060476010653757</v>
      </c>
    </row>
    <row r="15" spans="1:12" x14ac:dyDescent="0.3">
      <c r="A15" t="s">
        <v>20</v>
      </c>
      <c r="B15">
        <v>2</v>
      </c>
      <c r="C15" t="s">
        <v>22</v>
      </c>
      <c r="D15">
        <v>1.3264343933885541</v>
      </c>
      <c r="E15" s="5">
        <v>0.90270439083223519</v>
      </c>
      <c r="F15">
        <v>0.1060476010653757</v>
      </c>
    </row>
    <row r="16" spans="1:12" x14ac:dyDescent="0.3">
      <c r="A16" t="s">
        <v>20</v>
      </c>
      <c r="B16">
        <v>3</v>
      </c>
      <c r="C16" t="s">
        <v>23</v>
      </c>
      <c r="D16">
        <v>1.329225342754127</v>
      </c>
      <c r="E16" s="5">
        <v>9.7295580245043825E-2</v>
      </c>
      <c r="F16">
        <v>0.1060476010653757</v>
      </c>
    </row>
    <row r="17" spans="1:6" x14ac:dyDescent="0.3">
      <c r="A17" t="s">
        <v>24</v>
      </c>
      <c r="B17">
        <v>1</v>
      </c>
      <c r="C17" t="s">
        <v>17</v>
      </c>
      <c r="D17">
        <v>0.71480107750477195</v>
      </c>
      <c r="E17" s="5">
        <v>0.88126996501823562</v>
      </c>
      <c r="F17">
        <v>0.13844862108998021</v>
      </c>
    </row>
    <row r="18" spans="1:6" x14ac:dyDescent="0.3">
      <c r="A18" t="s">
        <v>24</v>
      </c>
      <c r="B18">
        <v>2</v>
      </c>
      <c r="C18" t="s">
        <v>18</v>
      </c>
      <c r="D18">
        <v>0.83850823211513692</v>
      </c>
      <c r="E18" s="5">
        <v>3.7479632761687872E-10</v>
      </c>
      <c r="F18">
        <v>0.13844862108998021</v>
      </c>
    </row>
    <row r="19" spans="1:6" x14ac:dyDescent="0.3">
      <c r="A19" t="s">
        <v>24</v>
      </c>
      <c r="B19">
        <v>3</v>
      </c>
      <c r="C19" t="s">
        <v>25</v>
      </c>
      <c r="D19">
        <v>0.92756075554596873</v>
      </c>
      <c r="E19" s="5">
        <v>0.1187300346069681</v>
      </c>
      <c r="F19">
        <v>0.13844862108998021</v>
      </c>
    </row>
    <row r="20" spans="1:6" x14ac:dyDescent="0.3">
      <c r="A20" t="s">
        <v>26</v>
      </c>
      <c r="B20">
        <v>1</v>
      </c>
      <c r="C20" t="s">
        <v>27</v>
      </c>
      <c r="D20">
        <v>1.313773130643523</v>
      </c>
      <c r="E20" s="5">
        <v>0.99999999243649984</v>
      </c>
      <c r="F20">
        <v>0.97946357678301288</v>
      </c>
    </row>
    <row r="21" spans="1:6" x14ac:dyDescent="0.3">
      <c r="A21" t="s">
        <v>26</v>
      </c>
      <c r="B21">
        <v>2</v>
      </c>
      <c r="C21" t="s">
        <v>28</v>
      </c>
      <c r="D21">
        <v>1.481550221378694</v>
      </c>
      <c r="E21" s="5">
        <v>2.5818007910915091E-10</v>
      </c>
      <c r="F21">
        <v>0.97946357678301288</v>
      </c>
    </row>
    <row r="22" spans="1:6" x14ac:dyDescent="0.3">
      <c r="A22" t="s">
        <v>26</v>
      </c>
      <c r="B22">
        <v>3</v>
      </c>
      <c r="C22" t="s">
        <v>29</v>
      </c>
      <c r="D22">
        <v>1.886378943720308</v>
      </c>
      <c r="E22" s="5">
        <v>7.3053200495843576E-9</v>
      </c>
      <c r="F22">
        <v>0.97946357678301288</v>
      </c>
    </row>
    <row r="23" spans="1:6" x14ac:dyDescent="0.3">
      <c r="A23" t="s">
        <v>30</v>
      </c>
      <c r="B23">
        <v>1</v>
      </c>
      <c r="C23" t="s">
        <v>31</v>
      </c>
      <c r="D23">
        <v>0.40515867686517359</v>
      </c>
      <c r="E23" s="5">
        <v>1.5650705155873499E-9</v>
      </c>
      <c r="F23">
        <v>0.82225884424831963</v>
      </c>
    </row>
    <row r="24" spans="1:6" x14ac:dyDescent="0.3">
      <c r="A24" t="s">
        <v>30</v>
      </c>
      <c r="B24">
        <v>2</v>
      </c>
      <c r="C24" t="s">
        <v>22</v>
      </c>
      <c r="D24">
        <v>0.64096277571583637</v>
      </c>
      <c r="E24" s="5">
        <v>2.8177492279081748E-10</v>
      </c>
      <c r="F24">
        <v>0.82225884424831963</v>
      </c>
    </row>
    <row r="25" spans="1:6" x14ac:dyDescent="0.3">
      <c r="A25" t="s">
        <v>30</v>
      </c>
      <c r="B25">
        <v>3</v>
      </c>
      <c r="C25" t="s">
        <v>21</v>
      </c>
      <c r="D25">
        <v>0.83151090125850191</v>
      </c>
      <c r="E25" s="5">
        <v>0.99999999815315466</v>
      </c>
      <c r="F25">
        <v>0.82225884424831963</v>
      </c>
    </row>
    <row r="26" spans="1:6" x14ac:dyDescent="0.3">
      <c r="A26" t="s">
        <v>32</v>
      </c>
      <c r="B26">
        <v>1</v>
      </c>
      <c r="C26" t="s">
        <v>15</v>
      </c>
      <c r="D26">
        <v>0.94873972804546014</v>
      </c>
      <c r="E26" s="5">
        <v>1.6140990600427061E-9</v>
      </c>
      <c r="F26">
        <v>0.11130921737337091</v>
      </c>
    </row>
    <row r="27" spans="1:6" x14ac:dyDescent="0.3">
      <c r="A27" t="s">
        <v>32</v>
      </c>
      <c r="B27">
        <v>2</v>
      </c>
      <c r="C27" t="s">
        <v>12</v>
      </c>
      <c r="D27">
        <v>1.051910590466971</v>
      </c>
      <c r="E27" s="5">
        <v>0.35577388614655941</v>
      </c>
      <c r="F27">
        <v>0.11130921737337091</v>
      </c>
    </row>
    <row r="28" spans="1:6" x14ac:dyDescent="0.3">
      <c r="A28" t="s">
        <v>32</v>
      </c>
      <c r="B28">
        <v>3</v>
      </c>
      <c r="C28" t="s">
        <v>22</v>
      </c>
      <c r="D28">
        <v>1.3533316400776481</v>
      </c>
      <c r="E28" s="5">
        <v>0.64422611223934168</v>
      </c>
      <c r="F28">
        <v>0.11130921737337091</v>
      </c>
    </row>
    <row r="29" spans="1:6" x14ac:dyDescent="0.3">
      <c r="A29" t="s">
        <v>33</v>
      </c>
      <c r="B29">
        <v>1</v>
      </c>
      <c r="C29" t="s">
        <v>17</v>
      </c>
      <c r="D29">
        <v>0.92160942195897999</v>
      </c>
      <c r="E29" s="5">
        <v>0.99999988122577355</v>
      </c>
      <c r="F29">
        <v>1.183348024531909</v>
      </c>
    </row>
    <row r="30" spans="1:6" x14ac:dyDescent="0.3">
      <c r="A30" t="s">
        <v>33</v>
      </c>
      <c r="B30">
        <v>2</v>
      </c>
      <c r="C30" t="s">
        <v>29</v>
      </c>
      <c r="D30">
        <v>0.9809492196291687</v>
      </c>
      <c r="E30" s="5">
        <v>2.187996333249686E-10</v>
      </c>
      <c r="F30">
        <v>1.183348024531909</v>
      </c>
    </row>
    <row r="31" spans="1:6" x14ac:dyDescent="0.3">
      <c r="A31" t="s">
        <v>33</v>
      </c>
      <c r="B31">
        <v>3</v>
      </c>
      <c r="C31" t="s">
        <v>34</v>
      </c>
      <c r="D31">
        <v>1.189670822588075</v>
      </c>
      <c r="E31" s="5">
        <v>1.185554268889112E-7</v>
      </c>
      <c r="F31">
        <v>1.183348024531909</v>
      </c>
    </row>
    <row r="32" spans="1:6" x14ac:dyDescent="0.3">
      <c r="A32" t="s">
        <v>35</v>
      </c>
      <c r="B32">
        <v>1</v>
      </c>
      <c r="C32" t="s">
        <v>11</v>
      </c>
      <c r="D32">
        <v>1.6253782234444529</v>
      </c>
      <c r="E32" s="5">
        <v>6.7866808307084497E-10</v>
      </c>
      <c r="F32">
        <v>2.87637126033199</v>
      </c>
    </row>
    <row r="33" spans="1:6" x14ac:dyDescent="0.3">
      <c r="A33" t="s">
        <v>35</v>
      </c>
      <c r="B33">
        <v>2</v>
      </c>
      <c r="C33" t="s">
        <v>27</v>
      </c>
      <c r="D33">
        <v>1.7033345140888809</v>
      </c>
      <c r="E33" s="5">
        <v>1.607004789416067E-5</v>
      </c>
      <c r="F33">
        <v>2.87637126033199</v>
      </c>
    </row>
    <row r="34" spans="1:6" x14ac:dyDescent="0.3">
      <c r="A34" t="s">
        <v>35</v>
      </c>
      <c r="B34">
        <v>3</v>
      </c>
      <c r="C34" t="s">
        <v>8</v>
      </c>
      <c r="D34">
        <v>1.7918969996678871</v>
      </c>
      <c r="E34" s="6">
        <v>0.99998392927343771</v>
      </c>
      <c r="F34">
        <v>2.87637126033199</v>
      </c>
    </row>
    <row r="35" spans="1:6" x14ac:dyDescent="0.3">
      <c r="A35" t="s">
        <v>36</v>
      </c>
      <c r="B35">
        <v>1</v>
      </c>
      <c r="C35" t="s">
        <v>37</v>
      </c>
      <c r="D35">
        <v>1.2009918077028521</v>
      </c>
      <c r="E35" s="5">
        <v>0.99999999504791492</v>
      </c>
      <c r="F35">
        <v>1.8271391560915371</v>
      </c>
    </row>
    <row r="36" spans="1:6" x14ac:dyDescent="0.3">
      <c r="A36" t="s">
        <v>36</v>
      </c>
      <c r="B36">
        <v>2</v>
      </c>
      <c r="C36" t="s">
        <v>14</v>
      </c>
      <c r="D36">
        <v>1.231318078388012</v>
      </c>
      <c r="E36" s="5">
        <v>4.9330261409679523E-9</v>
      </c>
      <c r="F36">
        <v>1.8271391560915371</v>
      </c>
    </row>
    <row r="37" spans="1:6" x14ac:dyDescent="0.3">
      <c r="A37" t="s">
        <v>36</v>
      </c>
      <c r="B37">
        <v>3</v>
      </c>
      <c r="C37" t="s">
        <v>38</v>
      </c>
      <c r="D37">
        <v>1.480414192353678</v>
      </c>
      <c r="E37" s="5">
        <v>1.905898259246889E-11</v>
      </c>
      <c r="F37">
        <v>1.8271391560915371</v>
      </c>
    </row>
    <row r="38" spans="1:6" x14ac:dyDescent="0.3">
      <c r="A38" t="s">
        <v>39</v>
      </c>
      <c r="B38">
        <v>1</v>
      </c>
      <c r="C38" t="s">
        <v>40</v>
      </c>
      <c r="D38">
        <v>0.61021692046880083</v>
      </c>
      <c r="E38" s="5">
        <v>6.9906274786325061E-9</v>
      </c>
      <c r="F38">
        <v>9.057763501495493E-2</v>
      </c>
    </row>
    <row r="39" spans="1:6" x14ac:dyDescent="0.3">
      <c r="A39" t="s">
        <v>39</v>
      </c>
      <c r="B39">
        <v>2</v>
      </c>
      <c r="C39" t="s">
        <v>41</v>
      </c>
      <c r="D39">
        <v>0.75429025931907157</v>
      </c>
      <c r="E39" s="5">
        <v>0.38406301046368663</v>
      </c>
      <c r="F39">
        <v>9.057763501495493E-2</v>
      </c>
    </row>
    <row r="40" spans="1:6" x14ac:dyDescent="0.3">
      <c r="A40" t="s">
        <v>39</v>
      </c>
      <c r="B40">
        <v>3</v>
      </c>
      <c r="C40" t="s">
        <v>42</v>
      </c>
      <c r="D40">
        <v>0.79318871004131175</v>
      </c>
      <c r="E40" s="5">
        <v>0.61593698254568618</v>
      </c>
      <c r="F40">
        <v>9.057763501495493E-2</v>
      </c>
    </row>
    <row r="41" spans="1:6" x14ac:dyDescent="0.3">
      <c r="A41" t="s">
        <v>43</v>
      </c>
      <c r="B41">
        <v>1</v>
      </c>
      <c r="C41" t="s">
        <v>44</v>
      </c>
      <c r="D41">
        <v>1.5938868185383741</v>
      </c>
      <c r="E41" s="5">
        <v>3.2240740543774419E-9</v>
      </c>
      <c r="F41">
        <v>3.1496439556502231</v>
      </c>
    </row>
    <row r="42" spans="1:6" x14ac:dyDescent="0.3">
      <c r="A42" t="s">
        <v>43</v>
      </c>
      <c r="B42">
        <v>2</v>
      </c>
      <c r="C42" t="s">
        <v>8</v>
      </c>
      <c r="D42">
        <v>1.598831204249944</v>
      </c>
      <c r="E42" s="6">
        <v>0.99999999674549733</v>
      </c>
      <c r="F42">
        <v>3.1496439556502231</v>
      </c>
    </row>
    <row r="43" spans="1:6" x14ac:dyDescent="0.3">
      <c r="A43" t="s">
        <v>43</v>
      </c>
      <c r="B43">
        <v>3</v>
      </c>
      <c r="C43" t="s">
        <v>11</v>
      </c>
      <c r="D43">
        <v>1.985015701938039</v>
      </c>
      <c r="E43" s="5">
        <v>3.0428752563392472E-11</v>
      </c>
      <c r="F43">
        <v>3.1496439556502231</v>
      </c>
    </row>
    <row r="44" spans="1:6" x14ac:dyDescent="0.3">
      <c r="A44" t="s">
        <v>45</v>
      </c>
      <c r="B44">
        <v>1</v>
      </c>
      <c r="C44" t="s">
        <v>46</v>
      </c>
      <c r="D44">
        <v>0.89148389228016534</v>
      </c>
      <c r="E44" s="5">
        <v>9.2772812516465329E-8</v>
      </c>
      <c r="F44">
        <v>0.16074736625551589</v>
      </c>
    </row>
    <row r="45" spans="1:6" x14ac:dyDescent="0.3">
      <c r="A45" t="s">
        <v>45</v>
      </c>
      <c r="B45">
        <v>2</v>
      </c>
      <c r="C45" t="s">
        <v>47</v>
      </c>
      <c r="D45">
        <v>0.93305152918571599</v>
      </c>
      <c r="E45" s="5">
        <v>0.99999990721132137</v>
      </c>
      <c r="F45">
        <v>0.16074736625551589</v>
      </c>
    </row>
    <row r="46" spans="1:6" x14ac:dyDescent="0.3">
      <c r="A46" t="s">
        <v>45</v>
      </c>
      <c r="B46">
        <v>3</v>
      </c>
      <c r="C46" t="s">
        <v>40</v>
      </c>
      <c r="D46">
        <v>0.99197551066704415</v>
      </c>
      <c r="E46" s="5">
        <v>1.58659817079265E-11</v>
      </c>
      <c r="F46">
        <v>0.16074736625551589</v>
      </c>
    </row>
    <row r="47" spans="1:6" x14ac:dyDescent="0.3">
      <c r="A47" t="s">
        <v>48</v>
      </c>
      <c r="B47">
        <v>1</v>
      </c>
      <c r="C47" t="s">
        <v>49</v>
      </c>
      <c r="D47">
        <v>1.2683276563783741</v>
      </c>
      <c r="E47" s="5">
        <v>6.5775271623297342E-10</v>
      </c>
      <c r="F47">
        <v>1.8589803944698</v>
      </c>
    </row>
    <row r="48" spans="1:6" x14ac:dyDescent="0.3">
      <c r="A48" t="s">
        <v>48</v>
      </c>
      <c r="B48">
        <v>2</v>
      </c>
      <c r="C48" t="s">
        <v>27</v>
      </c>
      <c r="D48">
        <v>1.941244593289468</v>
      </c>
      <c r="E48" s="5">
        <v>1.812822697525299E-7</v>
      </c>
      <c r="F48">
        <v>1.8589803944698</v>
      </c>
    </row>
    <row r="49" spans="1:6" x14ac:dyDescent="0.3">
      <c r="A49" t="s">
        <v>48</v>
      </c>
      <c r="B49">
        <v>3</v>
      </c>
      <c r="C49" t="s">
        <v>50</v>
      </c>
      <c r="D49">
        <v>2.1131810226092602</v>
      </c>
      <c r="E49" s="5">
        <v>0.99999981805997751</v>
      </c>
      <c r="F49">
        <v>1.8589803944698</v>
      </c>
    </row>
    <row r="50" spans="1:6" x14ac:dyDescent="0.3">
      <c r="A50" t="s">
        <v>51</v>
      </c>
      <c r="B50">
        <v>1</v>
      </c>
      <c r="C50" t="s">
        <v>52</v>
      </c>
      <c r="D50">
        <v>1.4542619329498729</v>
      </c>
      <c r="E50" s="5">
        <v>4.5678074557998969E-10</v>
      </c>
      <c r="F50">
        <v>1.4939456815812371</v>
      </c>
    </row>
    <row r="51" spans="1:6" x14ac:dyDescent="0.3">
      <c r="A51" t="s">
        <v>51</v>
      </c>
      <c r="B51">
        <v>2</v>
      </c>
      <c r="C51" t="s">
        <v>38</v>
      </c>
      <c r="D51">
        <v>1.6551052708664911</v>
      </c>
      <c r="E51" s="5">
        <v>1.047423452545562E-7</v>
      </c>
      <c r="F51">
        <v>1.4939456815812371</v>
      </c>
    </row>
    <row r="52" spans="1:6" x14ac:dyDescent="0.3">
      <c r="A52" t="s">
        <v>51</v>
      </c>
      <c r="B52">
        <v>3</v>
      </c>
      <c r="C52" t="s">
        <v>14</v>
      </c>
      <c r="D52">
        <v>1.7208310388984649</v>
      </c>
      <c r="E52" s="5">
        <v>0.99999989480087403</v>
      </c>
      <c r="F52">
        <v>1.4939456815812371</v>
      </c>
    </row>
    <row r="53" spans="1:6" x14ac:dyDescent="0.3">
      <c r="A53" t="s">
        <v>53</v>
      </c>
      <c r="B53">
        <v>1</v>
      </c>
      <c r="C53" t="s">
        <v>54</v>
      </c>
      <c r="D53">
        <v>0.95290565026523966</v>
      </c>
      <c r="E53" s="5">
        <v>6.2289293990995372E-2</v>
      </c>
      <c r="F53">
        <v>0.1209096709755124</v>
      </c>
    </row>
    <row r="54" spans="1:6" x14ac:dyDescent="0.3">
      <c r="A54" t="s">
        <v>53</v>
      </c>
      <c r="B54">
        <v>2</v>
      </c>
      <c r="C54" t="s">
        <v>55</v>
      </c>
      <c r="D54">
        <v>1.0390867823550849</v>
      </c>
      <c r="E54" s="5">
        <v>0.9377107056002697</v>
      </c>
      <c r="F54">
        <v>0.1209096709755124</v>
      </c>
    </row>
    <row r="55" spans="1:6" x14ac:dyDescent="0.3">
      <c r="A55" t="s">
        <v>53</v>
      </c>
      <c r="B55">
        <v>3</v>
      </c>
      <c r="C55" t="s">
        <v>19</v>
      </c>
      <c r="D55">
        <v>1.1518565613407989</v>
      </c>
      <c r="E55" s="5">
        <v>4.0873484968909878E-10</v>
      </c>
      <c r="F55">
        <v>0.1209096709755124</v>
      </c>
    </row>
    <row r="56" spans="1:6" x14ac:dyDescent="0.3">
      <c r="A56" t="s">
        <v>56</v>
      </c>
      <c r="B56">
        <v>1</v>
      </c>
      <c r="C56" t="s">
        <v>29</v>
      </c>
      <c r="D56">
        <v>0.62478224846899444</v>
      </c>
      <c r="E56" s="5">
        <v>7.3627870537911297E-2</v>
      </c>
      <c r="F56">
        <v>4.2304525982745173E-2</v>
      </c>
    </row>
    <row r="57" spans="1:6" x14ac:dyDescent="0.3">
      <c r="A57" t="s">
        <v>56</v>
      </c>
      <c r="B57">
        <v>2</v>
      </c>
      <c r="C57" t="s">
        <v>17</v>
      </c>
      <c r="D57">
        <v>1.175180669759281</v>
      </c>
      <c r="E57" s="5">
        <v>0.86303522145722422</v>
      </c>
      <c r="F57">
        <v>4.2304525982745173E-2</v>
      </c>
    </row>
    <row r="58" spans="1:6" x14ac:dyDescent="0.3">
      <c r="A58" t="s">
        <v>56</v>
      </c>
      <c r="B58">
        <v>3</v>
      </c>
      <c r="C58" t="s">
        <v>57</v>
      </c>
      <c r="D58">
        <v>1.3726151217664391</v>
      </c>
      <c r="E58" s="5">
        <v>6.3336908004864412E-2</v>
      </c>
      <c r="F58">
        <v>4.2304525982745173E-2</v>
      </c>
    </row>
    <row r="59" spans="1:6" x14ac:dyDescent="0.3">
      <c r="A59" t="s">
        <v>58</v>
      </c>
      <c r="B59">
        <v>1</v>
      </c>
      <c r="C59" t="s">
        <v>18</v>
      </c>
      <c r="D59">
        <v>0.57160584336731568</v>
      </c>
      <c r="E59" s="5">
        <v>5.8238495714186026E-9</v>
      </c>
      <c r="F59">
        <v>0.86315318472179126</v>
      </c>
    </row>
    <row r="60" spans="1:6" x14ac:dyDescent="0.3">
      <c r="A60" t="s">
        <v>58</v>
      </c>
      <c r="B60">
        <v>2</v>
      </c>
      <c r="C60" t="s">
        <v>25</v>
      </c>
      <c r="D60">
        <v>0.68289437670767594</v>
      </c>
      <c r="E60" s="5">
        <v>1.5075482675443849E-11</v>
      </c>
      <c r="F60">
        <v>0.86315318472179126</v>
      </c>
    </row>
    <row r="61" spans="1:6" x14ac:dyDescent="0.3">
      <c r="A61" t="s">
        <v>58</v>
      </c>
      <c r="B61">
        <v>3</v>
      </c>
      <c r="C61" t="s">
        <v>17</v>
      </c>
      <c r="D61">
        <v>0.78940335234920489</v>
      </c>
      <c r="E61" s="5">
        <v>0.99999999416107499</v>
      </c>
      <c r="F61">
        <v>0.86315318472179126</v>
      </c>
    </row>
    <row r="62" spans="1:6" x14ac:dyDescent="0.3">
      <c r="A62" t="s">
        <v>59</v>
      </c>
      <c r="B62">
        <v>1</v>
      </c>
      <c r="C62" t="s">
        <v>25</v>
      </c>
      <c r="D62">
        <v>0.41432800250683471</v>
      </c>
      <c r="E62" s="5">
        <v>0.18748703079029869</v>
      </c>
      <c r="F62">
        <v>0.16046169566306659</v>
      </c>
    </row>
    <row r="63" spans="1:6" x14ac:dyDescent="0.3">
      <c r="A63" t="s">
        <v>59</v>
      </c>
      <c r="B63">
        <v>2</v>
      </c>
      <c r="C63" t="s">
        <v>60</v>
      </c>
      <c r="D63">
        <v>0.45453412288402018</v>
      </c>
      <c r="E63" s="5">
        <v>1.3972365199981459E-9</v>
      </c>
      <c r="F63">
        <v>0.16046169566306659</v>
      </c>
    </row>
    <row r="64" spans="1:6" x14ac:dyDescent="0.3">
      <c r="A64" t="s">
        <v>59</v>
      </c>
      <c r="B64">
        <v>3</v>
      </c>
      <c r="C64" t="s">
        <v>42</v>
      </c>
      <c r="D64">
        <v>0.53020881439454659</v>
      </c>
      <c r="E64" s="5">
        <v>0.81251296781246485</v>
      </c>
      <c r="F64">
        <v>0.16046169566306659</v>
      </c>
    </row>
    <row r="65" spans="1:6" x14ac:dyDescent="0.3">
      <c r="A65" t="s">
        <v>61</v>
      </c>
      <c r="B65">
        <v>1</v>
      </c>
      <c r="C65" t="s">
        <v>62</v>
      </c>
      <c r="D65">
        <v>1.2982732123665801</v>
      </c>
      <c r="E65" s="5">
        <v>1.0014704731673E-8</v>
      </c>
      <c r="F65">
        <v>0.94453676419455745</v>
      </c>
    </row>
    <row r="66" spans="1:6" x14ac:dyDescent="0.3">
      <c r="A66" t="s">
        <v>61</v>
      </c>
      <c r="B66">
        <v>2</v>
      </c>
      <c r="C66" t="s">
        <v>63</v>
      </c>
      <c r="D66">
        <v>1.3440300249935191</v>
      </c>
      <c r="E66" s="5">
        <v>2.048586917014427E-9</v>
      </c>
      <c r="F66">
        <v>0.94453676419455745</v>
      </c>
    </row>
    <row r="67" spans="1:6" x14ac:dyDescent="0.3">
      <c r="A67" t="s">
        <v>61</v>
      </c>
      <c r="B67">
        <v>3</v>
      </c>
      <c r="C67" t="s">
        <v>19</v>
      </c>
      <c r="D67">
        <v>1.5008085566896261</v>
      </c>
      <c r="E67" s="5">
        <v>0.99999998793670841</v>
      </c>
      <c r="F67">
        <v>0.94453676419455745</v>
      </c>
    </row>
    <row r="68" spans="1:6" x14ac:dyDescent="0.3">
      <c r="A68" t="s">
        <v>64</v>
      </c>
      <c r="B68">
        <v>1</v>
      </c>
      <c r="C68" t="s">
        <v>54</v>
      </c>
      <c r="D68">
        <v>0.86344646830358396</v>
      </c>
      <c r="E68" s="5">
        <v>0.99999999327650846</v>
      </c>
      <c r="F68">
        <v>1.3174007546874249</v>
      </c>
    </row>
    <row r="69" spans="1:6" x14ac:dyDescent="0.3">
      <c r="A69" t="s">
        <v>64</v>
      </c>
      <c r="B69">
        <v>2</v>
      </c>
      <c r="C69" t="s">
        <v>55</v>
      </c>
      <c r="D69">
        <v>0.90914073667147832</v>
      </c>
      <c r="E69" s="5">
        <v>6.6174808768363332E-9</v>
      </c>
      <c r="F69">
        <v>1.3174007546874249</v>
      </c>
    </row>
    <row r="70" spans="1:6" x14ac:dyDescent="0.3">
      <c r="A70" t="s">
        <v>64</v>
      </c>
      <c r="B70">
        <v>3</v>
      </c>
      <c r="C70" t="s">
        <v>40</v>
      </c>
      <c r="D70">
        <v>1.0108947531758949</v>
      </c>
      <c r="E70" s="5">
        <v>1.060108004764738E-10</v>
      </c>
      <c r="F70">
        <v>1.3174007546874249</v>
      </c>
    </row>
    <row r="71" spans="1:6" x14ac:dyDescent="0.3">
      <c r="A71" t="s">
        <v>65</v>
      </c>
      <c r="B71">
        <v>1</v>
      </c>
      <c r="C71" t="s">
        <v>12</v>
      </c>
      <c r="D71">
        <v>1.041219938842862</v>
      </c>
      <c r="E71" s="5">
        <v>1.2811478449788459E-10</v>
      </c>
      <c r="F71">
        <v>0.42463987892815352</v>
      </c>
    </row>
    <row r="72" spans="1:6" x14ac:dyDescent="0.3">
      <c r="A72" t="s">
        <v>65</v>
      </c>
      <c r="B72">
        <v>2</v>
      </c>
      <c r="C72" t="s">
        <v>14</v>
      </c>
      <c r="D72">
        <v>1.5599030133448071</v>
      </c>
      <c r="E72" s="5">
        <v>0.99999999162081643</v>
      </c>
      <c r="F72">
        <v>0.42463987892815352</v>
      </c>
    </row>
    <row r="73" spans="1:6" x14ac:dyDescent="0.3">
      <c r="A73" t="s">
        <v>65</v>
      </c>
      <c r="B73">
        <v>3</v>
      </c>
      <c r="C73" t="s">
        <v>66</v>
      </c>
      <c r="D73">
        <v>1.7000221714249659</v>
      </c>
      <c r="E73" s="5">
        <v>8.2510688517581908E-9</v>
      </c>
      <c r="F73">
        <v>0.42463987892815352</v>
      </c>
    </row>
    <row r="74" spans="1:6" x14ac:dyDescent="0.3">
      <c r="A74" t="s">
        <v>67</v>
      </c>
      <c r="B74">
        <v>1</v>
      </c>
      <c r="C74" t="s">
        <v>25</v>
      </c>
      <c r="D74">
        <v>0.5902772518803463</v>
      </c>
      <c r="E74" s="5">
        <v>4.7877244048147763E-2</v>
      </c>
      <c r="F74">
        <v>7.2415823960289324E-2</v>
      </c>
    </row>
    <row r="75" spans="1:6" x14ac:dyDescent="0.3">
      <c r="A75" t="s">
        <v>67</v>
      </c>
      <c r="B75">
        <v>2</v>
      </c>
      <c r="C75" t="s">
        <v>42</v>
      </c>
      <c r="D75">
        <v>0.70076211109565234</v>
      </c>
      <c r="E75" s="5">
        <v>0.9521227557443559</v>
      </c>
      <c r="F75">
        <v>7.2415823960289324E-2</v>
      </c>
    </row>
    <row r="76" spans="1:6" x14ac:dyDescent="0.3">
      <c r="A76" t="s">
        <v>67</v>
      </c>
      <c r="B76">
        <v>3</v>
      </c>
      <c r="C76" t="s">
        <v>40</v>
      </c>
      <c r="D76">
        <v>0.70386647660122537</v>
      </c>
      <c r="E76" s="5">
        <v>2.0749639139800219E-10</v>
      </c>
      <c r="F76">
        <v>7.2415823960289324E-2</v>
      </c>
    </row>
    <row r="77" spans="1:6" x14ac:dyDescent="0.3">
      <c r="A77" t="s">
        <v>68</v>
      </c>
      <c r="B77">
        <v>1</v>
      </c>
      <c r="C77" t="s">
        <v>22</v>
      </c>
      <c r="D77">
        <v>0.64602007029833564</v>
      </c>
      <c r="E77" s="5">
        <v>4.1636069321933687E-9</v>
      </c>
      <c r="F77">
        <v>8.1464590802134335E-2</v>
      </c>
    </row>
    <row r="78" spans="1:6" x14ac:dyDescent="0.3">
      <c r="A78" t="s">
        <v>68</v>
      </c>
      <c r="B78">
        <v>2</v>
      </c>
      <c r="C78" t="s">
        <v>21</v>
      </c>
      <c r="D78">
        <v>0.79765965307815123</v>
      </c>
      <c r="E78" s="5">
        <v>0.80290188916571481</v>
      </c>
      <c r="F78">
        <v>8.1464590802134335E-2</v>
      </c>
    </row>
    <row r="79" spans="1:6" x14ac:dyDescent="0.3">
      <c r="A79" t="s">
        <v>68</v>
      </c>
      <c r="B79">
        <v>3</v>
      </c>
      <c r="C79" t="s">
        <v>31</v>
      </c>
      <c r="D79">
        <v>0.81482206948180624</v>
      </c>
      <c r="E79" s="5">
        <v>0.19709810667067831</v>
      </c>
      <c r="F79">
        <v>8.1464590802134335E-2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8"/>
  <sheetViews>
    <sheetView workbookViewId="0">
      <selection activeCell="B3" sqref="B3"/>
    </sheetView>
  </sheetViews>
  <sheetFormatPr defaultRowHeight="14.4" x14ac:dyDescent="0.3"/>
  <cols>
    <col min="1" max="1" width="25.88671875" customWidth="1"/>
    <col min="2" max="2" width="12.33203125" style="3" customWidth="1"/>
    <col min="3" max="3" width="16.21875" customWidth="1"/>
    <col min="4" max="4" width="21.5546875" customWidth="1"/>
  </cols>
  <sheetData>
    <row r="1" spans="1:6" s="1" customFormat="1" x14ac:dyDescent="0.3">
      <c r="A1" s="1" t="s">
        <v>69</v>
      </c>
      <c r="B1" s="2" t="s">
        <v>70</v>
      </c>
      <c r="C1" s="1" t="s">
        <v>71</v>
      </c>
      <c r="D1" s="1" t="s">
        <v>72</v>
      </c>
    </row>
    <row r="2" spans="1:6" x14ac:dyDescent="0.3">
      <c r="A2" t="s">
        <v>17</v>
      </c>
      <c r="B2" s="3">
        <v>0.1625467769847905</v>
      </c>
      <c r="C2">
        <v>0.1625467769847905</v>
      </c>
      <c r="D2">
        <v>4.2262162016045526</v>
      </c>
      <c r="F2">
        <f>37*10+26*10</f>
        <v>630</v>
      </c>
    </row>
    <row r="3" spans="1:6" x14ac:dyDescent="0.3">
      <c r="A3" t="s">
        <v>8</v>
      </c>
      <c r="B3" s="3">
        <v>0.1538455341530342</v>
      </c>
      <c r="C3">
        <v>0.1538455341530342</v>
      </c>
      <c r="D3">
        <v>3.9999838879788889</v>
      </c>
    </row>
    <row r="4" spans="1:6" x14ac:dyDescent="0.3">
      <c r="A4" t="s">
        <v>42</v>
      </c>
      <c r="B4" s="3">
        <v>9.1560488696250275E-2</v>
      </c>
      <c r="C4">
        <v>9.1560488696250275E-2</v>
      </c>
      <c r="D4">
        <v>2.380572706102507</v>
      </c>
    </row>
    <row r="5" spans="1:6" x14ac:dyDescent="0.3">
      <c r="A5" t="s">
        <v>14</v>
      </c>
      <c r="B5" s="3">
        <v>7.6923085342295847E-2</v>
      </c>
      <c r="C5">
        <v>7.6923085342295847E-2</v>
      </c>
      <c r="D5">
        <v>2.0000002188996922</v>
      </c>
    </row>
    <row r="6" spans="1:6" x14ac:dyDescent="0.3">
      <c r="A6" t="s">
        <v>21</v>
      </c>
      <c r="B6" s="3">
        <v>6.9342381393907332E-2</v>
      </c>
      <c r="C6">
        <v>6.9342381393907332E-2</v>
      </c>
      <c r="D6">
        <v>1.8029019162415909</v>
      </c>
    </row>
    <row r="7" spans="1:6" x14ac:dyDescent="0.3">
      <c r="A7" t="s">
        <v>22</v>
      </c>
      <c r="B7" s="3">
        <v>5.9497327212190733E-2</v>
      </c>
      <c r="C7">
        <v>5.9497327212190733E-2</v>
      </c>
      <c r="D7">
        <v>1.546930507516959</v>
      </c>
    </row>
    <row r="8" spans="1:6" x14ac:dyDescent="0.3">
      <c r="A8" t="s">
        <v>54</v>
      </c>
      <c r="B8" s="3">
        <v>4.0857280279519383E-2</v>
      </c>
      <c r="C8">
        <v>4.0857280279519383E-2</v>
      </c>
      <c r="D8">
        <v>1.062289287267504</v>
      </c>
    </row>
    <row r="9" spans="1:6" x14ac:dyDescent="0.3">
      <c r="A9" t="s">
        <v>27</v>
      </c>
      <c r="B9" s="3">
        <v>3.8462163221794757E-2</v>
      </c>
      <c r="C9">
        <v>3.8462163221794757E-2</v>
      </c>
      <c r="D9">
        <v>1.000016243766664</v>
      </c>
    </row>
    <row r="10" spans="1:6" x14ac:dyDescent="0.3">
      <c r="A10" t="s">
        <v>19</v>
      </c>
      <c r="B10" s="3">
        <v>3.8461543854841712E-2</v>
      </c>
      <c r="C10">
        <v>3.8461543854841712E-2</v>
      </c>
      <c r="D10">
        <v>1.000000140225884</v>
      </c>
    </row>
    <row r="11" spans="1:6" x14ac:dyDescent="0.3">
      <c r="A11" t="s">
        <v>37</v>
      </c>
      <c r="B11" s="3">
        <v>3.8461538271073653E-2</v>
      </c>
      <c r="C11">
        <v>3.8461538271073653E-2</v>
      </c>
      <c r="D11">
        <v>0.99999999504791504</v>
      </c>
    </row>
    <row r="12" spans="1:6" x14ac:dyDescent="0.3">
      <c r="A12" t="s">
        <v>47</v>
      </c>
      <c r="B12" s="3">
        <v>3.8461534892743128E-2</v>
      </c>
      <c r="C12">
        <v>3.8461534892743128E-2</v>
      </c>
      <c r="D12">
        <v>0.99999990721132137</v>
      </c>
    </row>
    <row r="13" spans="1:6" x14ac:dyDescent="0.3">
      <c r="A13" t="s">
        <v>50</v>
      </c>
      <c r="B13" s="3">
        <v>3.8461531463845289E-2</v>
      </c>
      <c r="C13">
        <v>3.8461531463845289E-2</v>
      </c>
      <c r="D13">
        <v>0.99999981805997751</v>
      </c>
    </row>
    <row r="14" spans="1:6" x14ac:dyDescent="0.3">
      <c r="A14" t="s">
        <v>15</v>
      </c>
      <c r="B14" s="3">
        <v>3.8461525924173207E-2</v>
      </c>
      <c r="C14">
        <v>3.8461525924173207E-2</v>
      </c>
      <c r="D14">
        <v>0.99999967402850332</v>
      </c>
    </row>
    <row r="15" spans="1:6" x14ac:dyDescent="0.3">
      <c r="A15" t="s">
        <v>55</v>
      </c>
      <c r="B15" s="3">
        <v>3.6065796623759638E-2</v>
      </c>
      <c r="C15">
        <v>3.6065796623759638E-2</v>
      </c>
      <c r="D15">
        <v>0.9377107122177506</v>
      </c>
    </row>
    <row r="16" spans="1:6" x14ac:dyDescent="0.3">
      <c r="A16" t="s">
        <v>18</v>
      </c>
      <c r="B16" s="3">
        <v>1.9926489022152279E-2</v>
      </c>
      <c r="C16">
        <v>1.9926489022152279E-2</v>
      </c>
      <c r="D16">
        <v>0.51808871457595929</v>
      </c>
    </row>
    <row r="17" spans="1:4" x14ac:dyDescent="0.3">
      <c r="A17" t="s">
        <v>41</v>
      </c>
      <c r="B17" s="3">
        <v>1.4771654248603329E-2</v>
      </c>
      <c r="C17">
        <v>1.4771654248603329E-2</v>
      </c>
      <c r="D17">
        <v>0.38406301046368663</v>
      </c>
    </row>
    <row r="18" spans="1:4" x14ac:dyDescent="0.3">
      <c r="A18" t="s">
        <v>12</v>
      </c>
      <c r="B18" s="3">
        <v>1.368361245015544E-2</v>
      </c>
      <c r="C18">
        <v>1.368361245015544E-2</v>
      </c>
      <c r="D18">
        <v>0.35577392370404137</v>
      </c>
    </row>
    <row r="19" spans="1:4" x14ac:dyDescent="0.3">
      <c r="A19" t="s">
        <v>25</v>
      </c>
      <c r="B19" s="3">
        <v>1.361901190232654E-2</v>
      </c>
      <c r="C19">
        <v>1.361901190232654E-2</v>
      </c>
      <c r="D19">
        <v>0.35409430946049009</v>
      </c>
    </row>
    <row r="20" spans="1:4" x14ac:dyDescent="0.3">
      <c r="A20" t="s">
        <v>31</v>
      </c>
      <c r="B20" s="3">
        <v>7.5806964706057233E-3</v>
      </c>
      <c r="C20">
        <v>7.5806964706057233E-3</v>
      </c>
      <c r="D20">
        <v>0.1970981082357488</v>
      </c>
    </row>
    <row r="21" spans="1:4" x14ac:dyDescent="0.3">
      <c r="A21" t="s">
        <v>23</v>
      </c>
      <c r="B21" s="3">
        <v>3.7421377017324551E-3</v>
      </c>
      <c r="C21">
        <v>3.7421377017324551E-3</v>
      </c>
      <c r="D21">
        <v>9.7295580245043825E-2</v>
      </c>
    </row>
    <row r="22" spans="1:4" x14ac:dyDescent="0.3">
      <c r="A22" t="s">
        <v>29</v>
      </c>
      <c r="B22" s="3">
        <v>2.8318414639242691E-3</v>
      </c>
      <c r="C22">
        <v>2.8318414639242691E-3</v>
      </c>
      <c r="D22">
        <v>7.3627878062030985E-2</v>
      </c>
    </row>
    <row r="23" spans="1:4" x14ac:dyDescent="0.3">
      <c r="A23" t="s">
        <v>57</v>
      </c>
      <c r="B23" s="3">
        <v>2.4360349232640161E-3</v>
      </c>
      <c r="C23">
        <v>2.4360349232640161E-3</v>
      </c>
      <c r="D23">
        <v>6.3336908004864412E-2</v>
      </c>
    </row>
    <row r="24" spans="1:4" x14ac:dyDescent="0.3">
      <c r="A24" t="s">
        <v>34</v>
      </c>
      <c r="B24" s="3">
        <v>4.5598241111119681E-9</v>
      </c>
      <c r="C24">
        <v>4.5598241111119681E-9</v>
      </c>
      <c r="D24">
        <v>1.185554268889112E-7</v>
      </c>
    </row>
    <row r="25" spans="1:4" x14ac:dyDescent="0.3">
      <c r="A25" t="s">
        <v>38</v>
      </c>
      <c r="B25" s="3">
        <v>4.0292847783518734E-9</v>
      </c>
      <c r="C25">
        <v>4.0292847783518734E-9</v>
      </c>
      <c r="D25">
        <v>1.047614042371487E-7</v>
      </c>
    </row>
    <row r="26" spans="1:4" x14ac:dyDescent="0.3">
      <c r="A26" t="s">
        <v>46</v>
      </c>
      <c r="B26" s="3">
        <v>3.5681850967871279E-9</v>
      </c>
      <c r="C26">
        <v>3.5681850967871279E-9</v>
      </c>
      <c r="D26">
        <v>9.2772812516465329E-8</v>
      </c>
    </row>
    <row r="27" spans="1:4" x14ac:dyDescent="0.3">
      <c r="A27" t="s">
        <v>62</v>
      </c>
      <c r="B27" s="3">
        <v>3.851809512181924E-10</v>
      </c>
      <c r="C27">
        <v>3.851809512181924E-10</v>
      </c>
      <c r="D27">
        <v>1.0014704731673E-8</v>
      </c>
    </row>
    <row r="28" spans="1:4" x14ac:dyDescent="0.3">
      <c r="A28" t="s">
        <v>66</v>
      </c>
      <c r="B28" s="3">
        <v>3.1734880199069971E-10</v>
      </c>
      <c r="C28">
        <v>3.1734880199069971E-10</v>
      </c>
      <c r="D28">
        <v>8.2510688517581908E-9</v>
      </c>
    </row>
    <row r="29" spans="1:4" x14ac:dyDescent="0.3">
      <c r="A29" t="s">
        <v>40</v>
      </c>
      <c r="B29" s="3">
        <v>2.815384866236504E-10</v>
      </c>
      <c r="C29">
        <v>2.815384866236504E-10</v>
      </c>
      <c r="D29">
        <v>7.320000652214909E-9</v>
      </c>
    </row>
    <row r="30" spans="1:4" x14ac:dyDescent="0.3">
      <c r="A30" t="s">
        <v>44</v>
      </c>
      <c r="B30" s="3">
        <v>1.2400284824528619E-10</v>
      </c>
      <c r="C30">
        <v>1.2400284824528619E-10</v>
      </c>
      <c r="D30">
        <v>3.2240740543774419E-9</v>
      </c>
    </row>
    <row r="31" spans="1:4" x14ac:dyDescent="0.3">
      <c r="A31" t="s">
        <v>63</v>
      </c>
      <c r="B31" s="3">
        <v>7.8791804500554868E-11</v>
      </c>
      <c r="C31">
        <v>7.8791804500554868E-11</v>
      </c>
      <c r="D31">
        <v>2.048586917014427E-9</v>
      </c>
    </row>
    <row r="32" spans="1:4" x14ac:dyDescent="0.3">
      <c r="A32" t="s">
        <v>60</v>
      </c>
      <c r="B32" s="3">
        <v>5.3739866153774841E-11</v>
      </c>
      <c r="C32">
        <v>5.3739866153774841E-11</v>
      </c>
      <c r="D32">
        <v>1.3972365199981459E-9</v>
      </c>
    </row>
    <row r="33" spans="1:4" x14ac:dyDescent="0.3">
      <c r="A33" t="s">
        <v>11</v>
      </c>
      <c r="B33" s="3">
        <v>3.8264948073200119E-11</v>
      </c>
      <c r="C33">
        <v>3.8264948073200119E-11</v>
      </c>
      <c r="D33">
        <v>9.9488864990320317E-10</v>
      </c>
    </row>
    <row r="34" spans="1:4" x14ac:dyDescent="0.3">
      <c r="A34" t="s">
        <v>49</v>
      </c>
      <c r="B34" s="3">
        <v>2.5298181393575898E-11</v>
      </c>
      <c r="C34">
        <v>2.5298181393575898E-11</v>
      </c>
      <c r="D34">
        <v>6.5775271623297342E-10</v>
      </c>
    </row>
    <row r="35" spans="1:4" x14ac:dyDescent="0.3">
      <c r="A35" t="s">
        <v>52</v>
      </c>
      <c r="B35" s="3">
        <v>1.756849021461499E-11</v>
      </c>
      <c r="C35">
        <v>1.756849021461499E-11</v>
      </c>
      <c r="D35">
        <v>4.5678074557998969E-10</v>
      </c>
    </row>
    <row r="36" spans="1:4" x14ac:dyDescent="0.3">
      <c r="A36" t="s">
        <v>9</v>
      </c>
      <c r="B36" s="3">
        <v>1.1624983538352449E-11</v>
      </c>
      <c r="C36">
        <v>1.1624983538352449E-11</v>
      </c>
      <c r="D36">
        <v>3.022495719971637E-10</v>
      </c>
    </row>
    <row r="37" spans="1:4" x14ac:dyDescent="0.3">
      <c r="A37" t="s">
        <v>28</v>
      </c>
      <c r="B37" s="3">
        <v>9.930003042659651E-12</v>
      </c>
      <c r="C37">
        <v>9.930003042659651E-12</v>
      </c>
      <c r="D37">
        <v>2.5818007910915091E-10</v>
      </c>
    </row>
    <row r="38" spans="1:4" x14ac:dyDescent="0.3">
      <c r="A38" t="s">
        <v>7</v>
      </c>
      <c r="B38" s="3">
        <v>2.4330087336875621E-12</v>
      </c>
      <c r="C38">
        <v>2.4330087336875621E-12</v>
      </c>
      <c r="D38">
        <v>6.3258227075876619E-11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donor_pool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Stoycho Rusinov</cp:lastModifiedBy>
  <dcterms:created xsi:type="dcterms:W3CDTF">2026-06-07T20:44:56Z</dcterms:created>
  <dcterms:modified xsi:type="dcterms:W3CDTF">2026-06-08T08:03:56Z</dcterms:modified>
</cp:coreProperties>
</file>