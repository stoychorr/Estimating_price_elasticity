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oycho.rusinov\Documents\GitHub\Estimating_price_elasticity\Statistical_documentation_in_R\Present_ value_simulations\"/>
    </mc:Choice>
  </mc:AlternateContent>
  <xr:revisionPtr revIDLastSave="0" documentId="13_ncr:1_{D6732507-91A3-460E-AF35-80E756CC6532}" xr6:coauthVersionLast="36" xr6:coauthVersionMax="36" xr10:uidLastSave="{00000000-0000-0000-0000-000000000000}"/>
  <bookViews>
    <workbookView xWindow="0" yWindow="0" windowWidth="23040" windowHeight="10380" activeTab="2" xr2:uid="{199D723B-9A26-436A-828C-653175FE4DF6}"/>
  </bookViews>
  <sheets>
    <sheet name="main" sheetId="1" r:id="rId1"/>
    <sheet name="TWFE" sheetId="2" r:id="rId2"/>
    <sheet name="TWFE_CONTROLS" sheetId="4" r:id="rId3"/>
    <sheet name="TWFE_unweighted" sheetId="5" r:id="rId4"/>
    <sheet name="Pooled" sheetId="3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6" i="1" l="1"/>
  <c r="D3" i="1" l="1"/>
  <c r="D4" i="1"/>
  <c r="D5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" i="1"/>
</calcChain>
</file>

<file path=xl/sharedStrings.xml><?xml version="1.0" encoding="utf-8"?>
<sst xmlns="http://schemas.openxmlformats.org/spreadsheetml/2006/main" count="166" uniqueCount="41">
  <si>
    <t>Country</t>
  </si>
  <si>
    <t>Austria</t>
  </si>
  <si>
    <t>Belgium</t>
  </si>
  <si>
    <t>Bulgaria</t>
  </si>
  <si>
    <t>Croatia</t>
  </si>
  <si>
    <t>Denmark</t>
  </si>
  <si>
    <t>Estonia</t>
  </si>
  <si>
    <t>Finland</t>
  </si>
  <si>
    <t>France</t>
  </si>
  <si>
    <t>Germany</t>
  </si>
  <si>
    <t>Greece</t>
  </si>
  <si>
    <t>Hungary</t>
  </si>
  <si>
    <t>Italy</t>
  </si>
  <si>
    <t>Latvia</t>
  </si>
  <si>
    <t>Lithuania</t>
  </si>
  <si>
    <t>Luxembourg</t>
  </si>
  <si>
    <t>Malta</t>
  </si>
  <si>
    <t>Netherlands</t>
  </si>
  <si>
    <t>Poland</t>
  </si>
  <si>
    <t>Portugal</t>
  </si>
  <si>
    <t>Romania</t>
  </si>
  <si>
    <t>Slovakia</t>
  </si>
  <si>
    <t>Slovenia</t>
  </si>
  <si>
    <t>Spain</t>
  </si>
  <si>
    <t>Sweden</t>
  </si>
  <si>
    <t>Czechia</t>
  </si>
  <si>
    <t>Cyprus</t>
  </si>
  <si>
    <t>Estimate_TWFE</t>
  </si>
  <si>
    <t>Estimate_Pooled</t>
  </si>
  <si>
    <t>Estimate_controls</t>
  </si>
  <si>
    <t>estimate</t>
  </si>
  <si>
    <t>std.error</t>
  </si>
  <si>
    <t>statistic</t>
  </si>
  <si>
    <t>p.value</t>
  </si>
  <si>
    <t>conf.low</t>
  </si>
  <si>
    <t>conf.high</t>
  </si>
  <si>
    <t>Term</t>
  </si>
  <si>
    <t xml:space="preserve">Term </t>
  </si>
  <si>
    <t xml:space="preserve">Constant </t>
  </si>
  <si>
    <t>Control</t>
  </si>
  <si>
    <t xml:space="preserve">term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</si>
</sst>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5F33E-C4EC-4697-BF0B-8836F35F2CFA}">
  <dimension ref="A1:D27"/>
  <sheetViews>
    <sheetView workbookViewId="0">
      <selection activeCell="C15" sqref="C15"/>
    </sheetView>
  </sheetViews>
  <sheetFormatPr defaultRowHeight="14.4" x14ac:dyDescent="0.3"/>
  <cols>
    <col min="1" max="1" width="15.109375" customWidth="1"/>
  </cols>
  <sheetData>
    <row r="1" spans="1:4" ht="28.2" thickBot="1" x14ac:dyDescent="0.35">
      <c r="A1" s="1" t="s">
        <v>0</v>
      </c>
      <c r="B1" s="2" t="s">
        <v>27</v>
      </c>
      <c r="C1" s="2" t="s">
        <v>29</v>
      </c>
      <c r="D1" s="2" t="s">
        <v>28</v>
      </c>
    </row>
    <row r="2" spans="1:4" ht="15" thickTop="1" x14ac:dyDescent="0.3">
      <c r="A2" t="s">
        <v>1</v>
      </c>
      <c r="B2">
        <f>VLOOKUP(A2,TWFE!$A$1:$B$27,2,FALSE)</f>
        <v>-0.54852831529282597</v>
      </c>
      <c r="C2">
        <f>VLOOKUP(A2,TWFE_CONTROLS!$A$1:$B$30,2,FALSE)</f>
        <v>-0.503790953780059</v>
      </c>
      <c r="D2">
        <f>VLOOKUP(A2,Pooled!$A$1:$B$28,2,FALSE)</f>
        <v>-0.96096594040446104</v>
      </c>
    </row>
    <row r="3" spans="1:4" x14ac:dyDescent="0.3">
      <c r="A3" t="s">
        <v>2</v>
      </c>
      <c r="B3">
        <f>VLOOKUP(A3,TWFE!$A$1:$B$27,2,FALSE)</f>
        <v>-0.60265118871781398</v>
      </c>
      <c r="C3">
        <f>VLOOKUP(A3,TWFE_CONTROLS!$A$1:$B$30,2,FALSE)</f>
        <v>-0.57561060819490195</v>
      </c>
      <c r="D3">
        <f>VLOOKUP(A3,Pooled!$A$1:$B$28,2,FALSE)</f>
        <v>-0.43402255419591801</v>
      </c>
    </row>
    <row r="4" spans="1:4" x14ac:dyDescent="0.3">
      <c r="A4" t="s">
        <v>3</v>
      </c>
      <c r="B4">
        <f>VLOOKUP(A4,TWFE!$A$1:$B$27,2,FALSE)</f>
        <v>-1.88714028053297</v>
      </c>
      <c r="C4">
        <f>VLOOKUP(A4,TWFE_CONTROLS!$A$1:$B$30,2,FALSE)</f>
        <v>-1.78417059468777</v>
      </c>
      <c r="D4">
        <f>VLOOKUP(A4,Pooled!$A$1:$B$28,2,FALSE)</f>
        <v>-1.0065367748427301</v>
      </c>
    </row>
    <row r="5" spans="1:4" x14ac:dyDescent="0.3">
      <c r="A5" t="s">
        <v>4</v>
      </c>
      <c r="B5">
        <f>VLOOKUP(A5,TWFE!$A$1:$B$27,2,FALSE)</f>
        <v>-1.65473875502575</v>
      </c>
      <c r="C5">
        <f>VLOOKUP(A5,TWFE_CONTROLS!$A$1:$B$30,2,FALSE)</f>
        <v>-1.5329456248967499</v>
      </c>
      <c r="D5">
        <f>VLOOKUP(A5,Pooled!$A$1:$B$28,2,FALSE)</f>
        <v>-2.5722879220431598</v>
      </c>
    </row>
    <row r="6" spans="1:4" x14ac:dyDescent="0.3">
      <c r="A6" t="s">
        <v>26</v>
      </c>
      <c r="B6">
        <f>VLOOKUP(A6,TWFE!$A$1:$B$27,2,FALSE)</f>
        <v>-0.90215690028786599</v>
      </c>
      <c r="C6">
        <f>VLOOKUP(A6,TWFE_CONTROLS!$A$1:$B$30,2,FALSE)</f>
        <v>-0.94501847818830298</v>
      </c>
      <c r="D6">
        <f>VLOOKUP(A6,Pooled!$A$1:$B$28,2,FALSE)</f>
        <v>0.25487109150482601</v>
      </c>
    </row>
    <row r="7" spans="1:4" x14ac:dyDescent="0.3">
      <c r="A7" t="s">
        <v>25</v>
      </c>
      <c r="B7">
        <f>VLOOKUP(A7,TWFE!$A$1:$B$27,2,FALSE)</f>
        <v>-1.1371955365404101</v>
      </c>
      <c r="C7">
        <f>VLOOKUP(A7,TWFE_CONTROLS!$A$1:$B$30,2,FALSE)</f>
        <v>-1.07565711034427</v>
      </c>
      <c r="D7">
        <f>VLOOKUP(A7,Pooled!$A$1:$B$28,2,FALSE)</f>
        <v>-0.90108037982635403</v>
      </c>
    </row>
    <row r="8" spans="1:4" x14ac:dyDescent="0.3">
      <c r="A8" t="s">
        <v>5</v>
      </c>
      <c r="B8">
        <f>VLOOKUP(A8,TWFE!$A$1:$B$27,2,FALSE)</f>
        <v>-1.0464974377475</v>
      </c>
      <c r="C8">
        <f>VLOOKUP(A8,TWFE_CONTROLS!$A$1:$B$30,2,FALSE)</f>
        <v>-1.0301060798322601</v>
      </c>
      <c r="D8">
        <f>VLOOKUP(A8,Pooled!$A$1:$B$28,2,FALSE)</f>
        <v>-1.6094098412137801</v>
      </c>
    </row>
    <row r="9" spans="1:4" x14ac:dyDescent="0.3">
      <c r="A9" t="s">
        <v>6</v>
      </c>
      <c r="B9">
        <f>VLOOKUP(A9,TWFE!$A$1:$B$27,2,FALSE)</f>
        <v>-1.4474385643897401</v>
      </c>
      <c r="C9">
        <f>VLOOKUP(A9,TWFE_CONTROLS!$A$1:$B$30,2,FALSE)</f>
        <v>-1.4075162526001099</v>
      </c>
      <c r="D9">
        <f>VLOOKUP(A9,Pooled!$A$1:$B$28,2,FALSE)</f>
        <v>-2.23730001977715</v>
      </c>
    </row>
    <row r="10" spans="1:4" x14ac:dyDescent="0.3">
      <c r="A10" t="s">
        <v>7</v>
      </c>
      <c r="B10">
        <f>VLOOKUP(A10,TWFE!$A$1:$B$27,2,FALSE)</f>
        <v>-1.75634080420609</v>
      </c>
      <c r="C10">
        <f>VLOOKUP(A10,TWFE_CONTROLS!$A$1:$B$30,2,FALSE)</f>
        <v>-1.6216422891201301</v>
      </c>
      <c r="D10">
        <f>VLOOKUP(A10,Pooled!$A$1:$B$28,2,FALSE)</f>
        <v>-1.8172437292560599</v>
      </c>
    </row>
    <row r="11" spans="1:4" x14ac:dyDescent="0.3">
      <c r="A11" t="s">
        <v>8</v>
      </c>
      <c r="B11">
        <f>VLOOKUP(A11,TWFE!$A$1:$B$27,2,FALSE)</f>
        <v>-0.59709956840556899</v>
      </c>
      <c r="C11">
        <f>VLOOKUP(A11,TWFE_CONTROLS!$A$1:$B$30,2,FALSE)</f>
        <v>-0.53652430994564804</v>
      </c>
      <c r="D11">
        <f>VLOOKUP(A11,Pooled!$A$1:$B$28,2,FALSE)</f>
        <v>1.17878238242509</v>
      </c>
    </row>
    <row r="12" spans="1:4" x14ac:dyDescent="0.3">
      <c r="A12" t="s">
        <v>9</v>
      </c>
      <c r="B12">
        <f>VLOOKUP(A12,TWFE!$A$1:$B$27,2,FALSE)</f>
        <v>-0.68149440447415999</v>
      </c>
      <c r="C12">
        <f>VLOOKUP(A12,TWFE_CONTROLS!$A$1:$B$30,2,FALSE)</f>
        <v>-0.58277125268367203</v>
      </c>
      <c r="D12">
        <f>VLOOKUP(A12,Pooled!$A$1:$B$28,2,FALSE)</f>
        <v>0.65201605281182295</v>
      </c>
    </row>
    <row r="13" spans="1:4" x14ac:dyDescent="0.3">
      <c r="A13" t="s">
        <v>10</v>
      </c>
      <c r="B13">
        <f>VLOOKUP(A13,TWFE!$A$1:$B$27,2,FALSE)</f>
        <v>-0.86574363247956398</v>
      </c>
      <c r="C13">
        <f>VLOOKUP(A13,TWFE_CONTROLS!$A$1:$B$30,2,FALSE)</f>
        <v>-0.71947138260508403</v>
      </c>
      <c r="D13">
        <f>VLOOKUP(A13,Pooled!$A$1:$B$28,2,FALSE)</f>
        <v>0.10514820412341599</v>
      </c>
    </row>
    <row r="14" spans="1:4" x14ac:dyDescent="0.3">
      <c r="A14" t="s">
        <v>11</v>
      </c>
      <c r="B14">
        <f>VLOOKUP(A14,TWFE!$A$1:$B$27,2,FALSE)</f>
        <v>-1.1144617208190799</v>
      </c>
      <c r="C14">
        <f>VLOOKUP(A14,TWFE_CONTROLS!$A$1:$B$30,2,FALSE)</f>
        <v>-1.02268425869302</v>
      </c>
      <c r="D14">
        <f>VLOOKUP(A14,Pooled!$A$1:$B$28,2,FALSE)</f>
        <v>-1.0319333400577499</v>
      </c>
    </row>
    <row r="15" spans="1:4" x14ac:dyDescent="0.3">
      <c r="A15" t="s">
        <v>12</v>
      </c>
      <c r="B15">
        <f>VLOOKUP(A15,TWFE!$A$1:$B$27,2,FALSE)</f>
        <v>-0.92503071686511495</v>
      </c>
      <c r="C15">
        <f>VLOOKUP(A15,TWFE_CONTROLS!$A$1:$B$30,2,FALSE)</f>
        <v>-0.81079323871487197</v>
      </c>
      <c r="D15">
        <f>VLOOKUP(A15,Pooled!$A$1:$B$28,2,FALSE)</f>
        <v>0.67648421428665895</v>
      </c>
    </row>
    <row r="16" spans="1:4" x14ac:dyDescent="0.3">
      <c r="A16" t="s">
        <v>13</v>
      </c>
      <c r="B16">
        <f>VLOOKUP(A16,TWFE!$A$1:$B$27,2,FALSE)</f>
        <v>-1.51151031782695</v>
      </c>
      <c r="C16">
        <f>VLOOKUP(A16,TWFE_CONTROLS!$A$1:$B$30,2,FALSE)</f>
        <v>-1.3904913497439999</v>
      </c>
      <c r="D16">
        <f>VLOOKUP(A16,Pooled!$A$1:$B$28,2,FALSE)</f>
        <v>-1.9283884570794001</v>
      </c>
    </row>
    <row r="17" spans="1:4" x14ac:dyDescent="0.3">
      <c r="A17" t="s">
        <v>14</v>
      </c>
      <c r="B17">
        <f>VLOOKUP(A17,TWFE!$A$1:$B$27,2,FALSE)</f>
        <v>-2.1731071022163002</v>
      </c>
      <c r="C17">
        <f>VLOOKUP(A17,TWFE_CONTROLS!$A$1:$B$30,2,FALSE)</f>
        <v>-2.1660399744893502</v>
      </c>
      <c r="D17">
        <f>VLOOKUP(A17,Pooled!$A$1:$B$28,2,FALSE)</f>
        <v>-1.41154374670083</v>
      </c>
    </row>
    <row r="18" spans="1:4" x14ac:dyDescent="0.3">
      <c r="A18" t="s">
        <v>15</v>
      </c>
      <c r="B18">
        <f>VLOOKUP(A18,TWFE!$A$1:$B$27,2,FALSE)</f>
        <v>-0.492889178451345</v>
      </c>
      <c r="C18">
        <f>VLOOKUP(A18,TWFE_CONTROLS!$A$1:$B$30,2,FALSE)</f>
        <v>-0.57603562801806196</v>
      </c>
      <c r="D18">
        <f>VLOOKUP(A18,Pooled!$A$1:$B$28,2,FALSE)</f>
        <v>-1.2368272006821099</v>
      </c>
    </row>
    <row r="19" spans="1:4" x14ac:dyDescent="0.3">
      <c r="A19" t="s">
        <v>16</v>
      </c>
      <c r="B19">
        <f>VLOOKUP(A19,TWFE!$A$1:$B$27,2,FALSE)</f>
        <v>-0.36167297288073402</v>
      </c>
      <c r="C19">
        <f>VLOOKUP(A19,TWFE_CONTROLS!$A$1:$B$30,2,FALSE)</f>
        <v>-0.52892439215107301</v>
      </c>
      <c r="D19">
        <f>VLOOKUP(A19,Pooled!$A$1:$B$28,2,FALSE)</f>
        <v>-2.33542460306685</v>
      </c>
    </row>
    <row r="20" spans="1:4" x14ac:dyDescent="0.3">
      <c r="A20" t="s">
        <v>17</v>
      </c>
      <c r="B20">
        <f>VLOOKUP(A20,TWFE!$A$1:$B$27,2,FALSE)</f>
        <v>-0.534966490387353</v>
      </c>
      <c r="C20">
        <f>VLOOKUP(A20,TWFE_CONTROLS!$A$1:$B$30,2,FALSE)</f>
        <v>-0.52702850261561396</v>
      </c>
      <c r="D20">
        <f>VLOOKUP(A20,Pooled!$A$1:$B$28,2,FALSE)</f>
        <v>-0.49149114095396601</v>
      </c>
    </row>
    <row r="21" spans="1:4" x14ac:dyDescent="0.3">
      <c r="A21" t="s">
        <v>18</v>
      </c>
      <c r="B21">
        <f>VLOOKUP(A21,TWFE!$A$1:$B$27,2,FALSE)</f>
        <v>-1.66827531130462</v>
      </c>
      <c r="C21">
        <f>VLOOKUP(A21,TWFE_CONTROLS!$A$1:$B$30,2,FALSE)</f>
        <v>-1.52760392501248</v>
      </c>
      <c r="D21">
        <f>VLOOKUP(A21,Pooled!$A$1:$B$28,2,FALSE)</f>
        <v>-0.135467924196604</v>
      </c>
    </row>
    <row r="22" spans="1:4" x14ac:dyDescent="0.3">
      <c r="A22" t="s">
        <v>19</v>
      </c>
      <c r="B22">
        <f>VLOOKUP(A22,TWFE!$A$1:$B$27,2,FALSE)</f>
        <v>-0.93916309417618304</v>
      </c>
      <c r="C22">
        <f>VLOOKUP(A22,TWFE_CONTROLS!$A$1:$B$30,2,FALSE)</f>
        <v>-0.83612033855998502</v>
      </c>
      <c r="D22">
        <f>VLOOKUP(A22,Pooled!$A$1:$B$28,2,FALSE)</f>
        <v>-8.7101233428981503E-2</v>
      </c>
    </row>
    <row r="23" spans="1:4" x14ac:dyDescent="0.3">
      <c r="A23" t="s">
        <v>20</v>
      </c>
      <c r="B23">
        <f>VLOOKUP(A23,TWFE!$A$1:$B$27,2,FALSE)</f>
        <v>-1.7114266042599799</v>
      </c>
      <c r="C23">
        <f>VLOOKUP(A23,TWFE_CONTROLS!$A$1:$B$30,2,FALSE)</f>
        <v>-1.6001173391912</v>
      </c>
      <c r="D23">
        <f>VLOOKUP(A23,Pooled!$A$1:$B$28,2,FALSE)</f>
        <v>-0.36322908828285499</v>
      </c>
    </row>
    <row r="24" spans="1:4" x14ac:dyDescent="0.3">
      <c r="A24" t="s">
        <v>21</v>
      </c>
      <c r="B24">
        <f>VLOOKUP(A24,TWFE!$A$1:$B$27,2,FALSE)</f>
        <v>-1.51631980729154</v>
      </c>
      <c r="C24">
        <f>VLOOKUP(A24,TWFE_CONTROLS!$A$1:$B$30,2,FALSE)</f>
        <v>-1.39755782045907</v>
      </c>
      <c r="D24">
        <f>VLOOKUP(A24,Pooled!$A$1:$B$28,2,FALSE)</f>
        <v>-1.5701494349789999</v>
      </c>
    </row>
    <row r="25" spans="1:4" x14ac:dyDescent="0.3">
      <c r="A25" t="s">
        <v>22</v>
      </c>
      <c r="B25">
        <f>VLOOKUP(A25,TWFE!$A$1:$B$27,2,FALSE)</f>
        <v>-1.2795484913805499</v>
      </c>
      <c r="C25">
        <f>VLOOKUP(A25,TWFE_CONTROLS!$A$1:$B$30,2,FALSE)</f>
        <v>-1.1788745227473101</v>
      </c>
      <c r="D25">
        <f>VLOOKUP(A25,Pooled!$A$1:$B$28,2,FALSE)</f>
        <v>-3.1077436305302499</v>
      </c>
    </row>
    <row r="26" spans="1:4" x14ac:dyDescent="0.3">
      <c r="A26" t="s">
        <v>23</v>
      </c>
      <c r="B26">
        <f>VLOOKUP(A26,TWFE!$A$1:$B$27,2,FALSE)</f>
        <v>-0.50769462311031799</v>
      </c>
      <c r="C26">
        <f>VLOOKUP(A26,TWFE_CONTROLS!$A$1:$B$30,2,FALSE)</f>
        <v>-0.47498173216436002</v>
      </c>
      <c r="D26">
        <f>VLOOKUP(A26,Pooled!$A$1:$B$28,2,FALSE)</f>
        <v>0.96433365522347902</v>
      </c>
    </row>
    <row r="27" spans="1:4" x14ac:dyDescent="0.3">
      <c r="A27" t="s">
        <v>24</v>
      </c>
      <c r="B27">
        <f>VLOOKUP(A27,TWFE!$A$1:$B$27,2,FALSE)</f>
        <v>-0.96684277114304495</v>
      </c>
      <c r="C27">
        <f>VLOOKUP(A27,TWFE_CONTROLS!$A$1:$B$30,2,FALSE)</f>
        <v>-0.92763206000377596</v>
      </c>
      <c r="D27">
        <f>VLOOKUP(A27,Pooled!$A$1:$B$28,2,FALSE)</f>
        <v>-0.62964370839858697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284D3-3C6F-4B48-935B-3545246F7814}">
  <dimension ref="A1:G27"/>
  <sheetViews>
    <sheetView workbookViewId="0">
      <selection activeCell="D11" sqref="D11"/>
    </sheetView>
  </sheetViews>
  <sheetFormatPr defaultColWidth="11.5546875" defaultRowHeight="14.4" x14ac:dyDescent="0.3"/>
  <cols>
    <col min="1" max="1" width="12.21875" customWidth="1"/>
  </cols>
  <sheetData>
    <row r="1" spans="1:7" x14ac:dyDescent="0.3">
      <c r="A1" s="3" t="s">
        <v>36</v>
      </c>
      <c r="B1" s="3" t="s">
        <v>30</v>
      </c>
      <c r="C1" s="3" t="s">
        <v>31</v>
      </c>
      <c r="D1" s="3" t="s">
        <v>32</v>
      </c>
      <c r="E1" s="3" t="s">
        <v>33</v>
      </c>
      <c r="F1" s="3" t="s">
        <v>34</v>
      </c>
      <c r="G1" s="3" t="s">
        <v>35</v>
      </c>
    </row>
    <row r="2" spans="1:7" x14ac:dyDescent="0.3">
      <c r="A2" s="3" t="s">
        <v>1</v>
      </c>
      <c r="B2" s="3">
        <v>-0.54852831529282597</v>
      </c>
      <c r="C2" s="3">
        <v>5.3467133275019299E-2</v>
      </c>
      <c r="D2" s="3">
        <v>-10.259279395445899</v>
      </c>
      <c r="E2" s="3">
        <v>2.8904300786899701E-6</v>
      </c>
      <c r="F2" s="3">
        <v>-0.66948531725433502</v>
      </c>
      <c r="G2" s="3">
        <v>-0.42758320022959301</v>
      </c>
    </row>
    <row r="3" spans="1:7" x14ac:dyDescent="0.3">
      <c r="A3" s="3" t="s">
        <v>2</v>
      </c>
      <c r="B3" s="3">
        <v>-0.60265118871781398</v>
      </c>
      <c r="C3" s="3">
        <v>6.6890441900966699E-2</v>
      </c>
      <c r="D3" s="3">
        <v>-9.0096150517170202</v>
      </c>
      <c r="E3" s="3">
        <v>8.4637891956509398E-6</v>
      </c>
      <c r="F3" s="3">
        <v>-0.75397382443596195</v>
      </c>
      <c r="G3" s="3">
        <v>-0.45134043989794398</v>
      </c>
    </row>
    <row r="4" spans="1:7" x14ac:dyDescent="0.3">
      <c r="A4" s="3" t="s">
        <v>3</v>
      </c>
      <c r="B4" s="3">
        <v>-1.88714028053297</v>
      </c>
      <c r="C4" s="3">
        <v>0.13227254971833599</v>
      </c>
      <c r="D4" s="3">
        <v>-14.2671040060893</v>
      </c>
      <c r="E4" s="3">
        <v>1.7416340389940201E-7</v>
      </c>
      <c r="F4" s="3">
        <v>-2.1863675197690302</v>
      </c>
      <c r="G4" s="3">
        <v>-1.5879249281951999</v>
      </c>
    </row>
    <row r="5" spans="1:7" x14ac:dyDescent="0.3">
      <c r="A5" s="3" t="s">
        <v>4</v>
      </c>
      <c r="B5" s="3">
        <v>-1.65473875502575</v>
      </c>
      <c r="C5" s="3">
        <v>0.109941116750136</v>
      </c>
      <c r="D5" s="3">
        <v>-15.0511905589939</v>
      </c>
      <c r="E5" s="3">
        <v>1.09520756228172E-7</v>
      </c>
      <c r="F5" s="3">
        <v>-1.90344878321724</v>
      </c>
      <c r="G5" s="3">
        <v>-1.4060406137325401</v>
      </c>
    </row>
    <row r="6" spans="1:7" x14ac:dyDescent="0.3">
      <c r="A6" s="3" t="s">
        <v>26</v>
      </c>
      <c r="B6" s="3">
        <v>-0.90215690028786599</v>
      </c>
      <c r="C6" s="3">
        <v>6.8075532379029996E-2</v>
      </c>
      <c r="D6" s="3">
        <v>-13.252380293024499</v>
      </c>
      <c r="E6" s="3">
        <v>3.2915851283455998E-7</v>
      </c>
      <c r="F6" s="3">
        <v>-1.0561603969195299</v>
      </c>
      <c r="G6" s="3">
        <v>-0.748165290554482</v>
      </c>
    </row>
    <row r="7" spans="1:7" x14ac:dyDescent="0.3">
      <c r="A7" s="3" t="s">
        <v>25</v>
      </c>
      <c r="B7" s="3">
        <v>-1.1371955365404101</v>
      </c>
      <c r="C7" s="3">
        <v>5.6221398163693502E-2</v>
      </c>
      <c r="D7" s="3">
        <v>-20.2272002677431</v>
      </c>
      <c r="E7" s="3">
        <v>8.2183524438405404E-9</v>
      </c>
      <c r="F7" s="3">
        <v>-1.2643831185480801</v>
      </c>
      <c r="G7" s="3">
        <v>-1.01001984143102</v>
      </c>
    </row>
    <row r="8" spans="1:7" x14ac:dyDescent="0.3">
      <c r="A8" s="3" t="s">
        <v>5</v>
      </c>
      <c r="B8" s="3">
        <v>-1.0464974377475</v>
      </c>
      <c r="C8" s="3">
        <v>0.110553592437794</v>
      </c>
      <c r="D8" s="3">
        <v>-9.4660278161968296</v>
      </c>
      <c r="E8" s="3">
        <v>5.6389900372636702E-6</v>
      </c>
      <c r="F8" s="3">
        <v>-1.2965929822028699</v>
      </c>
      <c r="G8" s="3">
        <v>-0.79641378019041498</v>
      </c>
    </row>
    <row r="9" spans="1:7" x14ac:dyDescent="0.3">
      <c r="A9" s="3" t="s">
        <v>6</v>
      </c>
      <c r="B9" s="3">
        <v>-1.4474385643897401</v>
      </c>
      <c r="C9" s="3">
        <v>0.11899090479088401</v>
      </c>
      <c r="D9" s="3">
        <v>-12.1643289491969</v>
      </c>
      <c r="E9" s="3">
        <v>6.8569548568021996E-7</v>
      </c>
      <c r="F9" s="3">
        <v>-1.71662063541942</v>
      </c>
      <c r="G9" s="3">
        <v>-1.17826838025835</v>
      </c>
    </row>
    <row r="10" spans="1:7" x14ac:dyDescent="0.3">
      <c r="A10" s="3" t="s">
        <v>7</v>
      </c>
      <c r="B10" s="3">
        <v>-1.75634080420609</v>
      </c>
      <c r="C10" s="3">
        <v>0.20804537696209499</v>
      </c>
      <c r="D10" s="3">
        <v>-8.4421330255045</v>
      </c>
      <c r="E10" s="3">
        <v>1.4366154137722E-5</v>
      </c>
      <c r="F10" s="3">
        <v>-2.2269780873370899</v>
      </c>
      <c r="G10" s="3">
        <v>-1.2857154079733799</v>
      </c>
    </row>
    <row r="11" spans="1:7" x14ac:dyDescent="0.3">
      <c r="A11" s="3" t="s">
        <v>8</v>
      </c>
      <c r="B11" s="3">
        <v>-0.59709956840556899</v>
      </c>
      <c r="C11" s="3">
        <v>6.2239968720100403E-2</v>
      </c>
      <c r="D11" s="3">
        <v>-9.5936023769541698</v>
      </c>
      <c r="E11" s="3">
        <v>5.0485996253519998E-6</v>
      </c>
      <c r="F11" s="3">
        <v>-0.73790210290721903</v>
      </c>
      <c r="G11" s="3">
        <v>-0.45630892080219698</v>
      </c>
    </row>
    <row r="12" spans="1:7" x14ac:dyDescent="0.3">
      <c r="A12" s="3" t="s">
        <v>9</v>
      </c>
      <c r="B12" s="3">
        <v>-0.68149440447415999</v>
      </c>
      <c r="C12" s="3">
        <v>7.2888343121077004E-2</v>
      </c>
      <c r="D12" s="3">
        <v>-9.3499223434293093</v>
      </c>
      <c r="E12" s="3">
        <v>6.2428939193372297E-6</v>
      </c>
      <c r="F12" s="3">
        <v>-0.84638523539913701</v>
      </c>
      <c r="G12" s="3">
        <v>-0.51661546044746198</v>
      </c>
    </row>
    <row r="13" spans="1:7" x14ac:dyDescent="0.3">
      <c r="A13" s="3" t="s">
        <v>10</v>
      </c>
      <c r="B13" s="3">
        <v>-0.86574363247956398</v>
      </c>
      <c r="C13" s="3">
        <v>7.8845788640573095E-2</v>
      </c>
      <c r="D13" s="3">
        <v>-10.9802893833089</v>
      </c>
      <c r="E13" s="3">
        <v>1.63446404840163E-6</v>
      </c>
      <c r="F13" s="3">
        <v>-1.0441111414584501</v>
      </c>
      <c r="G13" s="3">
        <v>-0.68738801039895803</v>
      </c>
    </row>
    <row r="14" spans="1:7" x14ac:dyDescent="0.3">
      <c r="A14" s="3" t="s">
        <v>11</v>
      </c>
      <c r="B14" s="3">
        <v>-1.1144617208190799</v>
      </c>
      <c r="C14" s="3">
        <v>7.7838449110645705E-2</v>
      </c>
      <c r="D14" s="3">
        <v>-14.317701303170001</v>
      </c>
      <c r="E14" s="3">
        <v>1.6890823877634501E-7</v>
      </c>
      <c r="F14" s="3">
        <v>-1.2905504694649701</v>
      </c>
      <c r="G14" s="3">
        <v>-0.93838485907147196</v>
      </c>
    </row>
    <row r="15" spans="1:7" x14ac:dyDescent="0.3">
      <c r="A15" s="3" t="s">
        <v>12</v>
      </c>
      <c r="B15" s="3">
        <v>-0.92503071686511495</v>
      </c>
      <c r="C15" s="3">
        <v>0.11325856897063399</v>
      </c>
      <c r="D15" s="3">
        <v>-8.1674761452628104</v>
      </c>
      <c r="E15" s="3">
        <v>1.8751006902026799E-5</v>
      </c>
      <c r="F15" s="3">
        <v>-1.1812453433594501</v>
      </c>
      <c r="G15" s="3">
        <v>-0.66882797726906096</v>
      </c>
    </row>
    <row r="16" spans="1:7" x14ac:dyDescent="0.3">
      <c r="A16" s="3" t="s">
        <v>13</v>
      </c>
      <c r="B16" s="3">
        <v>-1.51151031782695</v>
      </c>
      <c r="C16" s="3">
        <v>0.128184277456144</v>
      </c>
      <c r="D16" s="3">
        <v>-11.791744598265799</v>
      </c>
      <c r="E16" s="3">
        <v>8.9369534154202703E-7</v>
      </c>
      <c r="F16" s="3">
        <v>-1.80148924268162</v>
      </c>
      <c r="G16" s="3">
        <v>-1.2215432798705601</v>
      </c>
    </row>
    <row r="17" spans="1:7" x14ac:dyDescent="0.3">
      <c r="A17" s="3" t="s">
        <v>14</v>
      </c>
      <c r="B17" s="3">
        <v>-2.1731071022163002</v>
      </c>
      <c r="C17" s="3">
        <v>0.28010211549720998</v>
      </c>
      <c r="D17" s="3">
        <v>-7.7582885863176996</v>
      </c>
      <c r="E17" s="3">
        <v>2.8259097861567101E-5</v>
      </c>
      <c r="F17" s="3">
        <v>-2.8067480525523898</v>
      </c>
      <c r="G17" s="3">
        <v>-1.5394780387785001</v>
      </c>
    </row>
    <row r="18" spans="1:7" x14ac:dyDescent="0.3">
      <c r="A18" s="3" t="s">
        <v>15</v>
      </c>
      <c r="B18" s="3">
        <v>-0.492889178451345</v>
      </c>
      <c r="C18" s="3">
        <v>4.7435761946085203E-2</v>
      </c>
      <c r="D18" s="3">
        <v>-10.3907917081779</v>
      </c>
      <c r="E18" s="3">
        <v>2.5983892145060802E-6</v>
      </c>
      <c r="F18" s="3">
        <v>-0.60020227055961095</v>
      </c>
      <c r="G18" s="3">
        <v>-0.38558797324135702</v>
      </c>
    </row>
    <row r="19" spans="1:7" x14ac:dyDescent="0.3">
      <c r="A19" s="3" t="s">
        <v>16</v>
      </c>
      <c r="B19" s="3">
        <v>-0.36167297288073402</v>
      </c>
      <c r="C19" s="3">
        <v>4.5339212630366402E-2</v>
      </c>
      <c r="D19" s="3">
        <v>-7.9771768265696501</v>
      </c>
      <c r="E19" s="3">
        <v>2.2645699902786299E-5</v>
      </c>
      <c r="F19" s="3">
        <v>-0.46424334093728697</v>
      </c>
      <c r="G19" s="3">
        <v>-0.25911449172245898</v>
      </c>
    </row>
    <row r="20" spans="1:7" x14ac:dyDescent="0.3">
      <c r="A20" s="3" t="s">
        <v>17</v>
      </c>
      <c r="B20" s="3">
        <v>-0.534966490387353</v>
      </c>
      <c r="C20" s="3">
        <v>2.42064072544547E-2</v>
      </c>
      <c r="D20" s="3">
        <v>-22.100447547334401</v>
      </c>
      <c r="E20" s="3">
        <v>3.7567958910538196E-9</v>
      </c>
      <c r="F20" s="3">
        <v>-0.58973113139276601</v>
      </c>
      <c r="G20" s="3">
        <v>-0.48021373628021602</v>
      </c>
    </row>
    <row r="21" spans="1:7" x14ac:dyDescent="0.3">
      <c r="A21" s="3" t="s">
        <v>18</v>
      </c>
      <c r="B21" s="3">
        <v>-1.66827531130462</v>
      </c>
      <c r="C21" s="3">
        <v>0.15070707857215501</v>
      </c>
      <c r="D21" s="3">
        <v>-11.0696940751528</v>
      </c>
      <c r="E21" s="3">
        <v>1.5263966707082899E-6</v>
      </c>
      <c r="F21" s="3">
        <v>-2.0092043520301601</v>
      </c>
      <c r="G21" s="3">
        <v>-1.3273581574773801</v>
      </c>
    </row>
    <row r="22" spans="1:7" x14ac:dyDescent="0.3">
      <c r="A22" s="3" t="s">
        <v>19</v>
      </c>
      <c r="B22" s="3">
        <v>-0.93916309417618304</v>
      </c>
      <c r="C22" s="3">
        <v>0.35342907395453099</v>
      </c>
      <c r="D22" s="3">
        <v>-2.6573055439863098</v>
      </c>
      <c r="E22" s="3">
        <v>2.6161065918485701E-2</v>
      </c>
      <c r="F22" s="3">
        <v>-1.7386811488127001</v>
      </c>
      <c r="G22" s="3">
        <v>-0.139656926437944</v>
      </c>
    </row>
    <row r="23" spans="1:7" x14ac:dyDescent="0.3">
      <c r="A23" s="3" t="s">
        <v>20</v>
      </c>
      <c r="B23" s="3">
        <v>-1.7114266042599799</v>
      </c>
      <c r="C23" s="3">
        <v>0.13749724235369701</v>
      </c>
      <c r="D23" s="3">
        <v>-12.447031797966099</v>
      </c>
      <c r="E23" s="3">
        <v>5.6352972987097596E-7</v>
      </c>
      <c r="F23" s="3">
        <v>-2.0224729193645401</v>
      </c>
      <c r="G23" s="3">
        <v>-1.4003921760536999</v>
      </c>
    </row>
    <row r="24" spans="1:7" x14ac:dyDescent="0.3">
      <c r="A24" s="3" t="s">
        <v>21</v>
      </c>
      <c r="B24" s="3">
        <v>-1.51631980729154</v>
      </c>
      <c r="C24" s="3">
        <v>0.120029805159765</v>
      </c>
      <c r="D24" s="3">
        <v>-12.6329102069472</v>
      </c>
      <c r="E24" s="3">
        <v>4.9640047382324196E-7</v>
      </c>
      <c r="F24" s="3">
        <v>-1.78785203423211</v>
      </c>
      <c r="G24" s="3">
        <v>-1.24479946724924</v>
      </c>
    </row>
    <row r="25" spans="1:7" x14ac:dyDescent="0.3">
      <c r="A25" s="3" t="s">
        <v>22</v>
      </c>
      <c r="B25" s="3">
        <v>-1.2795484913805499</v>
      </c>
      <c r="C25" s="3">
        <v>0.122303206789315</v>
      </c>
      <c r="D25" s="3">
        <v>-10.462149508752599</v>
      </c>
      <c r="E25" s="3">
        <v>2.4536643556643401E-6</v>
      </c>
      <c r="F25" s="3">
        <v>-1.55622351010134</v>
      </c>
      <c r="G25" s="3">
        <v>-1.00288535955806</v>
      </c>
    </row>
    <row r="26" spans="1:7" x14ac:dyDescent="0.3">
      <c r="A26" s="3" t="s">
        <v>23</v>
      </c>
      <c r="B26" s="3">
        <v>-0.50769462311031799</v>
      </c>
      <c r="C26" s="3">
        <v>8.4069620611269796E-2</v>
      </c>
      <c r="D26" s="3">
        <v>-6.03904909844921</v>
      </c>
      <c r="E26" s="3">
        <v>1.93049590400193E-4</v>
      </c>
      <c r="F26" s="3">
        <v>-0.69787926099896702</v>
      </c>
      <c r="G26" s="3">
        <v>-0.31752187211994398</v>
      </c>
    </row>
    <row r="27" spans="1:7" x14ac:dyDescent="0.3">
      <c r="A27" s="3" t="s">
        <v>24</v>
      </c>
      <c r="B27" s="3">
        <v>-0.96684277114304495</v>
      </c>
      <c r="C27" s="3">
        <v>0.14101799134637899</v>
      </c>
      <c r="D27" s="3">
        <v>-6.8562082423748096</v>
      </c>
      <c r="E27" s="3">
        <v>7.4215276548186701E-5</v>
      </c>
      <c r="F27" s="3">
        <v>-1.28585357379981</v>
      </c>
      <c r="G27" s="3">
        <v>-0.64784385538455802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91757-1AE6-4E66-AD55-28298F4D0D5C}">
  <dimension ref="A1:G30"/>
  <sheetViews>
    <sheetView tabSelected="1" zoomScale="98" workbookViewId="0">
      <selection activeCell="E3" sqref="E3"/>
    </sheetView>
  </sheetViews>
  <sheetFormatPr defaultColWidth="11.5546875" defaultRowHeight="14.4" x14ac:dyDescent="0.3"/>
  <cols>
    <col min="1" max="1" width="16.77734375" customWidth="1"/>
  </cols>
  <sheetData>
    <row r="1" spans="1:7" x14ac:dyDescent="0.3">
      <c r="A1" s="3" t="s">
        <v>40</v>
      </c>
      <c r="B1" s="3" t="s">
        <v>30</v>
      </c>
      <c r="C1" s="3" t="s">
        <v>31</v>
      </c>
      <c r="D1" s="3" t="s">
        <v>32</v>
      </c>
      <c r="E1" s="3" t="s">
        <v>33</v>
      </c>
      <c r="F1" s="3" t="s">
        <v>34</v>
      </c>
      <c r="G1" s="3" t="s">
        <v>35</v>
      </c>
    </row>
    <row r="2" spans="1:7" x14ac:dyDescent="0.3">
      <c r="A2" s="3" t="s">
        <v>1</v>
      </c>
      <c r="B2" s="3">
        <v>-0.503790953780059</v>
      </c>
      <c r="C2" s="3">
        <v>5.8267877618851202E-2</v>
      </c>
      <c r="D2" s="3">
        <v>-8.6664826028166306</v>
      </c>
      <c r="E2" s="3">
        <v>1.16158414861796E-5</v>
      </c>
      <c r="F2" s="3">
        <v>-0.63678864440335603</v>
      </c>
      <c r="G2" s="3">
        <v>-0.373166450970289</v>
      </c>
    </row>
    <row r="3" spans="1:7" x14ac:dyDescent="0.3">
      <c r="A3" s="3" t="s">
        <v>2</v>
      </c>
      <c r="B3" s="3">
        <v>-0.57561060819490195</v>
      </c>
      <c r="C3" s="3">
        <v>7.1291826947674705E-2</v>
      </c>
      <c r="D3" s="3">
        <v>-8.0026681294975308</v>
      </c>
      <c r="E3" s="3">
        <v>2.20759227868152E-5</v>
      </c>
      <c r="F3" s="3">
        <v>-0.73179814838646295</v>
      </c>
      <c r="G3" s="3">
        <v>-0.40925151442915703</v>
      </c>
    </row>
    <row r="4" spans="1:7" x14ac:dyDescent="0.3">
      <c r="A4" s="3" t="s">
        <v>3</v>
      </c>
      <c r="B4" s="3">
        <v>-1.78417059468777</v>
      </c>
      <c r="C4" s="3">
        <v>0.111926571039733</v>
      </c>
      <c r="D4" s="3">
        <v>-15.638614446041901</v>
      </c>
      <c r="E4" s="3">
        <v>7.8498900604743701E-8</v>
      </c>
      <c r="F4" s="3">
        <v>-2.0035719851428899</v>
      </c>
      <c r="G4" s="3">
        <v>-1.4971809963729401</v>
      </c>
    </row>
    <row r="5" spans="1:7" x14ac:dyDescent="0.3">
      <c r="A5" s="3" t="s">
        <v>4</v>
      </c>
      <c r="B5" s="3">
        <v>-1.5329456248967499</v>
      </c>
      <c r="C5" s="3">
        <v>0.102479283399924</v>
      </c>
      <c r="D5" s="3">
        <v>-14.6339687692191</v>
      </c>
      <c r="E5" s="3">
        <v>1.3978191067917099E-7</v>
      </c>
      <c r="F5" s="3">
        <v>-1.7315028777480099</v>
      </c>
      <c r="G5" s="3">
        <v>-1.26785438778488</v>
      </c>
    </row>
    <row r="6" spans="1:7" x14ac:dyDescent="0.3">
      <c r="A6" s="3" t="s">
        <v>26</v>
      </c>
      <c r="B6" s="3">
        <v>-0.94501847818830298</v>
      </c>
      <c r="C6" s="3">
        <v>6.0450999707882098E-2</v>
      </c>
      <c r="D6" s="3">
        <v>-15.3047143728744</v>
      </c>
      <c r="E6" s="3">
        <v>9.4719661944392401E-8</v>
      </c>
      <c r="F6" s="3">
        <v>-1.0619349460713501</v>
      </c>
      <c r="G6" s="3">
        <v>-0.78843562209635198</v>
      </c>
    </row>
    <row r="7" spans="1:7" x14ac:dyDescent="0.3">
      <c r="A7" s="3" t="s">
        <v>25</v>
      </c>
      <c r="B7" s="3">
        <v>-1.07565711034427</v>
      </c>
      <c r="C7" s="3">
        <v>7.5829723693846995E-2</v>
      </c>
      <c r="D7" s="3">
        <v>-14.118467677208001</v>
      </c>
      <c r="E7" s="3">
        <v>1.90677161477196E-7</v>
      </c>
      <c r="F7" s="3">
        <v>-1.2421382555502301</v>
      </c>
      <c r="G7" s="3">
        <v>-0.89906075033614397</v>
      </c>
    </row>
    <row r="8" spans="1:7" x14ac:dyDescent="0.3">
      <c r="A8" s="3" t="s">
        <v>5</v>
      </c>
      <c r="B8" s="3">
        <v>-1.0301060798322601</v>
      </c>
      <c r="C8" s="3">
        <v>0.12981885847893401</v>
      </c>
      <c r="D8" s="3">
        <v>-7.8940198356568496</v>
      </c>
      <c r="E8" s="3">
        <v>2.4619519607896501E-5</v>
      </c>
      <c r="F8" s="3">
        <v>-1.31846330444944</v>
      </c>
      <c r="G8" s="3">
        <v>-0.73112198330062905</v>
      </c>
    </row>
    <row r="9" spans="1:7" x14ac:dyDescent="0.3">
      <c r="A9" s="3" t="s">
        <v>6</v>
      </c>
      <c r="B9" s="3">
        <v>-1.4075162526001099</v>
      </c>
      <c r="C9" s="3">
        <v>0.139477740347939</v>
      </c>
      <c r="D9" s="3">
        <v>-10.0147241378621</v>
      </c>
      <c r="E9" s="3">
        <v>3.5346780290981801E-6</v>
      </c>
      <c r="F9" s="3">
        <v>-1.71235166233596</v>
      </c>
      <c r="G9" s="3">
        <v>-1.0813105235779701</v>
      </c>
    </row>
    <row r="10" spans="1:7" x14ac:dyDescent="0.3">
      <c r="A10" s="3" t="s">
        <v>7</v>
      </c>
      <c r="B10" s="3">
        <v>-1.6216422891201301</v>
      </c>
      <c r="C10" s="3">
        <v>0.205937922986557</v>
      </c>
      <c r="D10" s="3">
        <v>-7.9162608149823104</v>
      </c>
      <c r="E10" s="3">
        <v>2.40737430590429E-5</v>
      </c>
      <c r="F10" s="3">
        <v>-2.09612225763316</v>
      </c>
      <c r="G10" s="3">
        <v>-1.1643943624815001</v>
      </c>
    </row>
    <row r="11" spans="1:7" x14ac:dyDescent="0.3">
      <c r="A11" s="3" t="s">
        <v>8</v>
      </c>
      <c r="B11" s="3">
        <v>-0.53652430994564804</v>
      </c>
      <c r="C11" s="3">
        <v>5.7085737152173098E-2</v>
      </c>
      <c r="D11" s="3">
        <v>-9.4808170056954992</v>
      </c>
      <c r="E11" s="3">
        <v>5.5668012055584698E-6</v>
      </c>
      <c r="F11" s="3">
        <v>-0.67035633676739004</v>
      </c>
      <c r="G11" s="3">
        <v>-0.41208251838258197</v>
      </c>
    </row>
    <row r="12" spans="1:7" x14ac:dyDescent="0.3">
      <c r="A12" s="3" t="s">
        <v>9</v>
      </c>
      <c r="B12" s="3">
        <v>-0.58277125268367203</v>
      </c>
      <c r="C12" s="3">
        <v>5.9079767422258199E-2</v>
      </c>
      <c r="D12" s="3">
        <v>-9.9098580777805605</v>
      </c>
      <c r="E12" s="3">
        <v>3.8581583903254697E-6</v>
      </c>
      <c r="F12" s="3">
        <v>-0.719119829473576</v>
      </c>
      <c r="G12" s="3">
        <v>-0.45182439137214903</v>
      </c>
    </row>
    <row r="13" spans="1:7" x14ac:dyDescent="0.3">
      <c r="A13" s="3" t="s">
        <v>10</v>
      </c>
      <c r="B13" s="3">
        <v>-0.71947138260508403</v>
      </c>
      <c r="C13" s="3">
        <v>3.8715664837132499E-2</v>
      </c>
      <c r="D13" s="3">
        <v>-18.524414727943199</v>
      </c>
      <c r="E13" s="3">
        <v>1.7830586432798201E-8</v>
      </c>
      <c r="F13" s="3">
        <v>-0.80476595043490395</v>
      </c>
      <c r="G13" s="3">
        <v>-0.62960411338727595</v>
      </c>
    </row>
    <row r="14" spans="1:7" x14ac:dyDescent="0.3">
      <c r="A14" s="3" t="s">
        <v>11</v>
      </c>
      <c r="B14" s="3">
        <v>-1.02268425869302</v>
      </c>
      <c r="C14" s="3">
        <v>8.2361177296905397E-2</v>
      </c>
      <c r="D14" s="3">
        <v>-12.0900501236602</v>
      </c>
      <c r="E14" s="3">
        <v>7.2246305190009795E-7</v>
      </c>
      <c r="F14" s="3">
        <v>-1.1820646889219399</v>
      </c>
      <c r="G14" s="3">
        <v>-0.80943683460456295</v>
      </c>
    </row>
    <row r="15" spans="1:7" x14ac:dyDescent="0.3">
      <c r="A15" s="3" t="s">
        <v>12</v>
      </c>
      <c r="B15" s="3">
        <v>-0.81079323871487197</v>
      </c>
      <c r="C15" s="3">
        <v>8.5952485005854298E-2</v>
      </c>
      <c r="D15" s="3">
        <v>-9.4742319200950593</v>
      </c>
      <c r="E15" s="3">
        <v>5.5988177942765101E-6</v>
      </c>
      <c r="F15" s="3">
        <v>-1.00877180667026</v>
      </c>
      <c r="G15" s="3">
        <v>-0.61989574743765896</v>
      </c>
    </row>
    <row r="16" spans="1:7" x14ac:dyDescent="0.3">
      <c r="A16" s="3" t="s">
        <v>13</v>
      </c>
      <c r="B16" s="3">
        <v>-1.3904913497439999</v>
      </c>
      <c r="C16" s="3">
        <v>0.13551588823536001</v>
      </c>
      <c r="D16" s="3">
        <v>-10.1379312336233</v>
      </c>
      <c r="E16" s="3">
        <v>3.19226480057897E-6</v>
      </c>
      <c r="F16" s="3">
        <v>-1.6804089932380399</v>
      </c>
      <c r="G16" s="3">
        <v>-1.06729251874888</v>
      </c>
    </row>
    <row r="17" spans="1:7" x14ac:dyDescent="0.3">
      <c r="A17" s="3" t="s">
        <v>14</v>
      </c>
      <c r="B17" s="3">
        <v>-2.1660399744893502</v>
      </c>
      <c r="C17" s="3">
        <v>0.34588760330247598</v>
      </c>
      <c r="D17" s="3">
        <v>-6.1965412522303298</v>
      </c>
      <c r="E17" s="3">
        <v>1.5952696889358001E-4</v>
      </c>
      <c r="F17" s="3">
        <v>-2.9257589218326698</v>
      </c>
      <c r="G17" s="3">
        <v>-1.3608546831650701</v>
      </c>
    </row>
    <row r="18" spans="1:7" x14ac:dyDescent="0.3">
      <c r="A18" s="3" t="s">
        <v>15</v>
      </c>
      <c r="B18" s="3">
        <v>-0.57603562801806196</v>
      </c>
      <c r="C18" s="3">
        <v>9.0309917867429701E-2</v>
      </c>
      <c r="D18" s="3">
        <v>-6.5074619704546404</v>
      </c>
      <c r="E18" s="3">
        <v>1.10488190214119E-4</v>
      </c>
      <c r="F18" s="3">
        <v>-0.79198358365270405</v>
      </c>
      <c r="G18" s="3">
        <v>-0.38339312850165702</v>
      </c>
    </row>
    <row r="19" spans="1:7" x14ac:dyDescent="0.3">
      <c r="A19" s="3" t="s">
        <v>16</v>
      </c>
      <c r="B19" s="3">
        <v>-0.52892439215107301</v>
      </c>
      <c r="C19" s="3">
        <v>6.5387942791659395E-2</v>
      </c>
      <c r="D19" s="3">
        <v>-7.8229790465250604</v>
      </c>
      <c r="E19" s="3">
        <v>2.6455747630807899E-5</v>
      </c>
      <c r="F19" s="3">
        <v>-0.65944630950132199</v>
      </c>
      <c r="G19" s="3">
        <v>-0.36361070320773903</v>
      </c>
    </row>
    <row r="20" spans="1:7" x14ac:dyDescent="0.3">
      <c r="A20" s="3" t="s">
        <v>17</v>
      </c>
      <c r="B20" s="3">
        <v>-0.52702850261561396</v>
      </c>
      <c r="C20" s="3">
        <v>2.74459843717729E-2</v>
      </c>
      <c r="D20" s="3">
        <v>-19.014130960875999</v>
      </c>
      <c r="E20" s="3">
        <v>1.4173883629994099E-8</v>
      </c>
      <c r="F20" s="3">
        <v>-0.58394867133169803</v>
      </c>
      <c r="G20" s="3">
        <v>-0.45977441105839101</v>
      </c>
    </row>
    <row r="21" spans="1:7" x14ac:dyDescent="0.3">
      <c r="A21" s="3" t="s">
        <v>18</v>
      </c>
      <c r="B21" s="3">
        <v>-1.52760392501248</v>
      </c>
      <c r="C21" s="3">
        <v>0.13897105360451101</v>
      </c>
      <c r="D21" s="3">
        <v>-10.732588382588199</v>
      </c>
      <c r="E21" s="3">
        <v>1.98061603297255E-6</v>
      </c>
      <c r="F21" s="3">
        <v>-1.80589347976488</v>
      </c>
      <c r="G21" s="3">
        <v>-1.17714475109876</v>
      </c>
    </row>
    <row r="22" spans="1:7" x14ac:dyDescent="0.3">
      <c r="A22" s="3" t="s">
        <v>19</v>
      </c>
      <c r="B22" s="3">
        <v>-0.83612033855998502</v>
      </c>
      <c r="C22" s="3">
        <v>0.42249776065635303</v>
      </c>
      <c r="D22" s="3">
        <v>-1.96550590058053</v>
      </c>
      <c r="E22" s="3">
        <v>8.0924920381673704E-2</v>
      </c>
      <c r="F22" s="3">
        <v>-1.7861781770870899</v>
      </c>
      <c r="G22" s="3">
        <v>0.12533449398284799</v>
      </c>
    </row>
    <row r="23" spans="1:7" x14ac:dyDescent="0.3">
      <c r="A23" s="3" t="s">
        <v>20</v>
      </c>
      <c r="B23" s="3">
        <v>-1.6001173391912</v>
      </c>
      <c r="C23" s="3">
        <v>0.14310951294836</v>
      </c>
      <c r="D23" s="3">
        <v>-10.9301843414296</v>
      </c>
      <c r="E23" s="3">
        <v>1.6987020831407701E-6</v>
      </c>
      <c r="F23" s="3">
        <v>-1.8879495673184801</v>
      </c>
      <c r="G23" s="3">
        <v>-1.2404771477570899</v>
      </c>
    </row>
    <row r="24" spans="1:7" x14ac:dyDescent="0.3">
      <c r="A24" s="3" t="s">
        <v>21</v>
      </c>
      <c r="B24" s="3">
        <v>-1.39755782045907</v>
      </c>
      <c r="C24" s="3">
        <v>0.111396366432383</v>
      </c>
      <c r="D24" s="3">
        <v>-12.386854964553001</v>
      </c>
      <c r="E24" s="3">
        <v>5.8736626440664802E-7</v>
      </c>
      <c r="F24" s="3">
        <v>-1.63184672281084</v>
      </c>
      <c r="G24" s="3">
        <v>-1.12785454634142</v>
      </c>
    </row>
    <row r="25" spans="1:7" x14ac:dyDescent="0.3">
      <c r="A25" s="3" t="s">
        <v>22</v>
      </c>
      <c r="B25" s="3">
        <v>-1.1788745227473101</v>
      </c>
      <c r="C25" s="3">
        <v>0.111938806837402</v>
      </c>
      <c r="D25" s="3">
        <v>-10.375204811876801</v>
      </c>
      <c r="E25" s="3">
        <v>2.6312394799106901E-6</v>
      </c>
      <c r="F25" s="3">
        <v>-1.4146112210174699</v>
      </c>
      <c r="G25" s="3">
        <v>-0.90816487365284204</v>
      </c>
    </row>
    <row r="26" spans="1:7" x14ac:dyDescent="0.3">
      <c r="A26" s="3" t="s">
        <v>23</v>
      </c>
      <c r="B26" s="3">
        <v>-0.47498173216436002</v>
      </c>
      <c r="C26" s="3">
        <v>0.10134110985362201</v>
      </c>
      <c r="D26" s="3">
        <v>-4.8171967870930503</v>
      </c>
      <c r="E26" s="3">
        <v>9.5067805668044804E-4</v>
      </c>
      <c r="F26" s="3">
        <v>-0.71742958632860498</v>
      </c>
      <c r="G26" s="3">
        <v>-0.25893055124602199</v>
      </c>
    </row>
    <row r="27" spans="1:7" x14ac:dyDescent="0.3">
      <c r="A27" s="3" t="s">
        <v>24</v>
      </c>
      <c r="B27" s="3">
        <v>-0.92763206000377596</v>
      </c>
      <c r="C27" s="3">
        <v>0.154677380630416</v>
      </c>
      <c r="D27" s="3">
        <v>-5.9679244064544301</v>
      </c>
      <c r="E27" s="3">
        <v>2.1063802973090101E-4</v>
      </c>
      <c r="F27" s="3">
        <v>-1.2730074595066601</v>
      </c>
      <c r="G27" s="3">
        <v>-0.57319837047474098</v>
      </c>
    </row>
    <row r="28" spans="1:7" x14ac:dyDescent="0.3">
      <c r="A28" s="3" t="s">
        <v>39</v>
      </c>
      <c r="B28" s="3">
        <v>0.40393846470533601</v>
      </c>
      <c r="C28" s="3">
        <v>0.18047316860680301</v>
      </c>
      <c r="D28" s="3">
        <v>0.95019247439174304</v>
      </c>
      <c r="E28" s="3">
        <v>0.36683134844460902</v>
      </c>
      <c r="F28" s="3">
        <v>-0.23677442441695101</v>
      </c>
      <c r="G28" s="3">
        <v>0.57974291769658504</v>
      </c>
    </row>
    <row r="29" spans="1:7" x14ac:dyDescent="0.3">
      <c r="A29" s="3" t="s">
        <v>39</v>
      </c>
      <c r="B29" s="3">
        <v>1.61755060940589</v>
      </c>
      <c r="C29" s="3">
        <v>0.348286529548122</v>
      </c>
      <c r="D29" s="3">
        <v>4.81318942155045</v>
      </c>
      <c r="E29" s="3">
        <v>9.5599463536777895E-4</v>
      </c>
      <c r="F29" s="3">
        <v>0.88849017216612503</v>
      </c>
      <c r="G29" s="3">
        <v>2.46424790721295</v>
      </c>
    </row>
    <row r="30" spans="1:7" x14ac:dyDescent="0.3">
      <c r="A30" s="3" t="s">
        <v>39</v>
      </c>
      <c r="B30" s="3">
        <v>2.4024105994670799E-3</v>
      </c>
      <c r="C30" s="3">
        <v>3.47529214796145E-3</v>
      </c>
      <c r="D30" s="3">
        <v>0.218050070226777</v>
      </c>
      <c r="E30" s="3">
        <v>0.83225384098979005</v>
      </c>
      <c r="F30" s="3">
        <v>-7.10386932840579E-3</v>
      </c>
      <c r="G30" s="3">
        <v>8.6194447222489208E-3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71A05-95BC-4736-B554-D9993F15A4F2}">
  <dimension ref="A1:G27"/>
  <sheetViews>
    <sheetView workbookViewId="0">
      <selection sqref="A1:G27"/>
    </sheetView>
  </sheetViews>
  <sheetFormatPr defaultColWidth="11.5546875" defaultRowHeight="14.4" x14ac:dyDescent="0.3"/>
  <cols>
    <col min="1" max="1" width="17.21875" customWidth="1"/>
  </cols>
  <sheetData>
    <row r="1" spans="1:7" x14ac:dyDescent="0.3">
      <c r="A1" s="3" t="s">
        <v>37</v>
      </c>
      <c r="B1" s="3" t="s">
        <v>30</v>
      </c>
      <c r="C1" s="3" t="s">
        <v>31</v>
      </c>
      <c r="D1" s="3" t="s">
        <v>32</v>
      </c>
      <c r="E1" s="3" t="s">
        <v>33</v>
      </c>
      <c r="F1" s="3" t="s">
        <v>34</v>
      </c>
      <c r="G1" s="3" t="s">
        <v>35</v>
      </c>
    </row>
    <row r="2" spans="1:7" x14ac:dyDescent="0.3">
      <c r="A2" s="3" t="s">
        <v>1</v>
      </c>
      <c r="B2" s="3">
        <v>-0.68602943416995599</v>
      </c>
      <c r="C2" s="3">
        <v>8.0635037186269298E-2</v>
      </c>
      <c r="D2" s="3">
        <v>-8.5078330476267805</v>
      </c>
      <c r="E2" s="3">
        <v>1.34931131924825E-5</v>
      </c>
      <c r="F2" s="3">
        <v>-0.86843856111337503</v>
      </c>
      <c r="G2" s="3">
        <v>-0.50362030722653806</v>
      </c>
    </row>
    <row r="3" spans="1:7" x14ac:dyDescent="0.3">
      <c r="A3" s="3" t="s">
        <v>2</v>
      </c>
      <c r="B3" s="3">
        <v>-0.74015230759494599</v>
      </c>
      <c r="C3" s="3">
        <v>9.4411981683629007E-2</v>
      </c>
      <c r="D3" s="3">
        <v>-7.8396014403676801</v>
      </c>
      <c r="E3" s="3">
        <v>2.60130184722503E-5</v>
      </c>
      <c r="F3" s="3">
        <v>-0.95372704821454002</v>
      </c>
      <c r="G3" s="3">
        <v>-0.52657756697535096</v>
      </c>
    </row>
    <row r="4" spans="1:7" x14ac:dyDescent="0.3">
      <c r="A4" s="3" t="s">
        <v>3</v>
      </c>
      <c r="B4" s="3">
        <v>-2.02464139941014</v>
      </c>
      <c r="C4" s="3">
        <v>0.159778821269735</v>
      </c>
      <c r="D4" s="3">
        <v>-12.6715254457422</v>
      </c>
      <c r="E4" s="3">
        <v>4.83593539550033E-7</v>
      </c>
      <c r="F4" s="3">
        <v>-2.3860862044089202</v>
      </c>
      <c r="G4" s="3">
        <v>-1.66319659441135</v>
      </c>
    </row>
    <row r="5" spans="1:7" x14ac:dyDescent="0.3">
      <c r="A5" s="3" t="s">
        <v>4</v>
      </c>
      <c r="B5" s="3">
        <v>-1.7922398739029</v>
      </c>
      <c r="C5" s="3">
        <v>0.13122033924717999</v>
      </c>
      <c r="D5" s="3">
        <v>-13.6582475261465</v>
      </c>
      <c r="E5" s="3">
        <v>2.5384976997878799E-7</v>
      </c>
      <c r="F5" s="3">
        <v>-2.0890809042357201</v>
      </c>
      <c r="G5" s="3">
        <v>-1.49539884357009</v>
      </c>
    </row>
    <row r="6" spans="1:7" x14ac:dyDescent="0.3">
      <c r="A6" s="3" t="s">
        <v>26</v>
      </c>
      <c r="B6" s="3">
        <v>-1.039658019165</v>
      </c>
      <c r="C6" s="3">
        <v>9.7164807092031E-2</v>
      </c>
      <c r="D6" s="3">
        <v>-10.699944252246301</v>
      </c>
      <c r="E6" s="3">
        <v>2.0319799562029202E-6</v>
      </c>
      <c r="F6" s="3">
        <v>-1.2594600835001499</v>
      </c>
      <c r="G6" s="3">
        <v>-0.81985595482985796</v>
      </c>
    </row>
    <row r="7" spans="1:7" x14ac:dyDescent="0.3">
      <c r="A7" s="3" t="s">
        <v>25</v>
      </c>
      <c r="B7" s="3">
        <v>-1.2746966554175501</v>
      </c>
      <c r="C7" s="3">
        <v>6.5361764126705593E-2</v>
      </c>
      <c r="D7" s="3">
        <v>-19.502176424530401</v>
      </c>
      <c r="E7" s="3">
        <v>1.1338726488980001E-8</v>
      </c>
      <c r="F7" s="3">
        <v>-1.42255523830991</v>
      </c>
      <c r="G7" s="3">
        <v>-1.1268380725252001</v>
      </c>
    </row>
    <row r="8" spans="1:7" x14ac:dyDescent="0.3">
      <c r="A8" s="3" t="s">
        <v>5</v>
      </c>
      <c r="B8" s="3">
        <v>-1.18399855662465</v>
      </c>
      <c r="C8" s="3">
        <v>0.133662157307294</v>
      </c>
      <c r="D8" s="3">
        <v>-8.8581434003238098</v>
      </c>
      <c r="E8" s="3">
        <v>9.7212371972748092E-6</v>
      </c>
      <c r="F8" s="3">
        <v>-1.4863633631724</v>
      </c>
      <c r="G8" s="3">
        <v>-0.88163375007689104</v>
      </c>
    </row>
    <row r="9" spans="1:7" x14ac:dyDescent="0.3">
      <c r="A9" s="3" t="s">
        <v>6</v>
      </c>
      <c r="B9" s="3">
        <v>-1.5849396832668901</v>
      </c>
      <c r="C9" s="3">
        <v>0.14513723885008201</v>
      </c>
      <c r="D9" s="3">
        <v>-10.9202827325662</v>
      </c>
      <c r="E9" s="3">
        <v>1.71172354240193E-6</v>
      </c>
      <c r="F9" s="3">
        <v>-1.9132629277203601</v>
      </c>
      <c r="G9" s="3">
        <v>-1.25661643881342</v>
      </c>
    </row>
    <row r="10" spans="1:7" x14ac:dyDescent="0.3">
      <c r="A10" s="3" t="s">
        <v>7</v>
      </c>
      <c r="B10" s="3">
        <v>-1.8938419230832499</v>
      </c>
      <c r="C10" s="3">
        <v>0.234770840910489</v>
      </c>
      <c r="D10" s="3">
        <v>-8.0667680694014194</v>
      </c>
      <c r="E10" s="3">
        <v>2.0711477039501199E-5</v>
      </c>
      <c r="F10" s="3">
        <v>-2.42493046246507</v>
      </c>
      <c r="G10" s="3">
        <v>-1.3627533837014301</v>
      </c>
    </row>
    <row r="11" spans="1:7" x14ac:dyDescent="0.3">
      <c r="A11" s="3" t="s">
        <v>8</v>
      </c>
      <c r="B11" s="3">
        <v>-0.734600687282701</v>
      </c>
      <c r="C11" s="3">
        <v>8.6036301774082294E-2</v>
      </c>
      <c r="D11" s="3">
        <v>-8.5382643388327608</v>
      </c>
      <c r="E11" s="3">
        <v>1.3108631328789799E-5</v>
      </c>
      <c r="F11" s="3">
        <v>-0.92922832360160901</v>
      </c>
      <c r="G11" s="3">
        <v>-0.539973050963793</v>
      </c>
    </row>
    <row r="12" spans="1:7" x14ac:dyDescent="0.3">
      <c r="A12" s="3" t="s">
        <v>9</v>
      </c>
      <c r="B12" s="3">
        <v>-0.818995523351293</v>
      </c>
      <c r="C12" s="3">
        <v>0.101102927879743</v>
      </c>
      <c r="D12" s="3">
        <v>-8.1006113326950508</v>
      </c>
      <c r="E12" s="3">
        <v>2.0028630664924599E-5</v>
      </c>
      <c r="F12" s="3">
        <v>-1.0477062358343201</v>
      </c>
      <c r="G12" s="3">
        <v>-0.59028481086826301</v>
      </c>
    </row>
    <row r="13" spans="1:7" x14ac:dyDescent="0.3">
      <c r="A13" s="3" t="s">
        <v>10</v>
      </c>
      <c r="B13" s="3">
        <v>-1.0032447513567</v>
      </c>
      <c r="C13" s="3">
        <v>0.104029127924561</v>
      </c>
      <c r="D13" s="3">
        <v>-9.6438831255437201</v>
      </c>
      <c r="E13" s="3">
        <v>4.8349031945516696E-6</v>
      </c>
      <c r="F13" s="3">
        <v>-1.2385749882309001</v>
      </c>
      <c r="G13" s="3">
        <v>-0.76791451448250603</v>
      </c>
    </row>
    <row r="14" spans="1:7" x14ac:dyDescent="0.3">
      <c r="A14" s="3" t="s">
        <v>11</v>
      </c>
      <c r="B14" s="3">
        <v>-1.2519628396962299</v>
      </c>
      <c r="C14" s="3">
        <v>9.0236449728195098E-2</v>
      </c>
      <c r="D14" s="3">
        <v>-13.8742475293223</v>
      </c>
      <c r="E14" s="3">
        <v>2.2170543078441599E-7</v>
      </c>
      <c r="F14" s="3">
        <v>-1.45609187079434</v>
      </c>
      <c r="G14" s="3">
        <v>-1.04783380859811</v>
      </c>
    </row>
    <row r="15" spans="1:7" x14ac:dyDescent="0.3">
      <c r="A15" s="3" t="s">
        <v>12</v>
      </c>
      <c r="B15" s="3">
        <v>-1.06253183574225</v>
      </c>
      <c r="C15" s="3">
        <v>0.14005283438664401</v>
      </c>
      <c r="D15" s="3">
        <v>-7.5866499981636997</v>
      </c>
      <c r="E15" s="3">
        <v>3.3731535437046798E-5</v>
      </c>
      <c r="F15" s="3">
        <v>-1.37935335822019</v>
      </c>
      <c r="G15" s="3">
        <v>-0.74571031326431603</v>
      </c>
    </row>
    <row r="16" spans="1:7" x14ac:dyDescent="0.3">
      <c r="A16" s="3" t="s">
        <v>13</v>
      </c>
      <c r="B16" s="3">
        <v>-1.6490114367041</v>
      </c>
      <c r="C16" s="3">
        <v>0.1469610057312</v>
      </c>
      <c r="D16" s="3">
        <v>-11.2207413694503</v>
      </c>
      <c r="E16" s="3">
        <v>1.3612909603377701E-6</v>
      </c>
      <c r="F16" s="3">
        <v>-1.98146032847097</v>
      </c>
      <c r="G16" s="3">
        <v>-1.31656254493724</v>
      </c>
    </row>
    <row r="17" spans="1:7" x14ac:dyDescent="0.3">
      <c r="A17" s="3" t="s">
        <v>14</v>
      </c>
      <c r="B17" s="3">
        <v>-2.31060822109347</v>
      </c>
      <c r="C17" s="3">
        <v>0.30037997702170399</v>
      </c>
      <c r="D17" s="3">
        <v>-7.6922844325489796</v>
      </c>
      <c r="E17" s="3">
        <v>3.0238981895011602E-5</v>
      </c>
      <c r="F17" s="3">
        <v>-2.9901149376742802</v>
      </c>
      <c r="G17" s="3">
        <v>-1.63110150451267</v>
      </c>
    </row>
    <row r="18" spans="1:7" x14ac:dyDescent="0.3">
      <c r="A18" s="3" t="s">
        <v>15</v>
      </c>
      <c r="B18" s="3">
        <v>-0.63039029732847296</v>
      </c>
      <c r="C18" s="3">
        <v>6.8422949172690206E-2</v>
      </c>
      <c r="D18" s="3">
        <v>-9.2131412771678995</v>
      </c>
      <c r="E18" s="3">
        <v>7.0473801833391201E-6</v>
      </c>
      <c r="F18" s="3">
        <v>-0.78517376189925203</v>
      </c>
      <c r="G18" s="3">
        <v>-0.475606832757695</v>
      </c>
    </row>
    <row r="19" spans="1:7" x14ac:dyDescent="0.3">
      <c r="A19" s="3" t="s">
        <v>16</v>
      </c>
      <c r="B19" s="3">
        <v>-0.49917409175785799</v>
      </c>
      <c r="C19" s="3">
        <v>4.9198451950983303E-2</v>
      </c>
      <c r="D19" s="3">
        <v>-10.1461341152601</v>
      </c>
      <c r="E19" s="3">
        <v>3.1708017843739501E-6</v>
      </c>
      <c r="F19" s="3">
        <v>-0.61046872223735904</v>
      </c>
      <c r="G19" s="3">
        <v>-0.38787946127835798</v>
      </c>
    </row>
    <row r="20" spans="1:7" x14ac:dyDescent="0.3">
      <c r="A20" s="3" t="s">
        <v>17</v>
      </c>
      <c r="B20" s="3">
        <v>-0.67246760926448101</v>
      </c>
      <c r="C20" s="3">
        <v>4.7410174176853302E-2</v>
      </c>
      <c r="D20" s="3">
        <v>-14.1840358307056</v>
      </c>
      <c r="E20" s="3">
        <v>1.8318795705836699E-7</v>
      </c>
      <c r="F20" s="3">
        <v>-0.77971687436815995</v>
      </c>
      <c r="G20" s="3">
        <v>-0.56521834416080197</v>
      </c>
    </row>
    <row r="21" spans="1:7" x14ac:dyDescent="0.3">
      <c r="A21" s="3" t="s">
        <v>18</v>
      </c>
      <c r="B21" s="3">
        <v>-1.80577643018178</v>
      </c>
      <c r="C21" s="3">
        <v>0.16577580674752199</v>
      </c>
      <c r="D21" s="3">
        <v>-10.892882777111099</v>
      </c>
      <c r="E21" s="3">
        <v>1.7483346043758201E-6</v>
      </c>
      <c r="F21" s="3">
        <v>-2.1807873588343401</v>
      </c>
      <c r="G21" s="3">
        <v>-1.43076550152922</v>
      </c>
    </row>
    <row r="22" spans="1:7" x14ac:dyDescent="0.3">
      <c r="A22" s="3" t="s">
        <v>19</v>
      </c>
      <c r="B22" s="3">
        <v>-1.0766642130533199</v>
      </c>
      <c r="C22" s="3">
        <v>0.36592888257106798</v>
      </c>
      <c r="D22" s="3">
        <v>-2.94227721378134</v>
      </c>
      <c r="E22" s="3">
        <v>1.6425816136227601E-2</v>
      </c>
      <c r="F22" s="3">
        <v>-1.9044528558362099</v>
      </c>
      <c r="G22" s="3">
        <v>-0.248875570270436</v>
      </c>
    </row>
    <row r="23" spans="1:7" x14ac:dyDescent="0.3">
      <c r="A23" s="3" t="s">
        <v>20</v>
      </c>
      <c r="B23" s="3">
        <v>-1.8489277231371299</v>
      </c>
      <c r="C23" s="3">
        <v>0.158605950994889</v>
      </c>
      <c r="D23" s="3">
        <v>-11.6573666469597</v>
      </c>
      <c r="E23" s="3">
        <v>9.8510624271209307E-7</v>
      </c>
      <c r="F23" s="3">
        <v>-2.2077193112426401</v>
      </c>
      <c r="G23" s="3">
        <v>-1.49013613503163</v>
      </c>
    </row>
    <row r="24" spans="1:7" x14ac:dyDescent="0.3">
      <c r="A24" s="3" t="s">
        <v>21</v>
      </c>
      <c r="B24" s="3">
        <v>-1.65382092616869</v>
      </c>
      <c r="C24" s="3">
        <v>0.12621505333222399</v>
      </c>
      <c r="D24" s="3">
        <v>-13.103198727139899</v>
      </c>
      <c r="E24" s="3">
        <v>3.6280273001230098E-7</v>
      </c>
      <c r="F24" s="3">
        <v>-1.9393392131171401</v>
      </c>
      <c r="G24" s="3">
        <v>-1.36830263922024</v>
      </c>
    </row>
    <row r="25" spans="1:7" x14ac:dyDescent="0.3">
      <c r="A25" s="3" t="s">
        <v>22</v>
      </c>
      <c r="B25" s="3">
        <v>-1.4170496102576999</v>
      </c>
      <c r="C25" s="3">
        <v>0.148965986928393</v>
      </c>
      <c r="D25" s="3">
        <v>-9.5125715572835201</v>
      </c>
      <c r="E25" s="3">
        <v>5.4152151140347104E-6</v>
      </c>
      <c r="F25" s="3">
        <v>-1.75403408460107</v>
      </c>
      <c r="G25" s="3">
        <v>-1.0800651359143301</v>
      </c>
    </row>
    <row r="26" spans="1:7" x14ac:dyDescent="0.3">
      <c r="A26" s="3" t="s">
        <v>23</v>
      </c>
      <c r="B26" s="3">
        <v>-0.645195741987445</v>
      </c>
      <c r="C26" s="3">
        <v>8.6633788024013905E-2</v>
      </c>
      <c r="D26" s="3">
        <v>-7.4473915628461702</v>
      </c>
      <c r="E26" s="3">
        <v>3.9028701276067903E-5</v>
      </c>
      <c r="F26" s="3">
        <v>-0.84117498610630903</v>
      </c>
      <c r="G26" s="3">
        <v>-0.44921649786857998</v>
      </c>
    </row>
    <row r="27" spans="1:7" x14ac:dyDescent="0.3">
      <c r="A27" s="3" t="s">
        <v>24</v>
      </c>
      <c r="B27" s="3">
        <v>-1.1043438900201801</v>
      </c>
      <c r="C27" s="3">
        <v>0.16743213102649801</v>
      </c>
      <c r="D27" s="3">
        <v>-6.5957703772247296</v>
      </c>
      <c r="E27" s="3">
        <v>9.9759895200627593E-5</v>
      </c>
      <c r="F27" s="3">
        <v>-1.4831016845043401</v>
      </c>
      <c r="G27" s="3">
        <v>-0.72558609553602404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30FFD-30CD-42CC-A54A-17535CDD183F}">
  <dimension ref="A1:G28"/>
  <sheetViews>
    <sheetView workbookViewId="0">
      <selection activeCell="G28" sqref="A1:G28"/>
    </sheetView>
  </sheetViews>
  <sheetFormatPr defaultColWidth="11.5546875" defaultRowHeight="14.4" x14ac:dyDescent="0.3"/>
  <cols>
    <col min="1" max="1" width="16.21875" customWidth="1"/>
  </cols>
  <sheetData>
    <row r="1" spans="1:7" x14ac:dyDescent="0.3">
      <c r="A1" s="3" t="s">
        <v>36</v>
      </c>
      <c r="B1" s="3" t="s">
        <v>30</v>
      </c>
      <c r="C1" s="3" t="s">
        <v>31</v>
      </c>
      <c r="D1" s="3" t="s">
        <v>32</v>
      </c>
      <c r="E1" s="3" t="s">
        <v>33</v>
      </c>
      <c r="F1" s="3" t="s">
        <v>34</v>
      </c>
      <c r="G1" s="3" t="s">
        <v>35</v>
      </c>
    </row>
    <row r="2" spans="1:7" x14ac:dyDescent="0.3">
      <c r="A2" s="3" t="s">
        <v>38</v>
      </c>
      <c r="B2" s="3">
        <v>6.8442564552467502</v>
      </c>
      <c r="C2" s="3">
        <v>3.1906124345812303E-2</v>
      </c>
      <c r="D2" s="3">
        <v>214.50571088146901</v>
      </c>
      <c r="E2" s="3">
        <v>5.2914369015886698E-18</v>
      </c>
      <c r="F2" s="3">
        <v>6.7718692165450198</v>
      </c>
      <c r="G2" s="3">
        <v>6.9162225519970404</v>
      </c>
    </row>
    <row r="3" spans="1:7" x14ac:dyDescent="0.3">
      <c r="A3" s="3" t="s">
        <v>1</v>
      </c>
      <c r="B3" s="3">
        <v>-0.96096594040446104</v>
      </c>
      <c r="C3" s="3">
        <v>4.6134177590189597E-2</v>
      </c>
      <c r="D3" s="3">
        <v>-20.8252410601775</v>
      </c>
      <c r="E3" s="3">
        <v>6.3542331518881399E-9</v>
      </c>
      <c r="F3" s="3">
        <v>-1.0651181297141901</v>
      </c>
      <c r="G3" s="3">
        <v>-0.85639260914328297</v>
      </c>
    </row>
    <row r="4" spans="1:7" x14ac:dyDescent="0.3">
      <c r="A4" s="3" t="s">
        <v>2</v>
      </c>
      <c r="B4" s="3">
        <v>-0.43402255419591801</v>
      </c>
      <c r="C4" s="3">
        <v>5.9074291114912997E-2</v>
      </c>
      <c r="D4" s="3">
        <v>-7.34349875441296</v>
      </c>
      <c r="E4" s="3">
        <v>4.3573754109954601E-5</v>
      </c>
      <c r="F4" s="3">
        <v>-0.56744731400301895</v>
      </c>
      <c r="G4" s="3">
        <v>-0.30017665243736602</v>
      </c>
    </row>
    <row r="5" spans="1:7" x14ac:dyDescent="0.3">
      <c r="A5" s="3" t="s">
        <v>3</v>
      </c>
      <c r="B5" s="3">
        <v>-1.0065367748427301</v>
      </c>
      <c r="C5" s="3">
        <v>0.100975974087057</v>
      </c>
      <c r="D5" s="3">
        <v>-9.9659964953583504</v>
      </c>
      <c r="E5" s="3">
        <v>3.68111074075098E-6</v>
      </c>
      <c r="F5" s="3">
        <v>-1.2347497269185601</v>
      </c>
      <c r="G5" s="3">
        <v>-0.77790268081544101</v>
      </c>
    </row>
    <row r="6" spans="1:7" x14ac:dyDescent="0.3">
      <c r="A6" s="3" t="s">
        <v>4</v>
      </c>
      <c r="B6" s="3">
        <v>-2.5722879220431598</v>
      </c>
      <c r="C6" s="3">
        <v>9.7999408696419599E-2</v>
      </c>
      <c r="D6" s="3">
        <v>-26.245845615611401</v>
      </c>
      <c r="E6" s="3">
        <v>8.1707372801826305E-10</v>
      </c>
      <c r="F6" s="3">
        <v>-2.7937674154000298</v>
      </c>
      <c r="G6" s="3">
        <v>-2.3503872867348399</v>
      </c>
    </row>
    <row r="7" spans="1:7" x14ac:dyDescent="0.3">
      <c r="A7" s="3" t="s">
        <v>26</v>
      </c>
      <c r="B7" s="3">
        <v>0.25487109150482601</v>
      </c>
      <c r="C7" s="3">
        <v>4.1971261474621997E-2</v>
      </c>
      <c r="D7" s="3">
        <v>6.0775314707847796</v>
      </c>
      <c r="E7" s="3">
        <v>1.8420438500469299E-4</v>
      </c>
      <c r="F7" s="3">
        <v>0.16013607270406</v>
      </c>
      <c r="G7" s="3">
        <v>0.35002725225704501</v>
      </c>
    </row>
    <row r="8" spans="1:7" x14ac:dyDescent="0.3">
      <c r="A8" s="3" t="s">
        <v>25</v>
      </c>
      <c r="B8" s="3">
        <v>-0.90108037982635403</v>
      </c>
      <c r="C8" s="3">
        <v>5.2004302980971799E-2</v>
      </c>
      <c r="D8" s="3">
        <v>-17.3229859302268</v>
      </c>
      <c r="E8" s="3">
        <v>3.2118410987055701E-8</v>
      </c>
      <c r="F8" s="3">
        <v>-1.01851171533536</v>
      </c>
      <c r="G8" s="3">
        <v>-0.78322790236589501</v>
      </c>
    </row>
    <row r="9" spans="1:7" x14ac:dyDescent="0.3">
      <c r="A9" s="3" t="s">
        <v>5</v>
      </c>
      <c r="B9" s="3">
        <v>-1.6094098412137801</v>
      </c>
      <c r="C9" s="3">
        <v>9.3211767983874094E-2</v>
      </c>
      <c r="D9" s="3">
        <v>-17.2639067474447</v>
      </c>
      <c r="E9" s="3">
        <v>3.3094231478898303E-8</v>
      </c>
      <c r="F9" s="3">
        <v>-1.82005893883986</v>
      </c>
      <c r="G9" s="3">
        <v>-1.3983396016362499</v>
      </c>
    </row>
    <row r="10" spans="1:7" x14ac:dyDescent="0.3">
      <c r="A10" s="3" t="s">
        <v>6</v>
      </c>
      <c r="B10" s="3">
        <v>-2.23730001977715</v>
      </c>
      <c r="C10" s="3">
        <v>0.10404638155745</v>
      </c>
      <c r="D10" s="3">
        <v>-21.500886578801399</v>
      </c>
      <c r="E10" s="3">
        <v>4.7918432031348297E-9</v>
      </c>
      <c r="F10" s="3">
        <v>-2.4724587161048501</v>
      </c>
      <c r="G10" s="3">
        <v>-2.0017201814980101</v>
      </c>
    </row>
    <row r="11" spans="1:7" x14ac:dyDescent="0.3">
      <c r="A11" s="3" t="s">
        <v>7</v>
      </c>
      <c r="B11" s="3">
        <v>-1.8172437292560599</v>
      </c>
      <c r="C11" s="3">
        <v>0.17431001310771399</v>
      </c>
      <c r="D11" s="3">
        <v>-10.424146759472199</v>
      </c>
      <c r="E11" s="3">
        <v>2.5296005577981402E-6</v>
      </c>
      <c r="F11" s="3">
        <v>-2.2113498029794001</v>
      </c>
      <c r="G11" s="3">
        <v>-1.42271651358127</v>
      </c>
    </row>
    <row r="12" spans="1:7" x14ac:dyDescent="0.3">
      <c r="A12" s="3" t="s">
        <v>8</v>
      </c>
      <c r="B12" s="3">
        <v>1.17878238242509</v>
      </c>
      <c r="C12" s="3">
        <v>6.0309902699858198E-2</v>
      </c>
      <c r="D12" s="3">
        <v>19.548911548875601</v>
      </c>
      <c r="E12" s="3">
        <v>1.11020961245208E-8</v>
      </c>
      <c r="F12" s="3">
        <v>1.0425624750206699</v>
      </c>
      <c r="G12" s="3">
        <v>1.3154234317809701</v>
      </c>
    </row>
    <row r="13" spans="1:7" x14ac:dyDescent="0.3">
      <c r="A13" s="3" t="s">
        <v>9</v>
      </c>
      <c r="B13" s="3">
        <v>0.65201605281182295</v>
      </c>
      <c r="C13" s="3">
        <v>6.3181445056535904E-2</v>
      </c>
      <c r="D13" s="3">
        <v>10.323072275474599</v>
      </c>
      <c r="E13" s="3">
        <v>2.7444838013685599E-6</v>
      </c>
      <c r="F13" s="3">
        <v>0.50930026529696604</v>
      </c>
      <c r="G13" s="3">
        <v>0.79515298227813402</v>
      </c>
    </row>
    <row r="14" spans="1:7" x14ac:dyDescent="0.3">
      <c r="A14" s="3" t="s">
        <v>10</v>
      </c>
      <c r="B14" s="3">
        <v>0.10514820412341599</v>
      </c>
      <c r="C14" s="3">
        <v>7.6930380321318895E-2</v>
      </c>
      <c r="D14" s="3">
        <v>1.3695340470057</v>
      </c>
      <c r="E14" s="3">
        <v>0.20403007136257101</v>
      </c>
      <c r="F14" s="3">
        <v>-6.8669835781517696E-2</v>
      </c>
      <c r="G14" s="3">
        <v>0.279387385979806</v>
      </c>
    </row>
    <row r="15" spans="1:7" x14ac:dyDescent="0.3">
      <c r="A15" s="3" t="s">
        <v>11</v>
      </c>
      <c r="B15" s="3">
        <v>-1.0319333400577499</v>
      </c>
      <c r="C15" s="3">
        <v>7.3393193819919794E-2</v>
      </c>
      <c r="D15" s="3">
        <v>-14.0574720268135</v>
      </c>
      <c r="E15" s="3">
        <v>1.97949269397177E-7</v>
      </c>
      <c r="F15" s="3">
        <v>-1.19774970818239</v>
      </c>
      <c r="G15" s="3">
        <v>-0.86569582998165395</v>
      </c>
    </row>
    <row r="16" spans="1:7" x14ac:dyDescent="0.3">
      <c r="A16" s="3" t="s">
        <v>12</v>
      </c>
      <c r="B16" s="3">
        <v>0.67648421428665895</v>
      </c>
      <c r="C16" s="3">
        <v>9.7537942937916997E-2</v>
      </c>
      <c r="D16" s="3">
        <v>6.9377594490905699</v>
      </c>
      <c r="E16" s="3">
        <v>6.7760693676759698E-5</v>
      </c>
      <c r="F16" s="3">
        <v>0.45604862900077903</v>
      </c>
      <c r="G16" s="3">
        <v>0.89734094152400201</v>
      </c>
    </row>
    <row r="17" spans="1:7" x14ac:dyDescent="0.3">
      <c r="A17" s="3" t="s">
        <v>13</v>
      </c>
      <c r="B17" s="3">
        <v>-1.9283884570794001</v>
      </c>
      <c r="C17" s="3">
        <v>0.121959437998914</v>
      </c>
      <c r="D17" s="3">
        <v>-15.8099932054529</v>
      </c>
      <c r="E17" s="3">
        <v>7.1387768534666595E-8</v>
      </c>
      <c r="F17" s="3">
        <v>-2.2040693023437599</v>
      </c>
      <c r="G17" s="3">
        <v>-1.65228646986359</v>
      </c>
    </row>
    <row r="18" spans="1:7" x14ac:dyDescent="0.3">
      <c r="A18" s="3" t="s">
        <v>14</v>
      </c>
      <c r="B18" s="3">
        <v>-1.41154374670083</v>
      </c>
      <c r="C18" s="3">
        <v>0.243764727014083</v>
      </c>
      <c r="D18" s="3">
        <v>-5.78973501627069</v>
      </c>
      <c r="E18" s="3">
        <v>2.6283526733988E-4</v>
      </c>
      <c r="F18" s="3">
        <v>-1.96276729897756</v>
      </c>
      <c r="G18" s="3">
        <v>-0.85989905247264697</v>
      </c>
    </row>
    <row r="19" spans="1:7" x14ac:dyDescent="0.3">
      <c r="A19" s="3" t="s">
        <v>15</v>
      </c>
      <c r="B19" s="3">
        <v>-1.2368272006821099</v>
      </c>
      <c r="C19" s="3">
        <v>4.0300286692318603E-2</v>
      </c>
      <c r="D19" s="3">
        <v>-30.6850578793049</v>
      </c>
      <c r="E19" s="3">
        <v>2.0306060665379301E-10</v>
      </c>
      <c r="F19" s="3">
        <v>-1.32778221191023</v>
      </c>
      <c r="G19" s="3">
        <v>-1.1454510475025299</v>
      </c>
    </row>
    <row r="20" spans="1:7" x14ac:dyDescent="0.3">
      <c r="A20" s="3" t="s">
        <v>16</v>
      </c>
      <c r="B20" s="3">
        <v>-2.33542460306685</v>
      </c>
      <c r="C20" s="3">
        <v>4.13225355600167E-2</v>
      </c>
      <c r="D20" s="3">
        <v>-56.511876641729003</v>
      </c>
      <c r="E20" s="3">
        <v>8.5627512656923501E-13</v>
      </c>
      <c r="F20" s="3">
        <v>-2.4286921018932</v>
      </c>
      <c r="G20" s="3">
        <v>-2.24173596228905</v>
      </c>
    </row>
    <row r="21" spans="1:7" x14ac:dyDescent="0.3">
      <c r="A21" s="3" t="s">
        <v>17</v>
      </c>
      <c r="B21" s="3">
        <v>-0.49149114095396601</v>
      </c>
      <c r="C21" s="3">
        <v>3.6599199425131297E-2</v>
      </c>
      <c r="D21" s="3">
        <v>-13.4232600082748</v>
      </c>
      <c r="E21" s="3">
        <v>2.94796258409801E-7</v>
      </c>
      <c r="F21" s="3">
        <v>-0.574073711110478</v>
      </c>
      <c r="G21" s="3">
        <v>-0.40848742884599698</v>
      </c>
    </row>
    <row r="22" spans="1:7" x14ac:dyDescent="0.3">
      <c r="A22" s="3" t="s">
        <v>18</v>
      </c>
      <c r="B22" s="3">
        <v>-0.135467924196604</v>
      </c>
      <c r="C22" s="3">
        <v>0.141081459277244</v>
      </c>
      <c r="D22" s="3">
        <v>-0.95871813287014795</v>
      </c>
      <c r="E22" s="3">
        <v>0.36274573446429198</v>
      </c>
      <c r="F22" s="3">
        <v>-0.45440578686291699</v>
      </c>
      <c r="G22" s="3">
        <v>0.183891080421166</v>
      </c>
    </row>
    <row r="23" spans="1:7" x14ac:dyDescent="0.3">
      <c r="A23" s="3" t="s">
        <v>19</v>
      </c>
      <c r="B23" s="3">
        <v>-8.7101233428981503E-2</v>
      </c>
      <c r="C23" s="3">
        <v>0.32061987206286302</v>
      </c>
      <c r="D23" s="3">
        <v>-0.27100834983870298</v>
      </c>
      <c r="E23" s="3">
        <v>0.79249773048580296</v>
      </c>
      <c r="F23" s="3">
        <v>-0.81218320257570298</v>
      </c>
      <c r="G23" s="3">
        <v>0.63840187766919798</v>
      </c>
    </row>
    <row r="24" spans="1:7" x14ac:dyDescent="0.3">
      <c r="A24" s="3" t="s">
        <v>20</v>
      </c>
      <c r="B24" s="3">
        <v>-0.36322908828285499</v>
      </c>
      <c r="C24" s="3">
        <v>0.12951727648662401</v>
      </c>
      <c r="D24" s="3">
        <v>-2.8028578669550401</v>
      </c>
      <c r="E24" s="3">
        <v>2.0616160249642398E-2</v>
      </c>
      <c r="F24" s="3">
        <v>-0.65600695201745796</v>
      </c>
      <c r="G24" s="3">
        <v>-7.0030082596793303E-2</v>
      </c>
    </row>
    <row r="25" spans="1:7" x14ac:dyDescent="0.3">
      <c r="A25" s="3" t="s">
        <v>21</v>
      </c>
      <c r="B25" s="3">
        <v>-1.5701494349789999</v>
      </c>
      <c r="C25" s="3">
        <v>9.4144161766335305E-2</v>
      </c>
      <c r="D25" s="3">
        <v>-16.6759025153343</v>
      </c>
      <c r="E25" s="3">
        <v>4.4819282563029401E-8</v>
      </c>
      <c r="F25" s="3">
        <v>-1.78290775387862</v>
      </c>
      <c r="G25" s="3">
        <v>-1.35696997412793</v>
      </c>
    </row>
    <row r="26" spans="1:7" x14ac:dyDescent="0.3">
      <c r="A26" s="3" t="s">
        <v>22</v>
      </c>
      <c r="B26" s="3">
        <v>-3.1077436305302499</v>
      </c>
      <c r="C26" s="3">
        <v>9.3817726637638599E-2</v>
      </c>
      <c r="D26" s="3">
        <v>-33.123090602664597</v>
      </c>
      <c r="E26" s="3">
        <v>1.02607137811405E-10</v>
      </c>
      <c r="F26" s="3">
        <v>-3.3197635018653</v>
      </c>
      <c r="G26" s="3">
        <v>-2.8953026172437499</v>
      </c>
    </row>
    <row r="27" spans="1:7" x14ac:dyDescent="0.3">
      <c r="A27" s="3" t="s">
        <v>23</v>
      </c>
      <c r="B27" s="3">
        <v>0.96433365522347902</v>
      </c>
      <c r="C27" s="3">
        <v>6.4780604389535507E-2</v>
      </c>
      <c r="D27" s="3">
        <v>14.889398382257401</v>
      </c>
      <c r="E27" s="3">
        <v>1.2029738881734401E-7</v>
      </c>
      <c r="F27" s="3">
        <v>0.81800031796902395</v>
      </c>
      <c r="G27" s="3">
        <v>1.1110881344293899</v>
      </c>
    </row>
    <row r="28" spans="1:7" x14ac:dyDescent="0.3">
      <c r="A28" s="3" t="s">
        <v>24</v>
      </c>
      <c r="B28" s="3">
        <v>-0.62964370839858697</v>
      </c>
      <c r="C28" s="3">
        <v>0.123753069182045</v>
      </c>
      <c r="D28" s="3">
        <v>-5.0862022379173002</v>
      </c>
      <c r="E28" s="3">
        <v>6.5729596687736898E-4</v>
      </c>
      <c r="F28" s="3">
        <v>-0.90938202929127898</v>
      </c>
      <c r="G28" s="3">
        <v>-0.34948424555442797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main</vt:lpstr>
      <vt:lpstr>TWFE</vt:lpstr>
      <vt:lpstr>TWFE_CONTROLS</vt:lpstr>
      <vt:lpstr>TWFE_unweighted</vt:lpstr>
      <vt:lpstr>Pooled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Stoycho Rusinov</dc:creator>
  <cp:lastModifiedBy>Stoycho Rusinov</cp:lastModifiedBy>
  <dcterms:created xsi:type="dcterms:W3CDTF">2026-03-04T09:31:22Z</dcterms:created>
  <dcterms:modified xsi:type="dcterms:W3CDTF">2026-07-11T11:45:22Z</dcterms:modified>
</cp:coreProperties>
</file>