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7d4fae57d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df" sheetId="1" r:id="R07a62525e264489d"/>
    <x:sheet xmlns:r="http://schemas.openxmlformats.org/officeDocument/2006/relationships" name="Source" sheetId="2" r:id="R102ccfd09692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€#,##0.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5" xfId="0" applyNumberFormat="1" applyFont="1" applyFill="1" applyBorder="1"/>
    <x:xf numFmtId="0" fontId="3" fillId="3" borderId="6" xfId="0" applyNumberFormat="1" applyFont="1" applyFill="1" applyBorder="1"/>
    <x:xf numFmtId="0" fontId="0" fillId="0" borderId="6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efe5df7dc45db" /><Relationship Type="http://schemas.openxmlformats.org/officeDocument/2006/relationships/theme" Target="/xl/theme/theme1.xml" Id="Rd43fef7e4b794b3e" /><Relationship Type="http://schemas.openxmlformats.org/officeDocument/2006/relationships/sharedStrings" Target="/xl/sharedStrings.xml" Id="R29840c0d47734480" /><Relationship Type="http://schemas.openxmlformats.org/officeDocument/2006/relationships/worksheet" Target="/xl/worksheets/sheet1.xml" Id="R07a62525e264489d" /><Relationship Type="http://schemas.openxmlformats.org/officeDocument/2006/relationships/worksheet" Target="/xl/worksheets/sheet2.xml" Id="R102ccfd09692489f" /></Relationships>
</file>

<file path=xl/tables/table1.xml><?xml version="1.0" encoding="utf-8"?>
<x:table xmlns:x="http://schemas.openxmlformats.org/spreadsheetml/2006/main" id="1" name="GraduateWageSource" displayName="GraduateWageSource" ref="A1:G27" headerRowCount="1" totalsRowCount="0" totalsRowShown="0">
  <x:tableColumns count="7">
    <x:tableColumn id="1" name="Country"/>
    <x:tableColumn id="2" name="ISO2"/>
    <x:tableColumn id="3" name="SES tertiary earnings 2022 EUR"/>
    <x:tableColumn id="4" name="Compensation per employee 2022 EUR"/>
    <x:tableColumn id="5" name="Compensation per employee 2024 EUR"/>
    <x:tableColumn id="6" name="SES source URL"/>
    <x:tableColumn id="7" name="Updater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a0bc62f9543b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</x:cols>
  <x:sheetData>
    <x:row r="1">
      <x:c r="A1" s="1" t="str">
        <x:v>Country</x:v>
      </x:c>
      <x:c r="B1" s="1" t="str">
        <x:v>Wage_EURO</x:v>
      </x:c>
    </x:row>
    <x:row r="2">
      <x:c r="A2" s="1" t="str">
        <x:v>Belgium</x:v>
      </x:c>
      <x:c r="B2" s="2" t="n">
        <x:f>ROUND('Source'!C2*'Source'!E2/'Source'!D2,0)</x:f>
        <x:v>71595</x:v>
      </x:c>
    </x:row>
    <x:row r="3">
      <x:c r="A3" s="1" t="str">
        <x:v>Bulgaria</x:v>
      </x:c>
      <x:c r="B3" s="2" t="n">
        <x:f>ROUND('Source'!C3*'Source'!E3/'Source'!D3,0)</x:f>
        <x:v>24160</x:v>
      </x:c>
    </x:row>
    <x:row r="4">
      <x:c r="A4" s="1" t="str">
        <x:v>Czechia</x:v>
      </x:c>
      <x:c r="B4" s="2" t="n">
        <x:f>ROUND('Source'!C4*'Source'!E4/'Source'!D4,0)</x:f>
        <x:v>35659</x:v>
      </x:c>
    </x:row>
    <x:row r="5">
      <x:c r="A5" s="1" t="str">
        <x:v>Denmark</x:v>
      </x:c>
      <x:c r="B5" s="2" t="n">
        <x:f>ROUND('Source'!C5*'Source'!E5/'Source'!D5,0)</x:f>
        <x:v>79914</x:v>
      </x:c>
    </x:row>
    <x:row r="6">
      <x:c r="A6" s="1" t="str">
        <x:v>Germany</x:v>
      </x:c>
      <x:c r="B6" s="2" t="n">
        <x:f>ROUND('Source'!C6*'Source'!E6/'Source'!D6,0)</x:f>
        <x:v>80895</x:v>
      </x:c>
    </x:row>
    <x:row r="7">
      <x:c r="A7" s="1" t="str">
        <x:v>Estonia</x:v>
      </x:c>
      <x:c r="B7" s="2" t="n">
        <x:f>ROUND('Source'!C7*'Source'!E7/'Source'!D7,0)</x:f>
        <x:v>31571</x:v>
      </x:c>
    </x:row>
    <x:row r="8">
      <x:c r="A8" s="1" t="str">
        <x:v>Greece</x:v>
      </x:c>
      <x:c r="B8" s="2" t="n">
        <x:f>ROUND('Source'!C8*'Source'!E8/'Source'!D8,0)</x:f>
        <x:v>31716</x:v>
      </x:c>
    </x:row>
    <x:row r="9">
      <x:c r="A9" s="1" t="str">
        <x:v>Spain</x:v>
      </x:c>
      <x:c r="B9" s="2" t="n">
        <x:f>ROUND('Source'!C9*'Source'!E9/'Source'!D9,0)</x:f>
        <x:v>44259</x:v>
      </x:c>
    </x:row>
    <x:row r="10">
      <x:c r="A10" s="1" t="str">
        <x:v>France</x:v>
      </x:c>
      <x:c r="B10" s="2" t="n">
        <x:f>ROUND('Source'!C10*'Source'!E10/'Source'!D10,0)</x:f>
        <x:v>53213</x:v>
      </x:c>
    </x:row>
    <x:row r="11">
      <x:c r="A11" s="1" t="str">
        <x:v>Croatia</x:v>
      </x:c>
      <x:c r="B11" s="2" t="n">
        <x:f>ROUND('Source'!C11*'Source'!E11/'Source'!D11,0)</x:f>
        <x:v>29305</x:v>
      </x:c>
    </x:row>
    <x:row r="12">
      <x:c r="A12" s="1" t="str">
        <x:v>Italy</x:v>
      </x:c>
      <x:c r="B12" s="2" t="n">
        <x:f>ROUND('Source'!C12*'Source'!E12/'Source'!D12,0)</x:f>
        <x:v>47619</x:v>
      </x:c>
    </x:row>
    <x:row r="13">
      <x:c r="A13" s="1" t="str">
        <x:v>Cyprus</x:v>
      </x:c>
      <x:c r="B13" s="2" t="n">
        <x:f>ROUND('Source'!C13*'Source'!E13/'Source'!D13,0)</x:f>
        <x:v>45692</x:v>
      </x:c>
    </x:row>
    <x:row r="14">
      <x:c r="A14" s="1" t="str">
        <x:v>Latvia</x:v>
      </x:c>
      <x:c r="B14" s="2" t="n">
        <x:f>ROUND('Source'!C14*'Source'!E14/'Source'!D14,0)</x:f>
        <x:v>29981</x:v>
      </x:c>
    </x:row>
    <x:row r="15">
      <x:c r="A15" s="1" t="str">
        <x:v>Lithuania</x:v>
      </x:c>
      <x:c r="B15" s="2" t="n">
        <x:f>ROUND('Source'!C15*'Source'!E15/'Source'!D15,0)</x:f>
        <x:v>36172</x:v>
      </x:c>
    </x:row>
    <x:row r="16">
      <x:c r="A16" s="1" t="str">
        <x:v>Luxembourg</x:v>
      </x:c>
      <x:c r="B16" s="2" t="n">
        <x:f>ROUND('Source'!C16*'Source'!E16/'Source'!D16,0)</x:f>
        <x:v>117823</x:v>
      </x:c>
    </x:row>
    <x:row r="17">
      <x:c r="A17" s="1" t="str">
        <x:v>Hungary</x:v>
      </x:c>
      <x:c r="B17" s="2" t="n">
        <x:f>ROUND('Source'!C17*'Source'!E17/'Source'!D17,0)</x:f>
        <x:v>31995</x:v>
      </x:c>
    </x:row>
    <x:row r="18">
      <x:c r="A18" s="1" t="str">
        <x:v>Malta</x:v>
      </x:c>
      <x:c r="B18" s="2" t="n">
        <x:f>ROUND('Source'!C18*'Source'!E18/'Source'!D18,0)</x:f>
        <x:v>44557</x:v>
      </x:c>
    </x:row>
    <x:row r="19">
      <x:c r="A19" s="1" t="str">
        <x:v>Netherlands</x:v>
      </x:c>
      <x:c r="B19" s="2" t="n">
        <x:f>ROUND('Source'!C19*'Source'!E19/'Source'!D19,0)</x:f>
        <x:v>75028</x:v>
      </x:c>
    </x:row>
    <x:row r="20">
      <x:c r="A20" s="1" t="str">
        <x:v>Austria</x:v>
      </x:c>
      <x:c r="B20" s="2" t="n">
        <x:f>ROUND('Source'!C20*'Source'!E20/'Source'!D20,0)</x:f>
        <x:v>78022</x:v>
      </x:c>
    </x:row>
    <x:row r="21">
      <x:c r="A21" s="1" t="str">
        <x:v>Poland</x:v>
      </x:c>
      <x:c r="B21" s="2" t="n">
        <x:f>ROUND('Source'!C21*'Source'!E21/'Source'!D21,0)</x:f>
        <x:v>30921</x:v>
      </x:c>
    </x:row>
    <x:row r="22">
      <x:c r="A22" s="1" t="str">
        <x:v>Portugal</x:v>
      </x:c>
      <x:c r="B22" s="2" t="n">
        <x:f>ROUND('Source'!C22*'Source'!E22/'Source'!D22,0)</x:f>
        <x:v>41596</x:v>
      </x:c>
    </x:row>
    <x:row r="23">
      <x:c r="A23" s="1" t="str">
        <x:v>Romania</x:v>
      </x:c>
      <x:c r="B23" s="2" t="n">
        <x:f>ROUND('Source'!C23*'Source'!E23/'Source'!D23,0)</x:f>
        <x:v>35479</x:v>
      </x:c>
    </x:row>
    <x:row r="24">
      <x:c r="A24" s="1" t="str">
        <x:v>Slovenia</x:v>
      </x:c>
      <x:c r="B24" s="2" t="n">
        <x:f>ROUND('Source'!C24*'Source'!E24/'Source'!D24,0)</x:f>
        <x:v>44804</x:v>
      </x:c>
    </x:row>
    <x:row r="25">
      <x:c r="A25" s="1" t="str">
        <x:v>Slovakia</x:v>
      </x:c>
      <x:c r="B25" s="2" t="n">
        <x:f>ROUND('Source'!C25*'Source'!E25/'Source'!D25,0)</x:f>
        <x:v>31160</x:v>
      </x:c>
    </x:row>
    <x:row r="26">
      <x:c r="A26" s="1" t="str">
        <x:v>Finland</x:v>
      </x:c>
      <x:c r="B26" s="2" t="n">
        <x:f>ROUND('Source'!C26*'Source'!E26/'Source'!D26,0)</x:f>
        <x:v>58287</x:v>
      </x:c>
    </x:row>
    <x:row r="27">
      <x:c r="A27" s="1" t="str">
        <x:v>Sweden</x:v>
      </x:c>
      <x:c r="B27" s="2" t="n">
        <x:f>ROUND('Source'!C27*'Source'!E27/'Source'!D27,0)</x:f>
        <x:v>54331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37" hidden="0" customWidth="1"/>
    <x:col min="7" max="7" width="37" hidden="0" customWidth="1"/>
  </x:cols>
  <x:sheetData>
    <x:row r="1" ht="42" customHeight="1">
      <x:c r="A1" s="5" t="str">
        <x:v>Country</x:v>
      </x:c>
      <x:c r="B1" s="5" t="str">
        <x:v>ISO2</x:v>
      </x:c>
      <x:c r="C1" s="5" t="str">
        <x:v>SES tertiary earnings 2022 EUR</x:v>
      </x:c>
      <x:c r="D1" s="5" t="str">
        <x:v>Compensation per employee 2022 EUR</x:v>
      </x:c>
      <x:c r="E1" s="5" t="str">
        <x:v>Compensation per employee 2024 EUR</x:v>
      </x:c>
      <x:c r="F1" s="5" t="str">
        <x:v>SES source URL</x:v>
      </x:c>
      <x:c r="G1" s="5" t="str">
        <x:v>Updater source URL</x:v>
      </x:c>
    </x:row>
    <x:row r="2" ht="31" customHeight="1">
      <x:c r="A2" s="9" t="str">
        <x:v>Belgium</x:v>
      </x:c>
      <x:c r="B2" s="9" t="str">
        <x:v>BE</x:v>
      </x:c>
      <x:c r="C2" s="12" t="n">
        <x:v>64402</x:v>
      </x:c>
      <x:c r="D2" s="12" t="n">
        <x:v>64491</x:v>
      </x:c>
      <x:c r="E2" s="12" t="n">
        <x:v>71693.9</x:v>
      </x:c>
      <x:c r="F2" s="18" t="str">
        <x:v>https://ec.europa.eu/eurostat/databrowser/product/page/EARN_SES22_30</x:v>
      </x:c>
      <x:c r="G2" s="18" t="str">
        <x:v>https://ec.europa.eu/eurostat/databrowser/product/page/NAMA_10_LP_ULC</x:v>
      </x:c>
    </x:row>
    <x:row r="3" ht="31" customHeight="1">
      <x:c r="A3" s="10" t="str">
        <x:v>Bulgaria</x:v>
      </x:c>
      <x:c r="B3" s="10" t="str">
        <x:v>BG</x:v>
      </x:c>
      <x:c r="C3" s="13" t="n">
        <x:v>18666</x:v>
      </x:c>
      <x:c r="D3" s="13" t="n">
        <x:v>13776.9</x:v>
      </x:c>
      <x:c r="E3" s="13" t="n">
        <x:v>17832.1</x:v>
      </x:c>
      <x:c r="F3" s="19" t="str">
        <x:v>https://ec.europa.eu/eurostat/databrowser/product/page/EARN_SES22_30</x:v>
      </x:c>
      <x:c r="G3" s="19" t="str">
        <x:v>https://ec.europa.eu/eurostat/databrowser/product/page/NAMA_10_LP_ULC</x:v>
      </x:c>
    </x:row>
    <x:row r="4" ht="31" customHeight="1">
      <x:c r="A4" s="10" t="str">
        <x:v>Czechia</x:v>
      </x:c>
      <x:c r="B4" s="10" t="str">
        <x:v>CZ</x:v>
      </x:c>
      <x:c r="C4" s="13" t="n">
        <x:v>32266</x:v>
      </x:c>
      <x:c r="D4" s="13" t="n">
        <x:v>26954.8</x:v>
      </x:c>
      <x:c r="E4" s="13" t="n">
        <x:v>29789.6</x:v>
      </x:c>
      <x:c r="F4" s="19" t="str">
        <x:v>https://ec.europa.eu/eurostat/databrowser/product/page/EARN_SES22_30</x:v>
      </x:c>
      <x:c r="G4" s="19" t="str">
        <x:v>https://ec.europa.eu/eurostat/databrowser/product/page/NAMA_10_LP_ULC</x:v>
      </x:c>
    </x:row>
    <x:row r="5" ht="31" customHeight="1">
      <x:c r="A5" s="10" t="str">
        <x:v>Denmark</x:v>
      </x:c>
      <x:c r="B5" s="10" t="str">
        <x:v>DK</x:v>
      </x:c>
      <x:c r="C5" s="13" t="n">
        <x:v>73941</x:v>
      </x:c>
      <x:c r="D5" s="13" t="n">
        <x:v>61622.4</x:v>
      </x:c>
      <x:c r="E5" s="13" t="n">
        <x:v>66600.1</x:v>
      </x:c>
      <x:c r="F5" s="19" t="str">
        <x:v>https://ec.europa.eu/eurostat/databrowser/product/page/EARN_SES22_30</x:v>
      </x:c>
      <x:c r="G5" s="19" t="str">
        <x:v>https://ec.europa.eu/eurostat/databrowser/product/page/NAMA_10_LP_ULC</x:v>
      </x:c>
    </x:row>
    <x:row r="6" ht="31" customHeight="1">
      <x:c r="A6" s="10" t="str">
        <x:v>Germany</x:v>
      </x:c>
      <x:c r="B6" s="10" t="str">
        <x:v>DE</x:v>
      </x:c>
      <x:c r="C6" s="13" t="n">
        <x:v>72393</x:v>
      </x:c>
      <x:c r="D6" s="13" t="n">
        <x:v>49853.1</x:v>
      </x:c>
      <x:c r="E6" s="13" t="n">
        <x:v>55708</x:v>
      </x:c>
      <x:c r="F6" s="19" t="str">
        <x:v>https://ec.europa.eu/eurostat/databrowser/product/page/EARN_SES22_30</x:v>
      </x:c>
      <x:c r="G6" s="19" t="str">
        <x:v>https://ec.europa.eu/eurostat/databrowser/product/page/NAMA_10_LP_ULC</x:v>
      </x:c>
    </x:row>
    <x:row r="7" ht="31" customHeight="1">
      <x:c r="A7" s="10" t="str">
        <x:v>Estonia</x:v>
      </x:c>
      <x:c r="B7" s="10" t="str">
        <x:v>EE</x:v>
      </x:c>
      <x:c r="C7" s="13" t="n">
        <x:v>27157</x:v>
      </x:c>
      <x:c r="D7" s="13" t="n">
        <x:v>28519.3</x:v>
      </x:c>
      <x:c r="E7" s="13" t="n">
        <x:v>33155.2</x:v>
      </x:c>
      <x:c r="F7" s="19" t="str">
        <x:v>https://ec.europa.eu/eurostat/databrowser/product/page/EARN_SES22_30</x:v>
      </x:c>
      <x:c r="G7" s="19" t="str">
        <x:v>https://ec.europa.eu/eurostat/databrowser/product/page/NAMA_10_LP_ULC</x:v>
      </x:c>
    </x:row>
    <x:row r="8" ht="31" customHeight="1">
      <x:c r="A8" s="10" t="str">
        <x:v>Greece</x:v>
      </x:c>
      <x:c r="B8" s="10" t="str">
        <x:v>EL</x:v>
      </x:c>
      <x:c r="C8" s="13" t="n">
        <x:v>29016</x:v>
      </x:c>
      <x:c r="D8" s="13" t="n">
        <x:v>20232</x:v>
      </x:c>
      <x:c r="E8" s="13" t="n">
        <x:v>22114.4</x:v>
      </x:c>
      <x:c r="F8" s="19" t="str">
        <x:v>https://ec.europa.eu/eurostat/databrowser/product/page/EARN_SES22_30</x:v>
      </x:c>
      <x:c r="G8" s="19" t="str">
        <x:v>https://ec.europa.eu/eurostat/databrowser/product/page/NAMA_10_LP_ULC</x:v>
      </x:c>
    </x:row>
    <x:row r="9" ht="31" customHeight="1">
      <x:c r="A9" s="10" t="str">
        <x:v>Spain</x:v>
      </x:c>
      <x:c r="B9" s="10" t="str">
        <x:v>ES</x:v>
      </x:c>
      <x:c r="C9" s="13" t="n">
        <x:v>40299</x:v>
      </x:c>
      <x:c r="D9" s="13" t="n">
        <x:v>36889.5</x:v>
      </x:c>
      <x:c r="E9" s="13" t="n">
        <x:v>40514.2</x:v>
      </x:c>
      <x:c r="F9" s="19" t="str">
        <x:v>https://ec.europa.eu/eurostat/databrowser/product/page/EARN_SES22_30</x:v>
      </x:c>
      <x:c r="G9" s="19" t="str">
        <x:v>https://ec.europa.eu/eurostat/databrowser/product/page/NAMA_10_LP_ULC</x:v>
      </x:c>
    </x:row>
    <x:row r="10" ht="31" customHeight="1">
      <x:c r="A10" s="10" t="str">
        <x:v>France</x:v>
      </x:c>
      <x:c r="B10" s="10" t="str">
        <x:v>FR</x:v>
      </x:c>
      <x:c r="C10" s="13" t="n">
        <x:v>49398</x:v>
      </x:c>
      <x:c r="D10" s="13" t="n">
        <x:v>51415.8</x:v>
      </x:c>
      <x:c r="E10" s="13" t="n">
        <x:v>55386.9</x:v>
      </x:c>
      <x:c r="F10" s="19" t="str">
        <x:v>https://ec.europa.eu/eurostat/databrowser/product/page/EARN_SES22_30</x:v>
      </x:c>
      <x:c r="G10" s="19" t="str">
        <x:v>https://ec.europa.eu/eurostat/databrowser/product/page/NAMA_10_LP_ULC</x:v>
      </x:c>
    </x:row>
    <x:row r="11" ht="31" customHeight="1">
      <x:c r="A11" s="10" t="str">
        <x:v>Croatia</x:v>
      </x:c>
      <x:c r="B11" s="10" t="str">
        <x:v>HR</x:v>
      </x:c>
      <x:c r="C11" s="13" t="n">
        <x:v>23701</x:v>
      </x:c>
      <x:c r="D11" s="13" t="n">
        <x:v>21499.3</x:v>
      </x:c>
      <x:c r="E11" s="13" t="n">
        <x:v>26583</x:v>
      </x:c>
      <x:c r="F11" s="19" t="str">
        <x:v>https://ec.europa.eu/eurostat/databrowser/product/page/EARN_SES22_30</x:v>
      </x:c>
      <x:c r="G11" s="19" t="str">
        <x:v>https://ec.europa.eu/eurostat/databrowser/product/page/NAMA_10_LP_ULC</x:v>
      </x:c>
    </x:row>
    <x:row r="12" ht="31" customHeight="1">
      <x:c r="A12" s="10" t="str">
        <x:v>Italy</x:v>
      </x:c>
      <x:c r="B12" s="10" t="str">
        <x:v>IT</x:v>
      </x:c>
      <x:c r="C12" s="13" t="n">
        <x:v>44896</x:v>
      </x:c>
      <x:c r="D12" s="13" t="n">
        <x:v>39990.5</x:v>
      </x:c>
      <x:c r="E12" s="13" t="n">
        <x:v>42416</x:v>
      </x:c>
      <x:c r="F12" s="19" t="str">
        <x:v>https://ec.europa.eu/eurostat/databrowser/product/page/EARN_SES22_30</x:v>
      </x:c>
      <x:c r="G12" s="19" t="str">
        <x:v>https://ec.europa.eu/eurostat/databrowser/product/page/NAMA_10_LP_ULC</x:v>
      </x:c>
    </x:row>
    <x:row r="13" ht="31" customHeight="1">
      <x:c r="A13" s="10" t="str">
        <x:v>Cyprus</x:v>
      </x:c>
      <x:c r="B13" s="10" t="str">
        <x:v>CY</x:v>
      </x:c>
      <x:c r="C13" s="13" t="n">
        <x:v>40454</x:v>
      </x:c>
      <x:c r="D13" s="13" t="n">
        <x:v>29777.8</x:v>
      </x:c>
      <x:c r="E13" s="13" t="n">
        <x:v>33633.3</x:v>
      </x:c>
      <x:c r="F13" s="19" t="str">
        <x:v>https://ec.europa.eu/eurostat/databrowser/product/page/EARN_SES22_30</x:v>
      </x:c>
      <x:c r="G13" s="19" t="str">
        <x:v>https://ec.europa.eu/eurostat/databrowser/product/page/NAMA_10_LP_ULC</x:v>
      </x:c>
    </x:row>
    <x:row r="14" ht="31" customHeight="1">
      <x:c r="A14" s="10" t="str">
        <x:v>Latvia</x:v>
      </x:c>
      <x:c r="B14" s="10" t="str">
        <x:v>LV</x:v>
      </x:c>
      <x:c r="C14" s="13" t="n">
        <x:v>25655</x:v>
      </x:c>
      <x:c r="D14" s="13" t="n">
        <x:v>22846.7</x:v>
      </x:c>
      <x:c r="E14" s="13" t="n">
        <x:v>26699.6</x:v>
      </x:c>
      <x:c r="F14" s="19" t="str">
        <x:v>https://ec.europa.eu/eurostat/databrowser/product/page/EARN_SES22_30</x:v>
      </x:c>
      <x:c r="G14" s="19" t="str">
        <x:v>https://ec.europa.eu/eurostat/databrowser/product/page/NAMA_10_LP_ULC</x:v>
      </x:c>
    </x:row>
    <x:row r="15" ht="31" customHeight="1">
      <x:c r="A15" s="10" t="str">
        <x:v>Lithuania</x:v>
      </x:c>
      <x:c r="B15" s="10" t="str">
        <x:v>LT</x:v>
      </x:c>
      <x:c r="C15" s="13" t="n">
        <x:v>30108</x:v>
      </x:c>
      <x:c r="D15" s="13" t="n">
        <x:v>24537.2</x:v>
      </x:c>
      <x:c r="E15" s="13" t="n">
        <x:v>29479.6</x:v>
      </x:c>
      <x:c r="F15" s="19" t="str">
        <x:v>https://ec.europa.eu/eurostat/databrowser/product/page/EARN_SES22_30</x:v>
      </x:c>
      <x:c r="G15" s="19" t="str">
        <x:v>https://ec.europa.eu/eurostat/databrowser/product/page/NAMA_10_LP_ULC</x:v>
      </x:c>
    </x:row>
    <x:row r="16" ht="31" customHeight="1">
      <x:c r="A16" s="10" t="str">
        <x:v>Luxembourg</x:v>
      </x:c>
      <x:c r="B16" s="10" t="str">
        <x:v>LU</x:v>
      </x:c>
      <x:c r="C16" s="13" t="n">
        <x:v>105891</x:v>
      </x:c>
      <x:c r="D16" s="13" t="n">
        <x:v>79874.2</x:v>
      </x:c>
      <x:c r="E16" s="13" t="n">
        <x:v>88874.4</x:v>
      </x:c>
      <x:c r="F16" s="19" t="str">
        <x:v>https://ec.europa.eu/eurostat/databrowser/product/page/EARN_SES22_30</x:v>
      </x:c>
      <x:c r="G16" s="19" t="str">
        <x:v>https://ec.europa.eu/eurostat/databrowser/product/page/NAMA_10_LP_ULC</x:v>
      </x:c>
    </x:row>
    <x:row r="17" ht="31" customHeight="1">
      <x:c r="A17" s="10" t="str">
        <x:v>Hungary</x:v>
      </x:c>
      <x:c r="B17" s="10" t="str">
        <x:v>HU</x:v>
      </x:c>
      <x:c r="C17" s="13" t="n">
        <x:v>24940</x:v>
      </x:c>
      <x:c r="D17" s="13" t="n">
        <x:v>15777.9</x:v>
      </x:c>
      <x:c r="E17" s="13" t="n">
        <x:v>20241.2</x:v>
      </x:c>
      <x:c r="F17" s="19" t="str">
        <x:v>https://ec.europa.eu/eurostat/databrowser/product/page/EARN_SES22_30</x:v>
      </x:c>
      <x:c r="G17" s="19" t="str">
        <x:v>https://ec.europa.eu/eurostat/databrowser/product/page/NAMA_10_LP_ULC</x:v>
      </x:c>
    </x:row>
    <x:row r="18" ht="31" customHeight="1">
      <x:c r="A18" s="10" t="str">
        <x:v>Malta</x:v>
      </x:c>
      <x:c r="B18" s="10" t="str">
        <x:v>MT</x:v>
      </x:c>
      <x:c r="C18" s="13" t="n">
        <x:v>40441</x:v>
      </x:c>
      <x:c r="D18" s="13" t="n">
        <x:v>31355.8</x:v>
      </x:c>
      <x:c r="E18" s="13" t="n">
        <x:v>34547.3</x:v>
      </x:c>
      <x:c r="F18" s="19" t="str">
        <x:v>https://ec.europa.eu/eurostat/databrowser/product/page/EARN_SES22_30</x:v>
      </x:c>
      <x:c r="G18" s="19" t="str">
        <x:v>https://ec.europa.eu/eurostat/databrowser/product/page/NAMA_10_LP_ULC</x:v>
      </x:c>
    </x:row>
    <x:row r="19" ht="31" customHeight="1">
      <x:c r="A19" s="10" t="str">
        <x:v>Netherlands</x:v>
      </x:c>
      <x:c r="B19" s="10" t="str">
        <x:v>NL</x:v>
      </x:c>
      <x:c r="C19" s="13" t="n">
        <x:v>66454</x:v>
      </x:c>
      <x:c r="D19" s="13" t="n">
        <x:v>54528.7</x:v>
      </x:c>
      <x:c r="E19" s="13" t="n">
        <x:v>61564.1</x:v>
      </x:c>
      <x:c r="F19" s="19" t="str">
        <x:v>https://ec.europa.eu/eurostat/databrowser/product/page/EARN_SES22_30</x:v>
      </x:c>
      <x:c r="G19" s="19" t="str">
        <x:v>https://ec.europa.eu/eurostat/databrowser/product/page/NAMA_10_LP_ULC</x:v>
      </x:c>
    </x:row>
    <x:row r="20" ht="31" customHeight="1">
      <x:c r="A20" s="10" t="str">
        <x:v>Austria</x:v>
      </x:c>
      <x:c r="B20" s="10" t="str">
        <x:v>AT</x:v>
      </x:c>
      <x:c r="C20" s="13" t="n">
        <x:v>68107</x:v>
      </x:c>
      <x:c r="D20" s="13" t="n">
        <x:v>52722.6</x:v>
      </x:c>
      <x:c r="E20" s="13" t="n">
        <x:v>60398.3</x:v>
      </x:c>
      <x:c r="F20" s="19" t="str">
        <x:v>https://ec.europa.eu/eurostat/databrowser/product/page/EARN_SES22_30</x:v>
      </x:c>
      <x:c r="G20" s="19" t="str">
        <x:v>https://ec.europa.eu/eurostat/databrowser/product/page/NAMA_10_LP_ULC</x:v>
      </x:c>
    </x:row>
    <x:row r="21" ht="31" customHeight="1">
      <x:c r="A21" s="10" t="str">
        <x:v>Poland</x:v>
      </x:c>
      <x:c r="B21" s="10" t="str">
        <x:v>PL</x:v>
      </x:c>
      <x:c r="C21" s="13" t="n">
        <x:v>21990</x:v>
      </x:c>
      <x:c r="D21" s="13" t="n">
        <x:v>17827.8</x:v>
      </x:c>
      <x:c r="E21" s="13" t="n">
        <x:v>25068.7</x:v>
      </x:c>
      <x:c r="F21" s="19" t="str">
        <x:v>https://ec.europa.eu/eurostat/databrowser/product/page/EARN_SES22_30</x:v>
      </x:c>
      <x:c r="G21" s="19" t="str">
        <x:v>https://ec.europa.eu/eurostat/databrowser/product/page/NAMA_10_LP_ULC</x:v>
      </x:c>
    </x:row>
    <x:row r="22" ht="31" customHeight="1">
      <x:c r="A22" s="10" t="str">
        <x:v>Portugal</x:v>
      </x:c>
      <x:c r="B22" s="10" t="str">
        <x:v>PT</x:v>
      </x:c>
      <x:c r="C22" s="13" t="n">
        <x:v>35372</x:v>
      </x:c>
      <x:c r="D22" s="13" t="n">
        <x:v>26225.8</x:v>
      </x:c>
      <x:c r="E22" s="13" t="n">
        <x:v>30840.7</x:v>
      </x:c>
      <x:c r="F22" s="19" t="str">
        <x:v>https://ec.europa.eu/eurostat/databrowser/product/page/EARN_SES22_30</x:v>
      </x:c>
      <x:c r="G22" s="19" t="str">
        <x:v>https://ec.europa.eu/eurostat/databrowser/product/page/NAMA_10_LP_ULC</x:v>
      </x:c>
    </x:row>
    <x:row r="23" ht="31" customHeight="1">
      <x:c r="A23" s="10" t="str">
        <x:v>Romania</x:v>
      </x:c>
      <x:c r="B23" s="10" t="str">
        <x:v>RO</x:v>
      </x:c>
      <x:c r="C23" s="13" t="n">
        <x:v>25367</x:v>
      </x:c>
      <x:c r="D23" s="13" t="n">
        <x:v>15723.5</x:v>
      </x:c>
      <x:c r="E23" s="13" t="n">
        <x:v>21991.1</x:v>
      </x:c>
      <x:c r="F23" s="19" t="str">
        <x:v>https://ec.europa.eu/eurostat/databrowser/product/page/EARN_SES22_30</x:v>
      </x:c>
      <x:c r="G23" s="19" t="str">
        <x:v>https://ec.europa.eu/eurostat/databrowser/product/page/NAMA_10_LP_ULC</x:v>
      </x:c>
    </x:row>
    <x:row r="24" ht="31" customHeight="1">
      <x:c r="A24" s="10" t="str">
        <x:v>Slovenia</x:v>
      </x:c>
      <x:c r="B24" s="10" t="str">
        <x:v>SI</x:v>
      </x:c>
      <x:c r="C24" s="13" t="n">
        <x:v>38487</x:v>
      </x:c>
      <x:c r="D24" s="13" t="n">
        <x:v>33825.5</x:v>
      </x:c>
      <x:c r="E24" s="13" t="n">
        <x:v>39377.3</x:v>
      </x:c>
      <x:c r="F24" s="19" t="str">
        <x:v>https://ec.europa.eu/eurostat/databrowser/product/page/EARN_SES22_30</x:v>
      </x:c>
      <x:c r="G24" s="19" t="str">
        <x:v>https://ec.europa.eu/eurostat/databrowser/product/page/NAMA_10_LP_ULC</x:v>
      </x:c>
    </x:row>
    <x:row r="25" ht="31" customHeight="1">
      <x:c r="A25" s="10" t="str">
        <x:v>Slovakia</x:v>
      </x:c>
      <x:c r="B25" s="10" t="str">
        <x:v>SK</x:v>
      </x:c>
      <x:c r="C25" s="13" t="n">
        <x:v>26212</x:v>
      </x:c>
      <x:c r="D25" s="13" t="n">
        <x:v>22403.8</x:v>
      </x:c>
      <x:c r="E25" s="13" t="n">
        <x:v>26633.1</x:v>
      </x:c>
      <x:c r="F25" s="19" t="str">
        <x:v>https://ec.europa.eu/eurostat/databrowser/product/page/EARN_SES22_30</x:v>
      </x:c>
      <x:c r="G25" s="19" t="str">
        <x:v>https://ec.europa.eu/eurostat/databrowser/product/page/NAMA_10_LP_ULC</x:v>
      </x:c>
    </x:row>
    <x:row r="26" ht="31" customHeight="1">
      <x:c r="A26" s="10" t="str">
        <x:v>Finland</x:v>
      </x:c>
      <x:c r="B26" s="10" t="str">
        <x:v>FI</x:v>
      </x:c>
      <x:c r="C26" s="13" t="n">
        <x:v>55516</x:v>
      </x:c>
      <x:c r="D26" s="13" t="n">
        <x:v>51474.8</x:v>
      </x:c>
      <x:c r="E26" s="13" t="n">
        <x:v>54044.1</x:v>
      </x:c>
      <x:c r="F26" s="19" t="str">
        <x:v>https://ec.europa.eu/eurostat/databrowser/product/page/EARN_SES22_30</x:v>
      </x:c>
      <x:c r="G26" s="19" t="str">
        <x:v>https://ec.europa.eu/eurostat/databrowser/product/page/NAMA_10_LP_ULC</x:v>
      </x:c>
    </x:row>
    <x:row r="27" ht="31" customHeight="1">
      <x:c r="A27" s="11" t="str">
        <x:v>Sweden</x:v>
      </x:c>
      <x:c r="B27" s="11" t="str">
        <x:v>SE</x:v>
      </x:c>
      <x:c r="C27" s="14" t="n">
        <x:v>53131</x:v>
      </x:c>
      <x:c r="D27" s="14" t="n">
        <x:v>50713.5</x:v>
      </x:c>
      <x:c r="E27" s="14" t="n">
        <x:v>51858.9</x:v>
      </x:c>
      <x:c r="F27" s="20" t="str">
        <x:v>https://ec.europa.eu/eurostat/databrowser/product/page/EARN_SES22_30</x:v>
      </x:c>
      <x:c r="G27" s="20" t="str">
        <x:v>https://ec.europa.eu/eurostat/databrowser/product/page/NAMA_10_LP_ULC</x:v>
      </x:c>
    </x:row>
    <x:row r="30" ht="32" customHeight="1">
      <x:c r="A30" s="29" t="str">
        <x:v>Method</x:v>
      </x:c>
      <x:c r="B30" s="30" t="str">
        <x:v>2024 graduate wage equals 2022 tertiary earnings multiplied by the 2024 to 2022 compensation-per-employee ratio</x:v>
      </x:c>
      <x:c r="C30" s="30"/>
      <x:c r="D30" s="30"/>
      <x:c r="E30" s="30"/>
      <x:c r="F30" s="30"/>
      <x:c r="G30" s="30"/>
    </x:row>
    <x:row r="31" ht="32" customHeight="1">
      <x:c r="A31" s="31" t="str">
        <x:v>Coverage</x:v>
      </x:c>
      <x:c r="B31" s="32" t="str">
        <x:v>The 26 treated EU countries, excluding Ireland</x:v>
      </x:c>
      <x:c r="C31" s="32"/>
      <x:c r="D31" s="32"/>
      <x:c r="E31" s="32"/>
      <x:c r="F31" s="32"/>
      <x:c r="G31" s="32"/>
    </x:row>
    <x:row r="32" ht="32" customHeight="1">
      <x:c r="A32" s="31" t="str">
        <x:v>SES scope</x:v>
      </x:c>
      <x:c r="B32" s="32" t="str">
        <x:v>ISCED 5 to 8, total sex, services excluding public administration, employers with at least 10 employees</x:v>
      </x:c>
      <x:c r="C32" s="32"/>
      <x:c r="D32" s="32"/>
      <x:c r="E32" s="32"/>
      <x:c r="F32" s="32"/>
      <x:c r="G32" s="32"/>
    </x:row>
    <x:row r="33" ht="32" customHeight="1">
      <x:c r="A33" s="31" t="str">
        <x:v>SES DOI</x:v>
      </x:c>
      <x:c r="B33" s="32" t="str">
        <x:v>https://doi.org/10.2908/EARN_SES22_30</x:v>
      </x:c>
      <x:c r="C33" s="32"/>
      <x:c r="D33" s="32"/>
      <x:c r="E33" s="32"/>
      <x:c r="F33" s="32"/>
      <x:c r="G33" s="32"/>
    </x:row>
    <x:row r="34" ht="32" customHeight="1">
      <x:c r="A34" s="31" t="str">
        <x:v>Updater DOI</x:v>
      </x:c>
      <x:c r="B34" s="32" t="str">
        <x:v>https://doi.org/10.2908/NAMA_10_LP_ULC</x:v>
      </x:c>
      <x:c r="C34" s="32"/>
      <x:c r="D34" s="32"/>
      <x:c r="E34" s="32"/>
      <x:c r="F34" s="32"/>
      <x:c r="G34" s="32"/>
    </x:row>
    <x:row r="35" ht="32" customHeight="1">
      <x:c r="A35" s="31" t="str">
        <x:v>First sheet</x:v>
      </x:c>
      <x:c r="B35" s="32" t="str">
        <x:v>Drop-in replacement with the same Country and Wage_EURO columns as the earlier file</x:v>
      </x:c>
      <x:c r="C35" s="32"/>
      <x:c r="D35" s="32"/>
      <x:c r="E35" s="32"/>
      <x:c r="F35" s="32"/>
      <x:c r="G35" s="32"/>
    </x:row>
    <x:row r="36" ht="32" customHeight="1">
      <x:c r="A36" s="33" t="str">
        <x:v>Rounding</x:v>
      </x:c>
      <x:c r="B36" s="34" t="str">
        <x:v>Nearest euro</x:v>
      </x:c>
      <x:c r="C36" s="34"/>
      <x:c r="D36" s="34"/>
      <x:c r="E36" s="34"/>
      <x:c r="F36" s="34"/>
      <x:c r="G36" s="34"/>
    </x:row>
  </x:sheetData>
  <x:mergeCells>
    <x:mergeCell ref="B30:G30"/>
    <x:mergeCell ref="B31:G31"/>
    <x:mergeCell ref="B32:G32"/>
    <x:mergeCell ref="B33:G33"/>
    <x:mergeCell ref="B34:G34"/>
    <x:mergeCell ref="B35:G35"/>
    <x:mergeCell ref="B36:G36"/>
  </x:mergeCells>
  <x:pageMargins left="0.7" right="0.7" top="0.75" bottom="0.75" header="0.3" footer="0.3"/>
  <x:tableParts count="1">
    <x:tablePart xmlns:r="http://schemas.openxmlformats.org/officeDocument/2006/relationships" r:id="Re90a0bc62f9543ba"/>
  </x:tableParts>
</x:worksheet>
</file>