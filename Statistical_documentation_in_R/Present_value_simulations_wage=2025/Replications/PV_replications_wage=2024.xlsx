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ycho/Documents/GitHub/Estimating_price_elasticity/Statistical_documentation_in_R/Present_value_simulations_wage=2025/Replications/"/>
    </mc:Choice>
  </mc:AlternateContent>
  <xr:revisionPtr revIDLastSave="0" documentId="13_ncr:1_{5AE1A71D-DE71-6F4E-9F05-3286E4836166}" xr6:coauthVersionLast="47" xr6:coauthVersionMax="47" xr10:uidLastSave="{00000000-0000-0000-0000-000000000000}"/>
  <bookViews>
    <workbookView xWindow="0" yWindow="500" windowWidth="28040" windowHeight="16080" xr2:uid="{5AD9FFB5-8549-4B4A-983F-DE54CE30B9F2}"/>
  </bookViews>
  <sheets>
    <sheet name="Bulgaria" sheetId="1" r:id="rId1"/>
    <sheet name="Luxemourg" sheetId="2" r:id="rId2"/>
    <sheet name="Portugal" sheetId="4" r:id="rId3"/>
    <sheet name="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119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B115" i="4"/>
  <c r="AE112" i="4"/>
  <c r="AB112" i="4"/>
  <c r="Y112" i="4"/>
  <c r="X112" i="4"/>
  <c r="W112" i="4"/>
  <c r="T112" i="4"/>
  <c r="Q112" i="4"/>
  <c r="P112" i="4"/>
  <c r="O112" i="4"/>
  <c r="L112" i="4"/>
  <c r="I112" i="4"/>
  <c r="H112" i="4"/>
  <c r="G112" i="4"/>
  <c r="D112" i="4"/>
  <c r="B110" i="4"/>
  <c r="Y109" i="4"/>
  <c r="Q109" i="4"/>
  <c r="I109" i="4"/>
  <c r="AE108" i="4"/>
  <c r="AE109" i="4" s="1"/>
  <c r="AB108" i="4"/>
  <c r="AB109" i="4" s="1"/>
  <c r="Y108" i="4"/>
  <c r="X108" i="4"/>
  <c r="X109" i="4" s="1"/>
  <c r="W108" i="4"/>
  <c r="W109" i="4" s="1"/>
  <c r="T108" i="4"/>
  <c r="T109" i="4" s="1"/>
  <c r="Q108" i="4"/>
  <c r="P108" i="4"/>
  <c r="P109" i="4" s="1"/>
  <c r="O108" i="4"/>
  <c r="O109" i="4" s="1"/>
  <c r="L108" i="4"/>
  <c r="L109" i="4" s="1"/>
  <c r="I108" i="4"/>
  <c r="H108" i="4"/>
  <c r="H109" i="4" s="1"/>
  <c r="G108" i="4"/>
  <c r="G109" i="4" s="1"/>
  <c r="D108" i="4"/>
  <c r="D109" i="4" s="1"/>
  <c r="AE107" i="4"/>
  <c r="AD107" i="4"/>
  <c r="AD112" i="4" s="1"/>
  <c r="AC107" i="4"/>
  <c r="AC112" i="4" s="1"/>
  <c r="AB107" i="4"/>
  <c r="AA107" i="4"/>
  <c r="AA112" i="4" s="1"/>
  <c r="Z107" i="4"/>
  <c r="Z112" i="4" s="1"/>
  <c r="Y107" i="4"/>
  <c r="X107" i="4"/>
  <c r="W107" i="4"/>
  <c r="V107" i="4"/>
  <c r="V112" i="4" s="1"/>
  <c r="U107" i="4"/>
  <c r="U112" i="4" s="1"/>
  <c r="T107" i="4"/>
  <c r="S107" i="4"/>
  <c r="S112" i="4" s="1"/>
  <c r="R107" i="4"/>
  <c r="R112" i="4" s="1"/>
  <c r="Q107" i="4"/>
  <c r="P107" i="4"/>
  <c r="O107" i="4"/>
  <c r="N107" i="4"/>
  <c r="N112" i="4" s="1"/>
  <c r="M107" i="4"/>
  <c r="M112" i="4" s="1"/>
  <c r="L107" i="4"/>
  <c r="K107" i="4"/>
  <c r="K112" i="4" s="1"/>
  <c r="J107" i="4"/>
  <c r="J112" i="4" s="1"/>
  <c r="I107" i="4"/>
  <c r="H107" i="4"/>
  <c r="G107" i="4"/>
  <c r="F107" i="4"/>
  <c r="F112" i="4" s="1"/>
  <c r="E107" i="4"/>
  <c r="E112" i="4" s="1"/>
  <c r="D107" i="4"/>
  <c r="C107" i="4"/>
  <c r="C112" i="4" s="1"/>
  <c r="B107" i="4"/>
  <c r="B112" i="4" s="1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B74" i="4"/>
  <c r="AE71" i="4"/>
  <c r="AD71" i="4"/>
  <c r="AC71" i="4"/>
  <c r="X71" i="4"/>
  <c r="W71" i="4"/>
  <c r="V71" i="4"/>
  <c r="U71" i="4"/>
  <c r="P71" i="4"/>
  <c r="O71" i="4"/>
  <c r="N71" i="4"/>
  <c r="M71" i="4"/>
  <c r="H71" i="4"/>
  <c r="G71" i="4"/>
  <c r="F71" i="4"/>
  <c r="E71" i="4"/>
  <c r="B69" i="4"/>
  <c r="AE68" i="4"/>
  <c r="Y68" i="4"/>
  <c r="X68" i="4"/>
  <c r="W68" i="4"/>
  <c r="Q68" i="4"/>
  <c r="P68" i="4"/>
  <c r="O68" i="4"/>
  <c r="I68" i="4"/>
  <c r="H68" i="4"/>
  <c r="G68" i="4"/>
  <c r="AE67" i="4"/>
  <c r="AD67" i="4"/>
  <c r="AD68" i="4" s="1"/>
  <c r="AC67" i="4"/>
  <c r="AC68" i="4" s="1"/>
  <c r="Y67" i="4"/>
  <c r="X67" i="4"/>
  <c r="W67" i="4"/>
  <c r="V67" i="4"/>
  <c r="V68" i="4" s="1"/>
  <c r="U67" i="4"/>
  <c r="U68" i="4" s="1"/>
  <c r="Q67" i="4"/>
  <c r="P67" i="4"/>
  <c r="O67" i="4"/>
  <c r="N67" i="4"/>
  <c r="N68" i="4" s="1"/>
  <c r="M67" i="4"/>
  <c r="M68" i="4" s="1"/>
  <c r="I67" i="4"/>
  <c r="H67" i="4"/>
  <c r="G67" i="4"/>
  <c r="F67" i="4"/>
  <c r="F68" i="4" s="1"/>
  <c r="E67" i="4"/>
  <c r="E68" i="4" s="1"/>
  <c r="AE66" i="4"/>
  <c r="AD66" i="4"/>
  <c r="AC66" i="4"/>
  <c r="AB66" i="4"/>
  <c r="AB71" i="4" s="1"/>
  <c r="AA66" i="4"/>
  <c r="AA71" i="4" s="1"/>
  <c r="Z66" i="4"/>
  <c r="Z71" i="4" s="1"/>
  <c r="Y66" i="4"/>
  <c r="Y71" i="4" s="1"/>
  <c r="X66" i="4"/>
  <c r="W66" i="4"/>
  <c r="V66" i="4"/>
  <c r="U66" i="4"/>
  <c r="T66" i="4"/>
  <c r="T71" i="4" s="1"/>
  <c r="S66" i="4"/>
  <c r="S71" i="4" s="1"/>
  <c r="R66" i="4"/>
  <c r="R71" i="4" s="1"/>
  <c r="Q66" i="4"/>
  <c r="Q71" i="4" s="1"/>
  <c r="P66" i="4"/>
  <c r="O66" i="4"/>
  <c r="N66" i="4"/>
  <c r="M66" i="4"/>
  <c r="L66" i="4"/>
  <c r="L71" i="4" s="1"/>
  <c r="K66" i="4"/>
  <c r="K71" i="4" s="1"/>
  <c r="J66" i="4"/>
  <c r="J71" i="4" s="1"/>
  <c r="I66" i="4"/>
  <c r="I71" i="4" s="1"/>
  <c r="H66" i="4"/>
  <c r="G66" i="4"/>
  <c r="F66" i="4"/>
  <c r="E66" i="4"/>
  <c r="D66" i="4"/>
  <c r="D71" i="4" s="1"/>
  <c r="C66" i="4"/>
  <c r="C71" i="4" s="1"/>
  <c r="B66" i="4"/>
  <c r="B71" i="4" s="1"/>
  <c r="B40" i="4"/>
  <c r="B39" i="4"/>
  <c r="B13" i="4"/>
  <c r="B12" i="4"/>
  <c r="B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B28" i="4"/>
  <c r="B18" i="4"/>
  <c r="B7" i="4"/>
  <c r="B8" i="4" s="1"/>
  <c r="G144" i="2"/>
  <c r="H144" i="2"/>
  <c r="I144" i="2"/>
  <c r="B120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B116" i="2"/>
  <c r="B111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B74" i="2"/>
  <c r="B69" i="2"/>
  <c r="B3" i="2"/>
  <c r="B7" i="2" s="1"/>
  <c r="B8" i="2" s="1"/>
  <c r="B18" i="2"/>
  <c r="B13" i="2"/>
  <c r="B12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B28" i="2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B26" i="1"/>
  <c r="AC26" i="1"/>
  <c r="AD26" i="1"/>
  <c r="AE26" i="1"/>
  <c r="W26" i="1"/>
  <c r="X26" i="1"/>
  <c r="Y26" i="1"/>
  <c r="Z26" i="1"/>
  <c r="AA26" i="1"/>
  <c r="M26" i="1"/>
  <c r="N26" i="1"/>
  <c r="O26" i="1"/>
  <c r="P26" i="1"/>
  <c r="Q26" i="1"/>
  <c r="R26" i="1"/>
  <c r="S26" i="1"/>
  <c r="T26" i="1"/>
  <c r="U26" i="1"/>
  <c r="V26" i="1"/>
  <c r="D26" i="1"/>
  <c r="E26" i="1"/>
  <c r="F26" i="1"/>
  <c r="G26" i="1"/>
  <c r="H26" i="1"/>
  <c r="I26" i="1"/>
  <c r="J26" i="1"/>
  <c r="K26" i="1"/>
  <c r="L26" i="1"/>
  <c r="C26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B115" i="1"/>
  <c r="B100" i="1"/>
  <c r="B110" i="1"/>
  <c r="B89" i="1"/>
  <c r="B90" i="1" s="1"/>
  <c r="AE74" i="1"/>
  <c r="T33" i="1"/>
  <c r="T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U74" i="1"/>
  <c r="V74" i="1"/>
  <c r="W74" i="1"/>
  <c r="X74" i="1"/>
  <c r="Y74" i="1"/>
  <c r="Z74" i="1"/>
  <c r="AA74" i="1"/>
  <c r="AB74" i="1"/>
  <c r="AC74" i="1"/>
  <c r="AD74" i="1"/>
  <c r="B74" i="1"/>
  <c r="C33" i="1"/>
  <c r="AE33" i="1"/>
  <c r="B69" i="1"/>
  <c r="B59" i="1"/>
  <c r="B48" i="1"/>
  <c r="B49" i="1" s="1"/>
  <c r="J33" i="1"/>
  <c r="K33" i="1"/>
  <c r="L33" i="1"/>
  <c r="M33" i="1"/>
  <c r="N33" i="1"/>
  <c r="O33" i="1"/>
  <c r="P33" i="1"/>
  <c r="Q33" i="1"/>
  <c r="R33" i="1"/>
  <c r="S33" i="1"/>
  <c r="U33" i="1"/>
  <c r="V33" i="1"/>
  <c r="W33" i="1"/>
  <c r="X33" i="1"/>
  <c r="Y33" i="1"/>
  <c r="Z33" i="1"/>
  <c r="AA33" i="1"/>
  <c r="AB33" i="1"/>
  <c r="AC33" i="1"/>
  <c r="AD33" i="1"/>
  <c r="D33" i="1"/>
  <c r="E33" i="1"/>
  <c r="F33" i="1"/>
  <c r="G33" i="1"/>
  <c r="H33" i="1"/>
  <c r="I33" i="1"/>
  <c r="B33" i="1"/>
  <c r="B7" i="1"/>
  <c r="B8" i="1" s="1"/>
  <c r="Y107" i="1" s="1"/>
  <c r="Y112" i="1" s="1"/>
  <c r="B28" i="1"/>
  <c r="B18" i="1"/>
  <c r="B113" i="4" l="1"/>
  <c r="B116" i="4" s="1"/>
  <c r="E108" i="4"/>
  <c r="E109" i="4" s="1"/>
  <c r="M108" i="4"/>
  <c r="M109" i="4" s="1"/>
  <c r="U108" i="4"/>
  <c r="U109" i="4" s="1"/>
  <c r="AC108" i="4"/>
  <c r="AC109" i="4" s="1"/>
  <c r="F108" i="4"/>
  <c r="F109" i="4" s="1"/>
  <c r="N108" i="4"/>
  <c r="N109" i="4" s="1"/>
  <c r="V108" i="4"/>
  <c r="V109" i="4" s="1"/>
  <c r="AD108" i="4"/>
  <c r="AD109" i="4" s="1"/>
  <c r="B108" i="4"/>
  <c r="B109" i="4" s="1"/>
  <c r="B111" i="4" s="1"/>
  <c r="J108" i="4"/>
  <c r="J109" i="4" s="1"/>
  <c r="R108" i="4"/>
  <c r="R109" i="4" s="1"/>
  <c r="Z108" i="4"/>
  <c r="Z109" i="4" s="1"/>
  <c r="C108" i="4"/>
  <c r="C109" i="4" s="1"/>
  <c r="K108" i="4"/>
  <c r="K109" i="4" s="1"/>
  <c r="S108" i="4"/>
  <c r="S109" i="4" s="1"/>
  <c r="AA108" i="4"/>
  <c r="AA109" i="4" s="1"/>
  <c r="D67" i="4"/>
  <c r="D68" i="4" s="1"/>
  <c r="L67" i="4"/>
  <c r="L68" i="4" s="1"/>
  <c r="T67" i="4"/>
  <c r="T68" i="4" s="1"/>
  <c r="AB67" i="4"/>
  <c r="AB68" i="4" s="1"/>
  <c r="B67" i="4"/>
  <c r="B68" i="4" s="1"/>
  <c r="B70" i="4" s="1"/>
  <c r="J67" i="4"/>
  <c r="J68" i="4" s="1"/>
  <c r="R67" i="4"/>
  <c r="R68" i="4" s="1"/>
  <c r="Z67" i="4"/>
  <c r="Z68" i="4" s="1"/>
  <c r="C67" i="4"/>
  <c r="C68" i="4" s="1"/>
  <c r="K67" i="4"/>
  <c r="K68" i="4" s="1"/>
  <c r="S67" i="4"/>
  <c r="S68" i="4" s="1"/>
  <c r="AA67" i="4"/>
  <c r="AA68" i="4" s="1"/>
  <c r="AE25" i="4"/>
  <c r="W25" i="4"/>
  <c r="O25" i="4"/>
  <c r="G25" i="4"/>
  <c r="AC25" i="4"/>
  <c r="M25" i="4"/>
  <c r="Y25" i="4"/>
  <c r="H25" i="4"/>
  <c r="AD25" i="4"/>
  <c r="V25" i="4"/>
  <c r="N25" i="4"/>
  <c r="F25" i="4"/>
  <c r="U25" i="4"/>
  <c r="E25" i="4"/>
  <c r="Q25" i="4"/>
  <c r="P25" i="4"/>
  <c r="AB25" i="4"/>
  <c r="T25" i="4"/>
  <c r="L25" i="4"/>
  <c r="D25" i="4"/>
  <c r="R25" i="4"/>
  <c r="B25" i="4"/>
  <c r="X25" i="4"/>
  <c r="AA25" i="4"/>
  <c r="S25" i="4"/>
  <c r="K25" i="4"/>
  <c r="C25" i="4"/>
  <c r="Z25" i="4"/>
  <c r="J25" i="4"/>
  <c r="I25" i="4"/>
  <c r="AE108" i="2"/>
  <c r="AE113" i="2" s="1"/>
  <c r="W108" i="2"/>
  <c r="W113" i="2" s="1"/>
  <c r="O108" i="2"/>
  <c r="O113" i="2" s="1"/>
  <c r="G108" i="2"/>
  <c r="G113" i="2" s="1"/>
  <c r="AB66" i="2"/>
  <c r="AB71" i="2" s="1"/>
  <c r="T66" i="2"/>
  <c r="T71" i="2" s="1"/>
  <c r="L66" i="2"/>
  <c r="L71" i="2" s="1"/>
  <c r="D66" i="2"/>
  <c r="D71" i="2" s="1"/>
  <c r="AD108" i="2"/>
  <c r="AD113" i="2" s="1"/>
  <c r="V108" i="2"/>
  <c r="V113" i="2" s="1"/>
  <c r="N108" i="2"/>
  <c r="N113" i="2" s="1"/>
  <c r="F108" i="2"/>
  <c r="F113" i="2" s="1"/>
  <c r="AA66" i="2"/>
  <c r="S66" i="2"/>
  <c r="K66" i="2"/>
  <c r="C66" i="2"/>
  <c r="AC66" i="2"/>
  <c r="AC71" i="2" s="1"/>
  <c r="U66" i="2"/>
  <c r="U71" i="2" s="1"/>
  <c r="E66" i="2"/>
  <c r="E71" i="2" s="1"/>
  <c r="AC108" i="2"/>
  <c r="U108" i="2"/>
  <c r="M108" i="2"/>
  <c r="E108" i="2"/>
  <c r="Z66" i="2"/>
  <c r="Z71" i="2" s="1"/>
  <c r="R66" i="2"/>
  <c r="R71" i="2" s="1"/>
  <c r="J66" i="2"/>
  <c r="J71" i="2" s="1"/>
  <c r="B66" i="2"/>
  <c r="B71" i="2" s="1"/>
  <c r="AB108" i="2"/>
  <c r="T108" i="2"/>
  <c r="L108" i="2"/>
  <c r="D108" i="2"/>
  <c r="Y66" i="2"/>
  <c r="Q66" i="2"/>
  <c r="I66" i="2"/>
  <c r="B25" i="2"/>
  <c r="Z108" i="2"/>
  <c r="Z113" i="2" s="1"/>
  <c r="J108" i="2"/>
  <c r="J113" i="2" s="1"/>
  <c r="B108" i="2"/>
  <c r="B113" i="2" s="1"/>
  <c r="O66" i="2"/>
  <c r="O71" i="2" s="1"/>
  <c r="Y108" i="2"/>
  <c r="Y113" i="2" s="1"/>
  <c r="Q108" i="2"/>
  <c r="Q113" i="2" s="1"/>
  <c r="AD66" i="2"/>
  <c r="AD67" i="2" s="1"/>
  <c r="AD68" i="2" s="1"/>
  <c r="V66" i="2"/>
  <c r="V71" i="2" s="1"/>
  <c r="N66" i="2"/>
  <c r="N71" i="2" s="1"/>
  <c r="X108" i="2"/>
  <c r="P108" i="2"/>
  <c r="AA108" i="2"/>
  <c r="S108" i="2"/>
  <c r="K108" i="2"/>
  <c r="C108" i="2"/>
  <c r="X66" i="2"/>
  <c r="P66" i="2"/>
  <c r="H66" i="2"/>
  <c r="R108" i="2"/>
  <c r="R113" i="2" s="1"/>
  <c r="AE66" i="2"/>
  <c r="AE71" i="2" s="1"/>
  <c r="W66" i="2"/>
  <c r="W71" i="2" s="1"/>
  <c r="G66" i="2"/>
  <c r="G71" i="2" s="1"/>
  <c r="I108" i="2"/>
  <c r="I113" i="2" s="1"/>
  <c r="F66" i="2"/>
  <c r="F71" i="2" s="1"/>
  <c r="H108" i="2"/>
  <c r="M66" i="2"/>
  <c r="M71" i="2" s="1"/>
  <c r="F109" i="2"/>
  <c r="F110" i="2" s="1"/>
  <c r="AD109" i="2"/>
  <c r="AD110" i="2" s="1"/>
  <c r="O109" i="2"/>
  <c r="O110" i="2" s="1"/>
  <c r="W109" i="2"/>
  <c r="W110" i="2" s="1"/>
  <c r="AE109" i="2"/>
  <c r="AE110" i="2" s="1"/>
  <c r="I109" i="2"/>
  <c r="I110" i="2" s="1"/>
  <c r="Q109" i="2"/>
  <c r="Q110" i="2" s="1"/>
  <c r="Y109" i="2"/>
  <c r="Y110" i="2" s="1"/>
  <c r="Z109" i="2"/>
  <c r="Z110" i="2" s="1"/>
  <c r="D67" i="2"/>
  <c r="D68" i="2" s="1"/>
  <c r="L67" i="2"/>
  <c r="L68" i="2" s="1"/>
  <c r="U67" i="2"/>
  <c r="U68" i="2" s="1"/>
  <c r="AC67" i="2"/>
  <c r="AC68" i="2" s="1"/>
  <c r="F67" i="2"/>
  <c r="F68" i="2" s="1"/>
  <c r="N67" i="2"/>
  <c r="N68" i="2" s="1"/>
  <c r="G67" i="2"/>
  <c r="G68" i="2" s="1"/>
  <c r="O67" i="2"/>
  <c r="O68" i="2" s="1"/>
  <c r="W67" i="2"/>
  <c r="W68" i="2" s="1"/>
  <c r="AE67" i="2"/>
  <c r="AE68" i="2" s="1"/>
  <c r="B67" i="2"/>
  <c r="B68" i="2" s="1"/>
  <c r="B70" i="2" s="1"/>
  <c r="J67" i="2"/>
  <c r="J68" i="2" s="1"/>
  <c r="R67" i="2"/>
  <c r="R68" i="2" s="1"/>
  <c r="Z67" i="2"/>
  <c r="Z68" i="2" s="1"/>
  <c r="Y25" i="2"/>
  <c r="Q25" i="2"/>
  <c r="I25" i="2"/>
  <c r="V25" i="2"/>
  <c r="M25" i="2"/>
  <c r="T25" i="2"/>
  <c r="K25" i="2"/>
  <c r="X25" i="2"/>
  <c r="P25" i="2"/>
  <c r="H25" i="2"/>
  <c r="AD25" i="2"/>
  <c r="F25" i="2"/>
  <c r="E25" i="2"/>
  <c r="AB25" i="2"/>
  <c r="C25" i="2"/>
  <c r="AE25" i="2"/>
  <c r="W25" i="2"/>
  <c r="O25" i="2"/>
  <c r="G25" i="2"/>
  <c r="AC25" i="2"/>
  <c r="D25" i="2"/>
  <c r="AA25" i="2"/>
  <c r="Z25" i="2"/>
  <c r="R25" i="2"/>
  <c r="J25" i="2"/>
  <c r="N25" i="2"/>
  <c r="U25" i="2"/>
  <c r="L25" i="2"/>
  <c r="S25" i="2"/>
  <c r="E66" i="1"/>
  <c r="E71" i="1" s="1"/>
  <c r="B107" i="1"/>
  <c r="B112" i="1" s="1"/>
  <c r="M66" i="1"/>
  <c r="M71" i="1" s="1"/>
  <c r="J107" i="1"/>
  <c r="J112" i="1" s="1"/>
  <c r="U66" i="1"/>
  <c r="U71" i="1" s="1"/>
  <c r="R107" i="1"/>
  <c r="R112" i="1" s="1"/>
  <c r="AC66" i="1"/>
  <c r="AC71" i="1" s="1"/>
  <c r="Z107" i="1"/>
  <c r="Z112" i="1" s="1"/>
  <c r="F66" i="1"/>
  <c r="F71" i="1" s="1"/>
  <c r="N66" i="1"/>
  <c r="N71" i="1" s="1"/>
  <c r="V66" i="1"/>
  <c r="V71" i="1" s="1"/>
  <c r="AD66" i="1"/>
  <c r="AD71" i="1" s="1"/>
  <c r="C107" i="1"/>
  <c r="C112" i="1" s="1"/>
  <c r="K107" i="1"/>
  <c r="K112" i="1" s="1"/>
  <c r="S107" i="1"/>
  <c r="AA107" i="1"/>
  <c r="O66" i="1"/>
  <c r="AE66" i="1"/>
  <c r="D107" i="1"/>
  <c r="D112" i="1" s="1"/>
  <c r="L107" i="1"/>
  <c r="L112" i="1" s="1"/>
  <c r="T107" i="1"/>
  <c r="AB107" i="1"/>
  <c r="G66" i="1"/>
  <c r="W66" i="1"/>
  <c r="H66" i="1"/>
  <c r="P66" i="1"/>
  <c r="X66" i="1"/>
  <c r="E107" i="1"/>
  <c r="E112" i="1" s="1"/>
  <c r="M107" i="1"/>
  <c r="M112" i="1" s="1"/>
  <c r="U107" i="1"/>
  <c r="U112" i="1" s="1"/>
  <c r="AC107" i="1"/>
  <c r="AC112" i="1" s="1"/>
  <c r="I66" i="1"/>
  <c r="Q66" i="1"/>
  <c r="Y66" i="1"/>
  <c r="F107" i="1"/>
  <c r="F112" i="1" s="1"/>
  <c r="N107" i="1"/>
  <c r="N112" i="1" s="1"/>
  <c r="V107" i="1"/>
  <c r="V112" i="1" s="1"/>
  <c r="AD107" i="1"/>
  <c r="AD112" i="1" s="1"/>
  <c r="B66" i="1"/>
  <c r="R66" i="1"/>
  <c r="Z66" i="1"/>
  <c r="G107" i="1"/>
  <c r="G112" i="1" s="1"/>
  <c r="O107" i="1"/>
  <c r="O112" i="1" s="1"/>
  <c r="W107" i="1"/>
  <c r="W112" i="1" s="1"/>
  <c r="AE107" i="1"/>
  <c r="AE112" i="1" s="1"/>
  <c r="C66" i="1"/>
  <c r="C71" i="1" s="1"/>
  <c r="K66" i="1"/>
  <c r="K71" i="1" s="1"/>
  <c r="S66" i="1"/>
  <c r="S71" i="1" s="1"/>
  <c r="AA66" i="1"/>
  <c r="AA71" i="1" s="1"/>
  <c r="H107" i="1"/>
  <c r="H112" i="1" s="1"/>
  <c r="P107" i="1"/>
  <c r="P112" i="1" s="1"/>
  <c r="X107" i="1"/>
  <c r="J66" i="1"/>
  <c r="D66" i="1"/>
  <c r="D71" i="1" s="1"/>
  <c r="L66" i="1"/>
  <c r="L71" i="1" s="1"/>
  <c r="T66" i="1"/>
  <c r="T71" i="1" s="1"/>
  <c r="AB66" i="1"/>
  <c r="AB71" i="1" s="1"/>
  <c r="I107" i="1"/>
  <c r="I112" i="1" s="1"/>
  <c r="Q107" i="1"/>
  <c r="Q112" i="1" s="1"/>
  <c r="L109" i="1"/>
  <c r="M109" i="1"/>
  <c r="U109" i="1"/>
  <c r="AC109" i="1"/>
  <c r="F109" i="1"/>
  <c r="O109" i="1"/>
  <c r="W109" i="1"/>
  <c r="AE109" i="1"/>
  <c r="H109" i="1"/>
  <c r="P109" i="1"/>
  <c r="Y109" i="1"/>
  <c r="B109" i="1"/>
  <c r="B111" i="1" s="1"/>
  <c r="B113" i="1" s="1"/>
  <c r="B116" i="1" s="1"/>
  <c r="J109" i="1"/>
  <c r="R109" i="1"/>
  <c r="Z109" i="1"/>
  <c r="AB68" i="1"/>
  <c r="E68" i="1"/>
  <c r="M68" i="1"/>
  <c r="F68" i="1"/>
  <c r="N68" i="1"/>
  <c r="AA68" i="1"/>
  <c r="M25" i="1"/>
  <c r="U25" i="1"/>
  <c r="AC25" i="1"/>
  <c r="E25" i="1"/>
  <c r="B25" i="1"/>
  <c r="C25" i="1"/>
  <c r="W25" i="1"/>
  <c r="W27" i="1" s="1"/>
  <c r="P25" i="1"/>
  <c r="P27" i="1" s="1"/>
  <c r="X25" i="1"/>
  <c r="X27" i="1" s="1"/>
  <c r="H25" i="1"/>
  <c r="H30" i="1" s="1"/>
  <c r="Q25" i="1"/>
  <c r="Q27" i="1" s="1"/>
  <c r="Y25" i="1"/>
  <c r="Y27" i="1" s="1"/>
  <c r="I25" i="1"/>
  <c r="I27" i="1" s="1"/>
  <c r="N25" i="1"/>
  <c r="V25" i="1"/>
  <c r="AD25" i="1"/>
  <c r="F25" i="1"/>
  <c r="F27" i="1" s="1"/>
  <c r="O25" i="1"/>
  <c r="O27" i="1" s="1"/>
  <c r="AE25" i="1"/>
  <c r="AE27" i="1" s="1"/>
  <c r="G25" i="1"/>
  <c r="G27" i="1" s="1"/>
  <c r="L25" i="1"/>
  <c r="L30" i="1" s="1"/>
  <c r="T25" i="1"/>
  <c r="AB25" i="1"/>
  <c r="D25" i="1"/>
  <c r="J25" i="1"/>
  <c r="R25" i="1"/>
  <c r="Z25" i="1"/>
  <c r="K25" i="1"/>
  <c r="S25" i="1"/>
  <c r="AA25" i="1"/>
  <c r="O30" i="1"/>
  <c r="H27" i="1"/>
  <c r="G30" i="1"/>
  <c r="I30" i="1"/>
  <c r="B114" i="4" l="1"/>
  <c r="C110" i="4" s="1"/>
  <c r="C111" i="4" s="1"/>
  <c r="B72" i="4"/>
  <c r="B75" i="4" s="1"/>
  <c r="P30" i="4"/>
  <c r="P26" i="4"/>
  <c r="P27" i="4" s="1"/>
  <c r="X30" i="4"/>
  <c r="X26" i="4"/>
  <c r="X27" i="4" s="1"/>
  <c r="Q30" i="4"/>
  <c r="Q26" i="4"/>
  <c r="Q27" i="4" s="1"/>
  <c r="Y30" i="4"/>
  <c r="Y26" i="4"/>
  <c r="Y27" i="4" s="1"/>
  <c r="E30" i="4"/>
  <c r="E26" i="4"/>
  <c r="E27" i="4" s="1"/>
  <c r="U30" i="4"/>
  <c r="U26" i="4"/>
  <c r="U27" i="4" s="1"/>
  <c r="F30" i="4"/>
  <c r="F26" i="4"/>
  <c r="F27" i="4" s="1"/>
  <c r="C30" i="4"/>
  <c r="C26" i="4"/>
  <c r="C27" i="4" s="1"/>
  <c r="L30" i="4"/>
  <c r="L26" i="4"/>
  <c r="L27" i="4" s="1"/>
  <c r="N30" i="4"/>
  <c r="N26" i="4"/>
  <c r="N27" i="4" s="1"/>
  <c r="O26" i="4"/>
  <c r="O27" i="4" s="1"/>
  <c r="O30" i="4"/>
  <c r="H30" i="4"/>
  <c r="H26" i="4"/>
  <c r="H27" i="4" s="1"/>
  <c r="M30" i="4"/>
  <c r="M26" i="4"/>
  <c r="M27" i="4" s="1"/>
  <c r="AC30" i="4"/>
  <c r="AC26" i="4"/>
  <c r="AC27" i="4" s="1"/>
  <c r="D30" i="4"/>
  <c r="D26" i="4"/>
  <c r="D27" i="4" s="1"/>
  <c r="K30" i="4"/>
  <c r="K26" i="4"/>
  <c r="K27" i="4" s="1"/>
  <c r="T26" i="4"/>
  <c r="T27" i="4" s="1"/>
  <c r="T30" i="4"/>
  <c r="V30" i="4"/>
  <c r="V26" i="4"/>
  <c r="V27" i="4" s="1"/>
  <c r="W30" i="4"/>
  <c r="W26" i="4"/>
  <c r="W27" i="4" s="1"/>
  <c r="AA26" i="4"/>
  <c r="AA27" i="4" s="1"/>
  <c r="AA30" i="4"/>
  <c r="I30" i="4"/>
  <c r="I26" i="4"/>
  <c r="I27" i="4" s="1"/>
  <c r="B30" i="4"/>
  <c r="B26" i="4"/>
  <c r="B27" i="4" s="1"/>
  <c r="B29" i="4" s="1"/>
  <c r="J30" i="4"/>
  <c r="J26" i="4"/>
  <c r="J27" i="4" s="1"/>
  <c r="R30" i="4"/>
  <c r="R26" i="4"/>
  <c r="R27" i="4" s="1"/>
  <c r="Z30" i="4"/>
  <c r="Z26" i="4"/>
  <c r="Z27" i="4" s="1"/>
  <c r="G30" i="4"/>
  <c r="G26" i="4"/>
  <c r="G27" i="4" s="1"/>
  <c r="S26" i="4"/>
  <c r="S27" i="4" s="1"/>
  <c r="S30" i="4"/>
  <c r="AB30" i="4"/>
  <c r="AB26" i="4"/>
  <c r="AB27" i="4" s="1"/>
  <c r="AD30" i="4"/>
  <c r="AD26" i="4"/>
  <c r="AD27" i="4" s="1"/>
  <c r="AE26" i="4"/>
  <c r="AE27" i="4" s="1"/>
  <c r="AE30" i="4"/>
  <c r="S71" i="2"/>
  <c r="S67" i="2"/>
  <c r="S68" i="2" s="1"/>
  <c r="U113" i="2"/>
  <c r="U109" i="2"/>
  <c r="U110" i="2" s="1"/>
  <c r="AB109" i="2"/>
  <c r="AB110" i="2" s="1"/>
  <c r="AB113" i="2"/>
  <c r="V67" i="2"/>
  <c r="V68" i="2" s="1"/>
  <c r="T67" i="2"/>
  <c r="T68" i="2" s="1"/>
  <c r="N109" i="2"/>
  <c r="N110" i="2" s="1"/>
  <c r="AA113" i="2"/>
  <c r="AA109" i="2"/>
  <c r="AA110" i="2" s="1"/>
  <c r="D113" i="2"/>
  <c r="D109" i="2"/>
  <c r="D110" i="2" s="1"/>
  <c r="E113" i="2"/>
  <c r="E109" i="2"/>
  <c r="E110" i="2" s="1"/>
  <c r="K67" i="2"/>
  <c r="K68" i="2" s="1"/>
  <c r="K71" i="2"/>
  <c r="H113" i="2"/>
  <c r="H109" i="2"/>
  <c r="H110" i="2" s="1"/>
  <c r="X71" i="2"/>
  <c r="X67" i="2"/>
  <c r="X68" i="2" s="1"/>
  <c r="J109" i="2"/>
  <c r="J110" i="2" s="1"/>
  <c r="G109" i="2"/>
  <c r="G110" i="2" s="1"/>
  <c r="C113" i="2"/>
  <c r="C109" i="2"/>
  <c r="C110" i="2" s="1"/>
  <c r="I71" i="2"/>
  <c r="I67" i="2"/>
  <c r="I68" i="2" s="1"/>
  <c r="X113" i="2"/>
  <c r="X109" i="2"/>
  <c r="X110" i="2" s="1"/>
  <c r="T113" i="2"/>
  <c r="T109" i="2"/>
  <c r="T110" i="2" s="1"/>
  <c r="AC109" i="2"/>
  <c r="AC110" i="2" s="1"/>
  <c r="AC113" i="2"/>
  <c r="R109" i="2"/>
  <c r="R110" i="2" s="1"/>
  <c r="E67" i="2"/>
  <c r="E68" i="2" s="1"/>
  <c r="B109" i="2"/>
  <c r="B110" i="2" s="1"/>
  <c r="B112" i="2" s="1"/>
  <c r="B114" i="2" s="1"/>
  <c r="B117" i="2" s="1"/>
  <c r="K113" i="2"/>
  <c r="K109" i="2"/>
  <c r="K110" i="2" s="1"/>
  <c r="Q71" i="2"/>
  <c r="Q67" i="2"/>
  <c r="Q68" i="2" s="1"/>
  <c r="P109" i="2"/>
  <c r="P110" i="2" s="1"/>
  <c r="P113" i="2"/>
  <c r="L109" i="2"/>
  <c r="L110" i="2" s="1"/>
  <c r="L113" i="2"/>
  <c r="M109" i="2"/>
  <c r="M110" i="2" s="1"/>
  <c r="M113" i="2"/>
  <c r="H67" i="2"/>
  <c r="H68" i="2" s="1"/>
  <c r="H71" i="2"/>
  <c r="AA67" i="2"/>
  <c r="AA68" i="2" s="1"/>
  <c r="AA71" i="2"/>
  <c r="P67" i="2"/>
  <c r="P68" i="2" s="1"/>
  <c r="P71" i="2"/>
  <c r="M67" i="2"/>
  <c r="M68" i="2" s="1"/>
  <c r="AD71" i="2"/>
  <c r="AB67" i="2"/>
  <c r="AB68" i="2" s="1"/>
  <c r="V109" i="2"/>
  <c r="V110" i="2" s="1"/>
  <c r="S113" i="2"/>
  <c r="S109" i="2"/>
  <c r="S110" i="2" s="1"/>
  <c r="Y71" i="2"/>
  <c r="Y67" i="2"/>
  <c r="Y68" i="2" s="1"/>
  <c r="C67" i="2"/>
  <c r="C68" i="2" s="1"/>
  <c r="C71" i="2"/>
  <c r="B115" i="2"/>
  <c r="C111" i="2" s="1"/>
  <c r="C112" i="2" s="1"/>
  <c r="B72" i="2"/>
  <c r="B75" i="2" s="1"/>
  <c r="AA30" i="2"/>
  <c r="AA26" i="2"/>
  <c r="AA27" i="2" s="1"/>
  <c r="D30" i="2"/>
  <c r="D26" i="2"/>
  <c r="D27" i="2" s="1"/>
  <c r="AC26" i="2"/>
  <c r="AC27" i="2" s="1"/>
  <c r="AC30" i="2"/>
  <c r="AD30" i="2"/>
  <c r="AD26" i="2"/>
  <c r="AD27" i="2" s="1"/>
  <c r="O26" i="2"/>
  <c r="O27" i="2" s="1"/>
  <c r="O30" i="2"/>
  <c r="J30" i="2"/>
  <c r="J26" i="2"/>
  <c r="J27" i="2" s="1"/>
  <c r="W30" i="2"/>
  <c r="W26" i="2"/>
  <c r="W27" i="2" s="1"/>
  <c r="P30" i="2"/>
  <c r="P26" i="2"/>
  <c r="P27" i="2" s="1"/>
  <c r="Y30" i="2"/>
  <c r="Y26" i="2"/>
  <c r="Y27" i="2" s="1"/>
  <c r="AB30" i="2"/>
  <c r="AB26" i="2"/>
  <c r="AB27" i="2" s="1"/>
  <c r="L30" i="2"/>
  <c r="L26" i="2"/>
  <c r="L27" i="2" s="1"/>
  <c r="M26" i="2"/>
  <c r="M27" i="2" s="1"/>
  <c r="M30" i="2"/>
  <c r="U30" i="2"/>
  <c r="U26" i="2"/>
  <c r="U27" i="2" s="1"/>
  <c r="F30" i="2"/>
  <c r="F26" i="2"/>
  <c r="F27" i="2" s="1"/>
  <c r="N30" i="2"/>
  <c r="N26" i="2"/>
  <c r="N27" i="2" s="1"/>
  <c r="I30" i="2"/>
  <c r="I26" i="2"/>
  <c r="I27" i="2" s="1"/>
  <c r="Q30" i="2"/>
  <c r="Q26" i="2"/>
  <c r="Q27" i="2" s="1"/>
  <c r="R30" i="2"/>
  <c r="R26" i="2"/>
  <c r="R27" i="2" s="1"/>
  <c r="AE30" i="2"/>
  <c r="AE26" i="2"/>
  <c r="AE27" i="2" s="1"/>
  <c r="X30" i="2"/>
  <c r="X26" i="2"/>
  <c r="X27" i="2" s="1"/>
  <c r="S30" i="2"/>
  <c r="S26" i="2"/>
  <c r="S27" i="2" s="1"/>
  <c r="T30" i="2"/>
  <c r="T26" i="2"/>
  <c r="T27" i="2" s="1"/>
  <c r="E30" i="2"/>
  <c r="E26" i="2"/>
  <c r="E27" i="2" s="1"/>
  <c r="V26" i="2"/>
  <c r="V27" i="2" s="1"/>
  <c r="V30" i="2"/>
  <c r="G30" i="2"/>
  <c r="G26" i="2"/>
  <c r="G27" i="2" s="1"/>
  <c r="B30" i="2"/>
  <c r="B26" i="2"/>
  <c r="B27" i="2" s="1"/>
  <c r="B29" i="2" s="1"/>
  <c r="H26" i="2"/>
  <c r="H27" i="2" s="1"/>
  <c r="H30" i="2"/>
  <c r="Z30" i="2"/>
  <c r="Z26" i="2"/>
  <c r="Z27" i="2" s="1"/>
  <c r="C30" i="2"/>
  <c r="C26" i="2"/>
  <c r="C27" i="2" s="1"/>
  <c r="K30" i="2"/>
  <c r="K26" i="2"/>
  <c r="K27" i="2" s="1"/>
  <c r="C68" i="1"/>
  <c r="D68" i="1"/>
  <c r="AD109" i="1"/>
  <c r="AE30" i="1"/>
  <c r="U68" i="1"/>
  <c r="Q109" i="1"/>
  <c r="V109" i="1"/>
  <c r="AC68" i="1"/>
  <c r="L27" i="1"/>
  <c r="Q30" i="1"/>
  <c r="S68" i="1"/>
  <c r="K68" i="1"/>
  <c r="I109" i="1"/>
  <c r="N109" i="1"/>
  <c r="G109" i="1"/>
  <c r="E109" i="1"/>
  <c r="Z68" i="1"/>
  <c r="Z71" i="1"/>
  <c r="X30" i="1"/>
  <c r="D109" i="1"/>
  <c r="P71" i="1"/>
  <c r="P68" i="1"/>
  <c r="T109" i="1"/>
  <c r="T112" i="1"/>
  <c r="X68" i="1"/>
  <c r="X71" i="1"/>
  <c r="Q71" i="1"/>
  <c r="Q68" i="1"/>
  <c r="H68" i="1"/>
  <c r="H71" i="1"/>
  <c r="AD68" i="1"/>
  <c r="X112" i="1"/>
  <c r="X109" i="1"/>
  <c r="W68" i="1"/>
  <c r="W71" i="1"/>
  <c r="O71" i="1"/>
  <c r="O68" i="1"/>
  <c r="F30" i="1"/>
  <c r="R68" i="1"/>
  <c r="R71" i="1"/>
  <c r="K109" i="1"/>
  <c r="J68" i="1"/>
  <c r="J71" i="1"/>
  <c r="B68" i="1"/>
  <c r="B70" i="1" s="1"/>
  <c r="B71" i="1"/>
  <c r="I68" i="1"/>
  <c r="I71" i="1"/>
  <c r="V68" i="1"/>
  <c r="T68" i="1"/>
  <c r="G68" i="1"/>
  <c r="G71" i="1"/>
  <c r="AA112" i="1"/>
  <c r="AA109" i="1"/>
  <c r="Y68" i="1"/>
  <c r="Y71" i="1"/>
  <c r="C109" i="1"/>
  <c r="AE71" i="1"/>
  <c r="AE68" i="1"/>
  <c r="L68" i="1"/>
  <c r="AB109" i="1"/>
  <c r="AB112" i="1"/>
  <c r="S109" i="1"/>
  <c r="S112" i="1"/>
  <c r="B114" i="1"/>
  <c r="C110" i="1" s="1"/>
  <c r="D30" i="1"/>
  <c r="D27" i="1"/>
  <c r="AD30" i="1"/>
  <c r="AD27" i="1"/>
  <c r="AA30" i="1"/>
  <c r="AA27" i="1"/>
  <c r="C30" i="1"/>
  <c r="C27" i="1"/>
  <c r="Z27" i="1"/>
  <c r="Z30" i="1"/>
  <c r="AC30" i="1"/>
  <c r="AC27" i="1"/>
  <c r="N30" i="1"/>
  <c r="N27" i="1"/>
  <c r="P30" i="1"/>
  <c r="S27" i="1"/>
  <c r="S30" i="1"/>
  <c r="Y30" i="1"/>
  <c r="R30" i="1"/>
  <c r="R27" i="1"/>
  <c r="U27" i="1"/>
  <c r="U30" i="1"/>
  <c r="AB30" i="1"/>
  <c r="AB27" i="1"/>
  <c r="V30" i="1"/>
  <c r="V27" i="1"/>
  <c r="T30" i="1"/>
  <c r="T27" i="1"/>
  <c r="E16" i="1"/>
  <c r="B26" i="1"/>
  <c r="B27" i="1" s="1"/>
  <c r="B29" i="1" s="1"/>
  <c r="B30" i="1"/>
  <c r="B31" i="1" s="1"/>
  <c r="B34" i="1" s="1"/>
  <c r="K27" i="1"/>
  <c r="K30" i="1"/>
  <c r="E27" i="1"/>
  <c r="E30" i="1"/>
  <c r="W30" i="1"/>
  <c r="J30" i="1"/>
  <c r="J27" i="1"/>
  <c r="M30" i="1"/>
  <c r="M27" i="1"/>
  <c r="C113" i="4" l="1"/>
  <c r="C116" i="4" s="1"/>
  <c r="B73" i="4"/>
  <c r="C69" i="4" s="1"/>
  <c r="C70" i="4" s="1"/>
  <c r="B31" i="4"/>
  <c r="B34" i="4" s="1"/>
  <c r="C114" i="2"/>
  <c r="C117" i="2" s="1"/>
  <c r="B73" i="2"/>
  <c r="C69" i="2" s="1"/>
  <c r="C70" i="2" s="1"/>
  <c r="B31" i="2"/>
  <c r="B34" i="2" s="1"/>
  <c r="C111" i="1"/>
  <c r="B72" i="1"/>
  <c r="B75" i="1" s="1"/>
  <c r="C113" i="1"/>
  <c r="C116" i="1" s="1"/>
  <c r="B32" i="1"/>
  <c r="C28" i="1" s="1"/>
  <c r="C29" i="1" s="1"/>
  <c r="C114" i="4" l="1"/>
  <c r="D110" i="4" s="1"/>
  <c r="D111" i="4" s="1"/>
  <c r="C72" i="4"/>
  <c r="C75" i="4" s="1"/>
  <c r="B32" i="4"/>
  <c r="C28" i="4" s="1"/>
  <c r="C29" i="4" s="1"/>
  <c r="C31" i="4" s="1"/>
  <c r="C34" i="4" s="1"/>
  <c r="C115" i="2"/>
  <c r="D111" i="2" s="1"/>
  <c r="D112" i="2" s="1"/>
  <c r="D114" i="2"/>
  <c r="D117" i="2" s="1"/>
  <c r="C72" i="2"/>
  <c r="C75" i="2" s="1"/>
  <c r="B32" i="2"/>
  <c r="C28" i="2" s="1"/>
  <c r="C29" i="2" s="1"/>
  <c r="C31" i="2"/>
  <c r="C34" i="2" s="1"/>
  <c r="B73" i="1"/>
  <c r="C69" i="1" s="1"/>
  <c r="C70" i="1" s="1"/>
  <c r="C114" i="1"/>
  <c r="D110" i="1" s="1"/>
  <c r="D111" i="1" s="1"/>
  <c r="C31" i="1"/>
  <c r="C34" i="1" s="1"/>
  <c r="D113" i="4" l="1"/>
  <c r="D116" i="4" s="1"/>
  <c r="C73" i="4"/>
  <c r="D69" i="4" s="1"/>
  <c r="D70" i="4" s="1"/>
  <c r="C32" i="4"/>
  <c r="D28" i="4" s="1"/>
  <c r="D29" i="4" s="1"/>
  <c r="D115" i="2"/>
  <c r="E111" i="2" s="1"/>
  <c r="E112" i="2" s="1"/>
  <c r="C73" i="2"/>
  <c r="D69" i="2" s="1"/>
  <c r="D70" i="2" s="1"/>
  <c r="C32" i="2"/>
  <c r="D28" i="2" s="1"/>
  <c r="D29" i="2" s="1"/>
  <c r="C72" i="1"/>
  <c r="C75" i="1" s="1"/>
  <c r="D113" i="1"/>
  <c r="D116" i="1" s="1"/>
  <c r="C32" i="1"/>
  <c r="D28" i="1" s="1"/>
  <c r="D29" i="1" s="1"/>
  <c r="D31" i="1" s="1"/>
  <c r="D114" i="4" l="1"/>
  <c r="E110" i="4" s="1"/>
  <c r="E111" i="4" s="1"/>
  <c r="D72" i="4"/>
  <c r="D75" i="4" s="1"/>
  <c r="D31" i="4"/>
  <c r="D34" i="4" s="1"/>
  <c r="E114" i="2"/>
  <c r="E117" i="2" s="1"/>
  <c r="D72" i="2"/>
  <c r="D75" i="2" s="1"/>
  <c r="D31" i="2"/>
  <c r="D34" i="2" s="1"/>
  <c r="C73" i="1"/>
  <c r="D69" i="1" s="1"/>
  <c r="D70" i="1" s="1"/>
  <c r="D72" i="1" s="1"/>
  <c r="D75" i="1" s="1"/>
  <c r="D114" i="1"/>
  <c r="E110" i="1" s="1"/>
  <c r="E111" i="1" s="1"/>
  <c r="D73" i="1"/>
  <c r="E69" i="1" s="1"/>
  <c r="E70" i="1" s="1"/>
  <c r="D34" i="1"/>
  <c r="E113" i="4" l="1"/>
  <c r="E116" i="4" s="1"/>
  <c r="D73" i="4"/>
  <c r="E69" i="4" s="1"/>
  <c r="E70" i="4" s="1"/>
  <c r="D32" i="4"/>
  <c r="E28" i="4" s="1"/>
  <c r="E29" i="4" s="1"/>
  <c r="E115" i="2"/>
  <c r="F111" i="2" s="1"/>
  <c r="F112" i="2" s="1"/>
  <c r="D73" i="2"/>
  <c r="E69" i="2" s="1"/>
  <c r="E70" i="2" s="1"/>
  <c r="D32" i="2"/>
  <c r="E28" i="2" s="1"/>
  <c r="E29" i="2" s="1"/>
  <c r="E113" i="1"/>
  <c r="E116" i="1" s="1"/>
  <c r="E72" i="1"/>
  <c r="E75" i="1" s="1"/>
  <c r="D32" i="1"/>
  <c r="E28" i="1" s="1"/>
  <c r="E29" i="1" s="1"/>
  <c r="E114" i="4" l="1"/>
  <c r="F110" i="4" s="1"/>
  <c r="F111" i="4" s="1"/>
  <c r="E72" i="4"/>
  <c r="E75" i="4" s="1"/>
  <c r="E31" i="4"/>
  <c r="E34" i="4" s="1"/>
  <c r="F114" i="2"/>
  <c r="F117" i="2" s="1"/>
  <c r="E72" i="2"/>
  <c r="E75" i="2" s="1"/>
  <c r="E31" i="2"/>
  <c r="E34" i="2" s="1"/>
  <c r="E114" i="1"/>
  <c r="F110" i="1" s="1"/>
  <c r="F111" i="1" s="1"/>
  <c r="E73" i="1"/>
  <c r="F69" i="1" s="1"/>
  <c r="F70" i="1" s="1"/>
  <c r="E31" i="1"/>
  <c r="E34" i="1" s="1"/>
  <c r="F114" i="4" l="1"/>
  <c r="G110" i="4" s="1"/>
  <c r="G111" i="4" s="1"/>
  <c r="F113" i="4"/>
  <c r="F116" i="4" s="1"/>
  <c r="E73" i="4"/>
  <c r="F69" i="4" s="1"/>
  <c r="F70" i="4" s="1"/>
  <c r="E32" i="4"/>
  <c r="F28" i="4" s="1"/>
  <c r="F29" i="4" s="1"/>
  <c r="F115" i="2"/>
  <c r="G111" i="2" s="1"/>
  <c r="G112" i="2" s="1"/>
  <c r="E73" i="2"/>
  <c r="F69" i="2" s="1"/>
  <c r="F70" i="2" s="1"/>
  <c r="E32" i="2"/>
  <c r="F28" i="2" s="1"/>
  <c r="F29" i="2" s="1"/>
  <c r="E32" i="1"/>
  <c r="F28" i="1" s="1"/>
  <c r="F29" i="1" s="1"/>
  <c r="F113" i="1"/>
  <c r="F116" i="1" s="1"/>
  <c r="F72" i="1"/>
  <c r="F75" i="1" s="1"/>
  <c r="F31" i="1"/>
  <c r="F34" i="1" s="1"/>
  <c r="F32" i="1"/>
  <c r="G28" i="1" s="1"/>
  <c r="G29" i="1" s="1"/>
  <c r="G113" i="4" l="1"/>
  <c r="G116" i="4" s="1"/>
  <c r="F72" i="4"/>
  <c r="F75" i="4" s="1"/>
  <c r="F31" i="4"/>
  <c r="F34" i="4" s="1"/>
  <c r="G114" i="2"/>
  <c r="G117" i="2" s="1"/>
  <c r="F72" i="2"/>
  <c r="F75" i="2" s="1"/>
  <c r="F31" i="2"/>
  <c r="F34" i="2" s="1"/>
  <c r="F114" i="1"/>
  <c r="G110" i="1" s="1"/>
  <c r="G111" i="1" s="1"/>
  <c r="F73" i="1"/>
  <c r="G69" i="1" s="1"/>
  <c r="G70" i="1" s="1"/>
  <c r="G31" i="1"/>
  <c r="G34" i="1" s="1"/>
  <c r="G32" i="1"/>
  <c r="H28" i="1" s="1"/>
  <c r="H29" i="1" s="1"/>
  <c r="H31" i="1" s="1"/>
  <c r="H34" i="1" s="1"/>
  <c r="G114" i="4" l="1"/>
  <c r="H110" i="4" s="1"/>
  <c r="H111" i="4" s="1"/>
  <c r="F73" i="4"/>
  <c r="G69" i="4" s="1"/>
  <c r="G70" i="4" s="1"/>
  <c r="F32" i="4"/>
  <c r="G28" i="4" s="1"/>
  <c r="G29" i="4" s="1"/>
  <c r="G115" i="2"/>
  <c r="H111" i="2" s="1"/>
  <c r="H112" i="2" s="1"/>
  <c r="F73" i="2"/>
  <c r="G69" i="2" s="1"/>
  <c r="G70" i="2" s="1"/>
  <c r="F32" i="2"/>
  <c r="G28" i="2" s="1"/>
  <c r="G29" i="2" s="1"/>
  <c r="H32" i="1"/>
  <c r="I28" i="1" s="1"/>
  <c r="I29" i="1" s="1"/>
  <c r="G113" i="1"/>
  <c r="G116" i="1" s="1"/>
  <c r="G72" i="1"/>
  <c r="G75" i="1" s="1"/>
  <c r="I31" i="1"/>
  <c r="I34" i="1" s="1"/>
  <c r="H113" i="4" l="1"/>
  <c r="H116" i="4" s="1"/>
  <c r="G72" i="4"/>
  <c r="G75" i="4" s="1"/>
  <c r="G31" i="4"/>
  <c r="G34" i="4" s="1"/>
  <c r="H114" i="2"/>
  <c r="H117" i="2" s="1"/>
  <c r="G72" i="2"/>
  <c r="G75" i="2" s="1"/>
  <c r="G31" i="2"/>
  <c r="G34" i="2" s="1"/>
  <c r="G114" i="1"/>
  <c r="H110" i="1" s="1"/>
  <c r="H111" i="1" s="1"/>
  <c r="G73" i="1"/>
  <c r="H69" i="1" s="1"/>
  <c r="H70" i="1" s="1"/>
  <c r="I32" i="1"/>
  <c r="J28" i="1" s="1"/>
  <c r="J29" i="1" s="1"/>
  <c r="H114" i="4" l="1"/>
  <c r="I110" i="4" s="1"/>
  <c r="I111" i="4" s="1"/>
  <c r="G73" i="4"/>
  <c r="H69" i="4" s="1"/>
  <c r="H70" i="4" s="1"/>
  <c r="G32" i="4"/>
  <c r="H28" i="4" s="1"/>
  <c r="H29" i="4" s="1"/>
  <c r="H115" i="2"/>
  <c r="I111" i="2" s="1"/>
  <c r="I112" i="2" s="1"/>
  <c r="G73" i="2"/>
  <c r="H69" i="2" s="1"/>
  <c r="H70" i="2" s="1"/>
  <c r="G32" i="2"/>
  <c r="H28" i="2" s="1"/>
  <c r="H29" i="2" s="1"/>
  <c r="H113" i="1"/>
  <c r="H116" i="1" s="1"/>
  <c r="H72" i="1"/>
  <c r="H75" i="1" s="1"/>
  <c r="J31" i="1"/>
  <c r="J34" i="1" s="1"/>
  <c r="I113" i="4" l="1"/>
  <c r="I116" i="4" s="1"/>
  <c r="H72" i="4"/>
  <c r="H75" i="4" s="1"/>
  <c r="H31" i="4"/>
  <c r="H34" i="4" s="1"/>
  <c r="I114" i="2"/>
  <c r="I117" i="2" s="1"/>
  <c r="H72" i="2"/>
  <c r="H75" i="2" s="1"/>
  <c r="H31" i="2"/>
  <c r="H34" i="2" s="1"/>
  <c r="H114" i="1"/>
  <c r="I110" i="1" s="1"/>
  <c r="I111" i="1" s="1"/>
  <c r="H73" i="1"/>
  <c r="I69" i="1" s="1"/>
  <c r="I70" i="1" s="1"/>
  <c r="J32" i="1"/>
  <c r="K28" i="1" s="1"/>
  <c r="K29" i="1" s="1"/>
  <c r="I114" i="4" l="1"/>
  <c r="J110" i="4" s="1"/>
  <c r="J111" i="4" s="1"/>
  <c r="H73" i="4"/>
  <c r="I69" i="4" s="1"/>
  <c r="I70" i="4" s="1"/>
  <c r="H32" i="4"/>
  <c r="I28" i="4" s="1"/>
  <c r="I29" i="4" s="1"/>
  <c r="I115" i="2"/>
  <c r="J111" i="2" s="1"/>
  <c r="J112" i="2" s="1"/>
  <c r="H73" i="2"/>
  <c r="I69" i="2" s="1"/>
  <c r="I70" i="2" s="1"/>
  <c r="H32" i="2"/>
  <c r="I28" i="2" s="1"/>
  <c r="I29" i="2" s="1"/>
  <c r="I113" i="1"/>
  <c r="I116" i="1" s="1"/>
  <c r="I72" i="1"/>
  <c r="I75" i="1" s="1"/>
  <c r="K31" i="1"/>
  <c r="K34" i="1" s="1"/>
  <c r="J113" i="4" l="1"/>
  <c r="J116" i="4" s="1"/>
  <c r="I72" i="4"/>
  <c r="I75" i="4" s="1"/>
  <c r="I31" i="4"/>
  <c r="I34" i="4" s="1"/>
  <c r="J114" i="2"/>
  <c r="J117" i="2" s="1"/>
  <c r="I72" i="2"/>
  <c r="I75" i="2" s="1"/>
  <c r="I31" i="2"/>
  <c r="I34" i="2" s="1"/>
  <c r="K32" i="1"/>
  <c r="L28" i="1" s="1"/>
  <c r="L29" i="1" s="1"/>
  <c r="I114" i="1"/>
  <c r="J110" i="1" s="1"/>
  <c r="J111" i="1" s="1"/>
  <c r="I73" i="1"/>
  <c r="J69" i="1" s="1"/>
  <c r="J70" i="1" s="1"/>
  <c r="J72" i="1" s="1"/>
  <c r="J75" i="1" s="1"/>
  <c r="L31" i="1"/>
  <c r="L34" i="1" s="1"/>
  <c r="L32" i="1"/>
  <c r="M28" i="1" s="1"/>
  <c r="M29" i="1" s="1"/>
  <c r="J114" i="4" l="1"/>
  <c r="K110" i="4" s="1"/>
  <c r="K111" i="4" s="1"/>
  <c r="I73" i="4"/>
  <c r="J69" i="4" s="1"/>
  <c r="J70" i="4" s="1"/>
  <c r="I32" i="4"/>
  <c r="J28" i="4" s="1"/>
  <c r="J29" i="4" s="1"/>
  <c r="J115" i="2"/>
  <c r="K111" i="2" s="1"/>
  <c r="K112" i="2" s="1"/>
  <c r="I73" i="2"/>
  <c r="J69" i="2" s="1"/>
  <c r="J70" i="2" s="1"/>
  <c r="I32" i="2"/>
  <c r="J28" i="2" s="1"/>
  <c r="J29" i="2" s="1"/>
  <c r="J113" i="1"/>
  <c r="J116" i="1" s="1"/>
  <c r="J73" i="1"/>
  <c r="K69" i="1" s="1"/>
  <c r="K70" i="1" s="1"/>
  <c r="M31" i="1"/>
  <c r="M34" i="1" s="1"/>
  <c r="K113" i="4" l="1"/>
  <c r="K116" i="4" s="1"/>
  <c r="J72" i="4"/>
  <c r="J75" i="4" s="1"/>
  <c r="J31" i="4"/>
  <c r="J34" i="4" s="1"/>
  <c r="K114" i="2"/>
  <c r="K117" i="2" s="1"/>
  <c r="J72" i="2"/>
  <c r="J75" i="2" s="1"/>
  <c r="J31" i="2"/>
  <c r="J34" i="2" s="1"/>
  <c r="M32" i="1"/>
  <c r="N28" i="1" s="1"/>
  <c r="N29" i="1" s="1"/>
  <c r="J114" i="1"/>
  <c r="K110" i="1" s="1"/>
  <c r="K111" i="1" s="1"/>
  <c r="K72" i="1"/>
  <c r="K75" i="1" s="1"/>
  <c r="N31" i="1"/>
  <c r="N34" i="1" s="1"/>
  <c r="N32" i="1"/>
  <c r="O28" i="1" s="1"/>
  <c r="O29" i="1" s="1"/>
  <c r="K114" i="4" l="1"/>
  <c r="L110" i="4" s="1"/>
  <c r="L111" i="4" s="1"/>
  <c r="J73" i="4"/>
  <c r="K69" i="4" s="1"/>
  <c r="K70" i="4" s="1"/>
  <c r="J32" i="4"/>
  <c r="K28" i="4" s="1"/>
  <c r="K29" i="4" s="1"/>
  <c r="K115" i="2"/>
  <c r="L111" i="2" s="1"/>
  <c r="L112" i="2" s="1"/>
  <c r="J73" i="2"/>
  <c r="K69" i="2" s="1"/>
  <c r="K70" i="2" s="1"/>
  <c r="J32" i="2"/>
  <c r="K28" i="2" s="1"/>
  <c r="K29" i="2" s="1"/>
  <c r="K113" i="1"/>
  <c r="K116" i="1" s="1"/>
  <c r="K73" i="1"/>
  <c r="L69" i="1" s="1"/>
  <c r="L70" i="1" s="1"/>
  <c r="O31" i="1"/>
  <c r="O34" i="1" s="1"/>
  <c r="O32" i="1"/>
  <c r="P28" i="1" s="1"/>
  <c r="P29" i="1" s="1"/>
  <c r="L113" i="4" l="1"/>
  <c r="L116" i="4" s="1"/>
  <c r="K72" i="4"/>
  <c r="K75" i="4" s="1"/>
  <c r="K31" i="4"/>
  <c r="K34" i="4" s="1"/>
  <c r="L114" i="2"/>
  <c r="L117" i="2" s="1"/>
  <c r="K72" i="2"/>
  <c r="K75" i="2" s="1"/>
  <c r="K31" i="2"/>
  <c r="K34" i="2" s="1"/>
  <c r="K114" i="1"/>
  <c r="L110" i="1" s="1"/>
  <c r="L111" i="1" s="1"/>
  <c r="L72" i="1"/>
  <c r="L75" i="1" s="1"/>
  <c r="P31" i="1"/>
  <c r="P34" i="1" s="1"/>
  <c r="L114" i="4" l="1"/>
  <c r="M110" i="4" s="1"/>
  <c r="M111" i="4" s="1"/>
  <c r="K73" i="4"/>
  <c r="L69" i="4" s="1"/>
  <c r="L70" i="4" s="1"/>
  <c r="K32" i="4"/>
  <c r="L28" i="4" s="1"/>
  <c r="L29" i="4" s="1"/>
  <c r="L115" i="2"/>
  <c r="M111" i="2" s="1"/>
  <c r="M112" i="2" s="1"/>
  <c r="K73" i="2"/>
  <c r="L69" i="2" s="1"/>
  <c r="L70" i="2" s="1"/>
  <c r="K32" i="2"/>
  <c r="L28" i="2" s="1"/>
  <c r="L29" i="2" s="1"/>
  <c r="P32" i="1"/>
  <c r="Q28" i="1" s="1"/>
  <c r="Q29" i="1" s="1"/>
  <c r="L113" i="1"/>
  <c r="L116" i="1" s="1"/>
  <c r="L73" i="1"/>
  <c r="M69" i="1" s="1"/>
  <c r="M70" i="1" s="1"/>
  <c r="Q31" i="1"/>
  <c r="Q34" i="1" s="1"/>
  <c r="Q32" i="1"/>
  <c r="R28" i="1" s="1"/>
  <c r="R29" i="1" s="1"/>
  <c r="M113" i="4" l="1"/>
  <c r="M116" i="4" s="1"/>
  <c r="L72" i="4"/>
  <c r="L75" i="4" s="1"/>
  <c r="L31" i="4"/>
  <c r="L34" i="4" s="1"/>
  <c r="M114" i="2"/>
  <c r="M117" i="2" s="1"/>
  <c r="M115" i="2"/>
  <c r="N111" i="2" s="1"/>
  <c r="N112" i="2" s="1"/>
  <c r="L72" i="2"/>
  <c r="L75" i="2" s="1"/>
  <c r="L31" i="2"/>
  <c r="L34" i="2" s="1"/>
  <c r="L114" i="1"/>
  <c r="M110" i="1" s="1"/>
  <c r="M111" i="1" s="1"/>
  <c r="M72" i="1"/>
  <c r="M75" i="1" s="1"/>
  <c r="R31" i="1"/>
  <c r="R34" i="1" s="1"/>
  <c r="R32" i="1"/>
  <c r="S28" i="1" s="1"/>
  <c r="S29" i="1" s="1"/>
  <c r="M114" i="4" l="1"/>
  <c r="N110" i="4" s="1"/>
  <c r="N111" i="4" s="1"/>
  <c r="L73" i="4"/>
  <c r="M69" i="4" s="1"/>
  <c r="M70" i="4" s="1"/>
  <c r="L32" i="4"/>
  <c r="M28" i="4" s="1"/>
  <c r="M29" i="4" s="1"/>
  <c r="N114" i="2"/>
  <c r="N117" i="2" s="1"/>
  <c r="L73" i="2"/>
  <c r="M69" i="2" s="1"/>
  <c r="M70" i="2" s="1"/>
  <c r="L32" i="2"/>
  <c r="M28" i="2" s="1"/>
  <c r="M29" i="2" s="1"/>
  <c r="M113" i="1"/>
  <c r="M116" i="1" s="1"/>
  <c r="M73" i="1"/>
  <c r="N69" i="1" s="1"/>
  <c r="N70" i="1" s="1"/>
  <c r="S31" i="1"/>
  <c r="S34" i="1" s="1"/>
  <c r="N113" i="4" l="1"/>
  <c r="N116" i="4" s="1"/>
  <c r="M72" i="4"/>
  <c r="M75" i="4" s="1"/>
  <c r="M31" i="4"/>
  <c r="M34" i="4" s="1"/>
  <c r="N115" i="2"/>
  <c r="O111" i="2" s="1"/>
  <c r="O112" i="2" s="1"/>
  <c r="M72" i="2"/>
  <c r="M75" i="2" s="1"/>
  <c r="M31" i="2"/>
  <c r="M34" i="2" s="1"/>
  <c r="S32" i="1"/>
  <c r="T28" i="1" s="1"/>
  <c r="T29" i="1" s="1"/>
  <c r="M114" i="1"/>
  <c r="N110" i="1" s="1"/>
  <c r="N111" i="1" s="1"/>
  <c r="N72" i="1"/>
  <c r="N75" i="1" s="1"/>
  <c r="T31" i="1"/>
  <c r="T34" i="1" s="1"/>
  <c r="N114" i="4" l="1"/>
  <c r="O110" i="4" s="1"/>
  <c r="O111" i="4" s="1"/>
  <c r="M73" i="4"/>
  <c r="N69" i="4" s="1"/>
  <c r="N70" i="4" s="1"/>
  <c r="M32" i="4"/>
  <c r="N28" i="4" s="1"/>
  <c r="N29" i="4" s="1"/>
  <c r="O114" i="2"/>
  <c r="O117" i="2" s="1"/>
  <c r="M73" i="2"/>
  <c r="N69" i="2" s="1"/>
  <c r="N70" i="2" s="1"/>
  <c r="M32" i="2"/>
  <c r="N28" i="2" s="1"/>
  <c r="N29" i="2" s="1"/>
  <c r="N113" i="1"/>
  <c r="N116" i="1" s="1"/>
  <c r="N73" i="1"/>
  <c r="O69" i="1" s="1"/>
  <c r="O70" i="1" s="1"/>
  <c r="T32" i="1"/>
  <c r="U28" i="1" s="1"/>
  <c r="U29" i="1" s="1"/>
  <c r="O113" i="4" l="1"/>
  <c r="O116" i="4" s="1"/>
  <c r="N72" i="4"/>
  <c r="N75" i="4" s="1"/>
  <c r="N31" i="4"/>
  <c r="N34" i="4" s="1"/>
  <c r="O115" i="2"/>
  <c r="P111" i="2" s="1"/>
  <c r="P112" i="2" s="1"/>
  <c r="N72" i="2"/>
  <c r="N75" i="2" s="1"/>
  <c r="N31" i="2"/>
  <c r="N34" i="2" s="1"/>
  <c r="N114" i="1"/>
  <c r="O110" i="1" s="1"/>
  <c r="O111" i="1" s="1"/>
  <c r="O72" i="1"/>
  <c r="O75" i="1" s="1"/>
  <c r="U31" i="1"/>
  <c r="U34" i="1" s="1"/>
  <c r="U32" i="1"/>
  <c r="V28" i="1" s="1"/>
  <c r="V29" i="1" s="1"/>
  <c r="O114" i="4" l="1"/>
  <c r="P110" i="4" s="1"/>
  <c r="P111" i="4" s="1"/>
  <c r="N73" i="4"/>
  <c r="O69" i="4" s="1"/>
  <c r="O70" i="4" s="1"/>
  <c r="N32" i="4"/>
  <c r="O28" i="4" s="1"/>
  <c r="O29" i="4" s="1"/>
  <c r="P114" i="2"/>
  <c r="P117" i="2" s="1"/>
  <c r="N73" i="2"/>
  <c r="O69" i="2" s="1"/>
  <c r="O70" i="2" s="1"/>
  <c r="N32" i="2"/>
  <c r="O28" i="2" s="1"/>
  <c r="O29" i="2" s="1"/>
  <c r="O113" i="1"/>
  <c r="O116" i="1" s="1"/>
  <c r="O73" i="1"/>
  <c r="P69" i="1" s="1"/>
  <c r="P70" i="1" s="1"/>
  <c r="V31" i="1"/>
  <c r="V34" i="1" s="1"/>
  <c r="P113" i="4" l="1"/>
  <c r="P116" i="4" s="1"/>
  <c r="O72" i="4"/>
  <c r="O75" i="4" s="1"/>
  <c r="O31" i="4"/>
  <c r="O34" i="4" s="1"/>
  <c r="P115" i="2"/>
  <c r="Q111" i="2" s="1"/>
  <c r="Q112" i="2" s="1"/>
  <c r="O72" i="2"/>
  <c r="O75" i="2" s="1"/>
  <c r="O31" i="2"/>
  <c r="O34" i="2" s="1"/>
  <c r="V32" i="1"/>
  <c r="W28" i="1" s="1"/>
  <c r="W29" i="1" s="1"/>
  <c r="O114" i="1"/>
  <c r="P110" i="1" s="1"/>
  <c r="P111" i="1" s="1"/>
  <c r="P72" i="1"/>
  <c r="P75" i="1" s="1"/>
  <c r="W31" i="1"/>
  <c r="W34" i="1" s="1"/>
  <c r="P114" i="4" l="1"/>
  <c r="Q110" i="4" s="1"/>
  <c r="Q111" i="4" s="1"/>
  <c r="O73" i="4"/>
  <c r="P69" i="4" s="1"/>
  <c r="P70" i="4" s="1"/>
  <c r="O32" i="4"/>
  <c r="P28" i="4" s="1"/>
  <c r="P29" i="4" s="1"/>
  <c r="Q114" i="2"/>
  <c r="Q117" i="2" s="1"/>
  <c r="O73" i="2"/>
  <c r="P69" i="2" s="1"/>
  <c r="P70" i="2" s="1"/>
  <c r="O32" i="2"/>
  <c r="P28" i="2" s="1"/>
  <c r="P29" i="2" s="1"/>
  <c r="W32" i="1"/>
  <c r="X28" i="1" s="1"/>
  <c r="X29" i="1" s="1"/>
  <c r="P113" i="1"/>
  <c r="P116" i="1" s="1"/>
  <c r="P73" i="1"/>
  <c r="Q69" i="1" s="1"/>
  <c r="Q70" i="1" s="1"/>
  <c r="X31" i="1"/>
  <c r="X34" i="1" s="1"/>
  <c r="Q113" i="4" l="1"/>
  <c r="Q116" i="4" s="1"/>
  <c r="Q114" i="4"/>
  <c r="R110" i="4" s="1"/>
  <c r="R111" i="4" s="1"/>
  <c r="P72" i="4"/>
  <c r="P75" i="4" s="1"/>
  <c r="P31" i="4"/>
  <c r="P34" i="4" s="1"/>
  <c r="Q115" i="2"/>
  <c r="R111" i="2" s="1"/>
  <c r="R112" i="2" s="1"/>
  <c r="P72" i="2"/>
  <c r="P75" i="2" s="1"/>
  <c r="P31" i="2"/>
  <c r="P34" i="2" s="1"/>
  <c r="X32" i="1"/>
  <c r="Y28" i="1" s="1"/>
  <c r="Y29" i="1" s="1"/>
  <c r="P114" i="1"/>
  <c r="Q110" i="1" s="1"/>
  <c r="Q111" i="1" s="1"/>
  <c r="Q72" i="1"/>
  <c r="Q75" i="1" s="1"/>
  <c r="Y31" i="1"/>
  <c r="Y34" i="1" s="1"/>
  <c r="Y32" i="1"/>
  <c r="Z28" i="1" s="1"/>
  <c r="Z29" i="1" s="1"/>
  <c r="Z31" i="1" s="1"/>
  <c r="Z34" i="1" s="1"/>
  <c r="R113" i="4" l="1"/>
  <c r="R116" i="4" s="1"/>
  <c r="P73" i="4"/>
  <c r="Q69" i="4" s="1"/>
  <c r="Q70" i="4" s="1"/>
  <c r="P32" i="4"/>
  <c r="Q28" i="4" s="1"/>
  <c r="Q29" i="4" s="1"/>
  <c r="R114" i="2"/>
  <c r="R117" i="2" s="1"/>
  <c r="P73" i="2"/>
  <c r="Q69" i="2" s="1"/>
  <c r="Q70" i="2" s="1"/>
  <c r="P32" i="2"/>
  <c r="Q28" i="2" s="1"/>
  <c r="Q29" i="2" s="1"/>
  <c r="Z32" i="1"/>
  <c r="AA28" i="1" s="1"/>
  <c r="AA29" i="1" s="1"/>
  <c r="AA31" i="1" s="1"/>
  <c r="AA34" i="1" s="1"/>
  <c r="Q113" i="1"/>
  <c r="Q116" i="1" s="1"/>
  <c r="Q73" i="1"/>
  <c r="R69" i="1" s="1"/>
  <c r="R70" i="1" s="1"/>
  <c r="R114" i="4" l="1"/>
  <c r="S110" i="4" s="1"/>
  <c r="S111" i="4" s="1"/>
  <c r="Q72" i="4"/>
  <c r="Q75" i="4" s="1"/>
  <c r="Q31" i="4"/>
  <c r="Q34" i="4" s="1"/>
  <c r="R115" i="2"/>
  <c r="S111" i="2" s="1"/>
  <c r="S112" i="2" s="1"/>
  <c r="Q72" i="2"/>
  <c r="Q75" i="2" s="1"/>
  <c r="Q31" i="2"/>
  <c r="Q34" i="2" s="1"/>
  <c r="AA32" i="1"/>
  <c r="AB28" i="1" s="1"/>
  <c r="AB29" i="1" s="1"/>
  <c r="Q114" i="1"/>
  <c r="R110" i="1" s="1"/>
  <c r="R111" i="1" s="1"/>
  <c r="R72" i="1"/>
  <c r="R75" i="1" s="1"/>
  <c r="AB31" i="1"/>
  <c r="AB34" i="1" s="1"/>
  <c r="S113" i="4" l="1"/>
  <c r="S116" i="4" s="1"/>
  <c r="Q73" i="4"/>
  <c r="R69" i="4" s="1"/>
  <c r="R70" i="4" s="1"/>
  <c r="Q32" i="4"/>
  <c r="R28" i="4" s="1"/>
  <c r="R29" i="4" s="1"/>
  <c r="S114" i="2"/>
  <c r="S117" i="2" s="1"/>
  <c r="Q73" i="2"/>
  <c r="R69" i="2" s="1"/>
  <c r="R70" i="2" s="1"/>
  <c r="Q32" i="2"/>
  <c r="R28" i="2" s="1"/>
  <c r="R29" i="2" s="1"/>
  <c r="R113" i="1"/>
  <c r="R116" i="1" s="1"/>
  <c r="R73" i="1"/>
  <c r="S69" i="1" s="1"/>
  <c r="S70" i="1" s="1"/>
  <c r="S72" i="1" s="1"/>
  <c r="S75" i="1" s="1"/>
  <c r="AB32" i="1"/>
  <c r="AC28" i="1" s="1"/>
  <c r="AC29" i="1" s="1"/>
  <c r="AC31" i="1" s="1"/>
  <c r="AC34" i="1" s="1"/>
  <c r="S114" i="4" l="1"/>
  <c r="T110" i="4" s="1"/>
  <c r="T111" i="4" s="1"/>
  <c r="R72" i="4"/>
  <c r="R75" i="4" s="1"/>
  <c r="R31" i="4"/>
  <c r="R34" i="4" s="1"/>
  <c r="S115" i="2"/>
  <c r="T111" i="2" s="1"/>
  <c r="T112" i="2" s="1"/>
  <c r="R72" i="2"/>
  <c r="R75" i="2" s="1"/>
  <c r="R31" i="2"/>
  <c r="R34" i="2" s="1"/>
  <c r="R114" i="1"/>
  <c r="S110" i="1" s="1"/>
  <c r="S111" i="1" s="1"/>
  <c r="S73" i="1"/>
  <c r="T69" i="1" s="1"/>
  <c r="T70" i="1" s="1"/>
  <c r="AC32" i="1"/>
  <c r="AD28" i="1" s="1"/>
  <c r="AD29" i="1" s="1"/>
  <c r="T113" i="4" l="1"/>
  <c r="T116" i="4" s="1"/>
  <c r="R73" i="4"/>
  <c r="S69" i="4" s="1"/>
  <c r="S70" i="4" s="1"/>
  <c r="R32" i="4"/>
  <c r="S28" i="4" s="1"/>
  <c r="S29" i="4" s="1"/>
  <c r="T114" i="2"/>
  <c r="T117" i="2" s="1"/>
  <c r="R73" i="2"/>
  <c r="S69" i="2" s="1"/>
  <c r="S70" i="2" s="1"/>
  <c r="R32" i="2"/>
  <c r="S28" i="2" s="1"/>
  <c r="S29" i="2" s="1"/>
  <c r="S113" i="1"/>
  <c r="S116" i="1" s="1"/>
  <c r="T72" i="1"/>
  <c r="T75" i="1" s="1"/>
  <c r="AD31" i="1"/>
  <c r="AD34" i="1" s="1"/>
  <c r="T114" i="4" l="1"/>
  <c r="U110" i="4" s="1"/>
  <c r="U111" i="4" s="1"/>
  <c r="S72" i="4"/>
  <c r="S75" i="4" s="1"/>
  <c r="S31" i="4"/>
  <c r="S34" i="4" s="1"/>
  <c r="T115" i="2"/>
  <c r="U111" i="2" s="1"/>
  <c r="U112" i="2" s="1"/>
  <c r="S72" i="2"/>
  <c r="S75" i="2" s="1"/>
  <c r="S31" i="2"/>
  <c r="S34" i="2" s="1"/>
  <c r="S114" i="1"/>
  <c r="T110" i="1" s="1"/>
  <c r="T111" i="1" s="1"/>
  <c r="T73" i="1"/>
  <c r="U69" i="1" s="1"/>
  <c r="U70" i="1" s="1"/>
  <c r="AD32" i="1"/>
  <c r="AE28" i="1" s="1"/>
  <c r="AE29" i="1" s="1"/>
  <c r="U113" i="4" l="1"/>
  <c r="U116" i="4" s="1"/>
  <c r="S73" i="4"/>
  <c r="T69" i="4" s="1"/>
  <c r="T70" i="4" s="1"/>
  <c r="S32" i="4"/>
  <c r="T28" i="4" s="1"/>
  <c r="T29" i="4" s="1"/>
  <c r="U114" i="2"/>
  <c r="U117" i="2" s="1"/>
  <c r="S73" i="2"/>
  <c r="T69" i="2" s="1"/>
  <c r="T70" i="2" s="1"/>
  <c r="S32" i="2"/>
  <c r="T28" i="2" s="1"/>
  <c r="T29" i="2" s="1"/>
  <c r="T113" i="1"/>
  <c r="T116" i="1" s="1"/>
  <c r="U72" i="1"/>
  <c r="U75" i="1" s="1"/>
  <c r="AE31" i="1"/>
  <c r="AE34" i="1" s="1"/>
  <c r="U114" i="4" l="1"/>
  <c r="V110" i="4" s="1"/>
  <c r="V111" i="4" s="1"/>
  <c r="T72" i="4"/>
  <c r="T75" i="4" s="1"/>
  <c r="T31" i="4"/>
  <c r="T34" i="4" s="1"/>
  <c r="U115" i="2"/>
  <c r="V111" i="2" s="1"/>
  <c r="V112" i="2" s="1"/>
  <c r="T72" i="2"/>
  <c r="T75" i="2" s="1"/>
  <c r="T31" i="2"/>
  <c r="T34" i="2" s="1"/>
  <c r="B38" i="1"/>
  <c r="B39" i="1" s="1"/>
  <c r="F130" i="1" s="1"/>
  <c r="T114" i="1"/>
  <c r="U110" i="1" s="1"/>
  <c r="U111" i="1" s="1"/>
  <c r="U73" i="1"/>
  <c r="V69" i="1" s="1"/>
  <c r="V70" i="1" s="1"/>
  <c r="AE32" i="1"/>
  <c r="B40" i="1" s="1"/>
  <c r="V113" i="4" l="1"/>
  <c r="V116" i="4" s="1"/>
  <c r="T73" i="4"/>
  <c r="U69" i="4" s="1"/>
  <c r="U70" i="4" s="1"/>
  <c r="T32" i="4"/>
  <c r="U28" i="4" s="1"/>
  <c r="U29" i="4" s="1"/>
  <c r="V114" i="2"/>
  <c r="V117" i="2" s="1"/>
  <c r="T73" i="2"/>
  <c r="U69" i="2" s="1"/>
  <c r="U70" i="2" s="1"/>
  <c r="T32" i="2"/>
  <c r="U28" i="2" s="1"/>
  <c r="U29" i="2" s="1"/>
  <c r="U113" i="1"/>
  <c r="U116" i="1" s="1"/>
  <c r="V72" i="1"/>
  <c r="V75" i="1" s="1"/>
  <c r="V114" i="4" l="1"/>
  <c r="W110" i="4" s="1"/>
  <c r="W111" i="4" s="1"/>
  <c r="U72" i="4"/>
  <c r="U75" i="4" s="1"/>
  <c r="U31" i="4"/>
  <c r="U34" i="4" s="1"/>
  <c r="V115" i="2"/>
  <c r="W111" i="2" s="1"/>
  <c r="W112" i="2" s="1"/>
  <c r="U72" i="2"/>
  <c r="U75" i="2" s="1"/>
  <c r="U31" i="2"/>
  <c r="U34" i="2" s="1"/>
  <c r="U114" i="1"/>
  <c r="V110" i="1" s="1"/>
  <c r="V111" i="1" s="1"/>
  <c r="V73" i="1"/>
  <c r="W69" i="1" s="1"/>
  <c r="W70" i="1" s="1"/>
  <c r="W113" i="4" l="1"/>
  <c r="W116" i="4" s="1"/>
  <c r="U73" i="4"/>
  <c r="V69" i="4" s="1"/>
  <c r="V70" i="4" s="1"/>
  <c r="U32" i="4"/>
  <c r="V28" i="4" s="1"/>
  <c r="V29" i="4" s="1"/>
  <c r="W114" i="2"/>
  <c r="W117" i="2" s="1"/>
  <c r="U73" i="2"/>
  <c r="V69" i="2" s="1"/>
  <c r="V70" i="2" s="1"/>
  <c r="U32" i="2"/>
  <c r="V28" i="2" s="1"/>
  <c r="V29" i="2" s="1"/>
  <c r="V113" i="1"/>
  <c r="V116" i="1" s="1"/>
  <c r="W72" i="1"/>
  <c r="W75" i="1" s="1"/>
  <c r="W114" i="4" l="1"/>
  <c r="X110" i="4" s="1"/>
  <c r="X111" i="4" s="1"/>
  <c r="V72" i="4"/>
  <c r="V75" i="4" s="1"/>
  <c r="V31" i="4"/>
  <c r="V34" i="4" s="1"/>
  <c r="W115" i="2"/>
  <c r="X111" i="2" s="1"/>
  <c r="X112" i="2" s="1"/>
  <c r="V72" i="2"/>
  <c r="V75" i="2" s="1"/>
  <c r="V31" i="2"/>
  <c r="V34" i="2" s="1"/>
  <c r="V114" i="1"/>
  <c r="W110" i="1" s="1"/>
  <c r="W111" i="1" s="1"/>
  <c r="W73" i="1"/>
  <c r="X69" i="1" s="1"/>
  <c r="X70" i="1" s="1"/>
  <c r="X113" i="4" l="1"/>
  <c r="X116" i="4" s="1"/>
  <c r="V73" i="4"/>
  <c r="W69" i="4" s="1"/>
  <c r="W70" i="4" s="1"/>
  <c r="V32" i="4"/>
  <c r="W28" i="4" s="1"/>
  <c r="W29" i="4" s="1"/>
  <c r="X114" i="2"/>
  <c r="X117" i="2" s="1"/>
  <c r="V73" i="2"/>
  <c r="W69" i="2" s="1"/>
  <c r="W70" i="2" s="1"/>
  <c r="V32" i="2"/>
  <c r="W28" i="2" s="1"/>
  <c r="W29" i="2" s="1"/>
  <c r="W113" i="1"/>
  <c r="W116" i="1" s="1"/>
  <c r="X72" i="1"/>
  <c r="X75" i="1" s="1"/>
  <c r="X114" i="4" l="1"/>
  <c r="Y110" i="4" s="1"/>
  <c r="Y111" i="4" s="1"/>
  <c r="W72" i="4"/>
  <c r="W75" i="4" s="1"/>
  <c r="W31" i="4"/>
  <c r="W34" i="4" s="1"/>
  <c r="X115" i="2"/>
  <c r="Y111" i="2" s="1"/>
  <c r="Y112" i="2" s="1"/>
  <c r="W72" i="2"/>
  <c r="W75" i="2" s="1"/>
  <c r="W31" i="2"/>
  <c r="W34" i="2" s="1"/>
  <c r="W114" i="1"/>
  <c r="X110" i="1" s="1"/>
  <c r="X111" i="1" s="1"/>
  <c r="X73" i="1"/>
  <c r="Y69" i="1" s="1"/>
  <c r="Y70" i="1" s="1"/>
  <c r="Y113" i="4" l="1"/>
  <c r="Y116" i="4" s="1"/>
  <c r="W73" i="4"/>
  <c r="X69" i="4" s="1"/>
  <c r="X70" i="4" s="1"/>
  <c r="W32" i="4"/>
  <c r="X28" i="4" s="1"/>
  <c r="X29" i="4" s="1"/>
  <c r="Y114" i="2"/>
  <c r="Y117" i="2" s="1"/>
  <c r="W73" i="2"/>
  <c r="X69" i="2" s="1"/>
  <c r="X70" i="2" s="1"/>
  <c r="W32" i="2"/>
  <c r="X28" i="2" s="1"/>
  <c r="X29" i="2" s="1"/>
  <c r="X113" i="1"/>
  <c r="X116" i="1" s="1"/>
  <c r="Y72" i="1"/>
  <c r="Y75" i="1" s="1"/>
  <c r="Y73" i="1"/>
  <c r="Z69" i="1" s="1"/>
  <c r="Z70" i="1" s="1"/>
  <c r="Y114" i="4" l="1"/>
  <c r="Z110" i="4" s="1"/>
  <c r="Z111" i="4" s="1"/>
  <c r="X72" i="4"/>
  <c r="X75" i="4" s="1"/>
  <c r="X73" i="4"/>
  <c r="Y69" i="4" s="1"/>
  <c r="Y70" i="4" s="1"/>
  <c r="X31" i="4"/>
  <c r="X34" i="4" s="1"/>
  <c r="Y115" i="2"/>
  <c r="Z111" i="2" s="1"/>
  <c r="Z112" i="2" s="1"/>
  <c r="X72" i="2"/>
  <c r="X75" i="2" s="1"/>
  <c r="X31" i="2"/>
  <c r="X34" i="2" s="1"/>
  <c r="X114" i="1"/>
  <c r="Y110" i="1" s="1"/>
  <c r="Y111" i="1" s="1"/>
  <c r="Z72" i="1"/>
  <c r="Z75" i="1" s="1"/>
  <c r="Z73" i="1"/>
  <c r="AA69" i="1" s="1"/>
  <c r="AA70" i="1" s="1"/>
  <c r="Z113" i="4" l="1"/>
  <c r="Z116" i="4" s="1"/>
  <c r="Y72" i="4"/>
  <c r="Y75" i="4" s="1"/>
  <c r="X32" i="4"/>
  <c r="Y28" i="4" s="1"/>
  <c r="Y29" i="4" s="1"/>
  <c r="Z114" i="2"/>
  <c r="Z117" i="2" s="1"/>
  <c r="X73" i="2"/>
  <c r="Y69" i="2" s="1"/>
  <c r="Y70" i="2" s="1"/>
  <c r="X32" i="2"/>
  <c r="Y28" i="2" s="1"/>
  <c r="Y29" i="2" s="1"/>
  <c r="Y113" i="1"/>
  <c r="Y116" i="1" s="1"/>
  <c r="AA72" i="1"/>
  <c r="AA75" i="1" s="1"/>
  <c r="Z114" i="4" l="1"/>
  <c r="AA110" i="4" s="1"/>
  <c r="AA111" i="4" s="1"/>
  <c r="Y73" i="4"/>
  <c r="Z69" i="4" s="1"/>
  <c r="Z70" i="4" s="1"/>
  <c r="Y31" i="4"/>
  <c r="Y34" i="4" s="1"/>
  <c r="Z115" i="2"/>
  <c r="AA111" i="2" s="1"/>
  <c r="AA112" i="2" s="1"/>
  <c r="Y72" i="2"/>
  <c r="Y75" i="2" s="1"/>
  <c r="Y31" i="2"/>
  <c r="Y34" i="2" s="1"/>
  <c r="Y114" i="1"/>
  <c r="Z110" i="1" s="1"/>
  <c r="Z111" i="1" s="1"/>
  <c r="AA73" i="1"/>
  <c r="AB69" i="1" s="1"/>
  <c r="AB70" i="1" s="1"/>
  <c r="AA113" i="4" l="1"/>
  <c r="AA116" i="4" s="1"/>
  <c r="Z72" i="4"/>
  <c r="Z75" i="4" s="1"/>
  <c r="Y32" i="4"/>
  <c r="Z28" i="4" s="1"/>
  <c r="Z29" i="4" s="1"/>
  <c r="AA114" i="2"/>
  <c r="AA117" i="2" s="1"/>
  <c r="AA115" i="2"/>
  <c r="AB111" i="2" s="1"/>
  <c r="AB112" i="2" s="1"/>
  <c r="Y73" i="2"/>
  <c r="Z69" i="2" s="1"/>
  <c r="Z70" i="2" s="1"/>
  <c r="Y32" i="2"/>
  <c r="Z28" i="2" s="1"/>
  <c r="Z29" i="2" s="1"/>
  <c r="Z113" i="1"/>
  <c r="Z116" i="1" s="1"/>
  <c r="AB72" i="1"/>
  <c r="AB75" i="1" s="1"/>
  <c r="AA114" i="4" l="1"/>
  <c r="AB110" i="4" s="1"/>
  <c r="AB111" i="4" s="1"/>
  <c r="Z73" i="4"/>
  <c r="AA69" i="4" s="1"/>
  <c r="AA70" i="4" s="1"/>
  <c r="Z31" i="4"/>
  <c r="Z34" i="4" s="1"/>
  <c r="AB114" i="2"/>
  <c r="AB117" i="2" s="1"/>
  <c r="Z72" i="2"/>
  <c r="Z75" i="2" s="1"/>
  <c r="Z31" i="2"/>
  <c r="Z34" i="2" s="1"/>
  <c r="Z114" i="1"/>
  <c r="AA110" i="1" s="1"/>
  <c r="AA111" i="1" s="1"/>
  <c r="AB73" i="1"/>
  <c r="AC69" i="1" s="1"/>
  <c r="AC70" i="1" s="1"/>
  <c r="AB113" i="4" l="1"/>
  <c r="AB116" i="4" s="1"/>
  <c r="AA72" i="4"/>
  <c r="AA75" i="4" s="1"/>
  <c r="Z32" i="4"/>
  <c r="AA28" i="4" s="1"/>
  <c r="AA29" i="4" s="1"/>
  <c r="AB115" i="2"/>
  <c r="AC111" i="2" s="1"/>
  <c r="AC112" i="2" s="1"/>
  <c r="Z73" i="2"/>
  <c r="AA69" i="2" s="1"/>
  <c r="AA70" i="2" s="1"/>
  <c r="Z32" i="2"/>
  <c r="AA28" i="2" s="1"/>
  <c r="AA29" i="2" s="1"/>
  <c r="AA113" i="1"/>
  <c r="AA116" i="1" s="1"/>
  <c r="AC72" i="1"/>
  <c r="AC75" i="1" s="1"/>
  <c r="AB114" i="4" l="1"/>
  <c r="AC110" i="4" s="1"/>
  <c r="AC111" i="4" s="1"/>
  <c r="AA73" i="4"/>
  <c r="AB69" i="4" s="1"/>
  <c r="AB70" i="4" s="1"/>
  <c r="AA31" i="4"/>
  <c r="AA34" i="4" s="1"/>
  <c r="AC114" i="2"/>
  <c r="AC117" i="2" s="1"/>
  <c r="AC115" i="2"/>
  <c r="AD111" i="2" s="1"/>
  <c r="AD112" i="2" s="1"/>
  <c r="AA72" i="2"/>
  <c r="AA75" i="2" s="1"/>
  <c r="AA31" i="2"/>
  <c r="AA34" i="2" s="1"/>
  <c r="AA114" i="1"/>
  <c r="AB110" i="1" s="1"/>
  <c r="AB111" i="1" s="1"/>
  <c r="AC73" i="1"/>
  <c r="AD69" i="1" s="1"/>
  <c r="AD70" i="1" s="1"/>
  <c r="AC113" i="4" l="1"/>
  <c r="AC116" i="4" s="1"/>
  <c r="AB72" i="4"/>
  <c r="AB75" i="4" s="1"/>
  <c r="AA32" i="4"/>
  <c r="AB28" i="4" s="1"/>
  <c r="AB29" i="4" s="1"/>
  <c r="AD114" i="2"/>
  <c r="AD117" i="2" s="1"/>
  <c r="AA73" i="2"/>
  <c r="AB69" i="2" s="1"/>
  <c r="AB70" i="2" s="1"/>
  <c r="AA32" i="2"/>
  <c r="AB28" i="2" s="1"/>
  <c r="AB29" i="2" s="1"/>
  <c r="AB113" i="1"/>
  <c r="AB116" i="1" s="1"/>
  <c r="AB114" i="1"/>
  <c r="AC110" i="1" s="1"/>
  <c r="AC111" i="1" s="1"/>
  <c r="AD72" i="1"/>
  <c r="AD75" i="1" s="1"/>
  <c r="AC114" i="4" l="1"/>
  <c r="AD110" i="4" s="1"/>
  <c r="AD111" i="4" s="1"/>
  <c r="AB73" i="4"/>
  <c r="AC69" i="4" s="1"/>
  <c r="AC70" i="4" s="1"/>
  <c r="AB31" i="4"/>
  <c r="AB34" i="4" s="1"/>
  <c r="AD115" i="2"/>
  <c r="AE111" i="2" s="1"/>
  <c r="AE112" i="2" s="1"/>
  <c r="AB72" i="2"/>
  <c r="AB75" i="2" s="1"/>
  <c r="AB31" i="2"/>
  <c r="AB34" i="2" s="1"/>
  <c r="AC113" i="1"/>
  <c r="AC116" i="1" s="1"/>
  <c r="AD73" i="1"/>
  <c r="AE69" i="1" s="1"/>
  <c r="AE70" i="1" s="1"/>
  <c r="AD113" i="4" l="1"/>
  <c r="AD116" i="4" s="1"/>
  <c r="AC72" i="4"/>
  <c r="AC75" i="4" s="1"/>
  <c r="AB32" i="4"/>
  <c r="AC28" i="4" s="1"/>
  <c r="AC29" i="4" s="1"/>
  <c r="AE114" i="2"/>
  <c r="AE117" i="2" s="1"/>
  <c r="B121" i="2" s="1"/>
  <c r="B122" i="2" s="1"/>
  <c r="AB73" i="2"/>
  <c r="AC69" i="2" s="1"/>
  <c r="AC70" i="2" s="1"/>
  <c r="AB32" i="2"/>
  <c r="AC28" i="2" s="1"/>
  <c r="AC29" i="2" s="1"/>
  <c r="AC114" i="1"/>
  <c r="AD110" i="1" s="1"/>
  <c r="AD111" i="1" s="1"/>
  <c r="AE72" i="1"/>
  <c r="AD114" i="4" l="1"/>
  <c r="AE110" i="4" s="1"/>
  <c r="AE111" i="4" s="1"/>
  <c r="AC73" i="4"/>
  <c r="AD69" i="4" s="1"/>
  <c r="AD70" i="4" s="1"/>
  <c r="AC31" i="4"/>
  <c r="AC34" i="4" s="1"/>
  <c r="AE115" i="2"/>
  <c r="B123" i="2" s="1"/>
  <c r="AC72" i="2"/>
  <c r="AC75" i="2" s="1"/>
  <c r="AC31" i="2"/>
  <c r="AC34" i="2" s="1"/>
  <c r="AE75" i="1"/>
  <c r="B78" i="1" s="1"/>
  <c r="B79" i="1" s="1"/>
  <c r="B80" i="1" s="1"/>
  <c r="G130" i="1" s="1"/>
  <c r="AD113" i="1"/>
  <c r="AD116" i="1" s="1"/>
  <c r="AE73" i="1"/>
  <c r="B81" i="1" s="1"/>
  <c r="AE113" i="4" l="1"/>
  <c r="AE116" i="4" s="1"/>
  <c r="B120" i="4" s="1"/>
  <c r="B121" i="4" s="1"/>
  <c r="AD72" i="4"/>
  <c r="AD75" i="4" s="1"/>
  <c r="AC32" i="4"/>
  <c r="AD28" i="4" s="1"/>
  <c r="AD29" i="4" s="1"/>
  <c r="AC73" i="2"/>
  <c r="AD69" i="2" s="1"/>
  <c r="AD70" i="2" s="1"/>
  <c r="AC32" i="2"/>
  <c r="AD28" i="2" s="1"/>
  <c r="AD29" i="2" s="1"/>
  <c r="AD114" i="1"/>
  <c r="AE110" i="1" s="1"/>
  <c r="AE111" i="1" s="1"/>
  <c r="AE114" i="4" l="1"/>
  <c r="B122" i="4" s="1"/>
  <c r="AD73" i="4"/>
  <c r="AE69" i="4" s="1"/>
  <c r="AE70" i="4" s="1"/>
  <c r="AD31" i="4"/>
  <c r="AD34" i="4" s="1"/>
  <c r="AD72" i="2"/>
  <c r="AD75" i="2" s="1"/>
  <c r="AD31" i="2"/>
  <c r="AD34" i="2" s="1"/>
  <c r="AE113" i="1"/>
  <c r="AE116" i="1" s="1"/>
  <c r="B119" i="1" s="1"/>
  <c r="B120" i="1" s="1"/>
  <c r="B121" i="1" s="1"/>
  <c r="H130" i="1" s="1"/>
  <c r="AE72" i="4" l="1"/>
  <c r="AE75" i="4" s="1"/>
  <c r="B78" i="4" s="1"/>
  <c r="B79" i="4" s="1"/>
  <c r="B80" i="4" s="1"/>
  <c r="AD32" i="4"/>
  <c r="AE28" i="4" s="1"/>
  <c r="AE29" i="4" s="1"/>
  <c r="AD73" i="2"/>
  <c r="AE69" i="2" s="1"/>
  <c r="AE70" i="2" s="1"/>
  <c r="AD32" i="2"/>
  <c r="AE28" i="2" s="1"/>
  <c r="AE29" i="2" s="1"/>
  <c r="AE114" i="1"/>
  <c r="B122" i="1" s="1"/>
  <c r="AE73" i="4" l="1"/>
  <c r="B81" i="4" s="1"/>
  <c r="AE31" i="4"/>
  <c r="AE34" i="4" s="1"/>
  <c r="B37" i="4" s="1"/>
  <c r="B38" i="4" s="1"/>
  <c r="AE72" i="2"/>
  <c r="AE75" i="2" s="1"/>
  <c r="B78" i="2" s="1"/>
  <c r="B79" i="2" s="1"/>
  <c r="B80" i="2" s="1"/>
  <c r="AE31" i="2"/>
  <c r="AE34" i="2" s="1"/>
  <c r="AE32" i="4" l="1"/>
  <c r="AE73" i="2"/>
  <c r="B81" i="2" s="1"/>
  <c r="B37" i="2"/>
  <c r="B38" i="2" s="1"/>
  <c r="B39" i="2" s="1"/>
  <c r="AE32" i="2"/>
  <c r="B40" i="2" s="1"/>
</calcChain>
</file>

<file path=xl/sharedStrings.xml><?xml version="1.0" encoding="utf-8"?>
<sst xmlns="http://schemas.openxmlformats.org/spreadsheetml/2006/main" count="483" uniqueCount="114">
  <si>
    <t>Label</t>
  </si>
  <si>
    <t>Value or formula</t>
  </si>
  <si>
    <t>2024 wage in euros</t>
  </si>
  <si>
    <t>EUR to GBP rate</t>
  </si>
  <si>
    <t>Annual wage growth</t>
  </si>
  <si>
    <t>Years to first repayment</t>
  </si>
  <si>
    <t>2024 wage in GBP</t>
  </si>
  <si>
    <t>First repayment-year earnings</t>
  </si>
  <si>
    <t>Opening loan balance</t>
  </si>
  <si>
    <t>Post-Brexit price</t>
  </si>
  <si>
    <t>Repayment rate</t>
  </si>
  <si>
    <t>Lower threshold</t>
  </si>
  <si>
    <t>Upper threshold</t>
  </si>
  <si>
    <t>First RPI rate</t>
  </si>
  <si>
    <t>Months at first RPI rate</t>
  </si>
  <si>
    <t>Second RPI rate</t>
  </si>
  <si>
    <t>Months at second RPI rate</t>
  </si>
  <si>
    <t>Fixed weighted RPI</t>
  </si>
  <si>
    <t>Maximum interest spread</t>
  </si>
  <si>
    <t>Subjective discount rate</t>
  </si>
  <si>
    <t>Controlled TWFE coefficient</t>
  </si>
  <si>
    <t>Earnings</t>
  </si>
  <si>
    <t>Income loading</t>
  </si>
  <si>
    <t>Interest rate</t>
  </si>
  <si>
    <t>Opening balance</t>
  </si>
  <si>
    <t>Balance after interest</t>
  </si>
  <si>
    <t>Scheduled repayment</t>
  </si>
  <si>
    <t>Actual repayment</t>
  </si>
  <si>
    <t>Closing balance</t>
  </si>
  <si>
    <t>Discount factor</t>
  </si>
  <si>
    <t>PV repayment</t>
  </si>
  <si>
    <t>Repayment year</t>
  </si>
  <si>
    <t xml:space="preserve">monthly increase in income </t>
  </si>
  <si>
    <t>Loan PV at 3%</t>
  </si>
  <si>
    <t>Log experienced price change</t>
  </si>
  <si>
    <t>Implied elasticity</t>
  </si>
  <si>
    <t>Balance written off after year 30</t>
  </si>
  <si>
    <t>SDR=3%</t>
  </si>
  <si>
    <t>SDR=14.9%</t>
  </si>
  <si>
    <t>SDR=35.00%</t>
  </si>
  <si>
    <t>V1</t>
  </si>
  <si>
    <t>eta_neutral</t>
  </si>
  <si>
    <t>eta_35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</si>
  <si>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</si>
  <si>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</si>
  <si>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</si>
  <si>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</si>
  <si>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</si>
  <si>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</si>
  <si>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</si>
  <si>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</si>
  <si>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</si>
  <si>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</si>
  <si>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</si>
  <si>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</si>
  <si>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</si>
  <si>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</si>
  <si>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</si>
  <si>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</si>
  <si>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</si>
  <si>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</si>
  <si>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</si>
  <si>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</si>
  <si>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</si>
  <si>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</si>
  <si>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</si>
  <si>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</si>
  <si>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</si>
  <si>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</si>
  <si>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Present value implied elasticities</t>
  </si>
  <si>
    <t>From EXCEL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</si>
  <si>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</si>
  <si>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</si>
  <si>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</si>
  <si>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</si>
  <si>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</si>
  <si>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</si>
  <si>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</si>
  <si>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</si>
  <si>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</si>
  <si>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</si>
  <si>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</si>
  <si>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</si>
  <si>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</si>
  <si>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</si>
  <si>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</si>
  <si>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</si>
  <si>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</si>
  <si>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</si>
  <si>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</si>
  <si>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</si>
  <si>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</si>
  <si>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</si>
  <si>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</si>
  <si>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</si>
  <si>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</si>
  <si>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</si>
  <si>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Country</t>
  </si>
  <si>
    <t>Wage_EURO</t>
  </si>
  <si>
    <t>Ireland</t>
  </si>
  <si>
    <t>European Union - 27 countries</t>
  </si>
  <si>
    <t>Euro area – 20 countries</t>
  </si>
  <si>
    <t>All</t>
  </si>
  <si>
    <t>tau_min</t>
  </si>
  <si>
    <t>tau_max</t>
  </si>
  <si>
    <t>iso</t>
  </si>
  <si>
    <t>num</t>
  </si>
  <si>
    <t>Loan PV at 14.9</t>
  </si>
  <si>
    <t>SDR=35</t>
  </si>
  <si>
    <t>eta_insignificant</t>
  </si>
  <si>
    <t>ctry</t>
  </si>
  <si>
    <t>Loan PV at 35%</t>
  </si>
  <si>
    <t>Loan PV at 14.9%</t>
  </si>
  <si>
    <t>SDR=35%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</si>
</sst>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0" fillId="0" borderId="5" xfId="0" applyBorder="1"/>
    <xf numFmtId="0" fontId="0" fillId="0" borderId="4" xfId="0" applyBorder="1"/>
    <xf numFmtId="2" fontId="0" fillId="0" borderId="0" xfId="0" applyNumberFormat="1"/>
    <xf numFmtId="0" fontId="0" fillId="2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1" fillId="0" borderId="9" xfId="0" applyNumberFormat="1" applyFont="1" applyBorder="1"/>
    <xf numFmtId="2" fontId="0" fillId="0" borderId="9" xfId="0" applyNumberFormat="1" applyBorder="1"/>
    <xf numFmtId="2" fontId="2" fillId="0" borderId="9" xfId="0" applyNumberFormat="1" applyFont="1" applyBorder="1"/>
    <xf numFmtId="2" fontId="0" fillId="2" borderId="9" xfId="0" applyNumberFormat="1" applyFill="1" applyBorder="1"/>
    <xf numFmtId="2" fontId="2" fillId="2" borderId="9" xfId="0" applyNumberFormat="1" applyFont="1" applyFill="1" applyBorder="1"/>
    <xf numFmtId="2" fontId="0" fillId="0" borderId="7" xfId="0" applyNumberFormat="1" applyBorder="1"/>
    <xf numFmtId="2" fontId="0" fillId="2" borderId="0" xfId="0" applyNumberFormat="1" applyFill="1"/>
    <xf numFmtId="0" fontId="6" fillId="0" borderId="0" xfId="0" applyFont="1"/>
    <xf numFmtId="0" fontId="6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2" borderId="4" xfId="0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7" fillId="0" borderId="0" xfId="0" applyFont="1"/>
    <xf numFmtId="2" fontId="1" fillId="0" borderId="10" xfId="0" applyNumberFormat="1" applyFont="1" applyBorder="1"/>
    <xf numFmtId="2" fontId="0" fillId="0" borderId="11" xfId="0" applyNumberFormat="1" applyBorder="1"/>
    <xf numFmtId="2" fontId="0" fillId="0" borderId="10" xfId="0" applyNumberFormat="1" applyBorder="1"/>
    <xf numFmtId="2" fontId="2" fillId="0" borderId="11" xfId="0" applyNumberFormat="1" applyFont="1" applyBorder="1"/>
    <xf numFmtId="2" fontId="0" fillId="2" borderId="10" xfId="0" applyNumberFormat="1" applyFill="1" applyBorder="1"/>
    <xf numFmtId="2" fontId="0" fillId="2" borderId="11" xfId="0" applyNumberFormat="1" applyFill="1" applyBorder="1"/>
    <xf numFmtId="0" fontId="0" fillId="2" borderId="9" xfId="0" applyFill="1" applyBorder="1" applyAlignment="1">
      <alignment wrapText="1"/>
    </xf>
    <xf numFmtId="2" fontId="0" fillId="2" borderId="9" xfId="0" applyNumberFormat="1" applyFill="1" applyBorder="1" applyAlignment="1">
      <alignment wrapText="1"/>
    </xf>
    <xf numFmtId="9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1</xdr:row>
      <xdr:rowOff>76200</xdr:rowOff>
    </xdr:from>
    <xdr:to>
      <xdr:col>6</xdr:col>
      <xdr:colOff>12700</xdr:colOff>
      <xdr:row>12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A1998-A0DF-E91C-6FCC-21E6E03A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0" y="76200"/>
          <a:ext cx="5029200" cy="226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2084-13EA-8442-986D-278CBE436C94}">
  <dimension ref="A1:AJ153"/>
  <sheetViews>
    <sheetView tabSelected="1" zoomScale="75" workbookViewId="0">
      <selection activeCell="B38" sqref="B38"/>
    </sheetView>
  </sheetViews>
  <sheetFormatPr baseColWidth="10" defaultRowHeight="16" x14ac:dyDescent="0.2"/>
  <cols>
    <col min="1" max="1" width="30.83203125" customWidth="1"/>
    <col min="2" max="2" width="15.33203125" customWidth="1"/>
    <col min="3" max="20" width="16.6640625" customWidth="1"/>
  </cols>
  <sheetData>
    <row r="1" spans="1:31" x14ac:dyDescent="0.2">
      <c r="A1" s="3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6" t="s">
        <v>0</v>
      </c>
      <c r="B2" s="7" t="s">
        <v>1</v>
      </c>
      <c r="AE2" s="8"/>
    </row>
    <row r="3" spans="1:31" x14ac:dyDescent="0.2">
      <c r="A3" s="9" t="s">
        <v>2</v>
      </c>
      <c r="B3">
        <v>15387</v>
      </c>
      <c r="AE3" s="8"/>
    </row>
    <row r="4" spans="1:31" x14ac:dyDescent="0.2">
      <c r="A4" s="9" t="s">
        <v>3</v>
      </c>
      <c r="B4">
        <v>0.848248</v>
      </c>
      <c r="AE4" s="8"/>
    </row>
    <row r="5" spans="1:31" x14ac:dyDescent="0.2">
      <c r="A5" s="9" t="s">
        <v>4</v>
      </c>
      <c r="B5">
        <v>0.02</v>
      </c>
      <c r="AE5" s="8"/>
    </row>
    <row r="6" spans="1:31" x14ac:dyDescent="0.2">
      <c r="A6" s="9" t="s">
        <v>5</v>
      </c>
      <c r="B6">
        <v>1</v>
      </c>
      <c r="AE6" s="8"/>
    </row>
    <row r="7" spans="1:31" x14ac:dyDescent="0.2">
      <c r="A7" s="9" t="s">
        <v>6</v>
      </c>
      <c r="B7">
        <f>B3*B4</f>
        <v>13051.991975999999</v>
      </c>
      <c r="AE7" s="8"/>
    </row>
    <row r="8" spans="1:31" x14ac:dyDescent="0.2">
      <c r="A8" s="9" t="s">
        <v>7</v>
      </c>
      <c r="B8">
        <f>B7*(1+B5)^B6</f>
        <v>13313.03181552</v>
      </c>
      <c r="AE8" s="8"/>
    </row>
    <row r="9" spans="1:31" x14ac:dyDescent="0.2">
      <c r="A9" s="9" t="s">
        <v>8</v>
      </c>
      <c r="B9">
        <v>9250</v>
      </c>
      <c r="AE9" s="8"/>
    </row>
    <row r="10" spans="1:31" x14ac:dyDescent="0.2">
      <c r="A10" s="9" t="s">
        <v>9</v>
      </c>
      <c r="B10">
        <v>22200</v>
      </c>
      <c r="AE10" s="8"/>
    </row>
    <row r="11" spans="1:31" x14ac:dyDescent="0.2">
      <c r="A11" s="9" t="s">
        <v>10</v>
      </c>
      <c r="B11">
        <v>0.09</v>
      </c>
      <c r="AE11" s="8"/>
    </row>
    <row r="12" spans="1:31" x14ac:dyDescent="0.2">
      <c r="A12" s="9" t="s">
        <v>11</v>
      </c>
      <c r="B12">
        <v>11390</v>
      </c>
      <c r="AE12" s="8"/>
    </row>
    <row r="13" spans="1:31" x14ac:dyDescent="0.2">
      <c r="A13" s="9" t="s">
        <v>12</v>
      </c>
      <c r="B13">
        <v>20500</v>
      </c>
      <c r="H13" s="7"/>
      <c r="I13" s="7"/>
      <c r="AE13" s="8"/>
    </row>
    <row r="14" spans="1:31" x14ac:dyDescent="0.2">
      <c r="A14" s="9" t="s">
        <v>13</v>
      </c>
      <c r="B14">
        <v>4.2999999999999997E-2</v>
      </c>
      <c r="AE14" s="8"/>
    </row>
    <row r="15" spans="1:31" x14ac:dyDescent="0.2">
      <c r="A15" s="9" t="s">
        <v>14</v>
      </c>
      <c r="B15">
        <v>5</v>
      </c>
      <c r="AE15" s="8"/>
    </row>
    <row r="16" spans="1:31" x14ac:dyDescent="0.2">
      <c r="A16" s="9" t="s">
        <v>15</v>
      </c>
      <c r="B16">
        <v>3.2000000000000001E-2</v>
      </c>
      <c r="D16" t="s">
        <v>32</v>
      </c>
      <c r="E16" s="10">
        <f>-(B25-AE25)/12</f>
        <v>860.7370871526349</v>
      </c>
      <c r="AE16" s="8"/>
    </row>
    <row r="17" spans="1:36" x14ac:dyDescent="0.2">
      <c r="A17" s="9" t="s">
        <v>16</v>
      </c>
      <c r="B17">
        <v>7</v>
      </c>
      <c r="AE17" s="8"/>
    </row>
    <row r="18" spans="1:36" ht="17" x14ac:dyDescent="0.25">
      <c r="A18" s="9" t="s">
        <v>17</v>
      </c>
      <c r="B18" s="1">
        <f>(B14*B15+B16*B17)/(B15+B17)</f>
        <v>3.6583333333333329E-2</v>
      </c>
      <c r="AE18" s="8"/>
    </row>
    <row r="19" spans="1:36" x14ac:dyDescent="0.2">
      <c r="A19" s="9" t="s">
        <v>18</v>
      </c>
      <c r="B19">
        <v>0.03</v>
      </c>
      <c r="AE19" s="8"/>
    </row>
    <row r="20" spans="1:36" x14ac:dyDescent="0.2">
      <c r="A20" s="9" t="s">
        <v>19</v>
      </c>
      <c r="B20" s="10">
        <v>0.03</v>
      </c>
      <c r="AE20" s="8"/>
    </row>
    <row r="21" spans="1:36" x14ac:dyDescent="0.2">
      <c r="A21" s="9" t="s">
        <v>20</v>
      </c>
      <c r="B21">
        <v>-1.780743</v>
      </c>
      <c r="AE21" s="8"/>
    </row>
    <row r="22" spans="1:36" x14ac:dyDescent="0.2">
      <c r="A22" s="9"/>
      <c r="AE22" s="8"/>
    </row>
    <row r="23" spans="1:36" x14ac:dyDescent="0.2">
      <c r="A23" s="43"/>
      <c r="B23" s="44"/>
      <c r="AE23" s="8"/>
    </row>
    <row r="24" spans="1:36" x14ac:dyDescent="0.2">
      <c r="A24" s="15" t="s">
        <v>31</v>
      </c>
      <c r="B24" s="15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>
        <v>13</v>
      </c>
      <c r="O24" s="16">
        <v>14</v>
      </c>
      <c r="P24" s="16">
        <v>15</v>
      </c>
      <c r="Q24" s="16">
        <v>16</v>
      </c>
      <c r="R24" s="16">
        <v>17</v>
      </c>
      <c r="S24" s="16">
        <v>18</v>
      </c>
      <c r="T24" s="16">
        <v>19</v>
      </c>
      <c r="U24" s="16">
        <v>20</v>
      </c>
      <c r="V24" s="16">
        <v>21</v>
      </c>
      <c r="W24" s="16">
        <v>22</v>
      </c>
      <c r="X24" s="16">
        <v>23</v>
      </c>
      <c r="Y24" s="16">
        <v>24</v>
      </c>
      <c r="Z24" s="16">
        <v>25</v>
      </c>
      <c r="AA24" s="16">
        <v>26</v>
      </c>
      <c r="AB24" s="16">
        <v>27</v>
      </c>
      <c r="AC24" s="16">
        <v>28</v>
      </c>
      <c r="AD24" s="16">
        <v>29</v>
      </c>
      <c r="AE24" s="16">
        <v>30</v>
      </c>
    </row>
    <row r="25" spans="1:36" ht="17" x14ac:dyDescent="0.25">
      <c r="A25" s="16" t="s">
        <v>21</v>
      </c>
      <c r="B25" s="17">
        <f>$B$8</f>
        <v>13313.03181552</v>
      </c>
      <c r="C25" s="16">
        <f t="shared" ref="C25:AE25" si="0">$B$8*(1+$B$5)^(C$24-1)</f>
        <v>13579.292451830401</v>
      </c>
      <c r="D25" s="16">
        <f t="shared" si="0"/>
        <v>13850.878300867009</v>
      </c>
      <c r="E25" s="16">
        <f t="shared" si="0"/>
        <v>14127.895866884348</v>
      </c>
      <c r="F25" s="16">
        <f t="shared" si="0"/>
        <v>14410.453784222034</v>
      </c>
      <c r="G25" s="16">
        <f t="shared" si="0"/>
        <v>14698.662859906477</v>
      </c>
      <c r="H25" s="16">
        <f t="shared" si="0"/>
        <v>14992.636117104606</v>
      </c>
      <c r="I25" s="16">
        <f t="shared" si="0"/>
        <v>15292.488839446696</v>
      </c>
      <c r="J25" s="16">
        <f t="shared" si="0"/>
        <v>15598.338616235631</v>
      </c>
      <c r="K25" s="16">
        <f t="shared" si="0"/>
        <v>15910.305388560344</v>
      </c>
      <c r="L25" s="16">
        <f t="shared" si="0"/>
        <v>16228.51149633155</v>
      </c>
      <c r="M25" s="16">
        <f t="shared" si="0"/>
        <v>16553.08172625818</v>
      </c>
      <c r="N25" s="16">
        <f t="shared" si="0"/>
        <v>16884.143360783346</v>
      </c>
      <c r="O25" s="16">
        <f t="shared" si="0"/>
        <v>17221.826227999012</v>
      </c>
      <c r="P25" s="16">
        <f t="shared" si="0"/>
        <v>17566.262752558992</v>
      </c>
      <c r="Q25" s="16">
        <f t="shared" si="0"/>
        <v>17917.588007610168</v>
      </c>
      <c r="R25" s="16">
        <f t="shared" si="0"/>
        <v>18275.939767762375</v>
      </c>
      <c r="S25" s="16">
        <f t="shared" si="0"/>
        <v>18641.458563117623</v>
      </c>
      <c r="T25" s="16">
        <f t="shared" si="0"/>
        <v>19014.287734379974</v>
      </c>
      <c r="U25" s="16">
        <f t="shared" si="0"/>
        <v>19394.573489067574</v>
      </c>
      <c r="V25" s="16">
        <f t="shared" si="0"/>
        <v>19782.464958848926</v>
      </c>
      <c r="W25" s="16">
        <f t="shared" si="0"/>
        <v>20178.114258025904</v>
      </c>
      <c r="X25" s="16">
        <f t="shared" si="0"/>
        <v>20581.676543186422</v>
      </c>
      <c r="Y25" s="16">
        <f t="shared" si="0"/>
        <v>20993.310074050147</v>
      </c>
      <c r="Z25" s="16">
        <f t="shared" si="0"/>
        <v>21413.17627553115</v>
      </c>
      <c r="AA25" s="16">
        <f t="shared" si="0"/>
        <v>21841.439801041775</v>
      </c>
      <c r="AB25" s="16">
        <f t="shared" si="0"/>
        <v>22278.268597062612</v>
      </c>
      <c r="AC25" s="16">
        <f t="shared" si="0"/>
        <v>22723.833969003859</v>
      </c>
      <c r="AD25" s="16">
        <f t="shared" si="0"/>
        <v>23178.31064838394</v>
      </c>
      <c r="AE25" s="16">
        <f t="shared" si="0"/>
        <v>23641.876861351619</v>
      </c>
    </row>
    <row r="26" spans="1:36" ht="17" x14ac:dyDescent="0.25">
      <c r="A26" s="16" t="s">
        <v>22</v>
      </c>
      <c r="B26" s="17">
        <f>IF(B25&lt;=$B$12,0,IF(B25&lt;$B$13,(B25-$B$12)/($B$13-$B$12),1))</f>
        <v>0.21109021026564218</v>
      </c>
      <c r="C26" s="17">
        <f>IF(C25&lt;=$B$12,0,IF(C25&lt;$B$13,(C25-$B$12)/($B$13-$B$12),1))</f>
        <v>0.24031750294515924</v>
      </c>
      <c r="D26" s="17">
        <f t="shared" ref="D26:L26" si="1">IF(D25&lt;=$B$12,0,IF(D25&lt;$B$13,(D25-$B$12)/($B$13-$B$12),1))</f>
        <v>0.27012934147826662</v>
      </c>
      <c r="E26" s="17">
        <f t="shared" si="1"/>
        <v>0.30053741678203599</v>
      </c>
      <c r="F26" s="17">
        <f t="shared" si="1"/>
        <v>0.33155365359188083</v>
      </c>
      <c r="G26" s="17">
        <f t="shared" si="1"/>
        <v>0.36319021513792282</v>
      </c>
      <c r="H26" s="17">
        <f t="shared" si="1"/>
        <v>0.39545950791488543</v>
      </c>
      <c r="I26" s="17">
        <f t="shared" si="1"/>
        <v>0.42837418654738707</v>
      </c>
      <c r="J26" s="17">
        <f t="shared" si="1"/>
        <v>0.46194715875253906</v>
      </c>
      <c r="K26" s="17">
        <f t="shared" si="1"/>
        <v>0.49619159040179406</v>
      </c>
      <c r="L26" s="17">
        <f t="shared" si="1"/>
        <v>0.531120910684034</v>
      </c>
      <c r="M26" s="17">
        <f t="shared" ref="M26" si="2">IF(M25&lt;=$B$12,0,IF(M25&lt;$B$13,(M25-$B$12)/($B$13-$B$12),1))</f>
        <v>0.56674881737191884</v>
      </c>
      <c r="N26" s="17">
        <f t="shared" ref="N26" si="3">IF(N25&lt;=$B$12,0,IF(N25&lt;$B$13,(N25-$B$12)/($B$13-$B$12),1))</f>
        <v>0.60308928219356162</v>
      </c>
      <c r="O26" s="17">
        <f t="shared" ref="O26" si="4">IF(O25&lt;=$B$12,0,IF(O25&lt;$B$13,(O25-$B$12)/($B$13-$B$12),1))</f>
        <v>0.64015655631163693</v>
      </c>
      <c r="P26" s="17">
        <f t="shared" ref="P26" si="5">IF(P25&lt;=$B$12,0,IF(P25&lt;$B$13,(P25-$B$12)/($B$13-$B$12),1))</f>
        <v>0.67796517591207384</v>
      </c>
      <c r="Q26" s="17">
        <f t="shared" ref="Q26" si="6">IF(Q25&lt;=$B$12,0,IF(Q25&lt;$B$13,(Q25-$B$12)/($B$13-$B$12),1))</f>
        <v>0.71652996790451895</v>
      </c>
      <c r="R26" s="17">
        <f t="shared" ref="R26" si="7">IF(R25&lt;=$B$12,0,IF(R25&lt;$B$13,(R25-$B$12)/($B$13-$B$12),1))</f>
        <v>0.75586605573681387</v>
      </c>
      <c r="S26" s="17">
        <f t="shared" ref="S26" si="8">IF(S25&lt;=$B$12,0,IF(S25&lt;$B$13,(S25-$B$12)/($B$13-$B$12),1))</f>
        <v>0.79598886532575452</v>
      </c>
      <c r="T26" s="17">
        <f t="shared" ref="T26" si="9">IF(T25&lt;=$B$12,0,IF(T25&lt;$B$13,(T25-$B$12)/($B$13-$B$12),1))</f>
        <v>0.8369141311064735</v>
      </c>
      <c r="U26" s="17">
        <f t="shared" ref="U26" si="10">IF(U25&lt;=$B$12,0,IF(U25&lt;$B$13,(U25-$B$12)/($B$13-$B$12),1))</f>
        <v>0.87865790220280726</v>
      </c>
      <c r="V26" s="17">
        <f t="shared" ref="V26" si="11">IF(V25&lt;=$B$12,0,IF(V25&lt;$B$13,(V25-$B$12)/($B$13-$B$12),1))</f>
        <v>0.92123654872106764</v>
      </c>
      <c r="W26" s="17">
        <f t="shared" ref="W26" si="12">IF(W25&lt;=$B$12,0,IF(W25&lt;$B$13,(W25-$B$12)/($B$13-$B$12),1))</f>
        <v>0.9646667681696931</v>
      </c>
      <c r="X26" s="17">
        <f t="shared" ref="X26" si="13">IF(X25&lt;=$B$12,0,IF(X25&lt;$B$13,(X25-$B$12)/($B$13-$B$12),1))</f>
        <v>1</v>
      </c>
      <c r="Y26" s="17">
        <f t="shared" ref="Y26" si="14">IF(Y25&lt;=$B$12,0,IF(Y25&lt;$B$13,(Y25-$B$12)/($B$13-$B$12),1))</f>
        <v>1</v>
      </c>
      <c r="Z26" s="17">
        <f t="shared" ref="Z26" si="15">IF(Z25&lt;=$B$12,0,IF(Z25&lt;$B$13,(Z25-$B$12)/($B$13-$B$12),1))</f>
        <v>1</v>
      </c>
      <c r="AA26" s="17">
        <f t="shared" ref="AA26" si="16">IF(AA25&lt;=$B$12,0,IF(AA25&lt;$B$13,(AA25-$B$12)/($B$13-$B$12),1))</f>
        <v>1</v>
      </c>
      <c r="AB26" s="17">
        <f t="shared" ref="AB26" si="17">IF(AB25&lt;=$B$12,0,IF(AB25&lt;$B$13,(AB25-$B$12)/($B$13-$B$12),1))</f>
        <v>1</v>
      </c>
      <c r="AC26" s="17">
        <f t="shared" ref="AC26" si="18">IF(AC25&lt;=$B$12,0,IF(AC25&lt;$B$13,(AC25-$B$12)/($B$13-$B$12),1))</f>
        <v>1</v>
      </c>
      <c r="AD26" s="17">
        <f t="shared" ref="AD26" si="19">IF(AD25&lt;=$B$12,0,IF(AD25&lt;$B$13,(AD25-$B$12)/($B$13-$B$12),1))</f>
        <v>1</v>
      </c>
      <c r="AE26" s="17">
        <f t="shared" ref="AE26" si="20">IF(AE25&lt;=$B$12,0,IF(AE25&lt;$B$13,(AE25-$B$12)/($B$13-$B$12),1))</f>
        <v>1</v>
      </c>
      <c r="AF26" s="1"/>
      <c r="AG26" s="1"/>
      <c r="AH26" s="1"/>
      <c r="AI26" s="1"/>
      <c r="AJ26" s="1"/>
    </row>
    <row r="27" spans="1:36" ht="17" x14ac:dyDescent="0.25">
      <c r="A27" s="16" t="s">
        <v>23</v>
      </c>
      <c r="B27" s="17">
        <f>$B$18+$B$19*B26</f>
        <v>4.2916039641302597E-2</v>
      </c>
      <c r="C27" s="16">
        <f>$B$18+$B$19*C26</f>
        <v>4.3792858421688105E-2</v>
      </c>
      <c r="D27" s="16">
        <f t="shared" ref="D27:J27" si="21">$B$18+$B$19*D26</f>
        <v>4.4687213577681323E-2</v>
      </c>
      <c r="E27" s="16">
        <f t="shared" si="21"/>
        <v>4.5599455836794409E-2</v>
      </c>
      <c r="F27" s="16">
        <f t="shared" si="21"/>
        <v>4.6529942941089752E-2</v>
      </c>
      <c r="G27" s="16">
        <f t="shared" si="21"/>
        <v>4.7479039787471013E-2</v>
      </c>
      <c r="H27" s="16">
        <f t="shared" si="21"/>
        <v>4.8447118570779893E-2</v>
      </c>
      <c r="I27" s="16">
        <f t="shared" si="21"/>
        <v>4.9434558929754943E-2</v>
      </c>
      <c r="J27" s="16">
        <f t="shared" si="21"/>
        <v>5.0441748095909497E-2</v>
      </c>
      <c r="K27" s="16">
        <f t="shared" ref="K27" si="22">$B$18+$B$19*K26</f>
        <v>5.1469081045387152E-2</v>
      </c>
      <c r="L27" s="16">
        <f t="shared" ref="L27" si="23">$B$18+$B$19*L26</f>
        <v>5.2516960653854347E-2</v>
      </c>
      <c r="M27" s="16">
        <f t="shared" ref="M27" si="24">$B$18+$B$19*M26</f>
        <v>5.3585797854490892E-2</v>
      </c>
      <c r="N27" s="16">
        <f t="shared" ref="N27" si="25">$B$18+$B$19*N26</f>
        <v>5.4676011799140181E-2</v>
      </c>
      <c r="O27" s="16">
        <f t="shared" ref="O27" si="26">$B$18+$B$19*O26</f>
        <v>5.5788030022682435E-2</v>
      </c>
      <c r="P27" s="16">
        <f t="shared" ref="P27:Q27" si="27">$B$18+$B$19*P26</f>
        <v>5.6922288610695544E-2</v>
      </c>
      <c r="Q27" s="16">
        <f t="shared" si="27"/>
        <v>5.80792323704689E-2</v>
      </c>
      <c r="R27" s="16">
        <f t="shared" ref="R27" si="28">$B$18+$B$19*R26</f>
        <v>5.925931500543774E-2</v>
      </c>
      <c r="S27" s="16">
        <f t="shared" ref="S27" si="29">$B$18+$B$19*S26</f>
        <v>6.046299929310596E-2</v>
      </c>
      <c r="T27" s="16">
        <f t="shared" ref="T27" si="30">$B$18+$B$19*T26</f>
        <v>6.1690757266527535E-2</v>
      </c>
      <c r="U27" s="16">
        <f t="shared" ref="U27" si="31">$B$18+$B$19*U26</f>
        <v>6.2943070399417544E-2</v>
      </c>
      <c r="V27" s="16">
        <f t="shared" ref="V27" si="32">$B$18+$B$19*V26</f>
        <v>6.4220429794965353E-2</v>
      </c>
      <c r="W27" s="16">
        <f t="shared" ref="W27:X27" si="33">$B$18+$B$19*W26</f>
        <v>6.5523336378424113E-2</v>
      </c>
      <c r="X27" s="16">
        <f t="shared" si="33"/>
        <v>6.6583333333333328E-2</v>
      </c>
      <c r="Y27" s="16">
        <f t="shared" ref="Y27" si="34">$B$18+$B$19*Y26</f>
        <v>6.6583333333333328E-2</v>
      </c>
      <c r="Z27" s="16">
        <f t="shared" ref="Z27" si="35">$B$18+$B$19*Z26</f>
        <v>6.6583333333333328E-2</v>
      </c>
      <c r="AA27" s="16">
        <f t="shared" ref="AA27" si="36">$B$18+$B$19*AA26</f>
        <v>6.6583333333333328E-2</v>
      </c>
      <c r="AB27" s="16">
        <f t="shared" ref="AB27" si="37">$B$18+$B$19*AB26</f>
        <v>6.6583333333333328E-2</v>
      </c>
      <c r="AC27" s="16">
        <f t="shared" ref="AC27" si="38">$B$18+$B$19*AC26</f>
        <v>6.6583333333333328E-2</v>
      </c>
      <c r="AD27" s="16">
        <f t="shared" ref="AD27:AE27" si="39">$B$18+$B$19*AD26</f>
        <v>6.6583333333333328E-2</v>
      </c>
      <c r="AE27" s="16">
        <f t="shared" si="39"/>
        <v>6.6583333333333328E-2</v>
      </c>
    </row>
    <row r="28" spans="1:36" ht="17" x14ac:dyDescent="0.25">
      <c r="A28" s="16" t="s">
        <v>24</v>
      </c>
      <c r="B28" s="17">
        <f>$B$9</f>
        <v>9250</v>
      </c>
      <c r="C28" s="16">
        <f>B32</f>
        <v>9473.900503285251</v>
      </c>
      <c r="D28" s="16">
        <f t="shared" ref="D28:J28" si="40">C32</f>
        <v>9691.7533660620447</v>
      </c>
      <c r="E28" s="16">
        <f t="shared" si="40"/>
        <v>9903.3717715954408</v>
      </c>
      <c r="F28" s="16">
        <f t="shared" si="40"/>
        <v>10108.549507310072</v>
      </c>
      <c r="G28" s="16">
        <f t="shared" si="40"/>
        <v>10307.058898522406</v>
      </c>
      <c r="H28" s="16">
        <f t="shared" si="40"/>
        <v>10498.648500665575</v>
      </c>
      <c r="I28" s="16">
        <f t="shared" si="40"/>
        <v>10683.040518870846</v>
      </c>
      <c r="J28" s="16">
        <f t="shared" si="40"/>
        <v>10859.927919399724</v>
      </c>
      <c r="K28" s="16">
        <f t="shared" ref="K28:AE28" si="41">J32</f>
        <v>11028.971192388612</v>
      </c>
      <c r="L28" s="16">
        <f t="shared" si="41"/>
        <v>11189.794719566469</v>
      </c>
      <c r="M28" s="16">
        <f t="shared" si="41"/>
        <v>11341.982693908807</v>
      </c>
      <c r="N28" s="16">
        <f t="shared" si="41"/>
        <v>11485.074530450504</v>
      </c>
      <c r="O28" s="16">
        <f t="shared" si="41"/>
        <v>11618.559698520919</v>
      </c>
      <c r="P28" s="16">
        <f t="shared" si="41"/>
        <v>11741.871895282424</v>
      </c>
      <c r="Q28" s="16">
        <f t="shared" si="41"/>
        <v>11854.382468405194</v>
      </c>
      <c r="R28" s="16">
        <f t="shared" si="41"/>
        <v>11955.392981711197</v>
      </c>
      <c r="S28" s="16">
        <f t="shared" si="41"/>
        <v>12044.126801329607</v>
      </c>
      <c r="T28" s="16">
        <f t="shared" si="41"/>
        <v>12119.719560923893</v>
      </c>
      <c r="U28" s="16">
        <f t="shared" si="41"/>
        <v>12181.208342401038</v>
      </c>
      <c r="V28" s="16">
        <f t="shared" si="41"/>
        <v>12227.519382630677</v>
      </c>
      <c r="W28" s="16">
        <f t="shared" si="41"/>
        <v>12257.454086413085</v>
      </c>
      <c r="X28" s="16">
        <f t="shared" si="41"/>
        <v>12269.673090437886</v>
      </c>
      <c r="Y28" s="16">
        <f t="shared" si="41"/>
        <v>12259.377934822765</v>
      </c>
      <c r="Z28" s="16">
        <f t="shared" si="41"/>
        <v>12211.35027565187</v>
      </c>
      <c r="AA28" s="16">
        <f t="shared" si="41"/>
        <v>12122.336816707888</v>
      </c>
      <c r="AB28" s="16">
        <f t="shared" si="41"/>
        <v>11988.85282765993</v>
      </c>
      <c r="AC28" s="16">
        <f t="shared" si="41"/>
        <v>11807.166438032653</v>
      </c>
      <c r="AD28" s="16">
        <f t="shared" si="41"/>
        <v>11573.28187948798</v>
      </c>
      <c r="AE28" s="16">
        <f t="shared" si="41"/>
        <v>11282.921606276002</v>
      </c>
    </row>
    <row r="29" spans="1:36" ht="17" x14ac:dyDescent="0.25">
      <c r="A29" s="16" t="s">
        <v>25</v>
      </c>
      <c r="B29" s="17">
        <f>B28*(1+B27)</f>
        <v>9646.9733666820503</v>
      </c>
      <c r="C29" s="16">
        <f>C28*(1+C27)</f>
        <v>9888.7896867267809</v>
      </c>
      <c r="D29" s="16">
        <f t="shared" ref="D29:J29" si="42">D28*(1+D27)</f>
        <v>10124.850818673471</v>
      </c>
      <c r="E29" s="16">
        <f t="shared" si="42"/>
        <v>10354.960135329664</v>
      </c>
      <c r="F29" s="16">
        <f t="shared" si="42"/>
        <v>10578.89973910239</v>
      </c>
      <c r="G29" s="16">
        <f t="shared" si="42"/>
        <v>10796.428158057157</v>
      </c>
      <c r="H29" s="16">
        <f t="shared" si="42"/>
        <v>11007.277769410261</v>
      </c>
      <c r="I29" s="16">
        <f t="shared" si="42"/>
        <v>11211.151914949927</v>
      </c>
      <c r="J29" s="16">
        <f t="shared" si="42"/>
        <v>11407.721667849819</v>
      </c>
      <c r="K29" s="16">
        <f t="shared" ref="K29" si="43">K28*(1+K27)</f>
        <v>11596.6222045369</v>
      </c>
      <c r="L29" s="16">
        <f t="shared" ref="L29" si="44">L28*(1+L27)</f>
        <v>11777.448728578647</v>
      </c>
      <c r="M29" s="16">
        <f t="shared" ref="M29" si="45">M28*(1+M27)</f>
        <v>11949.751885813739</v>
      </c>
      <c r="N29" s="16">
        <f t="shared" ref="N29" si="46">N28*(1+N27)</f>
        <v>12113.032600991421</v>
      </c>
      <c r="O29" s="16">
        <f t="shared" ref="O29" si="47">O28*(1+O27)</f>
        <v>12266.736255802334</v>
      </c>
      <c r="P29" s="16">
        <f t="shared" ref="P29:Q29" si="48">P28*(1+P27)</f>
        <v>12410.246116135504</v>
      </c>
      <c r="Q29" s="16">
        <f t="shared" si="48"/>
        <v>12542.875902396112</v>
      </c>
      <c r="R29" s="16">
        <f t="shared" ref="R29" si="49">R28*(1+R27)</f>
        <v>12663.861380428219</v>
      </c>
      <c r="S29" s="16">
        <f t="shared" ref="S29" si="50">S28*(1+S27)</f>
        <v>12772.350831604479</v>
      </c>
      <c r="T29" s="16">
        <f t="shared" ref="T29" si="51">T28*(1+T27)</f>
        <v>12867.394238495235</v>
      </c>
      <c r="U29" s="16">
        <f t="shared" ref="U29" si="52">U28*(1+U27)</f>
        <v>12947.930996646759</v>
      </c>
      <c r="V29" s="16">
        <f t="shared" ref="V29" si="53">V28*(1+V27)</f>
        <v>13012.775932709488</v>
      </c>
      <c r="W29" s="16">
        <f t="shared" ref="W29:X29" si="54">W28*(1+W27)</f>
        <v>13060.603373660217</v>
      </c>
      <c r="X29" s="16">
        <f t="shared" si="54"/>
        <v>13086.628823709543</v>
      </c>
      <c r="Y29" s="16">
        <f t="shared" ref="Y29" si="55">Y28*(1+Y27)</f>
        <v>13075.648182316383</v>
      </c>
      <c r="Z29" s="16">
        <f t="shared" ref="Z29" si="56">Z28*(1+Z27)</f>
        <v>13024.422681505692</v>
      </c>
      <c r="AA29" s="16">
        <f t="shared" ref="AA29" si="57">AA28*(1+AA27)</f>
        <v>12929.482409753689</v>
      </c>
      <c r="AB29" s="16">
        <f t="shared" ref="AB29" si="58">AB28*(1+AB27)</f>
        <v>12787.110611768288</v>
      </c>
      <c r="AC29" s="16">
        <f t="shared" ref="AC29" si="59">AC28*(1+AC27)</f>
        <v>12593.326936698328</v>
      </c>
      <c r="AD29" s="16">
        <f t="shared" ref="AD29:AE29" si="60">AD28*(1+AD27)</f>
        <v>12343.869564630557</v>
      </c>
      <c r="AE29" s="16">
        <f t="shared" si="60"/>
        <v>12034.176136560547</v>
      </c>
    </row>
    <row r="30" spans="1:36" ht="17" x14ac:dyDescent="0.25">
      <c r="A30" s="16" t="s">
        <v>26</v>
      </c>
      <c r="B30" s="17">
        <f>$B$11*MAX(0,B25-$B$12)</f>
        <v>173.07286339680002</v>
      </c>
      <c r="C30" s="16">
        <f>$B$11*MAX(0,C25-$B$12)</f>
        <v>197.03632066473605</v>
      </c>
      <c r="D30" s="16">
        <f t="shared" ref="D30:J30" si="61">$B$11*MAX(0,D25-$B$12)</f>
        <v>221.47904707803079</v>
      </c>
      <c r="E30" s="16">
        <f t="shared" si="61"/>
        <v>246.41062801959131</v>
      </c>
      <c r="F30" s="16">
        <f t="shared" si="61"/>
        <v>271.84084057998308</v>
      </c>
      <c r="G30" s="16">
        <f t="shared" si="61"/>
        <v>297.77965739158293</v>
      </c>
      <c r="H30" s="16">
        <f t="shared" si="61"/>
        <v>324.23725053941456</v>
      </c>
      <c r="I30" s="16">
        <f t="shared" si="61"/>
        <v>351.22399555020263</v>
      </c>
      <c r="J30" s="16">
        <f t="shared" si="61"/>
        <v>378.75047546120675</v>
      </c>
      <c r="K30" s="16">
        <f t="shared" ref="K30:AE30" si="62">$B$11*MAX(0,K25-$B$12)</f>
        <v>406.82748497043093</v>
      </c>
      <c r="L30" s="16">
        <f t="shared" si="62"/>
        <v>435.46603466983947</v>
      </c>
      <c r="M30" s="16">
        <f t="shared" si="62"/>
        <v>464.67735536323625</v>
      </c>
      <c r="N30" s="16">
        <f t="shared" si="62"/>
        <v>494.47290247050114</v>
      </c>
      <c r="O30" s="16">
        <f t="shared" si="62"/>
        <v>524.86436051991109</v>
      </c>
      <c r="P30" s="16">
        <f t="shared" si="62"/>
        <v>555.86364773030925</v>
      </c>
      <c r="Q30" s="16">
        <f t="shared" si="62"/>
        <v>587.48292068491503</v>
      </c>
      <c r="R30" s="16">
        <f t="shared" si="62"/>
        <v>619.73457909861372</v>
      </c>
      <c r="S30" s="16">
        <f t="shared" si="62"/>
        <v>652.63127068058611</v>
      </c>
      <c r="T30" s="16">
        <f t="shared" si="62"/>
        <v>686.18589609419757</v>
      </c>
      <c r="U30" s="16">
        <f t="shared" si="62"/>
        <v>720.41161401608167</v>
      </c>
      <c r="V30" s="16">
        <f t="shared" si="62"/>
        <v>755.32184629640335</v>
      </c>
      <c r="W30" s="16">
        <f t="shared" si="62"/>
        <v>790.93028322233135</v>
      </c>
      <c r="X30" s="16">
        <f t="shared" si="62"/>
        <v>827.25088888677794</v>
      </c>
      <c r="Y30" s="16">
        <f t="shared" si="62"/>
        <v>864.29790666451322</v>
      </c>
      <c r="Z30" s="16">
        <f t="shared" si="62"/>
        <v>902.08586479780354</v>
      </c>
      <c r="AA30" s="16">
        <f t="shared" si="62"/>
        <v>940.62958209375972</v>
      </c>
      <c r="AB30" s="16">
        <f t="shared" si="62"/>
        <v>979.94417373563499</v>
      </c>
      <c r="AC30" s="16">
        <f t="shared" si="62"/>
        <v>1020.0450572103473</v>
      </c>
      <c r="AD30" s="16">
        <f t="shared" si="62"/>
        <v>1060.9479583545547</v>
      </c>
      <c r="AE30" s="16">
        <f t="shared" si="62"/>
        <v>1102.6689175216457</v>
      </c>
    </row>
    <row r="31" spans="1:36" ht="17" x14ac:dyDescent="0.25">
      <c r="A31" s="16" t="s">
        <v>27</v>
      </c>
      <c r="B31" s="17">
        <f>MIN(B30,B29)</f>
        <v>173.07286339680002</v>
      </c>
      <c r="C31" s="16">
        <f>MIN(C30,C29)</f>
        <v>197.03632066473605</v>
      </c>
      <c r="D31" s="16">
        <f>MIN(D30,D29)</f>
        <v>221.47904707803079</v>
      </c>
      <c r="E31" s="16">
        <f t="shared" ref="E31:J31" si="63">MIN(E30,E29)</f>
        <v>246.41062801959131</v>
      </c>
      <c r="F31" s="16">
        <f t="shared" si="63"/>
        <v>271.84084057998308</v>
      </c>
      <c r="G31" s="16">
        <f t="shared" si="63"/>
        <v>297.77965739158293</v>
      </c>
      <c r="H31" s="16">
        <f t="shared" si="63"/>
        <v>324.23725053941456</v>
      </c>
      <c r="I31" s="16">
        <f t="shared" si="63"/>
        <v>351.22399555020263</v>
      </c>
      <c r="J31" s="16">
        <f t="shared" si="63"/>
        <v>378.75047546120675</v>
      </c>
      <c r="K31" s="16">
        <f t="shared" ref="K31" si="64">MIN(K30,K29)</f>
        <v>406.82748497043093</v>
      </c>
      <c r="L31" s="16">
        <f t="shared" ref="L31" si="65">MIN(L30,L29)</f>
        <v>435.46603466983947</v>
      </c>
      <c r="M31" s="16">
        <f t="shared" ref="M31" si="66">MIN(M30,M29)</f>
        <v>464.67735536323625</v>
      </c>
      <c r="N31" s="16">
        <f t="shared" ref="N31" si="67">MIN(N30,N29)</f>
        <v>494.47290247050114</v>
      </c>
      <c r="O31" s="16">
        <f t="shared" ref="O31" si="68">MIN(O30,O29)</f>
        <v>524.86436051991109</v>
      </c>
      <c r="P31" s="16">
        <f t="shared" ref="P31:Q31" si="69">MIN(P30,P29)</f>
        <v>555.86364773030925</v>
      </c>
      <c r="Q31" s="16">
        <f t="shared" si="69"/>
        <v>587.48292068491503</v>
      </c>
      <c r="R31" s="16">
        <f t="shared" ref="R31" si="70">MIN(R30,R29)</f>
        <v>619.73457909861372</v>
      </c>
      <c r="S31" s="16">
        <f t="shared" ref="S31" si="71">MIN(S30,S29)</f>
        <v>652.63127068058611</v>
      </c>
      <c r="T31" s="16">
        <f t="shared" ref="T31" si="72">MIN(T30,T29)</f>
        <v>686.18589609419757</v>
      </c>
      <c r="U31" s="16">
        <f t="shared" ref="U31" si="73">MIN(U30,U29)</f>
        <v>720.41161401608167</v>
      </c>
      <c r="V31" s="16">
        <f t="shared" ref="V31" si="74">MIN(V30,V29)</f>
        <v>755.32184629640335</v>
      </c>
      <c r="W31" s="16">
        <f t="shared" ref="W31:X31" si="75">MIN(W30,W29)</f>
        <v>790.93028322233135</v>
      </c>
      <c r="X31" s="16">
        <f t="shared" si="75"/>
        <v>827.25088888677794</v>
      </c>
      <c r="Y31" s="16">
        <f t="shared" ref="Y31" si="76">MIN(Y30,Y29)</f>
        <v>864.29790666451322</v>
      </c>
      <c r="Z31" s="16">
        <f t="shared" ref="Z31" si="77">MIN(Z30,Z29)</f>
        <v>902.08586479780354</v>
      </c>
      <c r="AA31" s="16">
        <f t="shared" ref="AA31" si="78">MIN(AA30,AA29)</f>
        <v>940.62958209375972</v>
      </c>
      <c r="AB31" s="16">
        <f t="shared" ref="AB31" si="79">MIN(AB30,AB29)</f>
        <v>979.94417373563499</v>
      </c>
      <c r="AC31" s="16">
        <f t="shared" ref="AC31" si="80">MIN(AC30,AC29)</f>
        <v>1020.0450572103473</v>
      </c>
      <c r="AD31" s="16">
        <f t="shared" ref="AD31:AE31" si="81">MIN(AD30,AD29)</f>
        <v>1060.9479583545547</v>
      </c>
      <c r="AE31" s="16">
        <f t="shared" si="81"/>
        <v>1102.6689175216457</v>
      </c>
    </row>
    <row r="32" spans="1:36" s="2" customFormat="1" ht="17" x14ac:dyDescent="0.25">
      <c r="A32" s="18" t="s">
        <v>28</v>
      </c>
      <c r="B32" s="19">
        <f>B29-B31</f>
        <v>9473.900503285251</v>
      </c>
      <c r="C32" s="18">
        <f>C29-C31</f>
        <v>9691.7533660620447</v>
      </c>
      <c r="D32" s="18">
        <f t="shared" ref="D32:J32" si="82">D29-D31</f>
        <v>9903.3717715954408</v>
      </c>
      <c r="E32" s="18">
        <f t="shared" si="82"/>
        <v>10108.549507310072</v>
      </c>
      <c r="F32" s="18">
        <f t="shared" si="82"/>
        <v>10307.058898522406</v>
      </c>
      <c r="G32" s="18">
        <f t="shared" si="82"/>
        <v>10498.648500665575</v>
      </c>
      <c r="H32" s="18">
        <f t="shared" si="82"/>
        <v>10683.040518870846</v>
      </c>
      <c r="I32" s="18">
        <f t="shared" si="82"/>
        <v>10859.927919399724</v>
      </c>
      <c r="J32" s="18">
        <f t="shared" si="82"/>
        <v>11028.971192388612</v>
      </c>
      <c r="K32" s="18">
        <f t="shared" ref="K32" si="83">K29-K31</f>
        <v>11189.794719566469</v>
      </c>
      <c r="L32" s="18">
        <f t="shared" ref="L32" si="84">L29-L31</f>
        <v>11341.982693908807</v>
      </c>
      <c r="M32" s="18">
        <f t="shared" ref="M32" si="85">M29-M31</f>
        <v>11485.074530450504</v>
      </c>
      <c r="N32" s="18">
        <f t="shared" ref="N32" si="86">N29-N31</f>
        <v>11618.559698520919</v>
      </c>
      <c r="O32" s="18">
        <f t="shared" ref="O32" si="87">O29-O31</f>
        <v>11741.871895282424</v>
      </c>
      <c r="P32" s="18">
        <f t="shared" ref="P32:Q32" si="88">P29-P31</f>
        <v>11854.382468405194</v>
      </c>
      <c r="Q32" s="18">
        <f t="shared" si="88"/>
        <v>11955.392981711197</v>
      </c>
      <c r="R32" s="18">
        <f t="shared" ref="R32" si="89">R29-R31</f>
        <v>12044.126801329607</v>
      </c>
      <c r="S32" s="18">
        <f t="shared" ref="S32" si="90">S29-S31</f>
        <v>12119.719560923893</v>
      </c>
      <c r="T32" s="18">
        <f t="shared" ref="T32" si="91">T29-T31</f>
        <v>12181.208342401038</v>
      </c>
      <c r="U32" s="18">
        <f t="shared" ref="U32" si="92">U29-U31</f>
        <v>12227.519382630677</v>
      </c>
      <c r="V32" s="18">
        <f t="shared" ref="V32" si="93">V29-V31</f>
        <v>12257.454086413085</v>
      </c>
      <c r="W32" s="18">
        <f t="shared" ref="W32:X32" si="94">W29-W31</f>
        <v>12269.673090437886</v>
      </c>
      <c r="X32" s="18">
        <f t="shared" si="94"/>
        <v>12259.377934822765</v>
      </c>
      <c r="Y32" s="18">
        <f t="shared" ref="Y32" si="95">Y29-Y31</f>
        <v>12211.35027565187</v>
      </c>
      <c r="Z32" s="18">
        <f t="shared" ref="Z32" si="96">Z29-Z31</f>
        <v>12122.336816707888</v>
      </c>
      <c r="AA32" s="18">
        <f t="shared" ref="AA32" si="97">AA29-AA31</f>
        <v>11988.85282765993</v>
      </c>
      <c r="AB32" s="18">
        <f t="shared" ref="AB32" si="98">AB29-AB31</f>
        <v>11807.166438032653</v>
      </c>
      <c r="AC32" s="18">
        <f t="shared" ref="AC32" si="99">AC29-AC31</f>
        <v>11573.28187948798</v>
      </c>
      <c r="AD32" s="18">
        <f t="shared" ref="AD32:AE32" si="100">AD29-AD31</f>
        <v>11282.921606276002</v>
      </c>
      <c r="AE32" s="18">
        <f t="shared" si="100"/>
        <v>10931.507219038902</v>
      </c>
    </row>
    <row r="33" spans="1:31" ht="17" x14ac:dyDescent="0.25">
      <c r="A33" s="16" t="s">
        <v>29</v>
      </c>
      <c r="B33" s="17">
        <f>1/(1+$B$20)</f>
        <v>0.970873786407767</v>
      </c>
      <c r="C33" s="16">
        <f t="shared" ref="C33:AE33" si="101">1/(1+$B$20)^C$24</f>
        <v>0.94259590913375435</v>
      </c>
      <c r="D33" s="16">
        <f t="shared" si="101"/>
        <v>0.91514165935315961</v>
      </c>
      <c r="E33" s="16">
        <f t="shared" si="101"/>
        <v>0.888487047915689</v>
      </c>
      <c r="F33" s="16">
        <f t="shared" si="101"/>
        <v>0.86260878438416411</v>
      </c>
      <c r="G33" s="16">
        <f t="shared" si="101"/>
        <v>0.83748425668365445</v>
      </c>
      <c r="H33" s="16">
        <f t="shared" si="101"/>
        <v>0.81309151134335378</v>
      </c>
      <c r="I33" s="16">
        <f t="shared" si="101"/>
        <v>0.78940923431393573</v>
      </c>
      <c r="J33" s="16">
        <f t="shared" si="101"/>
        <v>0.76641673234362695</v>
      </c>
      <c r="K33" s="16">
        <f t="shared" si="101"/>
        <v>0.74409391489672516</v>
      </c>
      <c r="L33" s="16">
        <f t="shared" si="101"/>
        <v>0.72242127659876232</v>
      </c>
      <c r="M33" s="16">
        <f t="shared" si="101"/>
        <v>0.70137988019297326</v>
      </c>
      <c r="N33" s="16">
        <f t="shared" si="101"/>
        <v>0.68095133999317792</v>
      </c>
      <c r="O33" s="16">
        <f t="shared" si="101"/>
        <v>0.66111780581861923</v>
      </c>
      <c r="P33" s="16">
        <f t="shared" si="101"/>
        <v>0.64186194739671765</v>
      </c>
      <c r="Q33" s="16">
        <f t="shared" si="101"/>
        <v>0.62316693922011435</v>
      </c>
      <c r="R33" s="16">
        <f t="shared" si="101"/>
        <v>0.60501644584477121</v>
      </c>
      <c r="S33" s="16">
        <f t="shared" si="101"/>
        <v>0.5873946076162827</v>
      </c>
      <c r="T33" s="16">
        <f t="shared" si="101"/>
        <v>0.57028602681192497</v>
      </c>
      <c r="U33" s="16">
        <f t="shared" si="101"/>
        <v>0.55367575418633497</v>
      </c>
      <c r="V33" s="16">
        <f t="shared" si="101"/>
        <v>0.5375492759090631</v>
      </c>
      <c r="W33" s="16">
        <f t="shared" si="101"/>
        <v>0.52189250088258554</v>
      </c>
      <c r="X33" s="16">
        <f t="shared" si="101"/>
        <v>0.50669174842969467</v>
      </c>
      <c r="Y33" s="16">
        <f t="shared" si="101"/>
        <v>0.49193373633950943</v>
      </c>
      <c r="Z33" s="16">
        <f t="shared" si="101"/>
        <v>0.47760556926165965</v>
      </c>
      <c r="AA33" s="16">
        <f t="shared" si="101"/>
        <v>0.46369472743850448</v>
      </c>
      <c r="AB33" s="16">
        <f t="shared" si="101"/>
        <v>0.45018905576553836</v>
      </c>
      <c r="AC33" s="16">
        <f t="shared" si="101"/>
        <v>0.4370767531704256</v>
      </c>
      <c r="AD33" s="16">
        <f t="shared" si="101"/>
        <v>0.42434636230138412</v>
      </c>
      <c r="AE33" s="16">
        <f t="shared" si="101"/>
        <v>0.41198675951590691</v>
      </c>
    </row>
    <row r="34" spans="1:31" ht="17" x14ac:dyDescent="0.25">
      <c r="A34" s="16" t="s">
        <v>30</v>
      </c>
      <c r="B34" s="17">
        <f>B31*B33</f>
        <v>168.03190621048546</v>
      </c>
      <c r="C34" s="16">
        <f>C31*C33</f>
        <v>185.72562980934683</v>
      </c>
      <c r="D34" s="16">
        <f t="shared" ref="D34:J34" si="102">D31*D33</f>
        <v>202.68470265494565</v>
      </c>
      <c r="E34" s="16">
        <f t="shared" si="102"/>
        <v>218.93265146417764</v>
      </c>
      <c r="F34" s="16">
        <f t="shared" si="102"/>
        <v>234.49229703866854</v>
      </c>
      <c r="G34" s="16">
        <f t="shared" si="102"/>
        <v>249.38577502610312</v>
      </c>
      <c r="H34" s="16">
        <f t="shared" si="102"/>
        <v>263.63455607490624</v>
      </c>
      <c r="I34" s="16">
        <f t="shared" si="102"/>
        <v>277.25946539996664</v>
      </c>
      <c r="J34" s="16">
        <f t="shared" si="102"/>
        <v>290.28070177657315</v>
      </c>
      <c r="K34" s="16">
        <f t="shared" ref="K34" si="103">K31*K33</f>
        <v>302.71785597923656</v>
      </c>
      <c r="L34" s="16">
        <f t="shared" ref="L34" si="104">L31*L33</f>
        <v>314.58992868158634</v>
      </c>
      <c r="M34" s="16">
        <f t="shared" ref="M34" si="105">M31*M33</f>
        <v>325.91534783305428</v>
      </c>
      <c r="N34" s="16">
        <f t="shared" ref="N34" si="106">N31*N33</f>
        <v>336.7119855276037</v>
      </c>
      <c r="O34" s="16">
        <f t="shared" ref="O34" si="107">O31*O33</f>
        <v>346.99717437931633</v>
      </c>
      <c r="P34" s="16">
        <f t="shared" ref="P34:Q34" si="108">P31*P33</f>
        <v>356.78772341921933</v>
      </c>
      <c r="Q34" s="16">
        <f t="shared" si="108"/>
        <v>366.09993352731169</v>
      </c>
      <c r="R34" s="16">
        <f t="shared" ref="R34" si="109">R31*R33</f>
        <v>374.94961241334852</v>
      </c>
      <c r="S34" s="16">
        <f t="shared" ref="S34" si="110">S31*S33</f>
        <v>383.35208915953888</v>
      </c>
      <c r="T34" s="16">
        <f t="shared" ref="T34" si="111">T31*T33</f>
        <v>391.32222833794032</v>
      </c>
      <c r="U34" s="16">
        <f t="shared" ref="U34" si="112">U31*U33</f>
        <v>398.87444371494888</v>
      </c>
      <c r="V34" s="16">
        <f t="shared" ref="V34" si="113">V31*V33</f>
        <v>406.02271155492826</v>
      </c>
      <c r="W34" s="16">
        <f t="shared" ref="W34:X34" si="114">W31*W33</f>
        <v>412.78058353467418</v>
      </c>
      <c r="X34" s="16">
        <f t="shared" si="114"/>
        <v>419.1611992800606</v>
      </c>
      <c r="Y34" s="16">
        <f t="shared" ref="Y34" si="115">Y31*Y33</f>
        <v>425.1772985358906</v>
      </c>
      <c r="Z34" s="16">
        <f t="shared" ref="Z34" si="116">Z31*Z33</f>
        <v>430.84123297965152</v>
      </c>
      <c r="AA34" s="16">
        <f t="shared" ref="AA34" si="117">AA31*AA33</f>
        <v>436.16497768956032</v>
      </c>
      <c r="AB34" s="16">
        <f t="shared" ref="AB34" si="118">AB31*AB33</f>
        <v>441.16014227698616</v>
      </c>
      <c r="AC34" s="16">
        <f t="shared" ref="AC34" si="119">AC31*AC33</f>
        <v>445.83798169303964</v>
      </c>
      <c r="AD34" s="16">
        <f t="shared" ref="AD34:AE34" si="120">AD31*AD33</f>
        <v>450.20940671883562</v>
      </c>
      <c r="AE34" s="16">
        <f t="shared" si="120"/>
        <v>454.28499414865564</v>
      </c>
    </row>
    <row r="35" spans="1:31" x14ac:dyDescent="0.2">
      <c r="A35" s="9"/>
      <c r="AE35" s="8"/>
    </row>
    <row r="36" spans="1:31" ht="17" x14ac:dyDescent="0.25">
      <c r="A36" s="9"/>
      <c r="B36" s="1"/>
      <c r="AE36" s="8"/>
    </row>
    <row r="37" spans="1:31" x14ac:dyDescent="0.2">
      <c r="A37" s="11" t="s">
        <v>33</v>
      </c>
      <c r="B37" s="21">
        <f>SUM(B34:AE34)</f>
        <v>10310.38653684056</v>
      </c>
      <c r="AE37" s="8"/>
    </row>
    <row r="38" spans="1:31" x14ac:dyDescent="0.2">
      <c r="A38" s="9" t="s">
        <v>34</v>
      </c>
      <c r="B38">
        <f>LN($B$10)-LN(B37)</f>
        <v>0.76694050010301851</v>
      </c>
      <c r="AE38" s="8"/>
    </row>
    <row r="39" spans="1:31" x14ac:dyDescent="0.2">
      <c r="A39" s="9" t="s">
        <v>35</v>
      </c>
      <c r="B39">
        <f>$B$21/B38</f>
        <v>-2.3218789459688249</v>
      </c>
      <c r="AE39" s="8"/>
    </row>
    <row r="40" spans="1:31" ht="17" thickBot="1" x14ac:dyDescent="0.25">
      <c r="A40" s="12" t="s">
        <v>36</v>
      </c>
      <c r="B40" s="20">
        <f>AE32</f>
        <v>10931.507219038902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/>
    </row>
    <row r="41" spans="1:31" ht="17" thickBot="1" x14ac:dyDescent="0.25"/>
    <row r="42" spans="1:31" x14ac:dyDescent="0.2">
      <c r="A42" s="3" t="s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</row>
    <row r="43" spans="1:31" x14ac:dyDescent="0.2">
      <c r="A43" s="6" t="s">
        <v>0</v>
      </c>
      <c r="B43" s="7" t="s">
        <v>1</v>
      </c>
      <c r="AE43" s="8"/>
    </row>
    <row r="44" spans="1:31" x14ac:dyDescent="0.2">
      <c r="A44" s="9" t="s">
        <v>2</v>
      </c>
      <c r="B44">
        <v>15387</v>
      </c>
      <c r="AE44" s="8"/>
    </row>
    <row r="45" spans="1:31" x14ac:dyDescent="0.2">
      <c r="A45" s="9" t="s">
        <v>3</v>
      </c>
      <c r="B45">
        <v>0.848248</v>
      </c>
      <c r="AE45" s="8"/>
    </row>
    <row r="46" spans="1:31" x14ac:dyDescent="0.2">
      <c r="A46" s="9" t="s">
        <v>4</v>
      </c>
      <c r="B46">
        <v>0.02</v>
      </c>
      <c r="AE46" s="8"/>
    </row>
    <row r="47" spans="1:31" x14ac:dyDescent="0.2">
      <c r="A47" s="9" t="s">
        <v>5</v>
      </c>
      <c r="B47">
        <v>1</v>
      </c>
      <c r="AE47" s="8"/>
    </row>
    <row r="48" spans="1:31" x14ac:dyDescent="0.2">
      <c r="A48" s="9" t="s">
        <v>6</v>
      </c>
      <c r="B48">
        <f>B44*B45</f>
        <v>13051.991975999999</v>
      </c>
      <c r="AE48" s="8"/>
    </row>
    <row r="49" spans="1:31" x14ac:dyDescent="0.2">
      <c r="A49" s="9" t="s">
        <v>7</v>
      </c>
      <c r="B49">
        <f>B48*(1+B46)^B47</f>
        <v>13313.03181552</v>
      </c>
      <c r="AE49" s="8"/>
    </row>
    <row r="50" spans="1:31" x14ac:dyDescent="0.2">
      <c r="A50" s="9" t="s">
        <v>8</v>
      </c>
      <c r="B50">
        <v>9250</v>
      </c>
      <c r="AE50" s="8"/>
    </row>
    <row r="51" spans="1:31" x14ac:dyDescent="0.2">
      <c r="A51" s="9" t="s">
        <v>9</v>
      </c>
      <c r="B51">
        <v>22200</v>
      </c>
      <c r="AE51" s="8"/>
    </row>
    <row r="52" spans="1:31" x14ac:dyDescent="0.2">
      <c r="A52" s="9" t="s">
        <v>10</v>
      </c>
      <c r="B52">
        <v>0.09</v>
      </c>
      <c r="AE52" s="8"/>
    </row>
    <row r="53" spans="1:31" x14ac:dyDescent="0.2">
      <c r="A53" s="9" t="s">
        <v>11</v>
      </c>
      <c r="B53">
        <v>11390</v>
      </c>
      <c r="AE53" s="8"/>
    </row>
    <row r="54" spans="1:31" x14ac:dyDescent="0.2">
      <c r="A54" s="9" t="s">
        <v>12</v>
      </c>
      <c r="B54">
        <v>20500</v>
      </c>
      <c r="H54" s="7"/>
      <c r="I54" s="7"/>
      <c r="AE54" s="8"/>
    </row>
    <row r="55" spans="1:31" x14ac:dyDescent="0.2">
      <c r="A55" s="9" t="s">
        <v>13</v>
      </c>
      <c r="B55">
        <v>4.2999999999999997E-2</v>
      </c>
      <c r="AE55" s="8"/>
    </row>
    <row r="56" spans="1:31" x14ac:dyDescent="0.2">
      <c r="A56" s="9" t="s">
        <v>14</v>
      </c>
      <c r="B56">
        <v>5</v>
      </c>
      <c r="AE56" s="8"/>
    </row>
    <row r="57" spans="1:31" x14ac:dyDescent="0.2">
      <c r="A57" s="9" t="s">
        <v>15</v>
      </c>
      <c r="B57">
        <v>3.2000000000000001E-2</v>
      </c>
      <c r="E57" s="10"/>
      <c r="AE57" s="8"/>
    </row>
    <row r="58" spans="1:31" x14ac:dyDescent="0.2">
      <c r="A58" s="9" t="s">
        <v>16</v>
      </c>
      <c r="B58">
        <v>7</v>
      </c>
      <c r="AE58" s="8"/>
    </row>
    <row r="59" spans="1:31" ht="17" x14ac:dyDescent="0.25">
      <c r="A59" s="9" t="s">
        <v>17</v>
      </c>
      <c r="B59" s="1">
        <f>(B55*B56+B57*B58)/(B56+B58)</f>
        <v>3.6583333333333329E-2</v>
      </c>
      <c r="AE59" s="8"/>
    </row>
    <row r="60" spans="1:31" x14ac:dyDescent="0.2">
      <c r="A60" s="9" t="s">
        <v>18</v>
      </c>
      <c r="B60">
        <v>0.03</v>
      </c>
      <c r="AE60" s="8"/>
    </row>
    <row r="61" spans="1:31" x14ac:dyDescent="0.2">
      <c r="A61" s="9" t="s">
        <v>19</v>
      </c>
      <c r="B61">
        <v>0.14899999999999999</v>
      </c>
      <c r="AE61" s="8"/>
    </row>
    <row r="62" spans="1:31" x14ac:dyDescent="0.2">
      <c r="A62" s="9" t="s">
        <v>20</v>
      </c>
      <c r="B62">
        <v>-1.780743</v>
      </c>
      <c r="AE62" s="8"/>
    </row>
    <row r="63" spans="1:31" x14ac:dyDescent="0.2">
      <c r="A63" s="9"/>
      <c r="AE63" s="8"/>
    </row>
    <row r="64" spans="1:31" x14ac:dyDescent="0.2">
      <c r="A64" s="43"/>
      <c r="B64" s="44"/>
      <c r="AE64" s="8"/>
    </row>
    <row r="65" spans="1:36" x14ac:dyDescent="0.2">
      <c r="A65" s="15" t="s">
        <v>31</v>
      </c>
      <c r="B65" s="15">
        <v>1</v>
      </c>
      <c r="C65" s="16">
        <v>2</v>
      </c>
      <c r="D65" s="16">
        <v>3</v>
      </c>
      <c r="E65" s="16">
        <v>4</v>
      </c>
      <c r="F65" s="16">
        <v>5</v>
      </c>
      <c r="G65" s="16">
        <v>6</v>
      </c>
      <c r="H65" s="16">
        <v>7</v>
      </c>
      <c r="I65" s="16">
        <v>8</v>
      </c>
      <c r="J65" s="16">
        <v>9</v>
      </c>
      <c r="K65" s="16">
        <v>10</v>
      </c>
      <c r="L65" s="16">
        <v>11</v>
      </c>
      <c r="M65" s="16">
        <v>12</v>
      </c>
      <c r="N65" s="16">
        <v>13</v>
      </c>
      <c r="O65" s="16">
        <v>14</v>
      </c>
      <c r="P65" s="16">
        <v>15</v>
      </c>
      <c r="Q65" s="16">
        <v>16</v>
      </c>
      <c r="R65" s="16">
        <v>17</v>
      </c>
      <c r="S65" s="16">
        <v>18</v>
      </c>
      <c r="T65" s="16">
        <v>19</v>
      </c>
      <c r="U65" s="16">
        <v>20</v>
      </c>
      <c r="V65" s="16">
        <v>21</v>
      </c>
      <c r="W65" s="16">
        <v>22</v>
      </c>
      <c r="X65" s="16">
        <v>23</v>
      </c>
      <c r="Y65" s="16">
        <v>24</v>
      </c>
      <c r="Z65" s="16">
        <v>25</v>
      </c>
      <c r="AA65" s="16">
        <v>26</v>
      </c>
      <c r="AB65" s="16">
        <v>27</v>
      </c>
      <c r="AC65" s="16">
        <v>28</v>
      </c>
      <c r="AD65" s="16">
        <v>29</v>
      </c>
      <c r="AE65" s="16">
        <v>30</v>
      </c>
    </row>
    <row r="66" spans="1:36" ht="17" x14ac:dyDescent="0.25">
      <c r="A66" s="16" t="s">
        <v>21</v>
      </c>
      <c r="B66" s="17">
        <f>$B$8</f>
        <v>13313.03181552</v>
      </c>
      <c r="C66" s="16">
        <f t="shared" ref="C66:AE66" si="121">$B$8*(1+$B$5)^(C$24-1)</f>
        <v>13579.292451830401</v>
      </c>
      <c r="D66" s="16">
        <f t="shared" si="121"/>
        <v>13850.878300867009</v>
      </c>
      <c r="E66" s="16">
        <f t="shared" si="121"/>
        <v>14127.895866884348</v>
      </c>
      <c r="F66" s="16">
        <f t="shared" si="121"/>
        <v>14410.453784222034</v>
      </c>
      <c r="G66" s="16">
        <f t="shared" si="121"/>
        <v>14698.662859906477</v>
      </c>
      <c r="H66" s="16">
        <f t="shared" si="121"/>
        <v>14992.636117104606</v>
      </c>
      <c r="I66" s="16">
        <f t="shared" si="121"/>
        <v>15292.488839446696</v>
      </c>
      <c r="J66" s="16">
        <f t="shared" si="121"/>
        <v>15598.338616235631</v>
      </c>
      <c r="K66" s="16">
        <f t="shared" si="121"/>
        <v>15910.305388560344</v>
      </c>
      <c r="L66" s="16">
        <f t="shared" si="121"/>
        <v>16228.51149633155</v>
      </c>
      <c r="M66" s="16">
        <f t="shared" si="121"/>
        <v>16553.08172625818</v>
      </c>
      <c r="N66" s="16">
        <f t="shared" si="121"/>
        <v>16884.143360783346</v>
      </c>
      <c r="O66" s="16">
        <f t="shared" si="121"/>
        <v>17221.826227999012</v>
      </c>
      <c r="P66" s="16">
        <f t="shared" si="121"/>
        <v>17566.262752558992</v>
      </c>
      <c r="Q66" s="16">
        <f t="shared" si="121"/>
        <v>17917.588007610168</v>
      </c>
      <c r="R66" s="16">
        <f t="shared" si="121"/>
        <v>18275.939767762375</v>
      </c>
      <c r="S66" s="16">
        <f t="shared" si="121"/>
        <v>18641.458563117623</v>
      </c>
      <c r="T66" s="16">
        <f t="shared" si="121"/>
        <v>19014.287734379974</v>
      </c>
      <c r="U66" s="16">
        <f t="shared" si="121"/>
        <v>19394.573489067574</v>
      </c>
      <c r="V66" s="16">
        <f t="shared" si="121"/>
        <v>19782.464958848926</v>
      </c>
      <c r="W66" s="16">
        <f t="shared" si="121"/>
        <v>20178.114258025904</v>
      </c>
      <c r="X66" s="16">
        <f t="shared" si="121"/>
        <v>20581.676543186422</v>
      </c>
      <c r="Y66" s="16">
        <f t="shared" si="121"/>
        <v>20993.310074050147</v>
      </c>
      <c r="Z66" s="16">
        <f t="shared" si="121"/>
        <v>21413.17627553115</v>
      </c>
      <c r="AA66" s="16">
        <f t="shared" si="121"/>
        <v>21841.439801041775</v>
      </c>
      <c r="AB66" s="16">
        <f t="shared" si="121"/>
        <v>22278.268597062612</v>
      </c>
      <c r="AC66" s="16">
        <f t="shared" si="121"/>
        <v>22723.833969003859</v>
      </c>
      <c r="AD66" s="16">
        <f t="shared" si="121"/>
        <v>23178.31064838394</v>
      </c>
      <c r="AE66" s="16">
        <f t="shared" si="121"/>
        <v>23641.876861351619</v>
      </c>
    </row>
    <row r="67" spans="1:36" ht="17" x14ac:dyDescent="0.25">
      <c r="A67" s="16" t="s">
        <v>22</v>
      </c>
      <c r="B67" s="17">
        <f>IF(B66&lt;=$B$12,0,IF(B66&lt;$B$13,(B66-$B$12)/($B$13-$B$12),1))</f>
        <v>0.21109021026564218</v>
      </c>
      <c r="C67" s="17">
        <f>IF(C66&lt;=$B$12,0,IF(C66&lt;$B$13,(C66-$B$12)/($B$13-$B$12),1))</f>
        <v>0.24031750294515924</v>
      </c>
      <c r="D67" s="17">
        <f t="shared" ref="D67" si="122">IF(D66&lt;=$B$12,0,IF(D66&lt;$B$13,(D66-$B$12)/($B$13-$B$12),1))</f>
        <v>0.27012934147826662</v>
      </c>
      <c r="E67" s="17">
        <f t="shared" ref="E67" si="123">IF(E66&lt;=$B$12,0,IF(E66&lt;$B$13,(E66-$B$12)/($B$13-$B$12),1))</f>
        <v>0.30053741678203599</v>
      </c>
      <c r="F67" s="17">
        <f t="shared" ref="F67" si="124">IF(F66&lt;=$B$12,0,IF(F66&lt;$B$13,(F66-$B$12)/($B$13-$B$12),1))</f>
        <v>0.33155365359188083</v>
      </c>
      <c r="G67" s="17">
        <f t="shared" ref="G67" si="125">IF(G66&lt;=$B$12,0,IF(G66&lt;$B$13,(G66-$B$12)/($B$13-$B$12),1))</f>
        <v>0.36319021513792282</v>
      </c>
      <c r="H67" s="17">
        <f t="shared" ref="H67" si="126">IF(H66&lt;=$B$12,0,IF(H66&lt;$B$13,(H66-$B$12)/($B$13-$B$12),1))</f>
        <v>0.39545950791488543</v>
      </c>
      <c r="I67" s="17">
        <f t="shared" ref="I67" si="127">IF(I66&lt;=$B$12,0,IF(I66&lt;$B$13,(I66-$B$12)/($B$13-$B$12),1))</f>
        <v>0.42837418654738707</v>
      </c>
      <c r="J67" s="17">
        <f t="shared" ref="J67" si="128">IF(J66&lt;=$B$12,0,IF(J66&lt;$B$13,(J66-$B$12)/($B$13-$B$12),1))</f>
        <v>0.46194715875253906</v>
      </c>
      <c r="K67" s="17">
        <f t="shared" ref="K67" si="129">IF(K66&lt;=$B$12,0,IF(K66&lt;$B$13,(K66-$B$12)/($B$13-$B$12),1))</f>
        <v>0.49619159040179406</v>
      </c>
      <c r="L67" s="17">
        <f t="shared" ref="L67" si="130">IF(L66&lt;=$B$12,0,IF(L66&lt;$B$13,(L66-$B$12)/($B$13-$B$12),1))</f>
        <v>0.531120910684034</v>
      </c>
      <c r="M67" s="17">
        <f t="shared" ref="M67" si="131">IF(M66&lt;=$B$12,0,IF(M66&lt;$B$13,(M66-$B$12)/($B$13-$B$12),1))</f>
        <v>0.56674881737191884</v>
      </c>
      <c r="N67" s="17">
        <f t="shared" ref="N67" si="132">IF(N66&lt;=$B$12,0,IF(N66&lt;$B$13,(N66-$B$12)/($B$13-$B$12),1))</f>
        <v>0.60308928219356162</v>
      </c>
      <c r="O67" s="17">
        <f t="shared" ref="O67" si="133">IF(O66&lt;=$B$12,0,IF(O66&lt;$B$13,(O66-$B$12)/($B$13-$B$12),1))</f>
        <v>0.64015655631163693</v>
      </c>
      <c r="P67" s="17">
        <f t="shared" ref="P67" si="134">IF(P66&lt;=$B$12,0,IF(P66&lt;$B$13,(P66-$B$12)/($B$13-$B$12),1))</f>
        <v>0.67796517591207384</v>
      </c>
      <c r="Q67" s="17">
        <f t="shared" ref="Q67" si="135">IF(Q66&lt;=$B$12,0,IF(Q66&lt;$B$13,(Q66-$B$12)/($B$13-$B$12),1))</f>
        <v>0.71652996790451895</v>
      </c>
      <c r="R67" s="17">
        <f t="shared" ref="R67" si="136">IF(R66&lt;=$B$12,0,IF(R66&lt;$B$13,(R66-$B$12)/($B$13-$B$12),1))</f>
        <v>0.75586605573681387</v>
      </c>
      <c r="S67" s="17">
        <f t="shared" ref="S67" si="137">IF(S66&lt;=$B$12,0,IF(S66&lt;$B$13,(S66-$B$12)/($B$13-$B$12),1))</f>
        <v>0.79598886532575452</v>
      </c>
      <c r="T67" s="17">
        <f t="shared" ref="T67" si="138">IF(T66&lt;=$B$12,0,IF(T66&lt;$B$13,(T66-$B$12)/($B$13-$B$12),1))</f>
        <v>0.8369141311064735</v>
      </c>
      <c r="U67" s="17">
        <f t="shared" ref="U67" si="139">IF(U66&lt;=$B$12,0,IF(U66&lt;$B$13,(U66-$B$12)/($B$13-$B$12),1))</f>
        <v>0.87865790220280726</v>
      </c>
      <c r="V67" s="17">
        <f t="shared" ref="V67" si="140">IF(V66&lt;=$B$12,0,IF(V66&lt;$B$13,(V66-$B$12)/($B$13-$B$12),1))</f>
        <v>0.92123654872106764</v>
      </c>
      <c r="W67" s="17">
        <f t="shared" ref="W67" si="141">IF(W66&lt;=$B$12,0,IF(W66&lt;$B$13,(W66-$B$12)/($B$13-$B$12),1))</f>
        <v>0.9646667681696931</v>
      </c>
      <c r="X67" s="17">
        <f t="shared" ref="X67" si="142">IF(X66&lt;=$B$12,0,IF(X66&lt;$B$13,(X66-$B$12)/($B$13-$B$12),1))</f>
        <v>1</v>
      </c>
      <c r="Y67" s="17">
        <f t="shared" ref="Y67" si="143">IF(Y66&lt;=$B$12,0,IF(Y66&lt;$B$13,(Y66-$B$12)/($B$13-$B$12),1))</f>
        <v>1</v>
      </c>
      <c r="Z67" s="17">
        <f t="shared" ref="Z67" si="144">IF(Z66&lt;=$B$12,0,IF(Z66&lt;$B$13,(Z66-$B$12)/($B$13-$B$12),1))</f>
        <v>1</v>
      </c>
      <c r="AA67" s="17">
        <f t="shared" ref="AA67" si="145">IF(AA66&lt;=$B$12,0,IF(AA66&lt;$B$13,(AA66-$B$12)/($B$13-$B$12),1))</f>
        <v>1</v>
      </c>
      <c r="AB67" s="17">
        <f t="shared" ref="AB67" si="146">IF(AB66&lt;=$B$12,0,IF(AB66&lt;$B$13,(AB66-$B$12)/($B$13-$B$12),1))</f>
        <v>1</v>
      </c>
      <c r="AC67" s="17">
        <f t="shared" ref="AC67" si="147">IF(AC66&lt;=$B$12,0,IF(AC66&lt;$B$13,(AC66-$B$12)/($B$13-$B$12),1))</f>
        <v>1</v>
      </c>
      <c r="AD67" s="17">
        <f t="shared" ref="AD67" si="148">IF(AD66&lt;=$B$12,0,IF(AD66&lt;$B$13,(AD66-$B$12)/($B$13-$B$12),1))</f>
        <v>1</v>
      </c>
      <c r="AE67" s="17">
        <f t="shared" ref="AE67" si="149">IF(AE66&lt;=$B$12,0,IF(AE66&lt;$B$13,(AE66-$B$12)/($B$13-$B$12),1))</f>
        <v>1</v>
      </c>
      <c r="AF67" s="1"/>
      <c r="AG67" s="1"/>
      <c r="AH67" s="1"/>
      <c r="AI67" s="1"/>
      <c r="AJ67" s="1"/>
    </row>
    <row r="68" spans="1:36" ht="17" x14ac:dyDescent="0.25">
      <c r="A68" s="16" t="s">
        <v>23</v>
      </c>
      <c r="B68" s="17">
        <f>$B$18+$B$19*B67</f>
        <v>4.2916039641302597E-2</v>
      </c>
      <c r="C68" s="16">
        <f>$B$18+$B$19*C67</f>
        <v>4.3792858421688105E-2</v>
      </c>
      <c r="D68" s="16">
        <f t="shared" ref="D68" si="150">$B$18+$B$19*D67</f>
        <v>4.4687213577681323E-2</v>
      </c>
      <c r="E68" s="16">
        <f t="shared" ref="E68" si="151">$B$18+$B$19*E67</f>
        <v>4.5599455836794409E-2</v>
      </c>
      <c r="F68" s="16">
        <f t="shared" ref="F68" si="152">$B$18+$B$19*F67</f>
        <v>4.6529942941089752E-2</v>
      </c>
      <c r="G68" s="16">
        <f t="shared" ref="G68" si="153">$B$18+$B$19*G67</f>
        <v>4.7479039787471013E-2</v>
      </c>
      <c r="H68" s="16">
        <f t="shared" ref="H68" si="154">$B$18+$B$19*H67</f>
        <v>4.8447118570779893E-2</v>
      </c>
      <c r="I68" s="16">
        <f t="shared" ref="I68" si="155">$B$18+$B$19*I67</f>
        <v>4.9434558929754943E-2</v>
      </c>
      <c r="J68" s="16">
        <f t="shared" ref="J68" si="156">$B$18+$B$19*J67</f>
        <v>5.0441748095909497E-2</v>
      </c>
      <c r="K68" s="16">
        <f t="shared" ref="K68" si="157">$B$18+$B$19*K67</f>
        <v>5.1469081045387152E-2</v>
      </c>
      <c r="L68" s="16">
        <f t="shared" ref="L68" si="158">$B$18+$B$19*L67</f>
        <v>5.2516960653854347E-2</v>
      </c>
      <c r="M68" s="16">
        <f t="shared" ref="M68" si="159">$B$18+$B$19*M67</f>
        <v>5.3585797854490892E-2</v>
      </c>
      <c r="N68" s="16">
        <f t="shared" ref="N68" si="160">$B$18+$B$19*N67</f>
        <v>5.4676011799140181E-2</v>
      </c>
      <c r="O68" s="16">
        <f t="shared" ref="O68" si="161">$B$18+$B$19*O67</f>
        <v>5.5788030022682435E-2</v>
      </c>
      <c r="P68" s="16">
        <f t="shared" ref="P68" si="162">$B$18+$B$19*P67</f>
        <v>5.6922288610695544E-2</v>
      </c>
      <c r="Q68" s="16">
        <f t="shared" ref="Q68" si="163">$B$18+$B$19*Q67</f>
        <v>5.80792323704689E-2</v>
      </c>
      <c r="R68" s="16">
        <f t="shared" ref="R68" si="164">$B$18+$B$19*R67</f>
        <v>5.925931500543774E-2</v>
      </c>
      <c r="S68" s="16">
        <f t="shared" ref="S68" si="165">$B$18+$B$19*S67</f>
        <v>6.046299929310596E-2</v>
      </c>
      <c r="T68" s="16">
        <f t="shared" ref="T68" si="166">$B$18+$B$19*T67</f>
        <v>6.1690757266527535E-2</v>
      </c>
      <c r="U68" s="16">
        <f t="shared" ref="U68" si="167">$B$18+$B$19*U67</f>
        <v>6.2943070399417544E-2</v>
      </c>
      <c r="V68" s="16">
        <f t="shared" ref="V68" si="168">$B$18+$B$19*V67</f>
        <v>6.4220429794965353E-2</v>
      </c>
      <c r="W68" s="16">
        <f t="shared" ref="W68" si="169">$B$18+$B$19*W67</f>
        <v>6.5523336378424113E-2</v>
      </c>
      <c r="X68" s="16">
        <f t="shared" ref="X68" si="170">$B$18+$B$19*X67</f>
        <v>6.6583333333333328E-2</v>
      </c>
      <c r="Y68" s="16">
        <f t="shared" ref="Y68" si="171">$B$18+$B$19*Y67</f>
        <v>6.6583333333333328E-2</v>
      </c>
      <c r="Z68" s="16">
        <f t="shared" ref="Z68" si="172">$B$18+$B$19*Z67</f>
        <v>6.6583333333333328E-2</v>
      </c>
      <c r="AA68" s="16">
        <f t="shared" ref="AA68" si="173">$B$18+$B$19*AA67</f>
        <v>6.6583333333333328E-2</v>
      </c>
      <c r="AB68" s="16">
        <f t="shared" ref="AB68" si="174">$B$18+$B$19*AB67</f>
        <v>6.6583333333333328E-2</v>
      </c>
      <c r="AC68" s="16">
        <f t="shared" ref="AC68" si="175">$B$18+$B$19*AC67</f>
        <v>6.6583333333333328E-2</v>
      </c>
      <c r="AD68" s="16">
        <f t="shared" ref="AD68" si="176">$B$18+$B$19*AD67</f>
        <v>6.6583333333333328E-2</v>
      </c>
      <c r="AE68" s="16">
        <f t="shared" ref="AE68" si="177">$B$18+$B$19*AE67</f>
        <v>6.6583333333333328E-2</v>
      </c>
    </row>
    <row r="69" spans="1:36" ht="17" x14ac:dyDescent="0.25">
      <c r="A69" s="16" t="s">
        <v>24</v>
      </c>
      <c r="B69" s="17">
        <f>$B$9</f>
        <v>9250</v>
      </c>
      <c r="C69" s="16">
        <f>B73</f>
        <v>9473.900503285251</v>
      </c>
      <c r="D69" s="16">
        <f t="shared" ref="D69:AE69" si="178">C73</f>
        <v>9691.7533660620447</v>
      </c>
      <c r="E69" s="16">
        <f t="shared" si="178"/>
        <v>9903.3717715954408</v>
      </c>
      <c r="F69" s="16">
        <f t="shared" si="178"/>
        <v>10108.549507310072</v>
      </c>
      <c r="G69" s="16">
        <f t="shared" si="178"/>
        <v>10307.058898522406</v>
      </c>
      <c r="H69" s="16">
        <f t="shared" si="178"/>
        <v>10498.648500665575</v>
      </c>
      <c r="I69" s="16">
        <f t="shared" si="178"/>
        <v>10683.040518870846</v>
      </c>
      <c r="J69" s="16">
        <f t="shared" si="178"/>
        <v>10859.927919399724</v>
      </c>
      <c r="K69" s="16">
        <f t="shared" si="178"/>
        <v>11028.971192388612</v>
      </c>
      <c r="L69" s="16">
        <f t="shared" si="178"/>
        <v>11189.794719566469</v>
      </c>
      <c r="M69" s="16">
        <f t="shared" si="178"/>
        <v>11341.982693908807</v>
      </c>
      <c r="N69" s="16">
        <f t="shared" si="178"/>
        <v>11485.074530450504</v>
      </c>
      <c r="O69" s="16">
        <f t="shared" si="178"/>
        <v>11618.559698520919</v>
      </c>
      <c r="P69" s="16">
        <f t="shared" si="178"/>
        <v>11741.871895282424</v>
      </c>
      <c r="Q69" s="16">
        <f t="shared" si="178"/>
        <v>11854.382468405194</v>
      </c>
      <c r="R69" s="16">
        <f t="shared" si="178"/>
        <v>11955.392981711197</v>
      </c>
      <c r="S69" s="16">
        <f t="shared" si="178"/>
        <v>12044.126801329607</v>
      </c>
      <c r="T69" s="16">
        <f t="shared" si="178"/>
        <v>12119.719560923893</v>
      </c>
      <c r="U69" s="16">
        <f t="shared" si="178"/>
        <v>12181.208342401038</v>
      </c>
      <c r="V69" s="16">
        <f t="shared" si="178"/>
        <v>12227.519382630677</v>
      </c>
      <c r="W69" s="16">
        <f t="shared" si="178"/>
        <v>12257.454086413085</v>
      </c>
      <c r="X69" s="16">
        <f t="shared" si="178"/>
        <v>12269.673090437886</v>
      </c>
      <c r="Y69" s="16">
        <f t="shared" si="178"/>
        <v>12259.377934822765</v>
      </c>
      <c r="Z69" s="16">
        <f t="shared" si="178"/>
        <v>12211.35027565187</v>
      </c>
      <c r="AA69" s="16">
        <f t="shared" si="178"/>
        <v>12122.336816707888</v>
      </c>
      <c r="AB69" s="16">
        <f t="shared" si="178"/>
        <v>11988.85282765993</v>
      </c>
      <c r="AC69" s="16">
        <f t="shared" si="178"/>
        <v>11807.166438032653</v>
      </c>
      <c r="AD69" s="16">
        <f t="shared" si="178"/>
        <v>11573.28187948798</v>
      </c>
      <c r="AE69" s="16">
        <f t="shared" si="178"/>
        <v>11282.921606276002</v>
      </c>
    </row>
    <row r="70" spans="1:36" ht="17" x14ac:dyDescent="0.25">
      <c r="A70" s="16" t="s">
        <v>25</v>
      </c>
      <c r="B70" s="17">
        <f>B69*(1+B68)</f>
        <v>9646.9733666820503</v>
      </c>
      <c r="C70" s="16">
        <f>C69*(1+C68)</f>
        <v>9888.7896867267809</v>
      </c>
      <c r="D70" s="16">
        <f t="shared" ref="D70" si="179">D69*(1+D68)</f>
        <v>10124.850818673471</v>
      </c>
      <c r="E70" s="16">
        <f t="shared" ref="E70" si="180">E69*(1+E68)</f>
        <v>10354.960135329664</v>
      </c>
      <c r="F70" s="16">
        <f t="shared" ref="F70" si="181">F69*(1+F68)</f>
        <v>10578.89973910239</v>
      </c>
      <c r="G70" s="16">
        <f t="shared" ref="G70" si="182">G69*(1+G68)</f>
        <v>10796.428158057157</v>
      </c>
      <c r="H70" s="16">
        <f t="shared" ref="H70" si="183">H69*(1+H68)</f>
        <v>11007.277769410261</v>
      </c>
      <c r="I70" s="16">
        <f t="shared" ref="I70" si="184">I69*(1+I68)</f>
        <v>11211.151914949927</v>
      </c>
      <c r="J70" s="16">
        <f t="shared" ref="J70" si="185">J69*(1+J68)</f>
        <v>11407.721667849819</v>
      </c>
      <c r="K70" s="16">
        <f t="shared" ref="K70" si="186">K69*(1+K68)</f>
        <v>11596.6222045369</v>
      </c>
      <c r="L70" s="16">
        <f t="shared" ref="L70" si="187">L69*(1+L68)</f>
        <v>11777.448728578647</v>
      </c>
      <c r="M70" s="16">
        <f t="shared" ref="M70" si="188">M69*(1+M68)</f>
        <v>11949.751885813739</v>
      </c>
      <c r="N70" s="16">
        <f t="shared" ref="N70" si="189">N69*(1+N68)</f>
        <v>12113.032600991421</v>
      </c>
      <c r="O70" s="16">
        <f t="shared" ref="O70" si="190">O69*(1+O68)</f>
        <v>12266.736255802334</v>
      </c>
      <c r="P70" s="16">
        <f t="shared" ref="P70" si="191">P69*(1+P68)</f>
        <v>12410.246116135504</v>
      </c>
      <c r="Q70" s="16">
        <f t="shared" ref="Q70" si="192">Q69*(1+Q68)</f>
        <v>12542.875902396112</v>
      </c>
      <c r="R70" s="16">
        <f t="shared" ref="R70" si="193">R69*(1+R68)</f>
        <v>12663.861380428219</v>
      </c>
      <c r="S70" s="16">
        <f t="shared" ref="S70" si="194">S69*(1+S68)</f>
        <v>12772.350831604479</v>
      </c>
      <c r="T70" s="16">
        <f t="shared" ref="T70" si="195">T69*(1+T68)</f>
        <v>12867.394238495235</v>
      </c>
      <c r="U70" s="16">
        <f t="shared" ref="U70" si="196">U69*(1+U68)</f>
        <v>12947.930996646759</v>
      </c>
      <c r="V70" s="16">
        <f t="shared" ref="V70" si="197">V69*(1+V68)</f>
        <v>13012.775932709488</v>
      </c>
      <c r="W70" s="16">
        <f t="shared" ref="W70" si="198">W69*(1+W68)</f>
        <v>13060.603373660217</v>
      </c>
      <c r="X70" s="16">
        <f t="shared" ref="X70" si="199">X69*(1+X68)</f>
        <v>13086.628823709543</v>
      </c>
      <c r="Y70" s="16">
        <f t="shared" ref="Y70" si="200">Y69*(1+Y68)</f>
        <v>13075.648182316383</v>
      </c>
      <c r="Z70" s="16">
        <f t="shared" ref="Z70" si="201">Z69*(1+Z68)</f>
        <v>13024.422681505692</v>
      </c>
      <c r="AA70" s="16">
        <f t="shared" ref="AA70" si="202">AA69*(1+AA68)</f>
        <v>12929.482409753689</v>
      </c>
      <c r="AB70" s="16">
        <f t="shared" ref="AB70" si="203">AB69*(1+AB68)</f>
        <v>12787.110611768288</v>
      </c>
      <c r="AC70" s="16">
        <f t="shared" ref="AC70" si="204">AC69*(1+AC68)</f>
        <v>12593.326936698328</v>
      </c>
      <c r="AD70" s="16">
        <f t="shared" ref="AD70" si="205">AD69*(1+AD68)</f>
        <v>12343.869564630557</v>
      </c>
      <c r="AE70" s="16">
        <f t="shared" ref="AE70" si="206">AE69*(1+AE68)</f>
        <v>12034.176136560547</v>
      </c>
    </row>
    <row r="71" spans="1:36" ht="17" x14ac:dyDescent="0.25">
      <c r="A71" s="16" t="s">
        <v>26</v>
      </c>
      <c r="B71" s="17">
        <f>$B$11*MAX(0,B66-$B$12)</f>
        <v>173.07286339680002</v>
      </c>
      <c r="C71" s="16">
        <f>$B$11*MAX(0,C66-$B$12)</f>
        <v>197.03632066473605</v>
      </c>
      <c r="D71" s="16">
        <f t="shared" ref="D71:J71" si="207">$B$11*MAX(0,D66-$B$12)</f>
        <v>221.47904707803079</v>
      </c>
      <c r="E71" s="16">
        <f t="shared" si="207"/>
        <v>246.41062801959131</v>
      </c>
      <c r="F71" s="16">
        <f t="shared" si="207"/>
        <v>271.84084057998308</v>
      </c>
      <c r="G71" s="16">
        <f t="shared" si="207"/>
        <v>297.77965739158293</v>
      </c>
      <c r="H71" s="16">
        <f t="shared" si="207"/>
        <v>324.23725053941456</v>
      </c>
      <c r="I71" s="16">
        <f t="shared" si="207"/>
        <v>351.22399555020263</v>
      </c>
      <c r="J71" s="16">
        <f t="shared" si="207"/>
        <v>378.75047546120675</v>
      </c>
      <c r="K71" s="16">
        <f t="shared" ref="K71:AE71" si="208">$B$11*MAX(0,K66-$B$12)</f>
        <v>406.82748497043093</v>
      </c>
      <c r="L71" s="16">
        <f t="shared" si="208"/>
        <v>435.46603466983947</v>
      </c>
      <c r="M71" s="16">
        <f t="shared" si="208"/>
        <v>464.67735536323625</v>
      </c>
      <c r="N71" s="16">
        <f t="shared" si="208"/>
        <v>494.47290247050114</v>
      </c>
      <c r="O71" s="16">
        <f t="shared" si="208"/>
        <v>524.86436051991109</v>
      </c>
      <c r="P71" s="16">
        <f t="shared" si="208"/>
        <v>555.86364773030925</v>
      </c>
      <c r="Q71" s="16">
        <f t="shared" si="208"/>
        <v>587.48292068491503</v>
      </c>
      <c r="R71" s="16">
        <f t="shared" si="208"/>
        <v>619.73457909861372</v>
      </c>
      <c r="S71" s="16">
        <f t="shared" si="208"/>
        <v>652.63127068058611</v>
      </c>
      <c r="T71" s="16">
        <f t="shared" si="208"/>
        <v>686.18589609419757</v>
      </c>
      <c r="U71" s="16">
        <f t="shared" si="208"/>
        <v>720.41161401608167</v>
      </c>
      <c r="V71" s="16">
        <f t="shared" si="208"/>
        <v>755.32184629640335</v>
      </c>
      <c r="W71" s="16">
        <f t="shared" si="208"/>
        <v>790.93028322233135</v>
      </c>
      <c r="X71" s="16">
        <f t="shared" si="208"/>
        <v>827.25088888677794</v>
      </c>
      <c r="Y71" s="16">
        <f t="shared" si="208"/>
        <v>864.29790666451322</v>
      </c>
      <c r="Z71" s="16">
        <f t="shared" si="208"/>
        <v>902.08586479780354</v>
      </c>
      <c r="AA71" s="16">
        <f t="shared" si="208"/>
        <v>940.62958209375972</v>
      </c>
      <c r="AB71" s="16">
        <f t="shared" si="208"/>
        <v>979.94417373563499</v>
      </c>
      <c r="AC71" s="16">
        <f t="shared" si="208"/>
        <v>1020.0450572103473</v>
      </c>
      <c r="AD71" s="16">
        <f t="shared" si="208"/>
        <v>1060.9479583545547</v>
      </c>
      <c r="AE71" s="16">
        <f t="shared" si="208"/>
        <v>1102.6689175216457</v>
      </c>
    </row>
    <row r="72" spans="1:36" ht="17" x14ac:dyDescent="0.25">
      <c r="A72" s="16" t="s">
        <v>27</v>
      </c>
      <c r="B72" s="17">
        <f>MIN(B71,B70)</f>
        <v>173.07286339680002</v>
      </c>
      <c r="C72" s="16">
        <f>MIN(C71,C70)</f>
        <v>197.03632066473605</v>
      </c>
      <c r="D72" s="16">
        <f>MIN(D71,D70)</f>
        <v>221.47904707803079</v>
      </c>
      <c r="E72" s="16">
        <f t="shared" ref="E72" si="209">MIN(E71,E70)</f>
        <v>246.41062801959131</v>
      </c>
      <c r="F72" s="16">
        <f t="shared" ref="F72" si="210">MIN(F71,F70)</f>
        <v>271.84084057998308</v>
      </c>
      <c r="G72" s="16">
        <f t="shared" ref="G72" si="211">MIN(G71,G70)</f>
        <v>297.77965739158293</v>
      </c>
      <c r="H72" s="16">
        <f t="shared" ref="H72" si="212">MIN(H71,H70)</f>
        <v>324.23725053941456</v>
      </c>
      <c r="I72" s="16">
        <f t="shared" ref="I72" si="213">MIN(I71,I70)</f>
        <v>351.22399555020263</v>
      </c>
      <c r="J72" s="16">
        <f t="shared" ref="J72" si="214">MIN(J71,J70)</f>
        <v>378.75047546120675</v>
      </c>
      <c r="K72" s="16">
        <f t="shared" ref="K72" si="215">MIN(K71,K70)</f>
        <v>406.82748497043093</v>
      </c>
      <c r="L72" s="16">
        <f t="shared" ref="L72" si="216">MIN(L71,L70)</f>
        <v>435.46603466983947</v>
      </c>
      <c r="M72" s="16">
        <f t="shared" ref="M72" si="217">MIN(M71,M70)</f>
        <v>464.67735536323625</v>
      </c>
      <c r="N72" s="16">
        <f t="shared" ref="N72" si="218">MIN(N71,N70)</f>
        <v>494.47290247050114</v>
      </c>
      <c r="O72" s="16">
        <f t="shared" ref="O72" si="219">MIN(O71,O70)</f>
        <v>524.86436051991109</v>
      </c>
      <c r="P72" s="16">
        <f t="shared" ref="P72" si="220">MIN(P71,P70)</f>
        <v>555.86364773030925</v>
      </c>
      <c r="Q72" s="16">
        <f t="shared" ref="Q72" si="221">MIN(Q71,Q70)</f>
        <v>587.48292068491503</v>
      </c>
      <c r="R72" s="16">
        <f t="shared" ref="R72" si="222">MIN(R71,R70)</f>
        <v>619.73457909861372</v>
      </c>
      <c r="S72" s="16">
        <f t="shared" ref="S72" si="223">MIN(S71,S70)</f>
        <v>652.63127068058611</v>
      </c>
      <c r="T72" s="16">
        <f t="shared" ref="T72" si="224">MIN(T71,T70)</f>
        <v>686.18589609419757</v>
      </c>
      <c r="U72" s="16">
        <f t="shared" ref="U72" si="225">MIN(U71,U70)</f>
        <v>720.41161401608167</v>
      </c>
      <c r="V72" s="16">
        <f t="shared" ref="V72" si="226">MIN(V71,V70)</f>
        <v>755.32184629640335</v>
      </c>
      <c r="W72" s="16">
        <f t="shared" ref="W72" si="227">MIN(W71,W70)</f>
        <v>790.93028322233135</v>
      </c>
      <c r="X72" s="16">
        <f t="shared" ref="X72" si="228">MIN(X71,X70)</f>
        <v>827.25088888677794</v>
      </c>
      <c r="Y72" s="16">
        <f t="shared" ref="Y72" si="229">MIN(Y71,Y70)</f>
        <v>864.29790666451322</v>
      </c>
      <c r="Z72" s="16">
        <f t="shared" ref="Z72" si="230">MIN(Z71,Z70)</f>
        <v>902.08586479780354</v>
      </c>
      <c r="AA72" s="16">
        <f t="shared" ref="AA72" si="231">MIN(AA71,AA70)</f>
        <v>940.62958209375972</v>
      </c>
      <c r="AB72" s="16">
        <f t="shared" ref="AB72" si="232">MIN(AB71,AB70)</f>
        <v>979.94417373563499</v>
      </c>
      <c r="AC72" s="16">
        <f t="shared" ref="AC72" si="233">MIN(AC71,AC70)</f>
        <v>1020.0450572103473</v>
      </c>
      <c r="AD72" s="16">
        <f t="shared" ref="AD72" si="234">MIN(AD71,AD70)</f>
        <v>1060.9479583545547</v>
      </c>
      <c r="AE72" s="16">
        <f t="shared" ref="AE72" si="235">MIN(AE71,AE70)</f>
        <v>1102.6689175216457</v>
      </c>
    </row>
    <row r="73" spans="1:36" ht="17" x14ac:dyDescent="0.25">
      <c r="A73" s="18" t="s">
        <v>28</v>
      </c>
      <c r="B73" s="19">
        <f>B70-B72</f>
        <v>9473.900503285251</v>
      </c>
      <c r="C73" s="18">
        <f>C70-C72</f>
        <v>9691.7533660620447</v>
      </c>
      <c r="D73" s="18">
        <f t="shared" ref="D73" si="236">D70-D72</f>
        <v>9903.3717715954408</v>
      </c>
      <c r="E73" s="18">
        <f t="shared" ref="E73" si="237">E70-E72</f>
        <v>10108.549507310072</v>
      </c>
      <c r="F73" s="18">
        <f t="shared" ref="F73" si="238">F70-F72</f>
        <v>10307.058898522406</v>
      </c>
      <c r="G73" s="18">
        <f t="shared" ref="G73" si="239">G70-G72</f>
        <v>10498.648500665575</v>
      </c>
      <c r="H73" s="18">
        <f t="shared" ref="H73" si="240">H70-H72</f>
        <v>10683.040518870846</v>
      </c>
      <c r="I73" s="18">
        <f t="shared" ref="I73" si="241">I70-I72</f>
        <v>10859.927919399724</v>
      </c>
      <c r="J73" s="18">
        <f t="shared" ref="J73" si="242">J70-J72</f>
        <v>11028.971192388612</v>
      </c>
      <c r="K73" s="18">
        <f t="shared" ref="K73" si="243">K70-K72</f>
        <v>11189.794719566469</v>
      </c>
      <c r="L73" s="18">
        <f t="shared" ref="L73" si="244">L70-L72</f>
        <v>11341.982693908807</v>
      </c>
      <c r="M73" s="18">
        <f t="shared" ref="M73" si="245">M70-M72</f>
        <v>11485.074530450504</v>
      </c>
      <c r="N73" s="18">
        <f t="shared" ref="N73" si="246">N70-N72</f>
        <v>11618.559698520919</v>
      </c>
      <c r="O73" s="18">
        <f t="shared" ref="O73" si="247">O70-O72</f>
        <v>11741.871895282424</v>
      </c>
      <c r="P73" s="18">
        <f t="shared" ref="P73" si="248">P70-P72</f>
        <v>11854.382468405194</v>
      </c>
      <c r="Q73" s="18">
        <f t="shared" ref="Q73" si="249">Q70-Q72</f>
        <v>11955.392981711197</v>
      </c>
      <c r="R73" s="18">
        <f t="shared" ref="R73" si="250">R70-R72</f>
        <v>12044.126801329607</v>
      </c>
      <c r="S73" s="18">
        <f t="shared" ref="S73" si="251">S70-S72</f>
        <v>12119.719560923893</v>
      </c>
      <c r="T73" s="18">
        <f t="shared" ref="T73" si="252">T70-T72</f>
        <v>12181.208342401038</v>
      </c>
      <c r="U73" s="18">
        <f t="shared" ref="U73" si="253">U70-U72</f>
        <v>12227.519382630677</v>
      </c>
      <c r="V73" s="18">
        <f t="shared" ref="V73" si="254">V70-V72</f>
        <v>12257.454086413085</v>
      </c>
      <c r="W73" s="18">
        <f t="shared" ref="W73" si="255">W70-W72</f>
        <v>12269.673090437886</v>
      </c>
      <c r="X73" s="18">
        <f t="shared" ref="X73" si="256">X70-X72</f>
        <v>12259.377934822765</v>
      </c>
      <c r="Y73" s="18">
        <f t="shared" ref="Y73" si="257">Y70-Y72</f>
        <v>12211.35027565187</v>
      </c>
      <c r="Z73" s="18">
        <f t="shared" ref="Z73" si="258">Z70-Z72</f>
        <v>12122.336816707888</v>
      </c>
      <c r="AA73" s="18">
        <f t="shared" ref="AA73" si="259">AA70-AA72</f>
        <v>11988.85282765993</v>
      </c>
      <c r="AB73" s="18">
        <f t="shared" ref="AB73" si="260">AB70-AB72</f>
        <v>11807.166438032653</v>
      </c>
      <c r="AC73" s="18">
        <f t="shared" ref="AC73" si="261">AC70-AC72</f>
        <v>11573.28187948798</v>
      </c>
      <c r="AD73" s="18">
        <f t="shared" ref="AD73" si="262">AD70-AD72</f>
        <v>11282.921606276002</v>
      </c>
      <c r="AE73" s="18">
        <f t="shared" ref="AE73" si="263">AE70-AE72</f>
        <v>10931.507219038902</v>
      </c>
    </row>
    <row r="74" spans="1:36" ht="17" x14ac:dyDescent="0.25">
      <c r="A74" s="16" t="s">
        <v>29</v>
      </c>
      <c r="B74" s="17">
        <f>1/(1+$B$61)^B65</f>
        <v>0.8703220191470844</v>
      </c>
      <c r="C74" s="17">
        <f t="shared" ref="C74:AD74" si="264">1/(1+$B$61)^C65</f>
        <v>0.75746041701225797</v>
      </c>
      <c r="D74" s="17">
        <f t="shared" si="264"/>
        <v>0.65923447955810099</v>
      </c>
      <c r="E74" s="17">
        <f t="shared" si="264"/>
        <v>0.5737462833403838</v>
      </c>
      <c r="F74" s="17">
        <f t="shared" si="264"/>
        <v>0.49934402379493803</v>
      </c>
      <c r="G74" s="17">
        <f t="shared" si="264"/>
        <v>0.4345900990382402</v>
      </c>
      <c r="H74" s="17">
        <f t="shared" si="264"/>
        <v>0.37823333249629271</v>
      </c>
      <c r="I74" s="17">
        <f t="shared" si="264"/>
        <v>0.329184797646904</v>
      </c>
      <c r="J74" s="17">
        <f t="shared" si="264"/>
        <v>0.28649677776057786</v>
      </c>
      <c r="K74" s="17">
        <f t="shared" si="264"/>
        <v>0.24934445409971967</v>
      </c>
      <c r="L74" s="17">
        <f t="shared" si="264"/>
        <v>0.21700996875519551</v>
      </c>
      <c r="M74" s="17">
        <f t="shared" si="264"/>
        <v>0.18886855418206749</v>
      </c>
      <c r="N74" s="17">
        <f t="shared" si="264"/>
        <v>0.16437646142912749</v>
      </c>
      <c r="O74" s="17">
        <f t="shared" si="264"/>
        <v>0.14306045381125107</v>
      </c>
      <c r="P74" s="17">
        <f t="shared" si="264"/>
        <v>0.12450866302110625</v>
      </c>
      <c r="Q74" s="17">
        <f t="shared" si="264"/>
        <v>0.10836263100183312</v>
      </c>
      <c r="R74" s="17">
        <f t="shared" si="264"/>
        <v>9.4310383813605861E-2</v>
      </c>
      <c r="S74" s="17">
        <f t="shared" si="264"/>
        <v>8.2080403667193963E-2</v>
      </c>
      <c r="T74" s="17">
        <f>1/(1+$B$61)^T65</f>
        <v>7.1436382652039998E-2</v>
      </c>
      <c r="U74" s="17">
        <f t="shared" si="264"/>
        <v>6.217265679028721E-2</v>
      </c>
      <c r="V74" s="17">
        <f t="shared" si="264"/>
        <v>5.4110232193461449E-2</v>
      </c>
      <c r="W74" s="17">
        <f t="shared" si="264"/>
        <v>4.7093326539130939E-2</v>
      </c>
      <c r="X74" s="17">
        <f t="shared" si="264"/>
        <v>4.0986359041889422E-2</v>
      </c>
      <c r="Y74" s="17">
        <f t="shared" si="264"/>
        <v>3.567133075882456E-2</v>
      </c>
      <c r="Z74" s="17">
        <f t="shared" si="264"/>
        <v>3.1045544611683691E-2</v>
      </c>
      <c r="AA74" s="17">
        <f t="shared" si="264"/>
        <v>2.7019621071961437E-2</v>
      </c>
      <c r="AB74" s="17">
        <f t="shared" si="264"/>
        <v>2.3515771167938588E-2</v>
      </c>
      <c r="AC74" s="17">
        <f t="shared" si="264"/>
        <v>2.0466293444681104E-2</v>
      </c>
      <c r="AD74" s="17">
        <f t="shared" si="264"/>
        <v>1.7812265835231596E-2</v>
      </c>
      <c r="AE74" s="17">
        <f>1/(1+$B$61)^AE65</f>
        <v>1.5502407167303389E-2</v>
      </c>
    </row>
    <row r="75" spans="1:36" ht="17" x14ac:dyDescent="0.25">
      <c r="A75" s="16" t="s">
        <v>30</v>
      </c>
      <c r="B75" s="17">
        <f>B72*B74</f>
        <v>150.6291239310705</v>
      </c>
      <c r="C75" s="16">
        <f>C72*C74</f>
        <v>149.24721361727194</v>
      </c>
      <c r="D75" s="16">
        <f t="shared" ref="D75" si="265">D72*D74</f>
        <v>146.00662433350976</v>
      </c>
      <c r="E75" s="16">
        <f t="shared" ref="E75" si="266">E72*E74</f>
        <v>141.37718200181035</v>
      </c>
      <c r="F75" s="16">
        <f>F72*F74</f>
        <v>135.74209916700704</v>
      </c>
      <c r="G75" s="16">
        <f t="shared" ref="G75" si="267">G72*G74</f>
        <v>129.41209079738127</v>
      </c>
      <c r="H75" s="16">
        <f t="shared" ref="H75" si="268">H72*H74</f>
        <v>122.63733579095815</v>
      </c>
      <c r="I75" s="16">
        <f t="shared" ref="I75" si="269">I72*I74</f>
        <v>115.61759990393057</v>
      </c>
      <c r="J75" s="16">
        <f t="shared" ref="J75" si="270">J72*J74</f>
        <v>108.51079079492254</v>
      </c>
      <c r="K75" s="16">
        <f t="shared" ref="K75" si="271">K72*K74</f>
        <v>101.44017715271401</v>
      </c>
      <c r="L75" s="16">
        <f t="shared" ref="L75" si="272">L72*L74</f>
        <v>94.500470577650745</v>
      </c>
      <c r="M75" s="16">
        <f t="shared" ref="M75" si="273">M72*M74</f>
        <v>87.762940268601213</v>
      </c>
      <c r="N75" s="16">
        <f t="shared" ref="N75" si="274">N72*N74</f>
        <v>81.279705980691048</v>
      </c>
      <c r="O75" s="16">
        <f t="shared" ref="O75" si="275">O72*O74</f>
        <v>75.087333605330571</v>
      </c>
      <c r="P75" s="16">
        <f t="shared" ref="P75" si="276">P72*P74</f>
        <v>69.209839600935979</v>
      </c>
      <c r="Q75" s="16">
        <f t="shared" ref="Q75" si="277">Q72*Q74</f>
        <v>63.661194954058637</v>
      </c>
      <c r="R75" s="16">
        <f t="shared" ref="R75" si="278">R72*R74</f>
        <v>58.447406017353742</v>
      </c>
      <c r="S75" s="16">
        <f t="shared" ref="S75" si="279">S72*S74</f>
        <v>53.568238143296234</v>
      </c>
      <c r="T75" s="16">
        <f t="shared" ref="T75" si="280">T72*T74</f>
        <v>49.018638243818053</v>
      </c>
      <c r="U75" s="16">
        <f t="shared" ref="U75" si="281">U72*U74</f>
        <v>44.789904025958712</v>
      </c>
      <c r="V75" s="16">
        <f t="shared" ref="V75" si="282">V72*V74</f>
        <v>40.870640483892387</v>
      </c>
      <c r="W75" s="16">
        <f t="shared" ref="W75" si="283">W72*W74</f>
        <v>37.247538097476564</v>
      </c>
      <c r="X75" s="16">
        <f t="shared" ref="X75" si="284">X72*X74</f>
        <v>33.906001949635652</v>
      </c>
      <c r="Y75" s="16">
        <f t="shared" ref="Y75" si="285">Y72*Y74</f>
        <v>30.83065650278953</v>
      </c>
      <c r="Z75" s="16">
        <f t="shared" ref="Z75" si="286">Z72*Z74</f>
        <v>28.005746959149473</v>
      </c>
      <c r="AA75" s="16">
        <f t="shared" ref="AA75" si="287">AA72*AA74</f>
        <v>25.415454877250831</v>
      </c>
      <c r="AB75" s="16">
        <f t="shared" ref="AB75" si="288">AB72*AB74</f>
        <v>23.044142946921848</v>
      </c>
      <c r="AC75" s="16">
        <f t="shared" ref="AC75" si="289">AC72*AC74</f>
        <v>20.876541467663493</v>
      </c>
      <c r="AD75" s="16">
        <f t="shared" ref="AD75" si="290">AD72*AD74</f>
        <v>18.897887071557548</v>
      </c>
      <c r="AE75" s="16">
        <f>AE72*AE74</f>
        <v>17.09402253015023</v>
      </c>
    </row>
    <row r="76" spans="1:36" x14ac:dyDescent="0.2">
      <c r="A76" s="9"/>
      <c r="AE76" s="8"/>
    </row>
    <row r="77" spans="1:36" ht="17" x14ac:dyDescent="0.25">
      <c r="A77" s="9"/>
      <c r="B77" s="1"/>
      <c r="AE77" s="8"/>
    </row>
    <row r="78" spans="1:36" x14ac:dyDescent="0.2">
      <c r="A78" s="11" t="s">
        <v>33</v>
      </c>
      <c r="B78" s="21">
        <f>SUM(B75:AE75)</f>
        <v>2254.1345417947587</v>
      </c>
      <c r="AE78" s="8"/>
    </row>
    <row r="79" spans="1:36" x14ac:dyDescent="0.2">
      <c r="A79" s="9" t="s">
        <v>34</v>
      </c>
      <c r="B79" s="10">
        <f>LN($B$10)-LN(B78)</f>
        <v>2.2873261848047912</v>
      </c>
      <c r="AE79" s="8"/>
    </row>
    <row r="80" spans="1:36" x14ac:dyDescent="0.2">
      <c r="A80" s="9" t="s">
        <v>35</v>
      </c>
      <c r="B80">
        <f>$B$21/B79</f>
        <v>-0.77852604137960979</v>
      </c>
      <c r="AE80" s="8"/>
    </row>
    <row r="81" spans="1:31" ht="17" thickBot="1" x14ac:dyDescent="0.25">
      <c r="A81" s="12" t="s">
        <v>36</v>
      </c>
      <c r="B81" s="20">
        <f>AE73</f>
        <v>10931.507219038902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4"/>
    </row>
    <row r="82" spans="1:31" ht="17" thickBot="1" x14ac:dyDescent="0.25"/>
    <row r="83" spans="1:31" x14ac:dyDescent="0.2">
      <c r="A83" s="3" t="s">
        <v>39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</row>
    <row r="84" spans="1:31" x14ac:dyDescent="0.2">
      <c r="A84" s="6" t="s">
        <v>0</v>
      </c>
      <c r="B84" s="7" t="s">
        <v>1</v>
      </c>
      <c r="AE84" s="8"/>
    </row>
    <row r="85" spans="1:31" x14ac:dyDescent="0.2">
      <c r="A85" s="9" t="s">
        <v>2</v>
      </c>
      <c r="B85">
        <v>15387</v>
      </c>
      <c r="AE85" s="8"/>
    </row>
    <row r="86" spans="1:31" x14ac:dyDescent="0.2">
      <c r="A86" s="9" t="s">
        <v>3</v>
      </c>
      <c r="B86">
        <v>0.848248</v>
      </c>
      <c r="AE86" s="8"/>
    </row>
    <row r="87" spans="1:31" x14ac:dyDescent="0.2">
      <c r="A87" s="9" t="s">
        <v>4</v>
      </c>
      <c r="B87">
        <v>0.02</v>
      </c>
      <c r="AE87" s="8"/>
    </row>
    <row r="88" spans="1:31" x14ac:dyDescent="0.2">
      <c r="A88" s="9" t="s">
        <v>5</v>
      </c>
      <c r="B88">
        <v>1</v>
      </c>
      <c r="AE88" s="8"/>
    </row>
    <row r="89" spans="1:31" x14ac:dyDescent="0.2">
      <c r="A89" s="9" t="s">
        <v>6</v>
      </c>
      <c r="B89">
        <f>B85*B86</f>
        <v>13051.991975999999</v>
      </c>
      <c r="AE89" s="8"/>
    </row>
    <row r="90" spans="1:31" x14ac:dyDescent="0.2">
      <c r="A90" s="9" t="s">
        <v>7</v>
      </c>
      <c r="B90">
        <f>B89*(1+B87)^B88</f>
        <v>13313.03181552</v>
      </c>
      <c r="AE90" s="8"/>
    </row>
    <row r="91" spans="1:31" x14ac:dyDescent="0.2">
      <c r="A91" s="9" t="s">
        <v>8</v>
      </c>
      <c r="B91">
        <v>9250</v>
      </c>
      <c r="AE91" s="8"/>
    </row>
    <row r="92" spans="1:31" x14ac:dyDescent="0.2">
      <c r="A92" s="9" t="s">
        <v>9</v>
      </c>
      <c r="B92">
        <v>22200</v>
      </c>
      <c r="AE92" s="8"/>
    </row>
    <row r="93" spans="1:31" x14ac:dyDescent="0.2">
      <c r="A93" s="9" t="s">
        <v>10</v>
      </c>
      <c r="B93">
        <v>0.09</v>
      </c>
      <c r="AE93" s="8"/>
    </row>
    <row r="94" spans="1:31" x14ac:dyDescent="0.2">
      <c r="A94" s="9" t="s">
        <v>11</v>
      </c>
      <c r="B94">
        <v>11390</v>
      </c>
      <c r="AE94" s="8"/>
    </row>
    <row r="95" spans="1:31" x14ac:dyDescent="0.2">
      <c r="A95" s="9" t="s">
        <v>12</v>
      </c>
      <c r="B95">
        <v>20500</v>
      </c>
      <c r="H95" s="7"/>
      <c r="I95" s="7"/>
      <c r="AE95" s="8"/>
    </row>
    <row r="96" spans="1:31" x14ac:dyDescent="0.2">
      <c r="A96" s="9" t="s">
        <v>13</v>
      </c>
      <c r="B96">
        <v>4.2999999999999997E-2</v>
      </c>
      <c r="AE96" s="8"/>
    </row>
    <row r="97" spans="1:36" x14ac:dyDescent="0.2">
      <c r="A97" s="9" t="s">
        <v>14</v>
      </c>
      <c r="B97">
        <v>5</v>
      </c>
      <c r="AE97" s="8"/>
    </row>
    <row r="98" spans="1:36" x14ac:dyDescent="0.2">
      <c r="A98" s="9" t="s">
        <v>15</v>
      </c>
      <c r="B98">
        <v>3.2000000000000001E-2</v>
      </c>
      <c r="E98" s="10"/>
      <c r="AE98" s="8"/>
    </row>
    <row r="99" spans="1:36" x14ac:dyDescent="0.2">
      <c r="A99" s="9" t="s">
        <v>16</v>
      </c>
      <c r="B99">
        <v>7</v>
      </c>
      <c r="AE99" s="8"/>
    </row>
    <row r="100" spans="1:36" ht="17" x14ac:dyDescent="0.25">
      <c r="A100" s="9" t="s">
        <v>17</v>
      </c>
      <c r="B100" s="1">
        <f>(B96*B97+B98*B99)/(B97+B99)</f>
        <v>3.6583333333333329E-2</v>
      </c>
      <c r="AE100" s="8"/>
    </row>
    <row r="101" spans="1:36" x14ac:dyDescent="0.2">
      <c r="A101" s="9" t="s">
        <v>18</v>
      </c>
      <c r="B101">
        <v>0.03</v>
      </c>
      <c r="AE101" s="8"/>
    </row>
    <row r="102" spans="1:36" x14ac:dyDescent="0.2">
      <c r="A102" s="9" t="s">
        <v>19</v>
      </c>
      <c r="B102">
        <v>0.35</v>
      </c>
      <c r="AE102" s="8"/>
    </row>
    <row r="103" spans="1:36" x14ac:dyDescent="0.2">
      <c r="A103" s="9" t="s">
        <v>20</v>
      </c>
      <c r="B103">
        <v>-1.780743</v>
      </c>
      <c r="AE103" s="8"/>
    </row>
    <row r="104" spans="1:36" x14ac:dyDescent="0.2">
      <c r="A104" s="9"/>
      <c r="AE104" s="8"/>
    </row>
    <row r="105" spans="1:36" x14ac:dyDescent="0.2">
      <c r="A105" s="43"/>
      <c r="B105" s="44"/>
      <c r="AE105" s="8"/>
    </row>
    <row r="106" spans="1:36" x14ac:dyDescent="0.2">
      <c r="A106" s="15" t="s">
        <v>31</v>
      </c>
      <c r="B106" s="15">
        <v>1</v>
      </c>
      <c r="C106" s="16">
        <v>2</v>
      </c>
      <c r="D106" s="16">
        <v>3</v>
      </c>
      <c r="E106" s="16">
        <v>4</v>
      </c>
      <c r="F106" s="16">
        <v>5</v>
      </c>
      <c r="G106" s="16">
        <v>6</v>
      </c>
      <c r="H106" s="16">
        <v>7</v>
      </c>
      <c r="I106" s="16">
        <v>8</v>
      </c>
      <c r="J106" s="16">
        <v>9</v>
      </c>
      <c r="K106" s="16">
        <v>10</v>
      </c>
      <c r="L106" s="16">
        <v>11</v>
      </c>
      <c r="M106" s="16">
        <v>12</v>
      </c>
      <c r="N106" s="16">
        <v>13</v>
      </c>
      <c r="O106" s="16">
        <v>14</v>
      </c>
      <c r="P106" s="16">
        <v>15</v>
      </c>
      <c r="Q106" s="16">
        <v>16</v>
      </c>
      <c r="R106" s="16">
        <v>17</v>
      </c>
      <c r="S106" s="16">
        <v>18</v>
      </c>
      <c r="T106" s="16">
        <v>19</v>
      </c>
      <c r="U106" s="16">
        <v>20</v>
      </c>
      <c r="V106" s="16">
        <v>21</v>
      </c>
      <c r="W106" s="16">
        <v>22</v>
      </c>
      <c r="X106" s="16">
        <v>23</v>
      </c>
      <c r="Y106" s="16">
        <v>24</v>
      </c>
      <c r="Z106" s="16">
        <v>25</v>
      </c>
      <c r="AA106" s="16">
        <v>26</v>
      </c>
      <c r="AB106" s="16">
        <v>27</v>
      </c>
      <c r="AC106" s="16">
        <v>28</v>
      </c>
      <c r="AD106" s="16">
        <v>29</v>
      </c>
      <c r="AE106" s="16">
        <v>30</v>
      </c>
    </row>
    <row r="107" spans="1:36" ht="17" x14ac:dyDescent="0.25">
      <c r="A107" s="16" t="s">
        <v>21</v>
      </c>
      <c r="B107" s="17">
        <f>$B$8</f>
        <v>13313.03181552</v>
      </c>
      <c r="C107" s="16">
        <f t="shared" ref="C107:AE107" si="291">$B$8*(1+$B$5)^(C$24-1)</f>
        <v>13579.292451830401</v>
      </c>
      <c r="D107" s="16">
        <f t="shared" si="291"/>
        <v>13850.878300867009</v>
      </c>
      <c r="E107" s="16">
        <f t="shared" si="291"/>
        <v>14127.895866884348</v>
      </c>
      <c r="F107" s="16">
        <f t="shared" si="291"/>
        <v>14410.453784222034</v>
      </c>
      <c r="G107" s="16">
        <f t="shared" si="291"/>
        <v>14698.662859906477</v>
      </c>
      <c r="H107" s="16">
        <f t="shared" si="291"/>
        <v>14992.636117104606</v>
      </c>
      <c r="I107" s="16">
        <f t="shared" si="291"/>
        <v>15292.488839446696</v>
      </c>
      <c r="J107" s="16">
        <f t="shared" si="291"/>
        <v>15598.338616235631</v>
      </c>
      <c r="K107" s="16">
        <f t="shared" si="291"/>
        <v>15910.305388560344</v>
      </c>
      <c r="L107" s="16">
        <f t="shared" si="291"/>
        <v>16228.51149633155</v>
      </c>
      <c r="M107" s="16">
        <f t="shared" si="291"/>
        <v>16553.08172625818</v>
      </c>
      <c r="N107" s="16">
        <f t="shared" si="291"/>
        <v>16884.143360783346</v>
      </c>
      <c r="O107" s="16">
        <f t="shared" si="291"/>
        <v>17221.826227999012</v>
      </c>
      <c r="P107" s="16">
        <f t="shared" si="291"/>
        <v>17566.262752558992</v>
      </c>
      <c r="Q107" s="16">
        <f t="shared" si="291"/>
        <v>17917.588007610168</v>
      </c>
      <c r="R107" s="16">
        <f t="shared" si="291"/>
        <v>18275.939767762375</v>
      </c>
      <c r="S107" s="16">
        <f t="shared" si="291"/>
        <v>18641.458563117623</v>
      </c>
      <c r="T107" s="16">
        <f t="shared" si="291"/>
        <v>19014.287734379974</v>
      </c>
      <c r="U107" s="16">
        <f t="shared" si="291"/>
        <v>19394.573489067574</v>
      </c>
      <c r="V107" s="16">
        <f t="shared" si="291"/>
        <v>19782.464958848926</v>
      </c>
      <c r="W107" s="16">
        <f t="shared" si="291"/>
        <v>20178.114258025904</v>
      </c>
      <c r="X107" s="16">
        <f t="shared" si="291"/>
        <v>20581.676543186422</v>
      </c>
      <c r="Y107" s="16">
        <f t="shared" si="291"/>
        <v>20993.310074050147</v>
      </c>
      <c r="Z107" s="16">
        <f t="shared" si="291"/>
        <v>21413.17627553115</v>
      </c>
      <c r="AA107" s="16">
        <f t="shared" si="291"/>
        <v>21841.439801041775</v>
      </c>
      <c r="AB107" s="16">
        <f t="shared" si="291"/>
        <v>22278.268597062612</v>
      </c>
      <c r="AC107" s="16">
        <f t="shared" si="291"/>
        <v>22723.833969003859</v>
      </c>
      <c r="AD107" s="16">
        <f t="shared" si="291"/>
        <v>23178.31064838394</v>
      </c>
      <c r="AE107" s="16">
        <f t="shared" si="291"/>
        <v>23641.876861351619</v>
      </c>
    </row>
    <row r="108" spans="1:36" ht="17" x14ac:dyDescent="0.25">
      <c r="A108" s="16" t="s">
        <v>22</v>
      </c>
      <c r="B108" s="17">
        <f>IF(B107&lt;=$B$12,0,IF(B107&lt;$B$13,(B107-$B$12)/($B$13-$B$12),1))</f>
        <v>0.21109021026564218</v>
      </c>
      <c r="C108" s="17">
        <f>IF(C107&lt;=$B$12,0,IF(C107&lt;$B$13,(C107-$B$12)/($B$13-$B$12),1))</f>
        <v>0.24031750294515924</v>
      </c>
      <c r="D108" s="17">
        <f t="shared" ref="D108" si="292">IF(D107&lt;=$B$12,0,IF(D107&lt;$B$13,(D107-$B$12)/($B$13-$B$12),1))</f>
        <v>0.27012934147826662</v>
      </c>
      <c r="E108" s="17">
        <f t="shared" ref="E108" si="293">IF(E107&lt;=$B$12,0,IF(E107&lt;$B$13,(E107-$B$12)/($B$13-$B$12),1))</f>
        <v>0.30053741678203599</v>
      </c>
      <c r="F108" s="17">
        <f t="shared" ref="F108" si="294">IF(F107&lt;=$B$12,0,IF(F107&lt;$B$13,(F107-$B$12)/($B$13-$B$12),1))</f>
        <v>0.33155365359188083</v>
      </c>
      <c r="G108" s="17">
        <f t="shared" ref="G108" si="295">IF(G107&lt;=$B$12,0,IF(G107&lt;$B$13,(G107-$B$12)/($B$13-$B$12),1))</f>
        <v>0.36319021513792282</v>
      </c>
      <c r="H108" s="17">
        <f t="shared" ref="H108" si="296">IF(H107&lt;=$B$12,0,IF(H107&lt;$B$13,(H107-$B$12)/($B$13-$B$12),1))</f>
        <v>0.39545950791488543</v>
      </c>
      <c r="I108" s="17">
        <f t="shared" ref="I108" si="297">IF(I107&lt;=$B$12,0,IF(I107&lt;$B$13,(I107-$B$12)/($B$13-$B$12),1))</f>
        <v>0.42837418654738707</v>
      </c>
      <c r="J108" s="17">
        <f t="shared" ref="J108" si="298">IF(J107&lt;=$B$12,0,IF(J107&lt;$B$13,(J107-$B$12)/($B$13-$B$12),1))</f>
        <v>0.46194715875253906</v>
      </c>
      <c r="K108" s="17">
        <f t="shared" ref="K108" si="299">IF(K107&lt;=$B$12,0,IF(K107&lt;$B$13,(K107-$B$12)/($B$13-$B$12),1))</f>
        <v>0.49619159040179406</v>
      </c>
      <c r="L108" s="17">
        <f t="shared" ref="L108" si="300">IF(L107&lt;=$B$12,0,IF(L107&lt;$B$13,(L107-$B$12)/($B$13-$B$12),1))</f>
        <v>0.531120910684034</v>
      </c>
      <c r="M108" s="17">
        <f t="shared" ref="M108" si="301">IF(M107&lt;=$B$12,0,IF(M107&lt;$B$13,(M107-$B$12)/($B$13-$B$12),1))</f>
        <v>0.56674881737191884</v>
      </c>
      <c r="N108" s="17">
        <f t="shared" ref="N108" si="302">IF(N107&lt;=$B$12,0,IF(N107&lt;$B$13,(N107-$B$12)/($B$13-$B$12),1))</f>
        <v>0.60308928219356162</v>
      </c>
      <c r="O108" s="17">
        <f t="shared" ref="O108" si="303">IF(O107&lt;=$B$12,0,IF(O107&lt;$B$13,(O107-$B$12)/($B$13-$B$12),1))</f>
        <v>0.64015655631163693</v>
      </c>
      <c r="P108" s="17">
        <f t="shared" ref="P108" si="304">IF(P107&lt;=$B$12,0,IF(P107&lt;$B$13,(P107-$B$12)/($B$13-$B$12),1))</f>
        <v>0.67796517591207384</v>
      </c>
      <c r="Q108" s="17">
        <f t="shared" ref="Q108" si="305">IF(Q107&lt;=$B$12,0,IF(Q107&lt;$B$13,(Q107-$B$12)/($B$13-$B$12),1))</f>
        <v>0.71652996790451895</v>
      </c>
      <c r="R108" s="17">
        <f t="shared" ref="R108" si="306">IF(R107&lt;=$B$12,0,IF(R107&lt;$B$13,(R107-$B$12)/($B$13-$B$12),1))</f>
        <v>0.75586605573681387</v>
      </c>
      <c r="S108" s="17">
        <f t="shared" ref="S108" si="307">IF(S107&lt;=$B$12,0,IF(S107&lt;$B$13,(S107-$B$12)/($B$13-$B$12),1))</f>
        <v>0.79598886532575452</v>
      </c>
      <c r="T108" s="17">
        <f t="shared" ref="T108" si="308">IF(T107&lt;=$B$12,0,IF(T107&lt;$B$13,(T107-$B$12)/($B$13-$B$12),1))</f>
        <v>0.8369141311064735</v>
      </c>
      <c r="U108" s="17">
        <f t="shared" ref="U108" si="309">IF(U107&lt;=$B$12,0,IF(U107&lt;$B$13,(U107-$B$12)/($B$13-$B$12),1))</f>
        <v>0.87865790220280726</v>
      </c>
      <c r="V108" s="17">
        <f t="shared" ref="V108" si="310">IF(V107&lt;=$B$12,0,IF(V107&lt;$B$13,(V107-$B$12)/($B$13-$B$12),1))</f>
        <v>0.92123654872106764</v>
      </c>
      <c r="W108" s="17">
        <f t="shared" ref="W108" si="311">IF(W107&lt;=$B$12,0,IF(W107&lt;$B$13,(W107-$B$12)/($B$13-$B$12),1))</f>
        <v>0.9646667681696931</v>
      </c>
      <c r="X108" s="17">
        <f t="shared" ref="X108" si="312">IF(X107&lt;=$B$12,0,IF(X107&lt;$B$13,(X107-$B$12)/($B$13-$B$12),1))</f>
        <v>1</v>
      </c>
      <c r="Y108" s="17">
        <f t="shared" ref="Y108" si="313">IF(Y107&lt;=$B$12,0,IF(Y107&lt;$B$13,(Y107-$B$12)/($B$13-$B$12),1))</f>
        <v>1</v>
      </c>
      <c r="Z108" s="17">
        <f t="shared" ref="Z108" si="314">IF(Z107&lt;=$B$12,0,IF(Z107&lt;$B$13,(Z107-$B$12)/($B$13-$B$12),1))</f>
        <v>1</v>
      </c>
      <c r="AA108" s="17">
        <f t="shared" ref="AA108" si="315">IF(AA107&lt;=$B$12,0,IF(AA107&lt;$B$13,(AA107-$B$12)/($B$13-$B$12),1))</f>
        <v>1</v>
      </c>
      <c r="AB108" s="17">
        <f t="shared" ref="AB108" si="316">IF(AB107&lt;=$B$12,0,IF(AB107&lt;$B$13,(AB107-$B$12)/($B$13-$B$12),1))</f>
        <v>1</v>
      </c>
      <c r="AC108" s="17">
        <f t="shared" ref="AC108" si="317">IF(AC107&lt;=$B$12,0,IF(AC107&lt;$B$13,(AC107-$B$12)/($B$13-$B$12),1))</f>
        <v>1</v>
      </c>
      <c r="AD108" s="17">
        <f t="shared" ref="AD108" si="318">IF(AD107&lt;=$B$12,0,IF(AD107&lt;$B$13,(AD107-$B$12)/($B$13-$B$12),1))</f>
        <v>1</v>
      </c>
      <c r="AE108" s="17">
        <f t="shared" ref="AE108" si="319">IF(AE107&lt;=$B$12,0,IF(AE107&lt;$B$13,(AE107-$B$12)/($B$13-$B$12),1))</f>
        <v>1</v>
      </c>
      <c r="AF108" s="1"/>
      <c r="AG108" s="1"/>
      <c r="AH108" s="1"/>
      <c r="AI108" s="1"/>
      <c r="AJ108" s="1"/>
    </row>
    <row r="109" spans="1:36" ht="17" x14ac:dyDescent="0.25">
      <c r="A109" s="16" t="s">
        <v>23</v>
      </c>
      <c r="B109" s="17">
        <f>$B$18+$B$19*B108</f>
        <v>4.2916039641302597E-2</v>
      </c>
      <c r="C109" s="16">
        <f>$B$18+$B$19*C108</f>
        <v>4.3792858421688105E-2</v>
      </c>
      <c r="D109" s="16">
        <f t="shared" ref="D109" si="320">$B$18+$B$19*D108</f>
        <v>4.4687213577681323E-2</v>
      </c>
      <c r="E109" s="16">
        <f t="shared" ref="E109" si="321">$B$18+$B$19*E108</f>
        <v>4.5599455836794409E-2</v>
      </c>
      <c r="F109" s="16">
        <f t="shared" ref="F109" si="322">$B$18+$B$19*F108</f>
        <v>4.6529942941089752E-2</v>
      </c>
      <c r="G109" s="16">
        <f t="shared" ref="G109" si="323">$B$18+$B$19*G108</f>
        <v>4.7479039787471013E-2</v>
      </c>
      <c r="H109" s="16">
        <f t="shared" ref="H109" si="324">$B$18+$B$19*H108</f>
        <v>4.8447118570779893E-2</v>
      </c>
      <c r="I109" s="16">
        <f t="shared" ref="I109" si="325">$B$18+$B$19*I108</f>
        <v>4.9434558929754943E-2</v>
      </c>
      <c r="J109" s="16">
        <f t="shared" ref="J109" si="326">$B$18+$B$19*J108</f>
        <v>5.0441748095909497E-2</v>
      </c>
      <c r="K109" s="16">
        <f t="shared" ref="K109" si="327">$B$18+$B$19*K108</f>
        <v>5.1469081045387152E-2</v>
      </c>
      <c r="L109" s="16">
        <f t="shared" ref="L109" si="328">$B$18+$B$19*L108</f>
        <v>5.2516960653854347E-2</v>
      </c>
      <c r="M109" s="16">
        <f t="shared" ref="M109" si="329">$B$18+$B$19*M108</f>
        <v>5.3585797854490892E-2</v>
      </c>
      <c r="N109" s="16">
        <f t="shared" ref="N109" si="330">$B$18+$B$19*N108</f>
        <v>5.4676011799140181E-2</v>
      </c>
      <c r="O109" s="16">
        <f t="shared" ref="O109" si="331">$B$18+$B$19*O108</f>
        <v>5.5788030022682435E-2</v>
      </c>
      <c r="P109" s="16">
        <f t="shared" ref="P109" si="332">$B$18+$B$19*P108</f>
        <v>5.6922288610695544E-2</v>
      </c>
      <c r="Q109" s="16">
        <f t="shared" ref="Q109" si="333">$B$18+$B$19*Q108</f>
        <v>5.80792323704689E-2</v>
      </c>
      <c r="R109" s="16">
        <f t="shared" ref="R109" si="334">$B$18+$B$19*R108</f>
        <v>5.925931500543774E-2</v>
      </c>
      <c r="S109" s="16">
        <f t="shared" ref="S109" si="335">$B$18+$B$19*S108</f>
        <v>6.046299929310596E-2</v>
      </c>
      <c r="T109" s="16">
        <f t="shared" ref="T109" si="336">$B$18+$B$19*T108</f>
        <v>6.1690757266527535E-2</v>
      </c>
      <c r="U109" s="16">
        <f t="shared" ref="U109" si="337">$B$18+$B$19*U108</f>
        <v>6.2943070399417544E-2</v>
      </c>
      <c r="V109" s="16">
        <f t="shared" ref="V109" si="338">$B$18+$B$19*V108</f>
        <v>6.4220429794965353E-2</v>
      </c>
      <c r="W109" s="16">
        <f t="shared" ref="W109" si="339">$B$18+$B$19*W108</f>
        <v>6.5523336378424113E-2</v>
      </c>
      <c r="X109" s="16">
        <f t="shared" ref="X109" si="340">$B$18+$B$19*X108</f>
        <v>6.6583333333333328E-2</v>
      </c>
      <c r="Y109" s="16">
        <f t="shared" ref="Y109" si="341">$B$18+$B$19*Y108</f>
        <v>6.6583333333333328E-2</v>
      </c>
      <c r="Z109" s="16">
        <f t="shared" ref="Z109" si="342">$B$18+$B$19*Z108</f>
        <v>6.6583333333333328E-2</v>
      </c>
      <c r="AA109" s="16">
        <f t="shared" ref="AA109" si="343">$B$18+$B$19*AA108</f>
        <v>6.6583333333333328E-2</v>
      </c>
      <c r="AB109" s="16">
        <f t="shared" ref="AB109" si="344">$B$18+$B$19*AB108</f>
        <v>6.6583333333333328E-2</v>
      </c>
      <c r="AC109" s="16">
        <f t="shared" ref="AC109" si="345">$B$18+$B$19*AC108</f>
        <v>6.6583333333333328E-2</v>
      </c>
      <c r="AD109" s="16">
        <f t="shared" ref="AD109" si="346">$B$18+$B$19*AD108</f>
        <v>6.6583333333333328E-2</v>
      </c>
      <c r="AE109" s="16">
        <f t="shared" ref="AE109" si="347">$B$18+$B$19*AE108</f>
        <v>6.6583333333333328E-2</v>
      </c>
    </row>
    <row r="110" spans="1:36" ht="17" x14ac:dyDescent="0.25">
      <c r="A110" s="16" t="s">
        <v>24</v>
      </c>
      <c r="B110" s="17">
        <f>$B$9</f>
        <v>9250</v>
      </c>
      <c r="C110" s="16">
        <f>B114</f>
        <v>9473.900503285251</v>
      </c>
      <c r="D110" s="16">
        <f t="shared" ref="D110:AE110" si="348">C114</f>
        <v>9691.7533660620447</v>
      </c>
      <c r="E110" s="16">
        <f t="shared" si="348"/>
        <v>9903.3717715954408</v>
      </c>
      <c r="F110" s="16">
        <f t="shared" si="348"/>
        <v>10108.549507310072</v>
      </c>
      <c r="G110" s="16">
        <f t="shared" si="348"/>
        <v>10307.058898522406</v>
      </c>
      <c r="H110" s="16">
        <f t="shared" si="348"/>
        <v>10498.648500665575</v>
      </c>
      <c r="I110" s="16">
        <f t="shared" si="348"/>
        <v>10683.040518870846</v>
      </c>
      <c r="J110" s="16">
        <f t="shared" si="348"/>
        <v>10859.927919399724</v>
      </c>
      <c r="K110" s="16">
        <f t="shared" si="348"/>
        <v>11028.971192388612</v>
      </c>
      <c r="L110" s="16">
        <f t="shared" si="348"/>
        <v>11189.794719566469</v>
      </c>
      <c r="M110" s="16">
        <f t="shared" si="348"/>
        <v>11341.982693908807</v>
      </c>
      <c r="N110" s="16">
        <f t="shared" si="348"/>
        <v>11485.074530450504</v>
      </c>
      <c r="O110" s="16">
        <f t="shared" si="348"/>
        <v>11618.559698520919</v>
      </c>
      <c r="P110" s="16">
        <f t="shared" si="348"/>
        <v>11741.871895282424</v>
      </c>
      <c r="Q110" s="16">
        <f t="shared" si="348"/>
        <v>11854.382468405194</v>
      </c>
      <c r="R110" s="16">
        <f t="shared" si="348"/>
        <v>11955.392981711197</v>
      </c>
      <c r="S110" s="16">
        <f t="shared" si="348"/>
        <v>12044.126801329607</v>
      </c>
      <c r="T110" s="16">
        <f t="shared" si="348"/>
        <v>12119.719560923893</v>
      </c>
      <c r="U110" s="16">
        <f t="shared" si="348"/>
        <v>12181.208342401038</v>
      </c>
      <c r="V110" s="16">
        <f t="shared" si="348"/>
        <v>12227.519382630677</v>
      </c>
      <c r="W110" s="16">
        <f t="shared" si="348"/>
        <v>12257.454086413085</v>
      </c>
      <c r="X110" s="16">
        <f t="shared" si="348"/>
        <v>12269.673090437886</v>
      </c>
      <c r="Y110" s="16">
        <f t="shared" si="348"/>
        <v>12259.377934822765</v>
      </c>
      <c r="Z110" s="16">
        <f t="shared" si="348"/>
        <v>12211.35027565187</v>
      </c>
      <c r="AA110" s="16">
        <f t="shared" si="348"/>
        <v>12122.336816707888</v>
      </c>
      <c r="AB110" s="16">
        <f t="shared" si="348"/>
        <v>11988.85282765993</v>
      </c>
      <c r="AC110" s="16">
        <f t="shared" si="348"/>
        <v>11807.166438032653</v>
      </c>
      <c r="AD110" s="16">
        <f t="shared" si="348"/>
        <v>11573.28187948798</v>
      </c>
      <c r="AE110" s="16">
        <f t="shared" si="348"/>
        <v>11282.921606276002</v>
      </c>
    </row>
    <row r="111" spans="1:36" ht="17" x14ac:dyDescent="0.25">
      <c r="A111" s="16" t="s">
        <v>25</v>
      </c>
      <c r="B111" s="17">
        <f>B110*(1+B109)</f>
        <v>9646.9733666820503</v>
      </c>
      <c r="C111" s="16">
        <f>C110*(1+C109)</f>
        <v>9888.7896867267809</v>
      </c>
      <c r="D111" s="16">
        <f t="shared" ref="D111" si="349">D110*(1+D109)</f>
        <v>10124.850818673471</v>
      </c>
      <c r="E111" s="16">
        <f t="shared" ref="E111" si="350">E110*(1+E109)</f>
        <v>10354.960135329664</v>
      </c>
      <c r="F111" s="16">
        <f t="shared" ref="F111" si="351">F110*(1+F109)</f>
        <v>10578.89973910239</v>
      </c>
      <c r="G111" s="16">
        <f t="shared" ref="G111" si="352">G110*(1+G109)</f>
        <v>10796.428158057157</v>
      </c>
      <c r="H111" s="16">
        <f t="shared" ref="H111" si="353">H110*(1+H109)</f>
        <v>11007.277769410261</v>
      </c>
      <c r="I111" s="16">
        <f t="shared" ref="I111" si="354">I110*(1+I109)</f>
        <v>11211.151914949927</v>
      </c>
      <c r="J111" s="16">
        <f t="shared" ref="J111" si="355">J110*(1+J109)</f>
        <v>11407.721667849819</v>
      </c>
      <c r="K111" s="16">
        <f t="shared" ref="K111" si="356">K110*(1+K109)</f>
        <v>11596.6222045369</v>
      </c>
      <c r="L111" s="16">
        <f t="shared" ref="L111" si="357">L110*(1+L109)</f>
        <v>11777.448728578647</v>
      </c>
      <c r="M111" s="16">
        <f t="shared" ref="M111" si="358">M110*(1+M109)</f>
        <v>11949.751885813739</v>
      </c>
      <c r="N111" s="16">
        <f t="shared" ref="N111" si="359">N110*(1+N109)</f>
        <v>12113.032600991421</v>
      </c>
      <c r="O111" s="16">
        <f t="shared" ref="O111" si="360">O110*(1+O109)</f>
        <v>12266.736255802334</v>
      </c>
      <c r="P111" s="16">
        <f t="shared" ref="P111" si="361">P110*(1+P109)</f>
        <v>12410.246116135504</v>
      </c>
      <c r="Q111" s="16">
        <f t="shared" ref="Q111" si="362">Q110*(1+Q109)</f>
        <v>12542.875902396112</v>
      </c>
      <c r="R111" s="16">
        <f t="shared" ref="R111" si="363">R110*(1+R109)</f>
        <v>12663.861380428219</v>
      </c>
      <c r="S111" s="16">
        <f t="shared" ref="S111" si="364">S110*(1+S109)</f>
        <v>12772.350831604479</v>
      </c>
      <c r="T111" s="16">
        <f t="shared" ref="T111" si="365">T110*(1+T109)</f>
        <v>12867.394238495235</v>
      </c>
      <c r="U111" s="16">
        <f t="shared" ref="U111" si="366">U110*(1+U109)</f>
        <v>12947.930996646759</v>
      </c>
      <c r="V111" s="16">
        <f t="shared" ref="V111" si="367">V110*(1+V109)</f>
        <v>13012.775932709488</v>
      </c>
      <c r="W111" s="16">
        <f t="shared" ref="W111" si="368">W110*(1+W109)</f>
        <v>13060.603373660217</v>
      </c>
      <c r="X111" s="16">
        <f t="shared" ref="X111" si="369">X110*(1+X109)</f>
        <v>13086.628823709543</v>
      </c>
      <c r="Y111" s="16">
        <f t="shared" ref="Y111" si="370">Y110*(1+Y109)</f>
        <v>13075.648182316383</v>
      </c>
      <c r="Z111" s="16">
        <f t="shared" ref="Z111" si="371">Z110*(1+Z109)</f>
        <v>13024.422681505692</v>
      </c>
      <c r="AA111" s="16">
        <f t="shared" ref="AA111" si="372">AA110*(1+AA109)</f>
        <v>12929.482409753689</v>
      </c>
      <c r="AB111" s="16">
        <f t="shared" ref="AB111" si="373">AB110*(1+AB109)</f>
        <v>12787.110611768288</v>
      </c>
      <c r="AC111" s="16">
        <f t="shared" ref="AC111" si="374">AC110*(1+AC109)</f>
        <v>12593.326936698328</v>
      </c>
      <c r="AD111" s="16">
        <f t="shared" ref="AD111" si="375">AD110*(1+AD109)</f>
        <v>12343.869564630557</v>
      </c>
      <c r="AE111" s="16">
        <f t="shared" ref="AE111" si="376">AE110*(1+AE109)</f>
        <v>12034.176136560547</v>
      </c>
    </row>
    <row r="112" spans="1:36" ht="17" x14ac:dyDescent="0.25">
      <c r="A112" s="16" t="s">
        <v>26</v>
      </c>
      <c r="B112" s="17">
        <f>$B$11*MAX(0,B107-$B$12)</f>
        <v>173.07286339680002</v>
      </c>
      <c r="C112" s="16">
        <f>$B$11*MAX(0,C107-$B$12)</f>
        <v>197.03632066473605</v>
      </c>
      <c r="D112" s="16">
        <f t="shared" ref="D112:J112" si="377">$B$11*MAX(0,D107-$B$12)</f>
        <v>221.47904707803079</v>
      </c>
      <c r="E112" s="16">
        <f t="shared" si="377"/>
        <v>246.41062801959131</v>
      </c>
      <c r="F112" s="16">
        <f t="shared" si="377"/>
        <v>271.84084057998308</v>
      </c>
      <c r="G112" s="16">
        <f t="shared" si="377"/>
        <v>297.77965739158293</v>
      </c>
      <c r="H112" s="16">
        <f t="shared" si="377"/>
        <v>324.23725053941456</v>
      </c>
      <c r="I112" s="16">
        <f t="shared" si="377"/>
        <v>351.22399555020263</v>
      </c>
      <c r="J112" s="16">
        <f t="shared" si="377"/>
        <v>378.75047546120675</v>
      </c>
      <c r="K112" s="16">
        <f t="shared" ref="K112:AE112" si="378">$B$11*MAX(0,K107-$B$12)</f>
        <v>406.82748497043093</v>
      </c>
      <c r="L112" s="16">
        <f t="shared" si="378"/>
        <v>435.46603466983947</v>
      </c>
      <c r="M112" s="16">
        <f t="shared" si="378"/>
        <v>464.67735536323625</v>
      </c>
      <c r="N112" s="16">
        <f t="shared" si="378"/>
        <v>494.47290247050114</v>
      </c>
      <c r="O112" s="16">
        <f t="shared" si="378"/>
        <v>524.86436051991109</v>
      </c>
      <c r="P112" s="16">
        <f t="shared" si="378"/>
        <v>555.86364773030925</v>
      </c>
      <c r="Q112" s="16">
        <f t="shared" si="378"/>
        <v>587.48292068491503</v>
      </c>
      <c r="R112" s="16">
        <f t="shared" si="378"/>
        <v>619.73457909861372</v>
      </c>
      <c r="S112" s="16">
        <f t="shared" si="378"/>
        <v>652.63127068058611</v>
      </c>
      <c r="T112" s="16">
        <f t="shared" si="378"/>
        <v>686.18589609419757</v>
      </c>
      <c r="U112" s="16">
        <f t="shared" si="378"/>
        <v>720.41161401608167</v>
      </c>
      <c r="V112" s="16">
        <f t="shared" si="378"/>
        <v>755.32184629640335</v>
      </c>
      <c r="W112" s="16">
        <f t="shared" si="378"/>
        <v>790.93028322233135</v>
      </c>
      <c r="X112" s="16">
        <f t="shared" si="378"/>
        <v>827.25088888677794</v>
      </c>
      <c r="Y112" s="16">
        <f t="shared" si="378"/>
        <v>864.29790666451322</v>
      </c>
      <c r="Z112" s="16">
        <f t="shared" si="378"/>
        <v>902.08586479780354</v>
      </c>
      <c r="AA112" s="16">
        <f t="shared" si="378"/>
        <v>940.62958209375972</v>
      </c>
      <c r="AB112" s="16">
        <f t="shared" si="378"/>
        <v>979.94417373563499</v>
      </c>
      <c r="AC112" s="16">
        <f t="shared" si="378"/>
        <v>1020.0450572103473</v>
      </c>
      <c r="AD112" s="16">
        <f t="shared" si="378"/>
        <v>1060.9479583545547</v>
      </c>
      <c r="AE112" s="16">
        <f t="shared" si="378"/>
        <v>1102.6689175216457</v>
      </c>
    </row>
    <row r="113" spans="1:31" ht="17" x14ac:dyDescent="0.25">
      <c r="A113" s="16" t="s">
        <v>27</v>
      </c>
      <c r="B113" s="17">
        <f>MIN(B112,B111)</f>
        <v>173.07286339680002</v>
      </c>
      <c r="C113" s="16">
        <f>MIN(C112,C111)</f>
        <v>197.03632066473605</v>
      </c>
      <c r="D113" s="16">
        <f>MIN(D112,D111)</f>
        <v>221.47904707803079</v>
      </c>
      <c r="E113" s="16">
        <f t="shared" ref="E113" si="379">MIN(E112,E111)</f>
        <v>246.41062801959131</v>
      </c>
      <c r="F113" s="16">
        <f t="shared" ref="F113" si="380">MIN(F112,F111)</f>
        <v>271.84084057998308</v>
      </c>
      <c r="G113" s="16">
        <f t="shared" ref="G113" si="381">MIN(G112,G111)</f>
        <v>297.77965739158293</v>
      </c>
      <c r="H113" s="16">
        <f t="shared" ref="H113" si="382">MIN(H112,H111)</f>
        <v>324.23725053941456</v>
      </c>
      <c r="I113" s="16">
        <f t="shared" ref="I113" si="383">MIN(I112,I111)</f>
        <v>351.22399555020263</v>
      </c>
      <c r="J113" s="16">
        <f t="shared" ref="J113" si="384">MIN(J112,J111)</f>
        <v>378.75047546120675</v>
      </c>
      <c r="K113" s="16">
        <f t="shared" ref="K113" si="385">MIN(K112,K111)</f>
        <v>406.82748497043093</v>
      </c>
      <c r="L113" s="16">
        <f t="shared" ref="L113" si="386">MIN(L112,L111)</f>
        <v>435.46603466983947</v>
      </c>
      <c r="M113" s="16">
        <f t="shared" ref="M113" si="387">MIN(M112,M111)</f>
        <v>464.67735536323625</v>
      </c>
      <c r="N113" s="16">
        <f t="shared" ref="N113" si="388">MIN(N112,N111)</f>
        <v>494.47290247050114</v>
      </c>
      <c r="O113" s="16">
        <f t="shared" ref="O113" si="389">MIN(O112,O111)</f>
        <v>524.86436051991109</v>
      </c>
      <c r="P113" s="16">
        <f t="shared" ref="P113" si="390">MIN(P112,P111)</f>
        <v>555.86364773030925</v>
      </c>
      <c r="Q113" s="16">
        <f t="shared" ref="Q113" si="391">MIN(Q112,Q111)</f>
        <v>587.48292068491503</v>
      </c>
      <c r="R113" s="16">
        <f t="shared" ref="R113" si="392">MIN(R112,R111)</f>
        <v>619.73457909861372</v>
      </c>
      <c r="S113" s="16">
        <f t="shared" ref="S113" si="393">MIN(S112,S111)</f>
        <v>652.63127068058611</v>
      </c>
      <c r="T113" s="16">
        <f t="shared" ref="T113" si="394">MIN(T112,T111)</f>
        <v>686.18589609419757</v>
      </c>
      <c r="U113" s="16">
        <f t="shared" ref="U113" si="395">MIN(U112,U111)</f>
        <v>720.41161401608167</v>
      </c>
      <c r="V113" s="16">
        <f t="shared" ref="V113" si="396">MIN(V112,V111)</f>
        <v>755.32184629640335</v>
      </c>
      <c r="W113" s="16">
        <f t="shared" ref="W113" si="397">MIN(W112,W111)</f>
        <v>790.93028322233135</v>
      </c>
      <c r="X113" s="16">
        <f t="shared" ref="X113" si="398">MIN(X112,X111)</f>
        <v>827.25088888677794</v>
      </c>
      <c r="Y113" s="16">
        <f t="shared" ref="Y113" si="399">MIN(Y112,Y111)</f>
        <v>864.29790666451322</v>
      </c>
      <c r="Z113" s="16">
        <f t="shared" ref="Z113" si="400">MIN(Z112,Z111)</f>
        <v>902.08586479780354</v>
      </c>
      <c r="AA113" s="16">
        <f t="shared" ref="AA113" si="401">MIN(AA112,AA111)</f>
        <v>940.62958209375972</v>
      </c>
      <c r="AB113" s="16">
        <f t="shared" ref="AB113" si="402">MIN(AB112,AB111)</f>
        <v>979.94417373563499</v>
      </c>
      <c r="AC113" s="16">
        <f t="shared" ref="AC113" si="403">MIN(AC112,AC111)</f>
        <v>1020.0450572103473</v>
      </c>
      <c r="AD113" s="16">
        <f t="shared" ref="AD113" si="404">MIN(AD112,AD111)</f>
        <v>1060.9479583545547</v>
      </c>
      <c r="AE113" s="16">
        <f t="shared" ref="AE113" si="405">MIN(AE112,AE111)</f>
        <v>1102.6689175216457</v>
      </c>
    </row>
    <row r="114" spans="1:31" ht="17" x14ac:dyDescent="0.25">
      <c r="A114" s="18" t="s">
        <v>28</v>
      </c>
      <c r="B114" s="19">
        <f>B111-B113</f>
        <v>9473.900503285251</v>
      </c>
      <c r="C114" s="18">
        <f>C111-C113</f>
        <v>9691.7533660620447</v>
      </c>
      <c r="D114" s="18">
        <f t="shared" ref="D114" si="406">D111-D113</f>
        <v>9903.3717715954408</v>
      </c>
      <c r="E114" s="18">
        <f t="shared" ref="E114" si="407">E111-E113</f>
        <v>10108.549507310072</v>
      </c>
      <c r="F114" s="18">
        <f t="shared" ref="F114" si="408">F111-F113</f>
        <v>10307.058898522406</v>
      </c>
      <c r="G114" s="18">
        <f t="shared" ref="G114" si="409">G111-G113</f>
        <v>10498.648500665575</v>
      </c>
      <c r="H114" s="18">
        <f t="shared" ref="H114" si="410">H111-H113</f>
        <v>10683.040518870846</v>
      </c>
      <c r="I114" s="18">
        <f t="shared" ref="I114" si="411">I111-I113</f>
        <v>10859.927919399724</v>
      </c>
      <c r="J114" s="18">
        <f t="shared" ref="J114" si="412">J111-J113</f>
        <v>11028.971192388612</v>
      </c>
      <c r="K114" s="18">
        <f t="shared" ref="K114" si="413">K111-K113</f>
        <v>11189.794719566469</v>
      </c>
      <c r="L114" s="18">
        <f t="shared" ref="L114" si="414">L111-L113</f>
        <v>11341.982693908807</v>
      </c>
      <c r="M114" s="18">
        <f t="shared" ref="M114" si="415">M111-M113</f>
        <v>11485.074530450504</v>
      </c>
      <c r="N114" s="18">
        <f t="shared" ref="N114" si="416">N111-N113</f>
        <v>11618.559698520919</v>
      </c>
      <c r="O114" s="18">
        <f t="shared" ref="O114" si="417">O111-O113</f>
        <v>11741.871895282424</v>
      </c>
      <c r="P114" s="18">
        <f t="shared" ref="P114" si="418">P111-P113</f>
        <v>11854.382468405194</v>
      </c>
      <c r="Q114" s="18">
        <f t="shared" ref="Q114" si="419">Q111-Q113</f>
        <v>11955.392981711197</v>
      </c>
      <c r="R114" s="18">
        <f t="shared" ref="R114" si="420">R111-R113</f>
        <v>12044.126801329607</v>
      </c>
      <c r="S114" s="18">
        <f t="shared" ref="S114" si="421">S111-S113</f>
        <v>12119.719560923893</v>
      </c>
      <c r="T114" s="18">
        <f t="shared" ref="T114" si="422">T111-T113</f>
        <v>12181.208342401038</v>
      </c>
      <c r="U114" s="18">
        <f t="shared" ref="U114" si="423">U111-U113</f>
        <v>12227.519382630677</v>
      </c>
      <c r="V114" s="18">
        <f t="shared" ref="V114" si="424">V111-V113</f>
        <v>12257.454086413085</v>
      </c>
      <c r="W114" s="18">
        <f t="shared" ref="W114" si="425">W111-W113</f>
        <v>12269.673090437886</v>
      </c>
      <c r="X114" s="18">
        <f t="shared" ref="X114" si="426">X111-X113</f>
        <v>12259.377934822765</v>
      </c>
      <c r="Y114" s="18">
        <f t="shared" ref="Y114" si="427">Y111-Y113</f>
        <v>12211.35027565187</v>
      </c>
      <c r="Z114" s="18">
        <f t="shared" ref="Z114" si="428">Z111-Z113</f>
        <v>12122.336816707888</v>
      </c>
      <c r="AA114" s="18">
        <f t="shared" ref="AA114" si="429">AA111-AA113</f>
        <v>11988.85282765993</v>
      </c>
      <c r="AB114" s="18">
        <f t="shared" ref="AB114" si="430">AB111-AB113</f>
        <v>11807.166438032653</v>
      </c>
      <c r="AC114" s="18">
        <f t="shared" ref="AC114" si="431">AC111-AC113</f>
        <v>11573.28187948798</v>
      </c>
      <c r="AD114" s="18">
        <f t="shared" ref="AD114" si="432">AD111-AD113</f>
        <v>11282.921606276002</v>
      </c>
      <c r="AE114" s="18">
        <f t="shared" ref="AE114" si="433">AE111-AE113</f>
        <v>10931.507219038902</v>
      </c>
    </row>
    <row r="115" spans="1:31" ht="17" x14ac:dyDescent="0.25">
      <c r="A115" s="16" t="s">
        <v>29</v>
      </c>
      <c r="B115" s="17">
        <f>1/(1+$B$102)^B106</f>
        <v>0.7407407407407407</v>
      </c>
      <c r="C115" s="17">
        <f t="shared" ref="C115:AE115" si="434">1/(1+$B$102)^C106</f>
        <v>0.5486968449931412</v>
      </c>
      <c r="D115" s="17">
        <f t="shared" si="434"/>
        <v>0.40644210740232684</v>
      </c>
      <c r="E115" s="17">
        <f t="shared" si="434"/>
        <v>0.30106822770542724</v>
      </c>
      <c r="F115" s="17">
        <f t="shared" si="434"/>
        <v>0.22301350200402015</v>
      </c>
      <c r="G115" s="17">
        <f t="shared" si="434"/>
        <v>0.16519518666964456</v>
      </c>
      <c r="H115" s="17">
        <f t="shared" si="434"/>
        <v>0.12236680494047744</v>
      </c>
      <c r="I115" s="17">
        <f t="shared" si="434"/>
        <v>9.0642077733686988E-2</v>
      </c>
      <c r="J115" s="17">
        <f t="shared" si="434"/>
        <v>6.7142279802731103E-2</v>
      </c>
      <c r="K115" s="17">
        <f t="shared" si="434"/>
        <v>4.9735022076097105E-2</v>
      </c>
      <c r="L115" s="17">
        <f t="shared" si="434"/>
        <v>3.6840757093405264E-2</v>
      </c>
      <c r="M115" s="17">
        <f t="shared" si="434"/>
        <v>2.7289449698818708E-2</v>
      </c>
      <c r="N115" s="17">
        <f t="shared" si="434"/>
        <v>2.0214407184310154E-2</v>
      </c>
      <c r="O115" s="17">
        <f t="shared" si="434"/>
        <v>1.4973634951340853E-2</v>
      </c>
      <c r="P115" s="17">
        <f t="shared" si="434"/>
        <v>1.1091581445437669E-2</v>
      </c>
      <c r="Q115" s="17">
        <f t="shared" si="434"/>
        <v>8.2159862558797547E-3</v>
      </c>
      <c r="R115" s="17">
        <f t="shared" si="434"/>
        <v>6.0859157450961132E-3</v>
      </c>
      <c r="S115" s="17">
        <f t="shared" si="434"/>
        <v>4.5080857371082323E-3</v>
      </c>
      <c r="T115" s="17">
        <f t="shared" si="434"/>
        <v>3.3393227682283204E-3</v>
      </c>
      <c r="U115" s="17">
        <f t="shared" si="434"/>
        <v>2.4735724209098667E-3</v>
      </c>
      <c r="V115" s="17">
        <f t="shared" si="434"/>
        <v>1.8322758673406418E-3</v>
      </c>
      <c r="W115" s="17">
        <f t="shared" si="434"/>
        <v>1.3572413832152901E-3</v>
      </c>
      <c r="X115" s="17">
        <f t="shared" si="434"/>
        <v>1.0053639875668816E-3</v>
      </c>
      <c r="Y115" s="17">
        <f t="shared" si="434"/>
        <v>7.4471406486435656E-4</v>
      </c>
      <c r="Z115" s="17">
        <f t="shared" si="434"/>
        <v>5.5164004804767147E-4</v>
      </c>
      <c r="AA115" s="17">
        <f t="shared" si="434"/>
        <v>4.0862225781308997E-4</v>
      </c>
      <c r="AB115" s="17">
        <f t="shared" si="434"/>
        <v>3.0268315393562221E-4</v>
      </c>
      <c r="AC115" s="17">
        <f t="shared" si="434"/>
        <v>2.2420974365601644E-4</v>
      </c>
      <c r="AD115" s="17">
        <f t="shared" si="434"/>
        <v>1.6608129159704916E-4</v>
      </c>
      <c r="AE115" s="17">
        <f t="shared" si="434"/>
        <v>1.2302317896077715E-4</v>
      </c>
    </row>
    <row r="116" spans="1:31" ht="17" x14ac:dyDescent="0.25">
      <c r="A116" s="16" t="s">
        <v>30</v>
      </c>
      <c r="B116" s="17">
        <f>B113*B115</f>
        <v>128.20212103466667</v>
      </c>
      <c r="C116" s="16">
        <f>C113*C115</f>
        <v>108.11320749779755</v>
      </c>
      <c r="D116" s="16">
        <f t="shared" ref="D116" si="435">D113*D115</f>
        <v>90.018410639853997</v>
      </c>
      <c r="E116" s="16">
        <f t="shared" ref="E116" si="436">E113*E115</f>
        <v>74.186411065639646</v>
      </c>
      <c r="F116" s="16">
        <f>F113*F115</f>
        <v>60.624177845458576</v>
      </c>
      <c r="G116" s="16">
        <f t="shared" ref="G116" si="437">G113*G115</f>
        <v>49.191766089225347</v>
      </c>
      <c r="H116" s="16">
        <f t="shared" ref="H116" si="438">H113*H115</f>
        <v>39.675876391193256</v>
      </c>
      <c r="I116" s="16">
        <f t="shared" ref="I116" si="439">I113*I115</f>
        <v>31.835672706597599</v>
      </c>
      <c r="J116" s="16">
        <f t="shared" ref="J116" si="440">J113*J115</f>
        <v>25.430170398833784</v>
      </c>
      <c r="K116" s="16">
        <f t="shared" ref="K116" si="441">K113*K115</f>
        <v>20.233573946167446</v>
      </c>
      <c r="L116" s="16">
        <f t="shared" ref="L116" si="442">L113*L115</f>
        <v>16.042898405699951</v>
      </c>
      <c r="M116" s="16">
        <f t="shared" ref="M116" si="443">M113*M115</f>
        <v>12.680789315365141</v>
      </c>
      <c r="N116" s="16">
        <f t="shared" ref="N116" si="444">N113*N115</f>
        <v>9.9954765921463924</v>
      </c>
      <c r="O116" s="16">
        <f t="shared" ref="O116" si="445">O113*O115</f>
        <v>7.859127333394107</v>
      </c>
      <c r="P116" s="16">
        <f t="shared" ref="P116" si="446">P113*P115</f>
        <v>6.165406921358799</v>
      </c>
      <c r="Q116" s="16">
        <f t="shared" ref="Q116" si="447">Q113*Q115</f>
        <v>4.8267516019113579</v>
      </c>
      <c r="R116" s="16">
        <f t="shared" ref="R116" si="448">R113*R115</f>
        <v>3.771652432716766</v>
      </c>
      <c r="S116" s="16">
        <f t="shared" ref="S116" si="449">S113*S115</f>
        <v>2.9421177229459725</v>
      </c>
      <c r="T116" s="16">
        <f t="shared" ref="T116" si="450">T113*T115</f>
        <v>2.2913961860645067</v>
      </c>
      <c r="U116" s="16">
        <f t="shared" ref="U116" si="451">U113*U115</f>
        <v>1.7819903001333437</v>
      </c>
      <c r="V116" s="16">
        <f t="shared" ref="V116" si="452">V113*V115</f>
        <v>1.3839579910440774</v>
      </c>
      <c r="W116" s="16">
        <f t="shared" ref="W116" si="453">W113*W115</f>
        <v>1.0734833116275382</v>
      </c>
      <c r="X116" s="16">
        <f t="shared" ref="X116" si="454">X113*X115</f>
        <v>0.83168825236945831</v>
      </c>
      <c r="Y116" s="16">
        <f t="shared" ref="Y116" si="455">Y113*Y115</f>
        <v>0.64365480732588387</v>
      </c>
      <c r="Z116" s="16">
        <f t="shared" ref="Z116" si="456">Z113*Z115</f>
        <v>0.4976266898001856</v>
      </c>
      <c r="AA116" s="16">
        <f t="shared" ref="AA116" si="457">AA113*AA115</f>
        <v>0.38436218360093538</v>
      </c>
      <c r="AB116" s="16">
        <f t="shared" ref="AB116" si="458">AB113*AB115</f>
        <v>0.29661259318713934</v>
      </c>
      <c r="AC116" s="16">
        <f t="shared" ref="AC116" si="459">AC113*AC115</f>
        <v>0.22870404079471859</v>
      </c>
      <c r="AD116" s="16">
        <f t="shared" ref="AD116" si="460">AD113*AD115</f>
        <v>0.17620360724077677</v>
      </c>
      <c r="AE116" s="16">
        <f>AE113*AE115</f>
        <v>0.13565383557475183</v>
      </c>
    </row>
    <row r="117" spans="1:31" x14ac:dyDescent="0.2">
      <c r="A117" s="9"/>
      <c r="AE117" s="8"/>
    </row>
    <row r="118" spans="1:31" ht="17" x14ac:dyDescent="0.25">
      <c r="A118" s="9"/>
      <c r="B118" s="1"/>
      <c r="AE118" s="8"/>
    </row>
    <row r="119" spans="1:31" x14ac:dyDescent="0.2">
      <c r="A119" s="11" t="s">
        <v>112</v>
      </c>
      <c r="B119" s="21">
        <f>SUM(B116:AE116)</f>
        <v>701.52094173973558</v>
      </c>
      <c r="AE119" s="8"/>
    </row>
    <row r="120" spans="1:31" x14ac:dyDescent="0.2">
      <c r="A120" s="9" t="s">
        <v>34</v>
      </c>
      <c r="B120" s="10">
        <f>LN($B$10)-LN(B119)</f>
        <v>3.4545968159626774</v>
      </c>
      <c r="AE120" s="8"/>
    </row>
    <row r="121" spans="1:31" x14ac:dyDescent="0.2">
      <c r="A121" s="9" t="s">
        <v>35</v>
      </c>
      <c r="B121">
        <f>$B$21/B120</f>
        <v>-0.51547057293971599</v>
      </c>
      <c r="AE121" s="8"/>
    </row>
    <row r="122" spans="1:31" ht="17" thickBot="1" x14ac:dyDescent="0.25">
      <c r="A122" s="12" t="s">
        <v>36</v>
      </c>
      <c r="B122" s="20">
        <f>AE114</f>
        <v>10931.507219038902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4"/>
    </row>
    <row r="125" spans="1:31" ht="17" thickBot="1" x14ac:dyDescent="0.25"/>
    <row r="126" spans="1:31" x14ac:dyDescent="0.2">
      <c r="A126" s="45" t="s">
        <v>69</v>
      </c>
      <c r="B126" s="46"/>
      <c r="C126" s="46"/>
      <c r="D126" s="47"/>
    </row>
    <row r="127" spans="1:31" x14ac:dyDescent="0.2">
      <c r="A127" s="9"/>
      <c r="B127" s="22" t="s">
        <v>40</v>
      </c>
      <c r="C127" s="22" t="s">
        <v>41</v>
      </c>
      <c r="D127" s="23" t="s">
        <v>42</v>
      </c>
      <c r="E127" s="22"/>
    </row>
    <row r="128" spans="1:31" x14ac:dyDescent="0.2">
      <c r="A128" s="24" t="s">
        <v>43</v>
      </c>
      <c r="B128" s="25">
        <v>-0.65581008970425803</v>
      </c>
      <c r="C128" s="25">
        <v>-0.45993260769701999</v>
      </c>
      <c r="D128" s="26">
        <v>-0.32894814920229298</v>
      </c>
    </row>
    <row r="129" spans="1:8" x14ac:dyDescent="0.2">
      <c r="A129" s="24" t="s">
        <v>44</v>
      </c>
      <c r="B129" s="25">
        <v>-0.74510448631797799</v>
      </c>
      <c r="C129" s="25">
        <v>-0.52837902573743001</v>
      </c>
      <c r="D129" s="26">
        <v>-0.38008516372288098</v>
      </c>
      <c r="F129" s="2" t="s">
        <v>70</v>
      </c>
      <c r="G129" s="2"/>
      <c r="H129" s="2"/>
    </row>
    <row r="130" spans="1:8" x14ac:dyDescent="0.2">
      <c r="A130" s="27" t="s">
        <v>45</v>
      </c>
      <c r="B130" s="28">
        <v>-2.3218791670118701</v>
      </c>
      <c r="C130" s="28">
        <v>-0.77852611549534401</v>
      </c>
      <c r="D130" s="29">
        <v>-0.51547062201255101</v>
      </c>
      <c r="F130" s="2">
        <f>B39</f>
        <v>-2.3218789459688249</v>
      </c>
      <c r="G130" s="2">
        <f>B80</f>
        <v>-0.77852604137960979</v>
      </c>
      <c r="H130" s="2">
        <f>B121</f>
        <v>-0.51547057293971599</v>
      </c>
    </row>
    <row r="131" spans="1:8" x14ac:dyDescent="0.2">
      <c r="A131" s="24" t="s">
        <v>46</v>
      </c>
      <c r="B131" s="25">
        <v>-1.5380292262378099</v>
      </c>
      <c r="C131" s="25">
        <v>-0.43620577854349801</v>
      </c>
      <c r="D131" s="26">
        <v>-0.26794453514884897</v>
      </c>
    </row>
    <row r="132" spans="1:8" x14ac:dyDescent="0.2">
      <c r="A132" s="24" t="s">
        <v>47</v>
      </c>
      <c r="B132" s="25">
        <v>-1.77844113862875</v>
      </c>
      <c r="C132" s="25">
        <v>-0.59486208375216498</v>
      </c>
      <c r="D132" s="26">
        <v>-0.375323686814998</v>
      </c>
    </row>
    <row r="133" spans="1:8" x14ac:dyDescent="0.2">
      <c r="A133" s="24" t="s">
        <v>48</v>
      </c>
      <c r="B133" s="25">
        <v>-0.76563993702865696</v>
      </c>
      <c r="C133" s="25">
        <v>-0.50891470759776003</v>
      </c>
      <c r="D133" s="26">
        <v>-0.35468099821187898</v>
      </c>
    </row>
    <row r="134" spans="1:8" x14ac:dyDescent="0.2">
      <c r="A134" s="24" t="s">
        <v>49</v>
      </c>
      <c r="B134" s="25">
        <v>-1.29031025324129</v>
      </c>
      <c r="C134" s="25">
        <v>-0.99317691500073402</v>
      </c>
      <c r="D134" s="26">
        <v>-0.752812599640313</v>
      </c>
    </row>
    <row r="135" spans="1:8" x14ac:dyDescent="0.2">
      <c r="A135" s="24" t="s">
        <v>50</v>
      </c>
      <c r="B135" s="25">
        <v>-2.37114863518884</v>
      </c>
      <c r="C135" s="25">
        <v>-0.58774190753072597</v>
      </c>
      <c r="D135" s="26">
        <v>-0.35142133114213597</v>
      </c>
    </row>
    <row r="136" spans="1:8" x14ac:dyDescent="0.2">
      <c r="A136" s="24" t="s">
        <v>51</v>
      </c>
      <c r="B136" s="25">
        <v>-0.67910730298909505</v>
      </c>
      <c r="C136" s="25">
        <v>-0.31280310941075401</v>
      </c>
      <c r="D136" s="26">
        <v>-0.19944718534314801</v>
      </c>
    </row>
    <row r="137" spans="1:8" x14ac:dyDescent="0.2">
      <c r="A137" s="24" t="s">
        <v>52</v>
      </c>
      <c r="B137" s="25">
        <v>-2.1408120220365499</v>
      </c>
      <c r="C137" s="25">
        <v>-1.33433281281336</v>
      </c>
      <c r="D137" s="26">
        <v>-0.906650221232709</v>
      </c>
    </row>
    <row r="138" spans="1:8" x14ac:dyDescent="0.2">
      <c r="A138" s="24" t="s">
        <v>53</v>
      </c>
      <c r="B138" s="25">
        <v>-0.73062780315562603</v>
      </c>
      <c r="C138" s="25">
        <v>-0.45243018745755198</v>
      </c>
      <c r="D138" s="26">
        <v>-0.30635200977872901</v>
      </c>
    </row>
    <row r="139" spans="1:8" x14ac:dyDescent="0.2">
      <c r="A139" s="24" t="s">
        <v>54</v>
      </c>
      <c r="B139" s="25">
        <v>-0.53064585481638904</v>
      </c>
      <c r="C139" s="25">
        <v>-0.20617629447072</v>
      </c>
      <c r="D139" s="26">
        <v>-0.122664684135534</v>
      </c>
    </row>
    <row r="140" spans="1:8" x14ac:dyDescent="0.2">
      <c r="A140" s="24" t="s">
        <v>55</v>
      </c>
      <c r="B140" s="25">
        <v>-2.5818311159667</v>
      </c>
      <c r="C140" s="25">
        <v>-0.81547343858451204</v>
      </c>
      <c r="D140" s="26">
        <v>-0.51454730676986604</v>
      </c>
    </row>
    <row r="141" spans="1:8" x14ac:dyDescent="0.2">
      <c r="A141" s="24" t="s">
        <v>56</v>
      </c>
      <c r="B141" s="25">
        <v>-0.83593741867207105</v>
      </c>
      <c r="C141" s="25">
        <v>-0.31232251836350799</v>
      </c>
      <c r="D141" s="26">
        <v>-0.18759041310098501</v>
      </c>
    </row>
    <row r="142" spans="1:8" x14ac:dyDescent="0.2">
      <c r="A142" s="24" t="s">
        <v>57</v>
      </c>
      <c r="B142" s="25">
        <v>-1.1577413287826199</v>
      </c>
      <c r="C142" s="25">
        <v>-0.52883782018824199</v>
      </c>
      <c r="D142" s="26">
        <v>-0.336870700038572</v>
      </c>
    </row>
    <row r="143" spans="1:8" x14ac:dyDescent="0.2">
      <c r="A143" s="24" t="s">
        <v>58</v>
      </c>
      <c r="B143" s="25">
        <v>-3.253447603098</v>
      </c>
      <c r="C143" s="25">
        <v>-1.5261989503366</v>
      </c>
      <c r="D143" s="26">
        <v>-0.97309932187657899</v>
      </c>
    </row>
    <row r="144" spans="1:8" x14ac:dyDescent="0.2">
      <c r="A144" s="24" t="s">
        <v>59</v>
      </c>
      <c r="B144" s="25">
        <v>-0.71140918158136301</v>
      </c>
      <c r="C144" s="25">
        <v>-0.57157730556795205</v>
      </c>
      <c r="D144" s="26">
        <v>-0.44743187775741</v>
      </c>
    </row>
    <row r="145" spans="1:4" x14ac:dyDescent="0.2">
      <c r="A145" s="24" t="s">
        <v>60</v>
      </c>
      <c r="B145" s="25">
        <v>-2.4861868535193001</v>
      </c>
      <c r="C145" s="25">
        <v>-0.67730867995102995</v>
      </c>
      <c r="D145" s="26">
        <v>-0.427101515326829</v>
      </c>
    </row>
    <row r="146" spans="1:4" x14ac:dyDescent="0.2">
      <c r="A146" s="24" t="s">
        <v>61</v>
      </c>
      <c r="B146" s="25">
        <v>-0.75080905678909204</v>
      </c>
      <c r="C146" s="25">
        <v>-0.34257169860977599</v>
      </c>
      <c r="D146" s="26">
        <v>-0.21818978350995899</v>
      </c>
    </row>
    <row r="147" spans="1:4" x14ac:dyDescent="0.2">
      <c r="A147" s="24" t="s">
        <v>62</v>
      </c>
      <c r="B147" s="25">
        <v>-2.4245681064462601</v>
      </c>
      <c r="C147" s="25">
        <v>-0.67280518308419601</v>
      </c>
      <c r="D147" s="26">
        <v>-0.42580564303864399</v>
      </c>
    </row>
    <row r="148" spans="1:4" x14ac:dyDescent="0.2">
      <c r="A148" s="24" t="s">
        <v>63</v>
      </c>
      <c r="B148" s="25">
        <v>-1.34830692942117</v>
      </c>
      <c r="C148" s="25">
        <v>-0.48591103396166802</v>
      </c>
      <c r="D148" s="26">
        <v>-0.306622644936763</v>
      </c>
    </row>
    <row r="149" spans="1:4" x14ac:dyDescent="0.2">
      <c r="A149" s="24" t="s">
        <v>64</v>
      </c>
      <c r="B149" s="25">
        <v>-2.8304477712331302</v>
      </c>
      <c r="C149" s="25">
        <v>-1.0659547936865801</v>
      </c>
      <c r="D149" s="26">
        <v>-0.66804669792123705</v>
      </c>
    </row>
    <row r="150" spans="1:4" x14ac:dyDescent="0.2">
      <c r="A150" s="24" t="s">
        <v>65</v>
      </c>
      <c r="B150" s="25">
        <v>-1.2310822878038301</v>
      </c>
      <c r="C150" s="25">
        <v>-0.72516914505149099</v>
      </c>
      <c r="D150" s="26">
        <v>-0.48373052995065102</v>
      </c>
    </row>
    <row r="151" spans="1:4" x14ac:dyDescent="0.2">
      <c r="A151" s="24" t="s">
        <v>66</v>
      </c>
      <c r="B151" s="25">
        <v>-1.6569166362630401</v>
      </c>
      <c r="C151" s="25">
        <v>-0.81392674301899304</v>
      </c>
      <c r="D151" s="26">
        <v>-0.52286628116991596</v>
      </c>
    </row>
    <row r="152" spans="1:4" x14ac:dyDescent="0.2">
      <c r="A152" s="24" t="s">
        <v>67</v>
      </c>
      <c r="B152" s="25">
        <v>-1.7386878482113</v>
      </c>
      <c r="C152" s="25">
        <v>-0.54856411758239598</v>
      </c>
      <c r="D152" s="26">
        <v>-0.34611947850182301</v>
      </c>
    </row>
    <row r="153" spans="1:4" ht="17" thickBot="1" x14ac:dyDescent="0.25">
      <c r="A153" s="30" t="s">
        <v>68</v>
      </c>
      <c r="B153" s="31">
        <v>-0.65581008970425803</v>
      </c>
      <c r="C153" s="31">
        <v>-0.45993260769701999</v>
      </c>
      <c r="D153" s="32">
        <v>-0.32894814920229298</v>
      </c>
    </row>
  </sheetData>
  <mergeCells count="4">
    <mergeCell ref="A126:D126"/>
    <mergeCell ref="A23:B23"/>
    <mergeCell ref="A64:B64"/>
    <mergeCell ref="A105:B10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ECD6-FD69-1F4E-846D-691A8A2E680F}">
  <dimension ref="A1:AE152"/>
  <sheetViews>
    <sheetView topLeftCell="A91" zoomScale="75" workbookViewId="0">
      <selection activeCell="A120" sqref="A120"/>
    </sheetView>
  </sheetViews>
  <sheetFormatPr baseColWidth="10" defaultRowHeight="16" x14ac:dyDescent="0.2"/>
  <cols>
    <col min="1" max="1" width="16.83203125" customWidth="1"/>
  </cols>
  <sheetData>
    <row r="1" spans="1:31" x14ac:dyDescent="0.2">
      <c r="A1" s="3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6" t="s">
        <v>0</v>
      </c>
      <c r="B2" s="7" t="s">
        <v>1</v>
      </c>
      <c r="AE2" s="8"/>
    </row>
    <row r="3" spans="1:31" x14ac:dyDescent="0.2">
      <c r="A3" s="9" t="s">
        <v>2</v>
      </c>
      <c r="B3">
        <f>data!J11</f>
        <v>82969</v>
      </c>
      <c r="AE3" s="8"/>
    </row>
    <row r="4" spans="1:31" x14ac:dyDescent="0.2">
      <c r="A4" s="9" t="s">
        <v>3</v>
      </c>
      <c r="B4">
        <v>0.848248</v>
      </c>
      <c r="AE4" s="8"/>
    </row>
    <row r="5" spans="1:31" x14ac:dyDescent="0.2">
      <c r="A5" s="9" t="s">
        <v>4</v>
      </c>
      <c r="B5">
        <v>0.02</v>
      </c>
      <c r="AE5" s="8"/>
    </row>
    <row r="6" spans="1:31" x14ac:dyDescent="0.2">
      <c r="A6" s="9" t="s">
        <v>5</v>
      </c>
      <c r="B6">
        <v>1</v>
      </c>
      <c r="AE6" s="8"/>
    </row>
    <row r="7" spans="1:31" x14ac:dyDescent="0.2">
      <c r="A7" s="9" t="s">
        <v>6</v>
      </c>
      <c r="B7">
        <f>B3*B4</f>
        <v>70378.288312000004</v>
      </c>
      <c r="AE7" s="8"/>
    </row>
    <row r="8" spans="1:31" x14ac:dyDescent="0.2">
      <c r="A8" s="9" t="s">
        <v>7</v>
      </c>
      <c r="B8">
        <f>B7*(1+B5)^B6</f>
        <v>71785.854078240009</v>
      </c>
      <c r="AE8" s="8"/>
    </row>
    <row r="9" spans="1:31" x14ac:dyDescent="0.2">
      <c r="A9" s="9" t="s">
        <v>8</v>
      </c>
      <c r="B9">
        <v>9250</v>
      </c>
      <c r="AE9" s="8"/>
    </row>
    <row r="10" spans="1:31" x14ac:dyDescent="0.2">
      <c r="A10" s="9" t="s">
        <v>9</v>
      </c>
      <c r="B10">
        <v>22200</v>
      </c>
      <c r="AE10" s="8"/>
    </row>
    <row r="11" spans="1:31" x14ac:dyDescent="0.2">
      <c r="A11" s="9" t="s">
        <v>10</v>
      </c>
      <c r="B11">
        <v>0.09</v>
      </c>
      <c r="AE11" s="8"/>
    </row>
    <row r="12" spans="1:31" x14ac:dyDescent="0.2">
      <c r="A12" s="9" t="s">
        <v>11</v>
      </c>
      <c r="B12">
        <f>data!D18</f>
        <v>28470</v>
      </c>
      <c r="AE12" s="8"/>
    </row>
    <row r="13" spans="1:31" x14ac:dyDescent="0.2">
      <c r="A13" s="9" t="s">
        <v>12</v>
      </c>
      <c r="B13">
        <f>data!E18</f>
        <v>51245</v>
      </c>
      <c r="H13" s="7"/>
      <c r="I13" s="7"/>
      <c r="AE13" s="8"/>
    </row>
    <row r="14" spans="1:31" x14ac:dyDescent="0.2">
      <c r="A14" s="9" t="s">
        <v>13</v>
      </c>
      <c r="B14">
        <v>4.2999999999999997E-2</v>
      </c>
      <c r="AE14" s="8"/>
    </row>
    <row r="15" spans="1:31" x14ac:dyDescent="0.2">
      <c r="A15" s="9" t="s">
        <v>14</v>
      </c>
      <c r="B15">
        <v>5</v>
      </c>
      <c r="AE15" s="8"/>
    </row>
    <row r="16" spans="1:31" x14ac:dyDescent="0.2">
      <c r="A16" s="9" t="s">
        <v>15</v>
      </c>
      <c r="B16">
        <v>3.2000000000000001E-2</v>
      </c>
      <c r="E16" s="10"/>
      <c r="AE16" s="8"/>
    </row>
    <row r="17" spans="1:31" x14ac:dyDescent="0.2">
      <c r="A17" s="9" t="s">
        <v>16</v>
      </c>
      <c r="B17">
        <v>7</v>
      </c>
      <c r="AE17" s="8"/>
    </row>
    <row r="18" spans="1:31" ht="17" x14ac:dyDescent="0.25">
      <c r="A18" s="9" t="s">
        <v>17</v>
      </c>
      <c r="B18" s="1">
        <f>(B14*B15+B16*B17)/(B15+B17)</f>
        <v>3.6583333333333329E-2</v>
      </c>
      <c r="AE18" s="8"/>
    </row>
    <row r="19" spans="1:31" x14ac:dyDescent="0.2">
      <c r="A19" s="9" t="s">
        <v>18</v>
      </c>
      <c r="B19">
        <v>0.03</v>
      </c>
      <c r="AE19" s="8"/>
    </row>
    <row r="20" spans="1:31" x14ac:dyDescent="0.2">
      <c r="A20" s="9" t="s">
        <v>19</v>
      </c>
      <c r="B20">
        <v>0.03</v>
      </c>
      <c r="AE20" s="8"/>
    </row>
    <row r="21" spans="1:31" x14ac:dyDescent="0.2">
      <c r="A21" s="9" t="s">
        <v>20</v>
      </c>
      <c r="B21" s="25">
        <v>-0.57719909999999996</v>
      </c>
      <c r="C21" s="25"/>
      <c r="AE21" s="8"/>
    </row>
    <row r="22" spans="1:31" x14ac:dyDescent="0.2">
      <c r="A22" s="9"/>
      <c r="AE22" s="8"/>
    </row>
    <row r="23" spans="1:31" x14ac:dyDescent="0.2">
      <c r="A23" s="43"/>
      <c r="B23" s="44"/>
      <c r="AE23" s="8"/>
    </row>
    <row r="24" spans="1:31" x14ac:dyDescent="0.2">
      <c r="A24" s="15" t="s">
        <v>31</v>
      </c>
      <c r="B24" s="15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>
        <v>13</v>
      </c>
      <c r="O24" s="16">
        <v>14</v>
      </c>
      <c r="P24" s="16">
        <v>15</v>
      </c>
      <c r="Q24" s="16">
        <v>16</v>
      </c>
      <c r="R24" s="16">
        <v>17</v>
      </c>
      <c r="S24" s="16">
        <v>18</v>
      </c>
      <c r="T24" s="16">
        <v>19</v>
      </c>
      <c r="U24" s="16">
        <v>20</v>
      </c>
      <c r="V24" s="16">
        <v>21</v>
      </c>
      <c r="W24" s="16">
        <v>22</v>
      </c>
      <c r="X24" s="16">
        <v>23</v>
      </c>
      <c r="Y24" s="16">
        <v>24</v>
      </c>
      <c r="Z24" s="16">
        <v>25</v>
      </c>
      <c r="AA24" s="16">
        <v>26</v>
      </c>
      <c r="AB24" s="16">
        <v>27</v>
      </c>
      <c r="AC24" s="16">
        <v>28</v>
      </c>
      <c r="AD24" s="16">
        <v>29</v>
      </c>
      <c r="AE24" s="16">
        <v>30</v>
      </c>
    </row>
    <row r="25" spans="1:31" ht="17" x14ac:dyDescent="0.25">
      <c r="A25" s="16" t="s">
        <v>21</v>
      </c>
      <c r="B25" s="17">
        <f>$B$8</f>
        <v>71785.854078240009</v>
      </c>
      <c r="C25" s="16">
        <f t="shared" ref="C25:AE25" si="0">$B$8*(1+$B$5)^(C$24-1)</f>
        <v>73221.571159804807</v>
      </c>
      <c r="D25" s="16">
        <f t="shared" si="0"/>
        <v>74686.002583000911</v>
      </c>
      <c r="E25" s="16">
        <f t="shared" si="0"/>
        <v>76179.722634660924</v>
      </c>
      <c r="F25" s="16">
        <f t="shared" si="0"/>
        <v>77703.317087354138</v>
      </c>
      <c r="G25" s="16">
        <f t="shared" si="0"/>
        <v>79257.383429101232</v>
      </c>
      <c r="H25" s="16">
        <f t="shared" si="0"/>
        <v>80842.531097683255</v>
      </c>
      <c r="I25" s="16">
        <f t="shared" si="0"/>
        <v>82459.381719636905</v>
      </c>
      <c r="J25" s="16">
        <f t="shared" si="0"/>
        <v>84108.569354029649</v>
      </c>
      <c r="K25" s="16">
        <f t="shared" si="0"/>
        <v>85790.740741110247</v>
      </c>
      <c r="L25" s="16">
        <f t="shared" si="0"/>
        <v>87506.555555932442</v>
      </c>
      <c r="M25" s="16">
        <f t="shared" si="0"/>
        <v>89256.686667051079</v>
      </c>
      <c r="N25" s="16">
        <f t="shared" si="0"/>
        <v>91041.820400392113</v>
      </c>
      <c r="O25" s="16">
        <f t="shared" si="0"/>
        <v>92862.656808399959</v>
      </c>
      <c r="P25" s="16">
        <f t="shared" si="0"/>
        <v>94719.90994456796</v>
      </c>
      <c r="Q25" s="16">
        <f t="shared" si="0"/>
        <v>96614.30814345929</v>
      </c>
      <c r="R25" s="16">
        <f t="shared" si="0"/>
        <v>98546.594306328494</v>
      </c>
      <c r="S25" s="16">
        <f t="shared" si="0"/>
        <v>100517.52619245507</v>
      </c>
      <c r="T25" s="16">
        <f t="shared" si="0"/>
        <v>102527.87671630416</v>
      </c>
      <c r="U25" s="16">
        <f t="shared" si="0"/>
        <v>104578.43425063025</v>
      </c>
      <c r="V25" s="16">
        <f t="shared" si="0"/>
        <v>106670.00293564286</v>
      </c>
      <c r="W25" s="16">
        <f t="shared" si="0"/>
        <v>108803.40299435571</v>
      </c>
      <c r="X25" s="16">
        <f t="shared" si="0"/>
        <v>110979.47105424284</v>
      </c>
      <c r="Y25" s="16">
        <f t="shared" si="0"/>
        <v>113199.06047532767</v>
      </c>
      <c r="Z25" s="16">
        <f t="shared" si="0"/>
        <v>115463.04168483423</v>
      </c>
      <c r="AA25" s="16">
        <f t="shared" si="0"/>
        <v>117772.30251853091</v>
      </c>
      <c r="AB25" s="16">
        <f t="shared" si="0"/>
        <v>120127.74856890154</v>
      </c>
      <c r="AC25" s="16">
        <f t="shared" si="0"/>
        <v>122530.30354027955</v>
      </c>
      <c r="AD25" s="16">
        <f t="shared" si="0"/>
        <v>124980.90961108517</v>
      </c>
      <c r="AE25" s="16">
        <f t="shared" si="0"/>
        <v>127480.52780330685</v>
      </c>
    </row>
    <row r="26" spans="1:31" ht="17" x14ac:dyDescent="0.25">
      <c r="A26" s="16" t="s">
        <v>22</v>
      </c>
      <c r="B26" s="17">
        <f>IF(B25&lt;=$B$12,0,IF(B25&lt;$B$13,(B25-$B$12)/($B$13-$B$12),1))</f>
        <v>1</v>
      </c>
      <c r="C26" s="17">
        <f>IF(C25&lt;=$B$12,0,IF(C25&lt;$B$13,(C25-$B$12)/($B$13-$B$12),1))</f>
        <v>1</v>
      </c>
      <c r="D26" s="17">
        <f t="shared" ref="D26:AE26" si="1">IF(D25&lt;=$B$12,0,IF(D25&lt;$B$13,(D25-$B$12)/($B$13-$B$12),1))</f>
        <v>1</v>
      </c>
      <c r="E26" s="17">
        <f t="shared" si="1"/>
        <v>1</v>
      </c>
      <c r="F26" s="17">
        <f t="shared" si="1"/>
        <v>1</v>
      </c>
      <c r="G26" s="17">
        <f t="shared" si="1"/>
        <v>1</v>
      </c>
      <c r="H26" s="17">
        <f t="shared" si="1"/>
        <v>1</v>
      </c>
      <c r="I26" s="17">
        <f t="shared" si="1"/>
        <v>1</v>
      </c>
      <c r="J26" s="17">
        <f t="shared" si="1"/>
        <v>1</v>
      </c>
      <c r="K26" s="17">
        <f t="shared" si="1"/>
        <v>1</v>
      </c>
      <c r="L26" s="17">
        <f t="shared" si="1"/>
        <v>1</v>
      </c>
      <c r="M26" s="17">
        <f t="shared" si="1"/>
        <v>1</v>
      </c>
      <c r="N26" s="17">
        <f t="shared" si="1"/>
        <v>1</v>
      </c>
      <c r="O26" s="17">
        <f t="shared" si="1"/>
        <v>1</v>
      </c>
      <c r="P26" s="17">
        <f t="shared" si="1"/>
        <v>1</v>
      </c>
      <c r="Q26" s="17">
        <f t="shared" si="1"/>
        <v>1</v>
      </c>
      <c r="R26" s="17">
        <f t="shared" si="1"/>
        <v>1</v>
      </c>
      <c r="S26" s="17">
        <f t="shared" si="1"/>
        <v>1</v>
      </c>
      <c r="T26" s="17">
        <f t="shared" si="1"/>
        <v>1</v>
      </c>
      <c r="U26" s="17">
        <f t="shared" si="1"/>
        <v>1</v>
      </c>
      <c r="V26" s="17">
        <f t="shared" si="1"/>
        <v>1</v>
      </c>
      <c r="W26" s="17">
        <f t="shared" si="1"/>
        <v>1</v>
      </c>
      <c r="X26" s="17">
        <f t="shared" si="1"/>
        <v>1</v>
      </c>
      <c r="Y26" s="17">
        <f t="shared" si="1"/>
        <v>1</v>
      </c>
      <c r="Z26" s="17">
        <f t="shared" si="1"/>
        <v>1</v>
      </c>
      <c r="AA26" s="17">
        <f t="shared" si="1"/>
        <v>1</v>
      </c>
      <c r="AB26" s="17">
        <f t="shared" si="1"/>
        <v>1</v>
      </c>
      <c r="AC26" s="17">
        <f t="shared" si="1"/>
        <v>1</v>
      </c>
      <c r="AD26" s="17">
        <f t="shared" si="1"/>
        <v>1</v>
      </c>
      <c r="AE26" s="17">
        <f t="shared" si="1"/>
        <v>1</v>
      </c>
    </row>
    <row r="27" spans="1:31" ht="17" x14ac:dyDescent="0.25">
      <c r="A27" s="16" t="s">
        <v>23</v>
      </c>
      <c r="B27" s="17">
        <f>$B$18+$B$19*B26</f>
        <v>6.6583333333333328E-2</v>
      </c>
      <c r="C27" s="16">
        <f>$B$18+$B$19*C26</f>
        <v>6.6583333333333328E-2</v>
      </c>
      <c r="D27" s="16">
        <f t="shared" ref="D27:AE27" si="2">$B$18+$B$19*D26</f>
        <v>6.6583333333333328E-2</v>
      </c>
      <c r="E27" s="16">
        <f t="shared" si="2"/>
        <v>6.6583333333333328E-2</v>
      </c>
      <c r="F27" s="16">
        <f t="shared" si="2"/>
        <v>6.6583333333333328E-2</v>
      </c>
      <c r="G27" s="16">
        <f t="shared" si="2"/>
        <v>6.6583333333333328E-2</v>
      </c>
      <c r="H27" s="16">
        <f t="shared" si="2"/>
        <v>6.6583333333333328E-2</v>
      </c>
      <c r="I27" s="16">
        <f t="shared" si="2"/>
        <v>6.6583333333333328E-2</v>
      </c>
      <c r="J27" s="16">
        <f t="shared" si="2"/>
        <v>6.6583333333333328E-2</v>
      </c>
      <c r="K27" s="16">
        <f t="shared" si="2"/>
        <v>6.6583333333333328E-2</v>
      </c>
      <c r="L27" s="16">
        <f t="shared" si="2"/>
        <v>6.6583333333333328E-2</v>
      </c>
      <c r="M27" s="16">
        <f t="shared" si="2"/>
        <v>6.6583333333333328E-2</v>
      </c>
      <c r="N27" s="16">
        <f t="shared" si="2"/>
        <v>6.6583333333333328E-2</v>
      </c>
      <c r="O27" s="16">
        <f t="shared" si="2"/>
        <v>6.6583333333333328E-2</v>
      </c>
      <c r="P27" s="16">
        <f t="shared" si="2"/>
        <v>6.6583333333333328E-2</v>
      </c>
      <c r="Q27" s="16">
        <f t="shared" si="2"/>
        <v>6.6583333333333328E-2</v>
      </c>
      <c r="R27" s="16">
        <f t="shared" si="2"/>
        <v>6.6583333333333328E-2</v>
      </c>
      <c r="S27" s="16">
        <f t="shared" si="2"/>
        <v>6.6583333333333328E-2</v>
      </c>
      <c r="T27" s="16">
        <f t="shared" si="2"/>
        <v>6.6583333333333328E-2</v>
      </c>
      <c r="U27" s="16">
        <f t="shared" si="2"/>
        <v>6.6583333333333328E-2</v>
      </c>
      <c r="V27" s="16">
        <f t="shared" si="2"/>
        <v>6.6583333333333328E-2</v>
      </c>
      <c r="W27" s="16">
        <f t="shared" si="2"/>
        <v>6.6583333333333328E-2</v>
      </c>
      <c r="X27" s="16">
        <f t="shared" si="2"/>
        <v>6.6583333333333328E-2</v>
      </c>
      <c r="Y27" s="16">
        <f t="shared" si="2"/>
        <v>6.6583333333333328E-2</v>
      </c>
      <c r="Z27" s="16">
        <f t="shared" si="2"/>
        <v>6.6583333333333328E-2</v>
      </c>
      <c r="AA27" s="16">
        <f t="shared" si="2"/>
        <v>6.6583333333333328E-2</v>
      </c>
      <c r="AB27" s="16">
        <f t="shared" si="2"/>
        <v>6.6583333333333328E-2</v>
      </c>
      <c r="AC27" s="16">
        <f t="shared" si="2"/>
        <v>6.6583333333333328E-2</v>
      </c>
      <c r="AD27" s="16">
        <f t="shared" si="2"/>
        <v>6.6583333333333328E-2</v>
      </c>
      <c r="AE27" s="16">
        <f t="shared" si="2"/>
        <v>6.6583333333333328E-2</v>
      </c>
    </row>
    <row r="28" spans="1:31" ht="17" x14ac:dyDescent="0.25">
      <c r="A28" s="16" t="s">
        <v>24</v>
      </c>
      <c r="B28" s="17">
        <f>$B$9</f>
        <v>9250</v>
      </c>
      <c r="C28" s="16">
        <f>B32</f>
        <v>5967.4689662917335</v>
      </c>
      <c r="D28" s="16">
        <f t="shared" ref="D28:AE28" si="3">C32</f>
        <v>2337.1615372482265</v>
      </c>
      <c r="E28" s="16">
        <f t="shared" si="3"/>
        <v>0</v>
      </c>
      <c r="F28" s="16">
        <f t="shared" si="3"/>
        <v>0</v>
      </c>
      <c r="G28" s="16">
        <f t="shared" si="3"/>
        <v>0</v>
      </c>
      <c r="H28" s="16">
        <f t="shared" si="3"/>
        <v>0</v>
      </c>
      <c r="I28" s="16">
        <f t="shared" si="3"/>
        <v>0</v>
      </c>
      <c r="J28" s="16">
        <f t="shared" si="3"/>
        <v>0</v>
      </c>
      <c r="K28" s="16">
        <f t="shared" si="3"/>
        <v>0</v>
      </c>
      <c r="L28" s="16">
        <f t="shared" si="3"/>
        <v>0</v>
      </c>
      <c r="M28" s="16">
        <f t="shared" si="3"/>
        <v>0</v>
      </c>
      <c r="N28" s="16">
        <f t="shared" si="3"/>
        <v>0</v>
      </c>
      <c r="O28" s="16">
        <f t="shared" si="3"/>
        <v>0</v>
      </c>
      <c r="P28" s="16">
        <f t="shared" si="3"/>
        <v>0</v>
      </c>
      <c r="Q28" s="16">
        <f t="shared" si="3"/>
        <v>0</v>
      </c>
      <c r="R28" s="16">
        <f t="shared" si="3"/>
        <v>0</v>
      </c>
      <c r="S28" s="16">
        <f t="shared" si="3"/>
        <v>0</v>
      </c>
      <c r="T28" s="16">
        <f t="shared" si="3"/>
        <v>0</v>
      </c>
      <c r="U28" s="16">
        <f t="shared" si="3"/>
        <v>0</v>
      </c>
      <c r="V28" s="16">
        <f t="shared" si="3"/>
        <v>0</v>
      </c>
      <c r="W28" s="16">
        <f t="shared" si="3"/>
        <v>0</v>
      </c>
      <c r="X28" s="16">
        <f t="shared" si="3"/>
        <v>0</v>
      </c>
      <c r="Y28" s="16">
        <f t="shared" si="3"/>
        <v>0</v>
      </c>
      <c r="Z28" s="16">
        <f t="shared" si="3"/>
        <v>0</v>
      </c>
      <c r="AA28" s="16">
        <f t="shared" si="3"/>
        <v>0</v>
      </c>
      <c r="AB28" s="16">
        <f t="shared" si="3"/>
        <v>0</v>
      </c>
      <c r="AC28" s="16">
        <f t="shared" si="3"/>
        <v>0</v>
      </c>
      <c r="AD28" s="16">
        <f t="shared" si="3"/>
        <v>0</v>
      </c>
      <c r="AE28" s="16">
        <f t="shared" si="3"/>
        <v>0</v>
      </c>
    </row>
    <row r="29" spans="1:31" ht="17" x14ac:dyDescent="0.25">
      <c r="A29" s="16" t="s">
        <v>25</v>
      </c>
      <c r="B29" s="17">
        <f>B28*(1+B27)</f>
        <v>9865.8958333333339</v>
      </c>
      <c r="C29" s="16">
        <f>C28*(1+C27)</f>
        <v>6364.802941630659</v>
      </c>
      <c r="D29" s="16">
        <f t="shared" ref="D29:AE29" si="4">D28*(1+D27)</f>
        <v>2492.7775429366711</v>
      </c>
      <c r="E29" s="16">
        <f t="shared" si="4"/>
        <v>0</v>
      </c>
      <c r="F29" s="16">
        <f t="shared" si="4"/>
        <v>0</v>
      </c>
      <c r="G29" s="16">
        <f t="shared" si="4"/>
        <v>0</v>
      </c>
      <c r="H29" s="16">
        <f t="shared" si="4"/>
        <v>0</v>
      </c>
      <c r="I29" s="16">
        <f t="shared" si="4"/>
        <v>0</v>
      </c>
      <c r="J29" s="16">
        <f t="shared" si="4"/>
        <v>0</v>
      </c>
      <c r="K29" s="16">
        <f t="shared" si="4"/>
        <v>0</v>
      </c>
      <c r="L29" s="16">
        <f t="shared" si="4"/>
        <v>0</v>
      </c>
      <c r="M29" s="16">
        <f t="shared" si="4"/>
        <v>0</v>
      </c>
      <c r="N29" s="16">
        <f t="shared" si="4"/>
        <v>0</v>
      </c>
      <c r="O29" s="16">
        <f t="shared" si="4"/>
        <v>0</v>
      </c>
      <c r="P29" s="16">
        <f t="shared" si="4"/>
        <v>0</v>
      </c>
      <c r="Q29" s="16">
        <f t="shared" si="4"/>
        <v>0</v>
      </c>
      <c r="R29" s="16">
        <f t="shared" si="4"/>
        <v>0</v>
      </c>
      <c r="S29" s="16">
        <f t="shared" si="4"/>
        <v>0</v>
      </c>
      <c r="T29" s="16">
        <f t="shared" si="4"/>
        <v>0</v>
      </c>
      <c r="U29" s="16">
        <f t="shared" si="4"/>
        <v>0</v>
      </c>
      <c r="V29" s="16">
        <f t="shared" si="4"/>
        <v>0</v>
      </c>
      <c r="W29" s="16">
        <f t="shared" si="4"/>
        <v>0</v>
      </c>
      <c r="X29" s="16">
        <f t="shared" si="4"/>
        <v>0</v>
      </c>
      <c r="Y29" s="16">
        <f t="shared" si="4"/>
        <v>0</v>
      </c>
      <c r="Z29" s="16">
        <f t="shared" si="4"/>
        <v>0</v>
      </c>
      <c r="AA29" s="16">
        <f t="shared" si="4"/>
        <v>0</v>
      </c>
      <c r="AB29" s="16">
        <f t="shared" si="4"/>
        <v>0</v>
      </c>
      <c r="AC29" s="16">
        <f t="shared" si="4"/>
        <v>0</v>
      </c>
      <c r="AD29" s="16">
        <f t="shared" si="4"/>
        <v>0</v>
      </c>
      <c r="AE29" s="16">
        <f t="shared" si="4"/>
        <v>0</v>
      </c>
    </row>
    <row r="30" spans="1:31" ht="17" x14ac:dyDescent="0.25">
      <c r="A30" s="16" t="s">
        <v>26</v>
      </c>
      <c r="B30" s="17">
        <f>$B$11*MAX(0,B25-$B$12)</f>
        <v>3898.4268670416004</v>
      </c>
      <c r="C30" s="16">
        <f>$B$11*MAX(0,C25-$B$12)</f>
        <v>4027.6414043824325</v>
      </c>
      <c r="D30" s="16">
        <f t="shared" ref="D30:AE30" si="5">$B$11*MAX(0,D25-$B$12)</f>
        <v>4159.4402324700823</v>
      </c>
      <c r="E30" s="16">
        <f t="shared" si="5"/>
        <v>4293.8750371194828</v>
      </c>
      <c r="F30" s="16">
        <f t="shared" si="5"/>
        <v>4430.9985378618721</v>
      </c>
      <c r="G30" s="16">
        <f t="shared" si="5"/>
        <v>4570.8645086191109</v>
      </c>
      <c r="H30" s="16">
        <f t="shared" si="5"/>
        <v>4713.5277987914924</v>
      </c>
      <c r="I30" s="16">
        <f t="shared" si="5"/>
        <v>4859.0443547673212</v>
      </c>
      <c r="J30" s="16">
        <f t="shared" si="5"/>
        <v>5007.4712418626686</v>
      </c>
      <c r="K30" s="16">
        <f t="shared" si="5"/>
        <v>5158.8666666999225</v>
      </c>
      <c r="L30" s="16">
        <f t="shared" si="5"/>
        <v>5313.2900000339196</v>
      </c>
      <c r="M30" s="16">
        <f t="shared" si="5"/>
        <v>5470.8018000345965</v>
      </c>
      <c r="N30" s="16">
        <f t="shared" si="5"/>
        <v>5631.4638360352901</v>
      </c>
      <c r="O30" s="16">
        <f t="shared" si="5"/>
        <v>5795.3391127559962</v>
      </c>
      <c r="P30" s="16">
        <f t="shared" si="5"/>
        <v>5962.491895011116</v>
      </c>
      <c r="Q30" s="16">
        <f t="shared" si="5"/>
        <v>6132.987732911336</v>
      </c>
      <c r="R30" s="16">
        <f t="shared" si="5"/>
        <v>6306.8934875695641</v>
      </c>
      <c r="S30" s="16">
        <f t="shared" si="5"/>
        <v>6484.2773573209561</v>
      </c>
      <c r="T30" s="16">
        <f t="shared" si="5"/>
        <v>6665.2089044673749</v>
      </c>
      <c r="U30" s="16">
        <f t="shared" si="5"/>
        <v>6849.7590825567222</v>
      </c>
      <c r="V30" s="16">
        <f t="shared" si="5"/>
        <v>7038.0002642078571</v>
      </c>
      <c r="W30" s="16">
        <f t="shared" si="5"/>
        <v>7230.0062694920134</v>
      </c>
      <c r="X30" s="16">
        <f t="shared" si="5"/>
        <v>7425.8523948818547</v>
      </c>
      <c r="Y30" s="16">
        <f t="shared" si="5"/>
        <v>7625.61544277949</v>
      </c>
      <c r="Z30" s="16">
        <f t="shared" si="5"/>
        <v>7829.3737516350802</v>
      </c>
      <c r="AA30" s="16">
        <f t="shared" si="5"/>
        <v>8037.2072266677815</v>
      </c>
      <c r="AB30" s="16">
        <f t="shared" si="5"/>
        <v>8249.1973712011386</v>
      </c>
      <c r="AC30" s="16">
        <f t="shared" si="5"/>
        <v>8465.4273186251594</v>
      </c>
      <c r="AD30" s="16">
        <f t="shared" si="5"/>
        <v>8685.9818649976642</v>
      </c>
      <c r="AE30" s="16">
        <f t="shared" si="5"/>
        <v>8910.9475022976167</v>
      </c>
    </row>
    <row r="31" spans="1:31" ht="17" x14ac:dyDescent="0.25">
      <c r="A31" s="16" t="s">
        <v>27</v>
      </c>
      <c r="B31" s="17">
        <f>MIN(B30,B29)</f>
        <v>3898.4268670416004</v>
      </c>
      <c r="C31" s="16">
        <f>MIN(C30,C29)</f>
        <v>4027.6414043824325</v>
      </c>
      <c r="D31" s="16">
        <f>MIN(D30,D29)</f>
        <v>2492.7775429366711</v>
      </c>
      <c r="E31" s="16">
        <f t="shared" ref="E31:AE31" si="6">MIN(E30,E29)</f>
        <v>0</v>
      </c>
      <c r="F31" s="16">
        <f t="shared" si="6"/>
        <v>0</v>
      </c>
      <c r="G31" s="16">
        <f t="shared" si="6"/>
        <v>0</v>
      </c>
      <c r="H31" s="16">
        <f t="shared" si="6"/>
        <v>0</v>
      </c>
      <c r="I31" s="16">
        <f t="shared" si="6"/>
        <v>0</v>
      </c>
      <c r="J31" s="16">
        <f t="shared" si="6"/>
        <v>0</v>
      </c>
      <c r="K31" s="16">
        <f t="shared" si="6"/>
        <v>0</v>
      </c>
      <c r="L31" s="16">
        <f t="shared" si="6"/>
        <v>0</v>
      </c>
      <c r="M31" s="16">
        <f t="shared" si="6"/>
        <v>0</v>
      </c>
      <c r="N31" s="16">
        <f t="shared" si="6"/>
        <v>0</v>
      </c>
      <c r="O31" s="16">
        <f t="shared" si="6"/>
        <v>0</v>
      </c>
      <c r="P31" s="16">
        <f t="shared" si="6"/>
        <v>0</v>
      </c>
      <c r="Q31" s="16">
        <f t="shared" si="6"/>
        <v>0</v>
      </c>
      <c r="R31" s="16">
        <f t="shared" si="6"/>
        <v>0</v>
      </c>
      <c r="S31" s="16">
        <f t="shared" si="6"/>
        <v>0</v>
      </c>
      <c r="T31" s="16">
        <f t="shared" si="6"/>
        <v>0</v>
      </c>
      <c r="U31" s="16">
        <f t="shared" si="6"/>
        <v>0</v>
      </c>
      <c r="V31" s="16">
        <f t="shared" si="6"/>
        <v>0</v>
      </c>
      <c r="W31" s="16">
        <f t="shared" si="6"/>
        <v>0</v>
      </c>
      <c r="X31" s="16">
        <f t="shared" si="6"/>
        <v>0</v>
      </c>
      <c r="Y31" s="16">
        <f t="shared" si="6"/>
        <v>0</v>
      </c>
      <c r="Z31" s="16">
        <f t="shared" si="6"/>
        <v>0</v>
      </c>
      <c r="AA31" s="16">
        <f t="shared" si="6"/>
        <v>0</v>
      </c>
      <c r="AB31" s="16">
        <f t="shared" si="6"/>
        <v>0</v>
      </c>
      <c r="AC31" s="16">
        <f t="shared" si="6"/>
        <v>0</v>
      </c>
      <c r="AD31" s="16">
        <f t="shared" si="6"/>
        <v>0</v>
      </c>
      <c r="AE31" s="16">
        <f t="shared" si="6"/>
        <v>0</v>
      </c>
    </row>
    <row r="32" spans="1:31" ht="17" x14ac:dyDescent="0.25">
      <c r="A32" s="18" t="s">
        <v>28</v>
      </c>
      <c r="B32" s="19">
        <f>B29-B31</f>
        <v>5967.4689662917335</v>
      </c>
      <c r="C32" s="18">
        <f>C29-C31</f>
        <v>2337.1615372482265</v>
      </c>
      <c r="D32" s="18">
        <f t="shared" ref="D32:AE32" si="7">D29-D31</f>
        <v>0</v>
      </c>
      <c r="E32" s="18">
        <f t="shared" si="7"/>
        <v>0</v>
      </c>
      <c r="F32" s="18">
        <f t="shared" si="7"/>
        <v>0</v>
      </c>
      <c r="G32" s="18">
        <f t="shared" si="7"/>
        <v>0</v>
      </c>
      <c r="H32" s="18">
        <f t="shared" si="7"/>
        <v>0</v>
      </c>
      <c r="I32" s="18">
        <f t="shared" si="7"/>
        <v>0</v>
      </c>
      <c r="J32" s="18">
        <f t="shared" si="7"/>
        <v>0</v>
      </c>
      <c r="K32" s="18">
        <f t="shared" si="7"/>
        <v>0</v>
      </c>
      <c r="L32" s="18">
        <f t="shared" si="7"/>
        <v>0</v>
      </c>
      <c r="M32" s="18">
        <f t="shared" si="7"/>
        <v>0</v>
      </c>
      <c r="N32" s="18">
        <f t="shared" si="7"/>
        <v>0</v>
      </c>
      <c r="O32" s="18">
        <f t="shared" si="7"/>
        <v>0</v>
      </c>
      <c r="P32" s="18">
        <f t="shared" si="7"/>
        <v>0</v>
      </c>
      <c r="Q32" s="18">
        <f t="shared" si="7"/>
        <v>0</v>
      </c>
      <c r="R32" s="18">
        <f t="shared" si="7"/>
        <v>0</v>
      </c>
      <c r="S32" s="18">
        <f t="shared" si="7"/>
        <v>0</v>
      </c>
      <c r="T32" s="18">
        <f t="shared" si="7"/>
        <v>0</v>
      </c>
      <c r="U32" s="18">
        <f t="shared" si="7"/>
        <v>0</v>
      </c>
      <c r="V32" s="18">
        <f t="shared" si="7"/>
        <v>0</v>
      </c>
      <c r="W32" s="18">
        <f t="shared" si="7"/>
        <v>0</v>
      </c>
      <c r="X32" s="18">
        <f t="shared" si="7"/>
        <v>0</v>
      </c>
      <c r="Y32" s="18">
        <f t="shared" si="7"/>
        <v>0</v>
      </c>
      <c r="Z32" s="18">
        <f t="shared" si="7"/>
        <v>0</v>
      </c>
      <c r="AA32" s="18">
        <f t="shared" si="7"/>
        <v>0</v>
      </c>
      <c r="AB32" s="18">
        <f t="shared" si="7"/>
        <v>0</v>
      </c>
      <c r="AC32" s="18">
        <f t="shared" si="7"/>
        <v>0</v>
      </c>
      <c r="AD32" s="18">
        <f t="shared" si="7"/>
        <v>0</v>
      </c>
      <c r="AE32" s="18">
        <f t="shared" si="7"/>
        <v>0</v>
      </c>
    </row>
    <row r="33" spans="1:31" ht="17" x14ac:dyDescent="0.25">
      <c r="A33" s="16" t="s">
        <v>29</v>
      </c>
      <c r="B33" s="17">
        <f>1/(1+$B$20)</f>
        <v>0.970873786407767</v>
      </c>
      <c r="C33" s="16">
        <f t="shared" ref="C33:AE33" si="8">1/(1+$B$20)^C$24</f>
        <v>0.94259590913375435</v>
      </c>
      <c r="D33" s="16">
        <f t="shared" si="8"/>
        <v>0.91514165935315961</v>
      </c>
      <c r="E33" s="16">
        <f t="shared" si="8"/>
        <v>0.888487047915689</v>
      </c>
      <c r="F33" s="16">
        <f t="shared" si="8"/>
        <v>0.86260878438416411</v>
      </c>
      <c r="G33" s="16">
        <f t="shared" si="8"/>
        <v>0.83748425668365445</v>
      </c>
      <c r="H33" s="16">
        <f t="shared" si="8"/>
        <v>0.81309151134335378</v>
      </c>
      <c r="I33" s="16">
        <f t="shared" si="8"/>
        <v>0.78940923431393573</v>
      </c>
      <c r="J33" s="16">
        <f t="shared" si="8"/>
        <v>0.76641673234362695</v>
      </c>
      <c r="K33" s="16">
        <f t="shared" si="8"/>
        <v>0.74409391489672516</v>
      </c>
      <c r="L33" s="16">
        <f t="shared" si="8"/>
        <v>0.72242127659876232</v>
      </c>
      <c r="M33" s="16">
        <f t="shared" si="8"/>
        <v>0.70137988019297326</v>
      </c>
      <c r="N33" s="16">
        <f t="shared" si="8"/>
        <v>0.68095133999317792</v>
      </c>
      <c r="O33" s="16">
        <f t="shared" si="8"/>
        <v>0.66111780581861923</v>
      </c>
      <c r="P33" s="16">
        <f t="shared" si="8"/>
        <v>0.64186194739671765</v>
      </c>
      <c r="Q33" s="16">
        <f t="shared" si="8"/>
        <v>0.62316693922011435</v>
      </c>
      <c r="R33" s="16">
        <f t="shared" si="8"/>
        <v>0.60501644584477121</v>
      </c>
      <c r="S33" s="16">
        <f t="shared" si="8"/>
        <v>0.5873946076162827</v>
      </c>
      <c r="T33" s="16">
        <f t="shared" si="8"/>
        <v>0.57028602681192497</v>
      </c>
      <c r="U33" s="16">
        <f t="shared" si="8"/>
        <v>0.55367575418633497</v>
      </c>
      <c r="V33" s="16">
        <f t="shared" si="8"/>
        <v>0.5375492759090631</v>
      </c>
      <c r="W33" s="16">
        <f t="shared" si="8"/>
        <v>0.52189250088258554</v>
      </c>
      <c r="X33" s="16">
        <f t="shared" si="8"/>
        <v>0.50669174842969467</v>
      </c>
      <c r="Y33" s="16">
        <f t="shared" si="8"/>
        <v>0.49193373633950943</v>
      </c>
      <c r="Z33" s="16">
        <f t="shared" si="8"/>
        <v>0.47760556926165965</v>
      </c>
      <c r="AA33" s="16">
        <f t="shared" si="8"/>
        <v>0.46369472743850448</v>
      </c>
      <c r="AB33" s="16">
        <f t="shared" si="8"/>
        <v>0.45018905576553836</v>
      </c>
      <c r="AC33" s="16">
        <f t="shared" si="8"/>
        <v>0.4370767531704256</v>
      </c>
      <c r="AD33" s="16">
        <f t="shared" si="8"/>
        <v>0.42434636230138412</v>
      </c>
      <c r="AE33" s="16">
        <f t="shared" si="8"/>
        <v>0.41198675951590691</v>
      </c>
    </row>
    <row r="34" spans="1:31" ht="17" x14ac:dyDescent="0.25">
      <c r="A34" s="16" t="s">
        <v>30</v>
      </c>
      <c r="B34" s="17">
        <f>B31*B33</f>
        <v>3784.8804534384471</v>
      </c>
      <c r="C34" s="16">
        <f>C31*C33</f>
        <v>3796.43831122861</v>
      </c>
      <c r="D34" s="16">
        <f t="shared" ref="D34:AE34" si="9">D31*D33</f>
        <v>2281.2445770413574</v>
      </c>
      <c r="E34" s="16">
        <f t="shared" si="9"/>
        <v>0</v>
      </c>
      <c r="F34" s="16">
        <f t="shared" si="9"/>
        <v>0</v>
      </c>
      <c r="G34" s="16">
        <f t="shared" si="9"/>
        <v>0</v>
      </c>
      <c r="H34" s="16">
        <f t="shared" si="9"/>
        <v>0</v>
      </c>
      <c r="I34" s="16">
        <f t="shared" si="9"/>
        <v>0</v>
      </c>
      <c r="J34" s="16">
        <f t="shared" si="9"/>
        <v>0</v>
      </c>
      <c r="K34" s="16">
        <f t="shared" si="9"/>
        <v>0</v>
      </c>
      <c r="L34" s="16">
        <f t="shared" si="9"/>
        <v>0</v>
      </c>
      <c r="M34" s="16">
        <f t="shared" si="9"/>
        <v>0</v>
      </c>
      <c r="N34" s="16">
        <f t="shared" si="9"/>
        <v>0</v>
      </c>
      <c r="O34" s="16">
        <f t="shared" si="9"/>
        <v>0</v>
      </c>
      <c r="P34" s="16">
        <f t="shared" si="9"/>
        <v>0</v>
      </c>
      <c r="Q34" s="16">
        <f t="shared" si="9"/>
        <v>0</v>
      </c>
      <c r="R34" s="16">
        <f t="shared" si="9"/>
        <v>0</v>
      </c>
      <c r="S34" s="16">
        <f t="shared" si="9"/>
        <v>0</v>
      </c>
      <c r="T34" s="16">
        <f t="shared" si="9"/>
        <v>0</v>
      </c>
      <c r="U34" s="16">
        <f t="shared" si="9"/>
        <v>0</v>
      </c>
      <c r="V34" s="16">
        <f t="shared" si="9"/>
        <v>0</v>
      </c>
      <c r="W34" s="16">
        <f t="shared" si="9"/>
        <v>0</v>
      </c>
      <c r="X34" s="16">
        <f t="shared" si="9"/>
        <v>0</v>
      </c>
      <c r="Y34" s="16">
        <f t="shared" si="9"/>
        <v>0</v>
      </c>
      <c r="Z34" s="16">
        <f t="shared" si="9"/>
        <v>0</v>
      </c>
      <c r="AA34" s="16">
        <f t="shared" si="9"/>
        <v>0</v>
      </c>
      <c r="AB34" s="16">
        <f t="shared" si="9"/>
        <v>0</v>
      </c>
      <c r="AC34" s="16">
        <f t="shared" si="9"/>
        <v>0</v>
      </c>
      <c r="AD34" s="16">
        <f t="shared" si="9"/>
        <v>0</v>
      </c>
      <c r="AE34" s="16">
        <f t="shared" si="9"/>
        <v>0</v>
      </c>
    </row>
    <row r="35" spans="1:31" x14ac:dyDescent="0.2">
      <c r="A35" s="9"/>
      <c r="AE35" s="8"/>
    </row>
    <row r="36" spans="1:31" ht="17" x14ac:dyDescent="0.25">
      <c r="A36" s="9"/>
      <c r="B36" s="1"/>
      <c r="AE36" s="8"/>
    </row>
    <row r="37" spans="1:31" x14ac:dyDescent="0.2">
      <c r="A37" s="11" t="s">
        <v>33</v>
      </c>
      <c r="B37" s="21">
        <f>SUM(B34:AE34)</f>
        <v>9862.5633417084155</v>
      </c>
      <c r="AE37" s="8"/>
    </row>
    <row r="38" spans="1:31" x14ac:dyDescent="0.2">
      <c r="A38" s="9" t="s">
        <v>34</v>
      </c>
      <c r="B38">
        <f>LN($B$10)-LN(B37)</f>
        <v>0.81134618024692351</v>
      </c>
      <c r="AE38" s="8"/>
    </row>
    <row r="39" spans="1:31" x14ac:dyDescent="0.2">
      <c r="A39" s="9" t="s">
        <v>35</v>
      </c>
      <c r="B39">
        <f>$B$21/B38</f>
        <v>-0.71140915438134722</v>
      </c>
      <c r="AE39" s="8"/>
    </row>
    <row r="40" spans="1:31" ht="17" thickBot="1" x14ac:dyDescent="0.25">
      <c r="A40" s="12" t="s">
        <v>36</v>
      </c>
      <c r="B40" s="20">
        <f>AE32</f>
        <v>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/>
    </row>
    <row r="41" spans="1:31" ht="17" thickBot="1" x14ac:dyDescent="0.25"/>
    <row r="42" spans="1:31" x14ac:dyDescent="0.2">
      <c r="A42" s="3" t="s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</row>
    <row r="43" spans="1:31" x14ac:dyDescent="0.2">
      <c r="A43" s="6" t="s">
        <v>0</v>
      </c>
      <c r="B43" s="7" t="s">
        <v>1</v>
      </c>
      <c r="AE43" s="8"/>
    </row>
    <row r="44" spans="1:31" x14ac:dyDescent="0.2">
      <c r="A44" s="9" t="s">
        <v>2</v>
      </c>
      <c r="B44">
        <v>82969</v>
      </c>
      <c r="AE44" s="8"/>
    </row>
    <row r="45" spans="1:31" x14ac:dyDescent="0.2">
      <c r="A45" s="9" t="s">
        <v>3</v>
      </c>
      <c r="B45">
        <v>0.848248</v>
      </c>
      <c r="AE45" s="8"/>
    </row>
    <row r="46" spans="1:31" x14ac:dyDescent="0.2">
      <c r="A46" s="9" t="s">
        <v>4</v>
      </c>
      <c r="B46">
        <v>0.02</v>
      </c>
      <c r="AE46" s="8"/>
    </row>
    <row r="47" spans="1:31" x14ac:dyDescent="0.2">
      <c r="A47" s="9" t="s">
        <v>5</v>
      </c>
      <c r="B47">
        <v>1</v>
      </c>
      <c r="AE47" s="8"/>
    </row>
    <row r="48" spans="1:31" x14ac:dyDescent="0.2">
      <c r="A48" s="9" t="s">
        <v>6</v>
      </c>
      <c r="B48">
        <v>70378.288312000004</v>
      </c>
      <c r="AE48" s="8"/>
    </row>
    <row r="49" spans="1:31" x14ac:dyDescent="0.2">
      <c r="A49" s="9" t="s">
        <v>7</v>
      </c>
      <c r="B49">
        <v>71785.854078240009</v>
      </c>
      <c r="AE49" s="8"/>
    </row>
    <row r="50" spans="1:31" x14ac:dyDescent="0.2">
      <c r="A50" s="9" t="s">
        <v>8</v>
      </c>
      <c r="B50">
        <v>9250</v>
      </c>
      <c r="AE50" s="8"/>
    </row>
    <row r="51" spans="1:31" x14ac:dyDescent="0.2">
      <c r="A51" s="9" t="s">
        <v>9</v>
      </c>
      <c r="B51">
        <v>22200</v>
      </c>
      <c r="AE51" s="8"/>
    </row>
    <row r="52" spans="1:31" x14ac:dyDescent="0.2">
      <c r="A52" s="9" t="s">
        <v>10</v>
      </c>
      <c r="B52">
        <v>0.09</v>
      </c>
      <c r="AE52" s="8"/>
    </row>
    <row r="53" spans="1:31" x14ac:dyDescent="0.2">
      <c r="A53" s="9" t="s">
        <v>11</v>
      </c>
      <c r="B53">
        <v>28470</v>
      </c>
      <c r="AE53" s="8"/>
    </row>
    <row r="54" spans="1:31" x14ac:dyDescent="0.2">
      <c r="A54" s="9" t="s">
        <v>12</v>
      </c>
      <c r="B54">
        <v>51245</v>
      </c>
      <c r="H54" s="7"/>
      <c r="I54" s="7"/>
      <c r="AE54" s="8"/>
    </row>
    <row r="55" spans="1:31" x14ac:dyDescent="0.2">
      <c r="A55" s="9" t="s">
        <v>13</v>
      </c>
      <c r="B55">
        <v>4.2999999999999997E-2</v>
      </c>
      <c r="AE55" s="8"/>
    </row>
    <row r="56" spans="1:31" x14ac:dyDescent="0.2">
      <c r="A56" s="9" t="s">
        <v>14</v>
      </c>
      <c r="B56">
        <v>5</v>
      </c>
      <c r="AE56" s="8"/>
    </row>
    <row r="57" spans="1:31" x14ac:dyDescent="0.2">
      <c r="A57" s="9" t="s">
        <v>15</v>
      </c>
      <c r="B57">
        <v>3.2000000000000001E-2</v>
      </c>
      <c r="E57" s="10"/>
      <c r="AE57" s="8"/>
    </row>
    <row r="58" spans="1:31" x14ac:dyDescent="0.2">
      <c r="A58" s="9" t="s">
        <v>16</v>
      </c>
      <c r="B58">
        <v>7</v>
      </c>
      <c r="AE58" s="8"/>
    </row>
    <row r="59" spans="1:31" ht="17" x14ac:dyDescent="0.25">
      <c r="A59" s="9" t="s">
        <v>17</v>
      </c>
      <c r="B59" s="1">
        <v>3.6583333333333329E-2</v>
      </c>
      <c r="AE59" s="8"/>
    </row>
    <row r="60" spans="1:31" x14ac:dyDescent="0.2">
      <c r="A60" s="9" t="s">
        <v>18</v>
      </c>
      <c r="B60">
        <v>0.03</v>
      </c>
      <c r="AE60" s="8"/>
    </row>
    <row r="61" spans="1:31" x14ac:dyDescent="0.2">
      <c r="A61" s="9" t="s">
        <v>19</v>
      </c>
      <c r="B61">
        <v>0.14899999999999999</v>
      </c>
      <c r="AE61" s="8"/>
    </row>
    <row r="62" spans="1:31" x14ac:dyDescent="0.2">
      <c r="A62" s="9" t="s">
        <v>20</v>
      </c>
      <c r="B62" s="25">
        <v>-0.57719909999999996</v>
      </c>
      <c r="C62" s="25"/>
      <c r="AE62" s="8"/>
    </row>
    <row r="63" spans="1:31" x14ac:dyDescent="0.2">
      <c r="A63" s="9"/>
      <c r="AE63" s="8"/>
    </row>
    <row r="64" spans="1:31" x14ac:dyDescent="0.2">
      <c r="A64" s="43"/>
      <c r="B64" s="44"/>
      <c r="AE64" s="8"/>
    </row>
    <row r="65" spans="1:31" x14ac:dyDescent="0.2">
      <c r="A65" s="15" t="s">
        <v>31</v>
      </c>
      <c r="B65" s="15">
        <v>1</v>
      </c>
      <c r="C65" s="16">
        <v>2</v>
      </c>
      <c r="D65" s="16">
        <v>3</v>
      </c>
      <c r="E65" s="16">
        <v>4</v>
      </c>
      <c r="F65" s="16">
        <v>5</v>
      </c>
      <c r="G65" s="16">
        <v>6</v>
      </c>
      <c r="H65" s="16">
        <v>7</v>
      </c>
      <c r="I65" s="16">
        <v>8</v>
      </c>
      <c r="J65" s="16">
        <v>9</v>
      </c>
      <c r="K65" s="16">
        <v>10</v>
      </c>
      <c r="L65" s="16">
        <v>11</v>
      </c>
      <c r="M65" s="16">
        <v>12</v>
      </c>
      <c r="N65" s="16">
        <v>13</v>
      </c>
      <c r="O65" s="16">
        <v>14</v>
      </c>
      <c r="P65" s="16">
        <v>15</v>
      </c>
      <c r="Q65" s="16">
        <v>16</v>
      </c>
      <c r="R65" s="16">
        <v>17</v>
      </c>
      <c r="S65" s="16">
        <v>18</v>
      </c>
      <c r="T65" s="16">
        <v>19</v>
      </c>
      <c r="U65" s="16">
        <v>20</v>
      </c>
      <c r="V65" s="16">
        <v>21</v>
      </c>
      <c r="W65" s="16">
        <v>22</v>
      </c>
      <c r="X65" s="16">
        <v>23</v>
      </c>
      <c r="Y65" s="16">
        <v>24</v>
      </c>
      <c r="Z65" s="16">
        <v>25</v>
      </c>
      <c r="AA65" s="16">
        <v>26</v>
      </c>
      <c r="AB65" s="16">
        <v>27</v>
      </c>
      <c r="AC65" s="16">
        <v>28</v>
      </c>
      <c r="AD65" s="16">
        <v>29</v>
      </c>
      <c r="AE65" s="16">
        <v>30</v>
      </c>
    </row>
    <row r="66" spans="1:31" ht="17" x14ac:dyDescent="0.25">
      <c r="A66" s="16" t="s">
        <v>21</v>
      </c>
      <c r="B66" s="17">
        <f>$B$8</f>
        <v>71785.854078240009</v>
      </c>
      <c r="C66" s="16">
        <f t="shared" ref="C66:AE66" si="10">$B$8*(1+$B$5)^(C$24-1)</f>
        <v>73221.571159804807</v>
      </c>
      <c r="D66" s="16">
        <f t="shared" si="10"/>
        <v>74686.002583000911</v>
      </c>
      <c r="E66" s="16">
        <f t="shared" si="10"/>
        <v>76179.722634660924</v>
      </c>
      <c r="F66" s="16">
        <f t="shared" si="10"/>
        <v>77703.317087354138</v>
      </c>
      <c r="G66" s="16">
        <f t="shared" si="10"/>
        <v>79257.383429101232</v>
      </c>
      <c r="H66" s="16">
        <f t="shared" si="10"/>
        <v>80842.531097683255</v>
      </c>
      <c r="I66" s="16">
        <f t="shared" si="10"/>
        <v>82459.381719636905</v>
      </c>
      <c r="J66" s="16">
        <f t="shared" si="10"/>
        <v>84108.569354029649</v>
      </c>
      <c r="K66" s="16">
        <f t="shared" si="10"/>
        <v>85790.740741110247</v>
      </c>
      <c r="L66" s="16">
        <f t="shared" si="10"/>
        <v>87506.555555932442</v>
      </c>
      <c r="M66" s="16">
        <f t="shared" si="10"/>
        <v>89256.686667051079</v>
      </c>
      <c r="N66" s="16">
        <f t="shared" si="10"/>
        <v>91041.820400392113</v>
      </c>
      <c r="O66" s="16">
        <f t="shared" si="10"/>
        <v>92862.656808399959</v>
      </c>
      <c r="P66" s="16">
        <f t="shared" si="10"/>
        <v>94719.90994456796</v>
      </c>
      <c r="Q66" s="16">
        <f t="shared" si="10"/>
        <v>96614.30814345929</v>
      </c>
      <c r="R66" s="16">
        <f t="shared" si="10"/>
        <v>98546.594306328494</v>
      </c>
      <c r="S66" s="16">
        <f t="shared" si="10"/>
        <v>100517.52619245507</v>
      </c>
      <c r="T66" s="16">
        <f t="shared" si="10"/>
        <v>102527.87671630416</v>
      </c>
      <c r="U66" s="16">
        <f t="shared" si="10"/>
        <v>104578.43425063025</v>
      </c>
      <c r="V66" s="16">
        <f t="shared" si="10"/>
        <v>106670.00293564286</v>
      </c>
      <c r="W66" s="16">
        <f t="shared" si="10"/>
        <v>108803.40299435571</v>
      </c>
      <c r="X66" s="16">
        <f t="shared" si="10"/>
        <v>110979.47105424284</v>
      </c>
      <c r="Y66" s="16">
        <f t="shared" si="10"/>
        <v>113199.06047532767</v>
      </c>
      <c r="Z66" s="16">
        <f t="shared" si="10"/>
        <v>115463.04168483423</v>
      </c>
      <c r="AA66" s="16">
        <f t="shared" si="10"/>
        <v>117772.30251853091</v>
      </c>
      <c r="AB66" s="16">
        <f t="shared" si="10"/>
        <v>120127.74856890154</v>
      </c>
      <c r="AC66" s="16">
        <f t="shared" si="10"/>
        <v>122530.30354027955</v>
      </c>
      <c r="AD66" s="16">
        <f t="shared" si="10"/>
        <v>124980.90961108517</v>
      </c>
      <c r="AE66" s="16">
        <f t="shared" si="10"/>
        <v>127480.52780330685</v>
      </c>
    </row>
    <row r="67" spans="1:31" ht="17" x14ac:dyDescent="0.25">
      <c r="A67" s="16" t="s">
        <v>22</v>
      </c>
      <c r="B67" s="17">
        <f>IF(B66&lt;=$B$12,0,IF(B66&lt;$B$13,(B66-$B$12)/($B$13-$B$12),1))</f>
        <v>1</v>
      </c>
      <c r="C67" s="17">
        <f>IF(C66&lt;=$B$12,0,IF(C66&lt;$B$13,(C66-$B$12)/($B$13-$B$12),1))</f>
        <v>1</v>
      </c>
      <c r="D67" s="17">
        <f t="shared" ref="D67" si="11">IF(D66&lt;=$B$12,0,IF(D66&lt;$B$13,(D66-$B$12)/($B$13-$B$12),1))</f>
        <v>1</v>
      </c>
      <c r="E67" s="17">
        <f t="shared" ref="E67" si="12">IF(E66&lt;=$B$12,0,IF(E66&lt;$B$13,(E66-$B$12)/($B$13-$B$12),1))</f>
        <v>1</v>
      </c>
      <c r="F67" s="17">
        <f t="shared" ref="F67" si="13">IF(F66&lt;=$B$12,0,IF(F66&lt;$B$13,(F66-$B$12)/($B$13-$B$12),1))</f>
        <v>1</v>
      </c>
      <c r="G67" s="17">
        <f t="shared" ref="G67" si="14">IF(G66&lt;=$B$12,0,IF(G66&lt;$B$13,(G66-$B$12)/($B$13-$B$12),1))</f>
        <v>1</v>
      </c>
      <c r="H67" s="17">
        <f t="shared" ref="H67" si="15">IF(H66&lt;=$B$12,0,IF(H66&lt;$B$13,(H66-$B$12)/($B$13-$B$12),1))</f>
        <v>1</v>
      </c>
      <c r="I67" s="17">
        <f t="shared" ref="I67" si="16">IF(I66&lt;=$B$12,0,IF(I66&lt;$B$13,(I66-$B$12)/($B$13-$B$12),1))</f>
        <v>1</v>
      </c>
      <c r="J67" s="17">
        <f t="shared" ref="J67" si="17">IF(J66&lt;=$B$12,0,IF(J66&lt;$B$13,(J66-$B$12)/($B$13-$B$12),1))</f>
        <v>1</v>
      </c>
      <c r="K67" s="17">
        <f t="shared" ref="K67" si="18">IF(K66&lt;=$B$12,0,IF(K66&lt;$B$13,(K66-$B$12)/($B$13-$B$12),1))</f>
        <v>1</v>
      </c>
      <c r="L67" s="17">
        <f t="shared" ref="L67" si="19">IF(L66&lt;=$B$12,0,IF(L66&lt;$B$13,(L66-$B$12)/($B$13-$B$12),1))</f>
        <v>1</v>
      </c>
      <c r="M67" s="17">
        <f t="shared" ref="M67" si="20">IF(M66&lt;=$B$12,0,IF(M66&lt;$B$13,(M66-$B$12)/($B$13-$B$12),1))</f>
        <v>1</v>
      </c>
      <c r="N67" s="17">
        <f t="shared" ref="N67" si="21">IF(N66&lt;=$B$12,0,IF(N66&lt;$B$13,(N66-$B$12)/($B$13-$B$12),1))</f>
        <v>1</v>
      </c>
      <c r="O67" s="17">
        <f t="shared" ref="O67" si="22">IF(O66&lt;=$B$12,0,IF(O66&lt;$B$13,(O66-$B$12)/($B$13-$B$12),1))</f>
        <v>1</v>
      </c>
      <c r="P67" s="17">
        <f t="shared" ref="P67" si="23">IF(P66&lt;=$B$12,0,IF(P66&lt;$B$13,(P66-$B$12)/($B$13-$B$12),1))</f>
        <v>1</v>
      </c>
      <c r="Q67" s="17">
        <f t="shared" ref="Q67" si="24">IF(Q66&lt;=$B$12,0,IF(Q66&lt;$B$13,(Q66-$B$12)/($B$13-$B$12),1))</f>
        <v>1</v>
      </c>
      <c r="R67" s="17">
        <f t="shared" ref="R67" si="25">IF(R66&lt;=$B$12,0,IF(R66&lt;$B$13,(R66-$B$12)/($B$13-$B$12),1))</f>
        <v>1</v>
      </c>
      <c r="S67" s="17">
        <f t="shared" ref="S67" si="26">IF(S66&lt;=$B$12,0,IF(S66&lt;$B$13,(S66-$B$12)/($B$13-$B$12),1))</f>
        <v>1</v>
      </c>
      <c r="T67" s="17">
        <f t="shared" ref="T67" si="27">IF(T66&lt;=$B$12,0,IF(T66&lt;$B$13,(T66-$B$12)/($B$13-$B$12),1))</f>
        <v>1</v>
      </c>
      <c r="U67" s="17">
        <f t="shared" ref="U67" si="28">IF(U66&lt;=$B$12,0,IF(U66&lt;$B$13,(U66-$B$12)/($B$13-$B$12),1))</f>
        <v>1</v>
      </c>
      <c r="V67" s="17">
        <f t="shared" ref="V67" si="29">IF(V66&lt;=$B$12,0,IF(V66&lt;$B$13,(V66-$B$12)/($B$13-$B$12),1))</f>
        <v>1</v>
      </c>
      <c r="W67" s="17">
        <f t="shared" ref="W67" si="30">IF(W66&lt;=$B$12,0,IF(W66&lt;$B$13,(W66-$B$12)/($B$13-$B$12),1))</f>
        <v>1</v>
      </c>
      <c r="X67" s="17">
        <f t="shared" ref="X67" si="31">IF(X66&lt;=$B$12,0,IF(X66&lt;$B$13,(X66-$B$12)/($B$13-$B$12),1))</f>
        <v>1</v>
      </c>
      <c r="Y67" s="17">
        <f t="shared" ref="Y67" si="32">IF(Y66&lt;=$B$12,0,IF(Y66&lt;$B$13,(Y66-$B$12)/($B$13-$B$12),1))</f>
        <v>1</v>
      </c>
      <c r="Z67" s="17">
        <f t="shared" ref="Z67" si="33">IF(Z66&lt;=$B$12,0,IF(Z66&lt;$B$13,(Z66-$B$12)/($B$13-$B$12),1))</f>
        <v>1</v>
      </c>
      <c r="AA67" s="17">
        <f t="shared" ref="AA67" si="34">IF(AA66&lt;=$B$12,0,IF(AA66&lt;$B$13,(AA66-$B$12)/($B$13-$B$12),1))</f>
        <v>1</v>
      </c>
      <c r="AB67" s="17">
        <f t="shared" ref="AB67" si="35">IF(AB66&lt;=$B$12,0,IF(AB66&lt;$B$13,(AB66-$B$12)/($B$13-$B$12),1))</f>
        <v>1</v>
      </c>
      <c r="AC67" s="17">
        <f t="shared" ref="AC67" si="36">IF(AC66&lt;=$B$12,0,IF(AC66&lt;$B$13,(AC66-$B$12)/($B$13-$B$12),1))</f>
        <v>1</v>
      </c>
      <c r="AD67" s="17">
        <f t="shared" ref="AD67" si="37">IF(AD66&lt;=$B$12,0,IF(AD66&lt;$B$13,(AD66-$B$12)/($B$13-$B$12),1))</f>
        <v>1</v>
      </c>
      <c r="AE67" s="17">
        <f t="shared" ref="AE67" si="38">IF(AE66&lt;=$B$12,0,IF(AE66&lt;$B$13,(AE66-$B$12)/($B$13-$B$12),1))</f>
        <v>1</v>
      </c>
    </row>
    <row r="68" spans="1:31" ht="17" x14ac:dyDescent="0.25">
      <c r="A68" s="16" t="s">
        <v>23</v>
      </c>
      <c r="B68" s="17">
        <f>$B$18+$B$19*B67</f>
        <v>6.6583333333333328E-2</v>
      </c>
      <c r="C68" s="16">
        <f>$B$18+$B$19*C67</f>
        <v>6.6583333333333328E-2</v>
      </c>
      <c r="D68" s="16">
        <f t="shared" ref="D68:AE68" si="39">$B$18+$B$19*D67</f>
        <v>6.6583333333333328E-2</v>
      </c>
      <c r="E68" s="16">
        <f t="shared" si="39"/>
        <v>6.6583333333333328E-2</v>
      </c>
      <c r="F68" s="16">
        <f t="shared" si="39"/>
        <v>6.6583333333333328E-2</v>
      </c>
      <c r="G68" s="16">
        <f t="shared" si="39"/>
        <v>6.6583333333333328E-2</v>
      </c>
      <c r="H68" s="16">
        <f t="shared" si="39"/>
        <v>6.6583333333333328E-2</v>
      </c>
      <c r="I68" s="16">
        <f t="shared" si="39"/>
        <v>6.6583333333333328E-2</v>
      </c>
      <c r="J68" s="16">
        <f t="shared" si="39"/>
        <v>6.6583333333333328E-2</v>
      </c>
      <c r="K68" s="16">
        <f t="shared" si="39"/>
        <v>6.6583333333333328E-2</v>
      </c>
      <c r="L68" s="16">
        <f t="shared" si="39"/>
        <v>6.6583333333333328E-2</v>
      </c>
      <c r="M68" s="16">
        <f t="shared" si="39"/>
        <v>6.6583333333333328E-2</v>
      </c>
      <c r="N68" s="16">
        <f t="shared" si="39"/>
        <v>6.6583333333333328E-2</v>
      </c>
      <c r="O68" s="16">
        <f t="shared" si="39"/>
        <v>6.6583333333333328E-2</v>
      </c>
      <c r="P68" s="16">
        <f t="shared" si="39"/>
        <v>6.6583333333333328E-2</v>
      </c>
      <c r="Q68" s="16">
        <f t="shared" si="39"/>
        <v>6.6583333333333328E-2</v>
      </c>
      <c r="R68" s="16">
        <f t="shared" si="39"/>
        <v>6.6583333333333328E-2</v>
      </c>
      <c r="S68" s="16">
        <f t="shared" si="39"/>
        <v>6.6583333333333328E-2</v>
      </c>
      <c r="T68" s="16">
        <f t="shared" si="39"/>
        <v>6.6583333333333328E-2</v>
      </c>
      <c r="U68" s="16">
        <f t="shared" si="39"/>
        <v>6.6583333333333328E-2</v>
      </c>
      <c r="V68" s="16">
        <f t="shared" si="39"/>
        <v>6.6583333333333328E-2</v>
      </c>
      <c r="W68" s="16">
        <f t="shared" si="39"/>
        <v>6.6583333333333328E-2</v>
      </c>
      <c r="X68" s="16">
        <f t="shared" si="39"/>
        <v>6.6583333333333328E-2</v>
      </c>
      <c r="Y68" s="16">
        <f t="shared" si="39"/>
        <v>6.6583333333333328E-2</v>
      </c>
      <c r="Z68" s="16">
        <f t="shared" si="39"/>
        <v>6.6583333333333328E-2</v>
      </c>
      <c r="AA68" s="16">
        <f t="shared" si="39"/>
        <v>6.6583333333333328E-2</v>
      </c>
      <c r="AB68" s="16">
        <f t="shared" si="39"/>
        <v>6.6583333333333328E-2</v>
      </c>
      <c r="AC68" s="16">
        <f t="shared" si="39"/>
        <v>6.6583333333333328E-2</v>
      </c>
      <c r="AD68" s="16">
        <f t="shared" si="39"/>
        <v>6.6583333333333328E-2</v>
      </c>
      <c r="AE68" s="16">
        <f t="shared" si="39"/>
        <v>6.6583333333333328E-2</v>
      </c>
    </row>
    <row r="69" spans="1:31" ht="17" x14ac:dyDescent="0.25">
      <c r="A69" s="16" t="s">
        <v>24</v>
      </c>
      <c r="B69" s="17">
        <f>$B$9</f>
        <v>9250</v>
      </c>
      <c r="C69" s="16">
        <f>B73</f>
        <v>5967.4689662917335</v>
      </c>
      <c r="D69" s="16">
        <f t="shared" ref="D69" si="40">C73</f>
        <v>2337.1615372482265</v>
      </c>
      <c r="E69" s="16">
        <f t="shared" ref="E69" si="41">D73</f>
        <v>0</v>
      </c>
      <c r="F69" s="16">
        <f t="shared" ref="F69" si="42">E73</f>
        <v>0</v>
      </c>
      <c r="G69" s="16">
        <f t="shared" ref="G69" si="43">F73</f>
        <v>0</v>
      </c>
      <c r="H69" s="16">
        <f t="shared" ref="H69" si="44">G73</f>
        <v>0</v>
      </c>
      <c r="I69" s="16">
        <f t="shared" ref="I69" si="45">H73</f>
        <v>0</v>
      </c>
      <c r="J69" s="16">
        <f t="shared" ref="J69" si="46">I73</f>
        <v>0</v>
      </c>
      <c r="K69" s="16">
        <f t="shared" ref="K69" si="47">J73</f>
        <v>0</v>
      </c>
      <c r="L69" s="16">
        <f t="shared" ref="L69" si="48">K73</f>
        <v>0</v>
      </c>
      <c r="M69" s="16">
        <f t="shared" ref="M69" si="49">L73</f>
        <v>0</v>
      </c>
      <c r="N69" s="16">
        <f t="shared" ref="N69" si="50">M73</f>
        <v>0</v>
      </c>
      <c r="O69" s="16">
        <f t="shared" ref="O69" si="51">N73</f>
        <v>0</v>
      </c>
      <c r="P69" s="16">
        <f t="shared" ref="P69" si="52">O73</f>
        <v>0</v>
      </c>
      <c r="Q69" s="16">
        <f t="shared" ref="Q69" si="53">P73</f>
        <v>0</v>
      </c>
      <c r="R69" s="16">
        <f t="shared" ref="R69" si="54">Q73</f>
        <v>0</v>
      </c>
      <c r="S69" s="16">
        <f t="shared" ref="S69" si="55">R73</f>
        <v>0</v>
      </c>
      <c r="T69" s="16">
        <f t="shared" ref="T69" si="56">S73</f>
        <v>0</v>
      </c>
      <c r="U69" s="16">
        <f t="shared" ref="U69" si="57">T73</f>
        <v>0</v>
      </c>
      <c r="V69" s="16">
        <f t="shared" ref="V69" si="58">U73</f>
        <v>0</v>
      </c>
      <c r="W69" s="16">
        <f t="shared" ref="W69" si="59">V73</f>
        <v>0</v>
      </c>
      <c r="X69" s="16">
        <f t="shared" ref="X69" si="60">W73</f>
        <v>0</v>
      </c>
      <c r="Y69" s="16">
        <f t="shared" ref="Y69" si="61">X73</f>
        <v>0</v>
      </c>
      <c r="Z69" s="16">
        <f t="shared" ref="Z69" si="62">Y73</f>
        <v>0</v>
      </c>
      <c r="AA69" s="16">
        <f t="shared" ref="AA69" si="63">Z73</f>
        <v>0</v>
      </c>
      <c r="AB69" s="16">
        <f t="shared" ref="AB69" si="64">AA73</f>
        <v>0</v>
      </c>
      <c r="AC69" s="16">
        <f t="shared" ref="AC69" si="65">AB73</f>
        <v>0</v>
      </c>
      <c r="AD69" s="16">
        <f t="shared" ref="AD69" si="66">AC73</f>
        <v>0</v>
      </c>
      <c r="AE69" s="16">
        <f t="shared" ref="AE69" si="67">AD73</f>
        <v>0</v>
      </c>
    </row>
    <row r="70" spans="1:31" ht="17" x14ac:dyDescent="0.25">
      <c r="A70" s="16" t="s">
        <v>25</v>
      </c>
      <c r="B70" s="17">
        <f>B69*(1+B68)</f>
        <v>9865.8958333333339</v>
      </c>
      <c r="C70" s="16">
        <f>C69*(1+C68)</f>
        <v>6364.802941630659</v>
      </c>
      <c r="D70" s="16">
        <f t="shared" ref="D70:AE70" si="68">D69*(1+D68)</f>
        <v>2492.7775429366711</v>
      </c>
      <c r="E70" s="16">
        <f t="shared" si="68"/>
        <v>0</v>
      </c>
      <c r="F70" s="16">
        <f t="shared" si="68"/>
        <v>0</v>
      </c>
      <c r="G70" s="16">
        <f t="shared" si="68"/>
        <v>0</v>
      </c>
      <c r="H70" s="16">
        <f t="shared" si="68"/>
        <v>0</v>
      </c>
      <c r="I70" s="16">
        <f t="shared" si="68"/>
        <v>0</v>
      </c>
      <c r="J70" s="16">
        <f t="shared" si="68"/>
        <v>0</v>
      </c>
      <c r="K70" s="16">
        <f t="shared" si="68"/>
        <v>0</v>
      </c>
      <c r="L70" s="16">
        <f t="shared" si="68"/>
        <v>0</v>
      </c>
      <c r="M70" s="16">
        <f t="shared" si="68"/>
        <v>0</v>
      </c>
      <c r="N70" s="16">
        <f t="shared" si="68"/>
        <v>0</v>
      </c>
      <c r="O70" s="16">
        <f t="shared" si="68"/>
        <v>0</v>
      </c>
      <c r="P70" s="16">
        <f t="shared" si="68"/>
        <v>0</v>
      </c>
      <c r="Q70" s="16">
        <f t="shared" si="68"/>
        <v>0</v>
      </c>
      <c r="R70" s="16">
        <f t="shared" si="68"/>
        <v>0</v>
      </c>
      <c r="S70" s="16">
        <f t="shared" si="68"/>
        <v>0</v>
      </c>
      <c r="T70" s="16">
        <f t="shared" si="68"/>
        <v>0</v>
      </c>
      <c r="U70" s="16">
        <f t="shared" si="68"/>
        <v>0</v>
      </c>
      <c r="V70" s="16">
        <f t="shared" si="68"/>
        <v>0</v>
      </c>
      <c r="W70" s="16">
        <f t="shared" si="68"/>
        <v>0</v>
      </c>
      <c r="X70" s="16">
        <f t="shared" si="68"/>
        <v>0</v>
      </c>
      <c r="Y70" s="16">
        <f t="shared" si="68"/>
        <v>0</v>
      </c>
      <c r="Z70" s="16">
        <f t="shared" si="68"/>
        <v>0</v>
      </c>
      <c r="AA70" s="16">
        <f t="shared" si="68"/>
        <v>0</v>
      </c>
      <c r="AB70" s="16">
        <f t="shared" si="68"/>
        <v>0</v>
      </c>
      <c r="AC70" s="16">
        <f t="shared" si="68"/>
        <v>0</v>
      </c>
      <c r="AD70" s="16">
        <f t="shared" si="68"/>
        <v>0</v>
      </c>
      <c r="AE70" s="16">
        <f t="shared" si="68"/>
        <v>0</v>
      </c>
    </row>
    <row r="71" spans="1:31" ht="17" x14ac:dyDescent="0.25">
      <c r="A71" s="16" t="s">
        <v>26</v>
      </c>
      <c r="B71" s="17">
        <f>$B$11*MAX(0,B66-$B$12)</f>
        <v>3898.4268670416004</v>
      </c>
      <c r="C71" s="16">
        <f>$B$11*MAX(0,C66-$B$12)</f>
        <v>4027.6414043824325</v>
      </c>
      <c r="D71" s="16">
        <f t="shared" ref="D71:AE71" si="69">$B$11*MAX(0,D66-$B$12)</f>
        <v>4159.4402324700823</v>
      </c>
      <c r="E71" s="16">
        <f t="shared" si="69"/>
        <v>4293.8750371194828</v>
      </c>
      <c r="F71" s="16">
        <f t="shared" si="69"/>
        <v>4430.9985378618721</v>
      </c>
      <c r="G71" s="16">
        <f t="shared" si="69"/>
        <v>4570.8645086191109</v>
      </c>
      <c r="H71" s="16">
        <f t="shared" si="69"/>
        <v>4713.5277987914924</v>
      </c>
      <c r="I71" s="16">
        <f t="shared" si="69"/>
        <v>4859.0443547673212</v>
      </c>
      <c r="J71" s="16">
        <f t="shared" si="69"/>
        <v>5007.4712418626686</v>
      </c>
      <c r="K71" s="16">
        <f t="shared" si="69"/>
        <v>5158.8666666999225</v>
      </c>
      <c r="L71" s="16">
        <f t="shared" si="69"/>
        <v>5313.2900000339196</v>
      </c>
      <c r="M71" s="16">
        <f t="shared" si="69"/>
        <v>5470.8018000345965</v>
      </c>
      <c r="N71" s="16">
        <f t="shared" si="69"/>
        <v>5631.4638360352901</v>
      </c>
      <c r="O71" s="16">
        <f t="shared" si="69"/>
        <v>5795.3391127559962</v>
      </c>
      <c r="P71" s="16">
        <f t="shared" si="69"/>
        <v>5962.491895011116</v>
      </c>
      <c r="Q71" s="16">
        <f t="shared" si="69"/>
        <v>6132.987732911336</v>
      </c>
      <c r="R71" s="16">
        <f t="shared" si="69"/>
        <v>6306.8934875695641</v>
      </c>
      <c r="S71" s="16">
        <f t="shared" si="69"/>
        <v>6484.2773573209561</v>
      </c>
      <c r="T71" s="16">
        <f t="shared" si="69"/>
        <v>6665.2089044673749</v>
      </c>
      <c r="U71" s="16">
        <f t="shared" si="69"/>
        <v>6849.7590825567222</v>
      </c>
      <c r="V71" s="16">
        <f t="shared" si="69"/>
        <v>7038.0002642078571</v>
      </c>
      <c r="W71" s="16">
        <f t="shared" si="69"/>
        <v>7230.0062694920134</v>
      </c>
      <c r="X71" s="16">
        <f t="shared" si="69"/>
        <v>7425.8523948818547</v>
      </c>
      <c r="Y71" s="16">
        <f t="shared" si="69"/>
        <v>7625.61544277949</v>
      </c>
      <c r="Z71" s="16">
        <f t="shared" si="69"/>
        <v>7829.3737516350802</v>
      </c>
      <c r="AA71" s="16">
        <f t="shared" si="69"/>
        <v>8037.2072266677815</v>
      </c>
      <c r="AB71" s="16">
        <f t="shared" si="69"/>
        <v>8249.1973712011386</v>
      </c>
      <c r="AC71" s="16">
        <f t="shared" si="69"/>
        <v>8465.4273186251594</v>
      </c>
      <c r="AD71" s="16">
        <f t="shared" si="69"/>
        <v>8685.9818649976642</v>
      </c>
      <c r="AE71" s="16">
        <f t="shared" si="69"/>
        <v>8910.9475022976167</v>
      </c>
    </row>
    <row r="72" spans="1:31" ht="17" x14ac:dyDescent="0.25">
      <c r="A72" s="16" t="s">
        <v>27</v>
      </c>
      <c r="B72" s="17">
        <f>MIN(B71,B70)</f>
        <v>3898.4268670416004</v>
      </c>
      <c r="C72" s="16">
        <f>MIN(C71,C70)</f>
        <v>4027.6414043824325</v>
      </c>
      <c r="D72" s="16">
        <f>MIN(D71,D70)</f>
        <v>2492.7775429366711</v>
      </c>
      <c r="E72" s="16">
        <f t="shared" ref="E72:AE72" si="70">MIN(E71,E70)</f>
        <v>0</v>
      </c>
      <c r="F72" s="16">
        <f t="shared" si="70"/>
        <v>0</v>
      </c>
      <c r="G72" s="16">
        <f t="shared" si="70"/>
        <v>0</v>
      </c>
      <c r="H72" s="16">
        <f t="shared" si="70"/>
        <v>0</v>
      </c>
      <c r="I72" s="16">
        <f t="shared" si="70"/>
        <v>0</v>
      </c>
      <c r="J72" s="16">
        <f t="shared" si="70"/>
        <v>0</v>
      </c>
      <c r="K72" s="16">
        <f t="shared" si="70"/>
        <v>0</v>
      </c>
      <c r="L72" s="16">
        <f t="shared" si="70"/>
        <v>0</v>
      </c>
      <c r="M72" s="16">
        <f t="shared" si="70"/>
        <v>0</v>
      </c>
      <c r="N72" s="16">
        <f t="shared" si="70"/>
        <v>0</v>
      </c>
      <c r="O72" s="16">
        <f t="shared" si="70"/>
        <v>0</v>
      </c>
      <c r="P72" s="16">
        <f t="shared" si="70"/>
        <v>0</v>
      </c>
      <c r="Q72" s="16">
        <f t="shared" si="70"/>
        <v>0</v>
      </c>
      <c r="R72" s="16">
        <f t="shared" si="70"/>
        <v>0</v>
      </c>
      <c r="S72" s="16">
        <f t="shared" si="70"/>
        <v>0</v>
      </c>
      <c r="T72" s="16">
        <f t="shared" si="70"/>
        <v>0</v>
      </c>
      <c r="U72" s="16">
        <f t="shared" si="70"/>
        <v>0</v>
      </c>
      <c r="V72" s="16">
        <f t="shared" si="70"/>
        <v>0</v>
      </c>
      <c r="W72" s="16">
        <f t="shared" si="70"/>
        <v>0</v>
      </c>
      <c r="X72" s="16">
        <f t="shared" si="70"/>
        <v>0</v>
      </c>
      <c r="Y72" s="16">
        <f t="shared" si="70"/>
        <v>0</v>
      </c>
      <c r="Z72" s="16">
        <f t="shared" si="70"/>
        <v>0</v>
      </c>
      <c r="AA72" s="16">
        <f t="shared" si="70"/>
        <v>0</v>
      </c>
      <c r="AB72" s="16">
        <f t="shared" si="70"/>
        <v>0</v>
      </c>
      <c r="AC72" s="16">
        <f t="shared" si="70"/>
        <v>0</v>
      </c>
      <c r="AD72" s="16">
        <f t="shared" si="70"/>
        <v>0</v>
      </c>
      <c r="AE72" s="16">
        <f t="shared" si="70"/>
        <v>0</v>
      </c>
    </row>
    <row r="73" spans="1:31" ht="17" x14ac:dyDescent="0.25">
      <c r="A73" s="18" t="s">
        <v>28</v>
      </c>
      <c r="B73" s="19">
        <f>B70-B72</f>
        <v>5967.4689662917335</v>
      </c>
      <c r="C73" s="18">
        <f>C70-C72</f>
        <v>2337.1615372482265</v>
      </c>
      <c r="D73" s="18">
        <f t="shared" ref="D73:AE73" si="71">D70-D72</f>
        <v>0</v>
      </c>
      <c r="E73" s="18">
        <f t="shared" si="71"/>
        <v>0</v>
      </c>
      <c r="F73" s="18">
        <f t="shared" si="71"/>
        <v>0</v>
      </c>
      <c r="G73" s="18">
        <f t="shared" si="71"/>
        <v>0</v>
      </c>
      <c r="H73" s="18">
        <f t="shared" si="71"/>
        <v>0</v>
      </c>
      <c r="I73" s="18">
        <f t="shared" si="71"/>
        <v>0</v>
      </c>
      <c r="J73" s="18">
        <f t="shared" si="71"/>
        <v>0</v>
      </c>
      <c r="K73" s="18">
        <f t="shared" si="71"/>
        <v>0</v>
      </c>
      <c r="L73" s="18">
        <f t="shared" si="71"/>
        <v>0</v>
      </c>
      <c r="M73" s="18">
        <f t="shared" si="71"/>
        <v>0</v>
      </c>
      <c r="N73" s="18">
        <f t="shared" si="71"/>
        <v>0</v>
      </c>
      <c r="O73" s="18">
        <f t="shared" si="71"/>
        <v>0</v>
      </c>
      <c r="P73" s="18">
        <f t="shared" si="71"/>
        <v>0</v>
      </c>
      <c r="Q73" s="18">
        <f t="shared" si="71"/>
        <v>0</v>
      </c>
      <c r="R73" s="18">
        <f t="shared" si="71"/>
        <v>0</v>
      </c>
      <c r="S73" s="18">
        <f t="shared" si="71"/>
        <v>0</v>
      </c>
      <c r="T73" s="18">
        <f t="shared" si="71"/>
        <v>0</v>
      </c>
      <c r="U73" s="18">
        <f t="shared" si="71"/>
        <v>0</v>
      </c>
      <c r="V73" s="18">
        <f t="shared" si="71"/>
        <v>0</v>
      </c>
      <c r="W73" s="18">
        <f t="shared" si="71"/>
        <v>0</v>
      </c>
      <c r="X73" s="18">
        <f t="shared" si="71"/>
        <v>0</v>
      </c>
      <c r="Y73" s="18">
        <f t="shared" si="71"/>
        <v>0</v>
      </c>
      <c r="Z73" s="18">
        <f t="shared" si="71"/>
        <v>0</v>
      </c>
      <c r="AA73" s="18">
        <f t="shared" si="71"/>
        <v>0</v>
      </c>
      <c r="AB73" s="18">
        <f t="shared" si="71"/>
        <v>0</v>
      </c>
      <c r="AC73" s="18">
        <f t="shared" si="71"/>
        <v>0</v>
      </c>
      <c r="AD73" s="18">
        <f t="shared" si="71"/>
        <v>0</v>
      </c>
      <c r="AE73" s="18">
        <f t="shared" si="71"/>
        <v>0</v>
      </c>
    </row>
    <row r="74" spans="1:31" ht="17" x14ac:dyDescent="0.25">
      <c r="A74" s="16" t="s">
        <v>29</v>
      </c>
      <c r="B74" s="17">
        <f>1/(1+$B$61)^B65</f>
        <v>0.8703220191470844</v>
      </c>
      <c r="C74" s="17">
        <f t="shared" ref="C74:AE74" si="72">1/(1+$B$61)^C65</f>
        <v>0.75746041701225797</v>
      </c>
      <c r="D74" s="17">
        <f t="shared" si="72"/>
        <v>0.65923447955810099</v>
      </c>
      <c r="E74" s="17">
        <f t="shared" si="72"/>
        <v>0.5737462833403838</v>
      </c>
      <c r="F74" s="17">
        <f t="shared" si="72"/>
        <v>0.49934402379493803</v>
      </c>
      <c r="G74" s="17">
        <f t="shared" si="72"/>
        <v>0.4345900990382402</v>
      </c>
      <c r="H74" s="17">
        <f t="shared" si="72"/>
        <v>0.37823333249629271</v>
      </c>
      <c r="I74" s="17">
        <f t="shared" si="72"/>
        <v>0.329184797646904</v>
      </c>
      <c r="J74" s="17">
        <f t="shared" si="72"/>
        <v>0.28649677776057786</v>
      </c>
      <c r="K74" s="17">
        <f t="shared" si="72"/>
        <v>0.24934445409971967</v>
      </c>
      <c r="L74" s="17">
        <f t="shared" si="72"/>
        <v>0.21700996875519551</v>
      </c>
      <c r="M74" s="17">
        <f t="shared" si="72"/>
        <v>0.18886855418206749</v>
      </c>
      <c r="N74" s="17">
        <f t="shared" si="72"/>
        <v>0.16437646142912749</v>
      </c>
      <c r="O74" s="17">
        <f t="shared" si="72"/>
        <v>0.14306045381125107</v>
      </c>
      <c r="P74" s="17">
        <f t="shared" si="72"/>
        <v>0.12450866302110625</v>
      </c>
      <c r="Q74" s="17">
        <f t="shared" si="72"/>
        <v>0.10836263100183312</v>
      </c>
      <c r="R74" s="17">
        <f t="shared" si="72"/>
        <v>9.4310383813605861E-2</v>
      </c>
      <c r="S74" s="17">
        <f t="shared" si="72"/>
        <v>8.2080403667193963E-2</v>
      </c>
      <c r="T74" s="17">
        <f t="shared" si="72"/>
        <v>7.1436382652039998E-2</v>
      </c>
      <c r="U74" s="17">
        <f t="shared" si="72"/>
        <v>6.217265679028721E-2</v>
      </c>
      <c r="V74" s="17">
        <f t="shared" si="72"/>
        <v>5.4110232193461449E-2</v>
      </c>
      <c r="W74" s="17">
        <f t="shared" si="72"/>
        <v>4.7093326539130939E-2</v>
      </c>
      <c r="X74" s="17">
        <f t="shared" si="72"/>
        <v>4.0986359041889422E-2</v>
      </c>
      <c r="Y74" s="17">
        <f t="shared" si="72"/>
        <v>3.567133075882456E-2</v>
      </c>
      <c r="Z74" s="17">
        <f t="shared" si="72"/>
        <v>3.1045544611683691E-2</v>
      </c>
      <c r="AA74" s="17">
        <f t="shared" si="72"/>
        <v>2.7019621071961437E-2</v>
      </c>
      <c r="AB74" s="17">
        <f t="shared" si="72"/>
        <v>2.3515771167938588E-2</v>
      </c>
      <c r="AC74" s="17">
        <f t="shared" si="72"/>
        <v>2.0466293444681104E-2</v>
      </c>
      <c r="AD74" s="17">
        <f t="shared" si="72"/>
        <v>1.7812265835231596E-2</v>
      </c>
      <c r="AE74" s="17">
        <f t="shared" si="72"/>
        <v>1.5502407167303389E-2</v>
      </c>
    </row>
    <row r="75" spans="1:31" ht="17" x14ac:dyDescent="0.25">
      <c r="A75" s="16" t="s">
        <v>30</v>
      </c>
      <c r="B75" s="17">
        <f>B72*B74</f>
        <v>3392.8867424208879</v>
      </c>
      <c r="C75" s="16">
        <f>C72*C74</f>
        <v>3050.7789377393538</v>
      </c>
      <c r="D75" s="16">
        <f t="shared" ref="D75:AE75" si="73">D72*D74</f>
        <v>1643.3249061719782</v>
      </c>
      <c r="E75" s="16">
        <f t="shared" si="73"/>
        <v>0</v>
      </c>
      <c r="F75" s="16">
        <f t="shared" si="73"/>
        <v>0</v>
      </c>
      <c r="G75" s="16">
        <f t="shared" si="73"/>
        <v>0</v>
      </c>
      <c r="H75" s="16">
        <f t="shared" si="73"/>
        <v>0</v>
      </c>
      <c r="I75" s="16">
        <f t="shared" si="73"/>
        <v>0</v>
      </c>
      <c r="J75" s="16">
        <f t="shared" si="73"/>
        <v>0</v>
      </c>
      <c r="K75" s="16">
        <f t="shared" si="73"/>
        <v>0</v>
      </c>
      <c r="L75" s="16">
        <f t="shared" si="73"/>
        <v>0</v>
      </c>
      <c r="M75" s="16">
        <f t="shared" si="73"/>
        <v>0</v>
      </c>
      <c r="N75" s="16">
        <f t="shared" si="73"/>
        <v>0</v>
      </c>
      <c r="O75" s="16">
        <f t="shared" si="73"/>
        <v>0</v>
      </c>
      <c r="P75" s="16">
        <f t="shared" si="73"/>
        <v>0</v>
      </c>
      <c r="Q75" s="16">
        <f t="shared" si="73"/>
        <v>0</v>
      </c>
      <c r="R75" s="16">
        <f t="shared" si="73"/>
        <v>0</v>
      </c>
      <c r="S75" s="16">
        <f t="shared" si="73"/>
        <v>0</v>
      </c>
      <c r="T75" s="16">
        <f t="shared" si="73"/>
        <v>0</v>
      </c>
      <c r="U75" s="16">
        <f t="shared" si="73"/>
        <v>0</v>
      </c>
      <c r="V75" s="16">
        <f t="shared" si="73"/>
        <v>0</v>
      </c>
      <c r="W75" s="16">
        <f t="shared" si="73"/>
        <v>0</v>
      </c>
      <c r="X75" s="16">
        <f t="shared" si="73"/>
        <v>0</v>
      </c>
      <c r="Y75" s="16">
        <f t="shared" si="73"/>
        <v>0</v>
      </c>
      <c r="Z75" s="16">
        <f t="shared" si="73"/>
        <v>0</v>
      </c>
      <c r="AA75" s="16">
        <f t="shared" si="73"/>
        <v>0</v>
      </c>
      <c r="AB75" s="16">
        <f t="shared" si="73"/>
        <v>0</v>
      </c>
      <c r="AC75" s="16">
        <f t="shared" si="73"/>
        <v>0</v>
      </c>
      <c r="AD75" s="16">
        <f t="shared" si="73"/>
        <v>0</v>
      </c>
      <c r="AE75" s="16">
        <f t="shared" si="73"/>
        <v>0</v>
      </c>
    </row>
    <row r="76" spans="1:31" x14ac:dyDescent="0.2">
      <c r="A76" s="9"/>
      <c r="AE76" s="8"/>
    </row>
    <row r="77" spans="1:31" ht="17" x14ac:dyDescent="0.25">
      <c r="A77" s="9"/>
      <c r="B77" s="1"/>
      <c r="AE77" s="8"/>
    </row>
    <row r="78" spans="1:31" x14ac:dyDescent="0.2">
      <c r="A78" s="11" t="s">
        <v>107</v>
      </c>
      <c r="B78" s="21">
        <f>SUM(B75:AE75)</f>
        <v>8086.9905863322201</v>
      </c>
      <c r="AE78" s="8"/>
    </row>
    <row r="79" spans="1:31" x14ac:dyDescent="0.2">
      <c r="A79" s="9" t="s">
        <v>34</v>
      </c>
      <c r="B79" s="10">
        <f>LN($B$10)-LN(B78)</f>
        <v>1.0098356188146607</v>
      </c>
      <c r="AE79" s="8"/>
    </row>
    <row r="80" spans="1:31" x14ac:dyDescent="0.2">
      <c r="A80" s="9" t="s">
        <v>35</v>
      </c>
      <c r="B80">
        <f>$B$21/B79</f>
        <v>-0.5715772837142673</v>
      </c>
      <c r="AE80" s="8"/>
    </row>
    <row r="81" spans="1:31" ht="17" thickBot="1" x14ac:dyDescent="0.25">
      <c r="A81" s="12" t="s">
        <v>36</v>
      </c>
      <c r="B81" s="20">
        <f>AE73</f>
        <v>0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4"/>
    </row>
    <row r="83" spans="1:31" ht="17" thickBot="1" x14ac:dyDescent="0.25"/>
    <row r="84" spans="1:31" x14ac:dyDescent="0.2">
      <c r="A84" s="3" t="s">
        <v>108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</row>
    <row r="85" spans="1:31" x14ac:dyDescent="0.2">
      <c r="A85" s="6" t="s">
        <v>0</v>
      </c>
      <c r="B85" s="7" t="s">
        <v>1</v>
      </c>
      <c r="AE85" s="8"/>
    </row>
    <row r="86" spans="1:31" x14ac:dyDescent="0.2">
      <c r="A86" s="9" t="s">
        <v>2</v>
      </c>
      <c r="B86">
        <v>82969</v>
      </c>
      <c r="AE86" s="8"/>
    </row>
    <row r="87" spans="1:31" x14ac:dyDescent="0.2">
      <c r="A87" s="9" t="s">
        <v>3</v>
      </c>
      <c r="B87">
        <v>0.848248</v>
      </c>
      <c r="AE87" s="8"/>
    </row>
    <row r="88" spans="1:31" x14ac:dyDescent="0.2">
      <c r="A88" s="9" t="s">
        <v>4</v>
      </c>
      <c r="B88">
        <v>0.02</v>
      </c>
      <c r="AE88" s="8"/>
    </row>
    <row r="89" spans="1:31" x14ac:dyDescent="0.2">
      <c r="A89" s="9" t="s">
        <v>5</v>
      </c>
      <c r="B89">
        <v>1</v>
      </c>
      <c r="AE89" s="8"/>
    </row>
    <row r="90" spans="1:31" x14ac:dyDescent="0.2">
      <c r="A90" s="9" t="s">
        <v>6</v>
      </c>
      <c r="B90">
        <v>70378.288312000004</v>
      </c>
      <c r="AE90" s="8"/>
    </row>
    <row r="91" spans="1:31" x14ac:dyDescent="0.2">
      <c r="A91" s="9" t="s">
        <v>7</v>
      </c>
      <c r="B91">
        <v>71785.854078240009</v>
      </c>
      <c r="AE91" s="8"/>
    </row>
    <row r="92" spans="1:31" x14ac:dyDescent="0.2">
      <c r="A92" s="9" t="s">
        <v>8</v>
      </c>
      <c r="B92">
        <v>9250</v>
      </c>
      <c r="AE92" s="8"/>
    </row>
    <row r="93" spans="1:31" x14ac:dyDescent="0.2">
      <c r="A93" s="9" t="s">
        <v>9</v>
      </c>
      <c r="B93">
        <v>22200</v>
      </c>
      <c r="AE93" s="8"/>
    </row>
    <row r="94" spans="1:31" x14ac:dyDescent="0.2">
      <c r="A94" s="9" t="s">
        <v>10</v>
      </c>
      <c r="B94">
        <v>0.09</v>
      </c>
      <c r="AE94" s="8"/>
    </row>
    <row r="95" spans="1:31" x14ac:dyDescent="0.2">
      <c r="A95" s="9" t="s">
        <v>11</v>
      </c>
      <c r="B95">
        <v>28470</v>
      </c>
      <c r="AE95" s="8"/>
    </row>
    <row r="96" spans="1:31" x14ac:dyDescent="0.2">
      <c r="A96" s="9" t="s">
        <v>12</v>
      </c>
      <c r="B96">
        <v>51245</v>
      </c>
      <c r="H96" s="7"/>
      <c r="I96" s="7"/>
      <c r="AE96" s="8"/>
    </row>
    <row r="97" spans="1:31" x14ac:dyDescent="0.2">
      <c r="A97" s="9" t="s">
        <v>13</v>
      </c>
      <c r="B97">
        <v>4.2999999999999997E-2</v>
      </c>
      <c r="AE97" s="8"/>
    </row>
    <row r="98" spans="1:31" x14ac:dyDescent="0.2">
      <c r="A98" s="9" t="s">
        <v>14</v>
      </c>
      <c r="B98">
        <v>5</v>
      </c>
      <c r="AE98" s="8"/>
    </row>
    <row r="99" spans="1:31" x14ac:dyDescent="0.2">
      <c r="A99" s="9" t="s">
        <v>15</v>
      </c>
      <c r="B99">
        <v>3.2000000000000001E-2</v>
      </c>
      <c r="E99" s="10"/>
      <c r="AE99" s="8"/>
    </row>
    <row r="100" spans="1:31" x14ac:dyDescent="0.2">
      <c r="A100" s="9" t="s">
        <v>16</v>
      </c>
      <c r="B100">
        <v>7</v>
      </c>
      <c r="AE100" s="8"/>
    </row>
    <row r="101" spans="1:31" ht="17" x14ac:dyDescent="0.25">
      <c r="A101" s="9" t="s">
        <v>17</v>
      </c>
      <c r="B101" s="1">
        <v>3.6583333333333329E-2</v>
      </c>
      <c r="AE101" s="8"/>
    </row>
    <row r="102" spans="1:31" x14ac:dyDescent="0.2">
      <c r="A102" s="9" t="s">
        <v>18</v>
      </c>
      <c r="B102">
        <v>0.03</v>
      </c>
      <c r="AE102" s="8"/>
    </row>
    <row r="103" spans="1:31" x14ac:dyDescent="0.2">
      <c r="A103" s="9" t="s">
        <v>19</v>
      </c>
      <c r="B103">
        <v>0.35</v>
      </c>
      <c r="AE103" s="8"/>
    </row>
    <row r="104" spans="1:31" x14ac:dyDescent="0.2">
      <c r="A104" s="9" t="s">
        <v>20</v>
      </c>
      <c r="B104" s="25">
        <v>-0.57719909999999996</v>
      </c>
      <c r="C104" s="25"/>
      <c r="AE104" s="8"/>
    </row>
    <row r="105" spans="1:31" x14ac:dyDescent="0.2">
      <c r="A105" s="9"/>
      <c r="AE105" s="8"/>
    </row>
    <row r="106" spans="1:31" x14ac:dyDescent="0.2">
      <c r="A106" s="43"/>
      <c r="B106" s="44"/>
      <c r="AE106" s="8"/>
    </row>
    <row r="107" spans="1:31" x14ac:dyDescent="0.2">
      <c r="A107" s="15" t="s">
        <v>31</v>
      </c>
      <c r="B107" s="15">
        <v>1</v>
      </c>
      <c r="C107" s="16">
        <v>2</v>
      </c>
      <c r="D107" s="16">
        <v>3</v>
      </c>
      <c r="E107" s="16">
        <v>4</v>
      </c>
      <c r="F107" s="16">
        <v>5</v>
      </c>
      <c r="G107" s="16">
        <v>6</v>
      </c>
      <c r="H107" s="16">
        <v>7</v>
      </c>
      <c r="I107" s="16">
        <v>8</v>
      </c>
      <c r="J107" s="16">
        <v>9</v>
      </c>
      <c r="K107" s="16">
        <v>10</v>
      </c>
      <c r="L107" s="16">
        <v>11</v>
      </c>
      <c r="M107" s="16">
        <v>12</v>
      </c>
      <c r="N107" s="16">
        <v>13</v>
      </c>
      <c r="O107" s="16">
        <v>14</v>
      </c>
      <c r="P107" s="16">
        <v>15</v>
      </c>
      <c r="Q107" s="16">
        <v>16</v>
      </c>
      <c r="R107" s="16">
        <v>17</v>
      </c>
      <c r="S107" s="16">
        <v>18</v>
      </c>
      <c r="T107" s="16">
        <v>19</v>
      </c>
      <c r="U107" s="16">
        <v>20</v>
      </c>
      <c r="V107" s="16">
        <v>21</v>
      </c>
      <c r="W107" s="16">
        <v>22</v>
      </c>
      <c r="X107" s="16">
        <v>23</v>
      </c>
      <c r="Y107" s="16">
        <v>24</v>
      </c>
      <c r="Z107" s="16">
        <v>25</v>
      </c>
      <c r="AA107" s="16">
        <v>26</v>
      </c>
      <c r="AB107" s="16">
        <v>27</v>
      </c>
      <c r="AC107" s="16">
        <v>28</v>
      </c>
      <c r="AD107" s="16">
        <v>29</v>
      </c>
      <c r="AE107" s="16">
        <v>30</v>
      </c>
    </row>
    <row r="108" spans="1:31" ht="17" x14ac:dyDescent="0.25">
      <c r="A108" s="16" t="s">
        <v>21</v>
      </c>
      <c r="B108" s="17">
        <f>$B$8</f>
        <v>71785.854078240009</v>
      </c>
      <c r="C108" s="16">
        <f t="shared" ref="C108:AE108" si="74">$B$8*(1+$B$5)^(C$24-1)</f>
        <v>73221.571159804807</v>
      </c>
      <c r="D108" s="16">
        <f t="shared" si="74"/>
        <v>74686.002583000911</v>
      </c>
      <c r="E108" s="16">
        <f t="shared" si="74"/>
        <v>76179.722634660924</v>
      </c>
      <c r="F108" s="16">
        <f t="shared" si="74"/>
        <v>77703.317087354138</v>
      </c>
      <c r="G108" s="16">
        <f t="shared" si="74"/>
        <v>79257.383429101232</v>
      </c>
      <c r="H108" s="16">
        <f t="shared" si="74"/>
        <v>80842.531097683255</v>
      </c>
      <c r="I108" s="16">
        <f t="shared" si="74"/>
        <v>82459.381719636905</v>
      </c>
      <c r="J108" s="16">
        <f t="shared" si="74"/>
        <v>84108.569354029649</v>
      </c>
      <c r="K108" s="16">
        <f t="shared" si="74"/>
        <v>85790.740741110247</v>
      </c>
      <c r="L108" s="16">
        <f t="shared" si="74"/>
        <v>87506.555555932442</v>
      </c>
      <c r="M108" s="16">
        <f t="shared" si="74"/>
        <v>89256.686667051079</v>
      </c>
      <c r="N108" s="16">
        <f t="shared" si="74"/>
        <v>91041.820400392113</v>
      </c>
      <c r="O108" s="16">
        <f t="shared" si="74"/>
        <v>92862.656808399959</v>
      </c>
      <c r="P108" s="16">
        <f t="shared" si="74"/>
        <v>94719.90994456796</v>
      </c>
      <c r="Q108" s="16">
        <f t="shared" si="74"/>
        <v>96614.30814345929</v>
      </c>
      <c r="R108" s="16">
        <f t="shared" si="74"/>
        <v>98546.594306328494</v>
      </c>
      <c r="S108" s="16">
        <f t="shared" si="74"/>
        <v>100517.52619245507</v>
      </c>
      <c r="T108" s="16">
        <f t="shared" si="74"/>
        <v>102527.87671630416</v>
      </c>
      <c r="U108" s="16">
        <f t="shared" si="74"/>
        <v>104578.43425063025</v>
      </c>
      <c r="V108" s="16">
        <f t="shared" si="74"/>
        <v>106670.00293564286</v>
      </c>
      <c r="W108" s="16">
        <f t="shared" si="74"/>
        <v>108803.40299435571</v>
      </c>
      <c r="X108" s="16">
        <f t="shared" si="74"/>
        <v>110979.47105424284</v>
      </c>
      <c r="Y108" s="16">
        <f t="shared" si="74"/>
        <v>113199.06047532767</v>
      </c>
      <c r="Z108" s="16">
        <f t="shared" si="74"/>
        <v>115463.04168483423</v>
      </c>
      <c r="AA108" s="16">
        <f t="shared" si="74"/>
        <v>117772.30251853091</v>
      </c>
      <c r="AB108" s="16">
        <f t="shared" si="74"/>
        <v>120127.74856890154</v>
      </c>
      <c r="AC108" s="16">
        <f t="shared" si="74"/>
        <v>122530.30354027955</v>
      </c>
      <c r="AD108" s="16">
        <f t="shared" si="74"/>
        <v>124980.90961108517</v>
      </c>
      <c r="AE108" s="16">
        <f t="shared" si="74"/>
        <v>127480.52780330685</v>
      </c>
    </row>
    <row r="109" spans="1:31" ht="17" x14ac:dyDescent="0.25">
      <c r="A109" s="16" t="s">
        <v>22</v>
      </c>
      <c r="B109" s="17">
        <f>IF(B108&lt;=$B$12,0,IF(B108&lt;$B$13,(B108-$B$12)/($B$13-$B$12),1))</f>
        <v>1</v>
      </c>
      <c r="C109" s="17">
        <f>IF(C108&lt;=$B$12,0,IF(C108&lt;$B$13,(C108-$B$12)/($B$13-$B$12),1))</f>
        <v>1</v>
      </c>
      <c r="D109" s="17">
        <f t="shared" ref="D109" si="75">IF(D108&lt;=$B$12,0,IF(D108&lt;$B$13,(D108-$B$12)/($B$13-$B$12),1))</f>
        <v>1</v>
      </c>
      <c r="E109" s="17">
        <f t="shared" ref="E109" si="76">IF(E108&lt;=$B$12,0,IF(E108&lt;$B$13,(E108-$B$12)/($B$13-$B$12),1))</f>
        <v>1</v>
      </c>
      <c r="F109" s="17">
        <f t="shared" ref="F109" si="77">IF(F108&lt;=$B$12,0,IF(F108&lt;$B$13,(F108-$B$12)/($B$13-$B$12),1))</f>
        <v>1</v>
      </c>
      <c r="G109" s="17">
        <f t="shared" ref="G109" si="78">IF(G108&lt;=$B$12,0,IF(G108&lt;$B$13,(G108-$B$12)/($B$13-$B$12),1))</f>
        <v>1</v>
      </c>
      <c r="H109" s="17">
        <f t="shared" ref="H109" si="79">IF(H108&lt;=$B$12,0,IF(H108&lt;$B$13,(H108-$B$12)/($B$13-$B$12),1))</f>
        <v>1</v>
      </c>
      <c r="I109" s="17">
        <f t="shared" ref="I109" si="80">IF(I108&lt;=$B$12,0,IF(I108&lt;$B$13,(I108-$B$12)/($B$13-$B$12),1))</f>
        <v>1</v>
      </c>
      <c r="J109" s="17">
        <f t="shared" ref="J109" si="81">IF(J108&lt;=$B$12,0,IF(J108&lt;$B$13,(J108-$B$12)/($B$13-$B$12),1))</f>
        <v>1</v>
      </c>
      <c r="K109" s="17">
        <f t="shared" ref="K109" si="82">IF(K108&lt;=$B$12,0,IF(K108&lt;$B$13,(K108-$B$12)/($B$13-$B$12),1))</f>
        <v>1</v>
      </c>
      <c r="L109" s="17">
        <f t="shared" ref="L109" si="83">IF(L108&lt;=$B$12,0,IF(L108&lt;$B$13,(L108-$B$12)/($B$13-$B$12),1))</f>
        <v>1</v>
      </c>
      <c r="M109" s="17">
        <f t="shared" ref="M109" si="84">IF(M108&lt;=$B$12,0,IF(M108&lt;$B$13,(M108-$B$12)/($B$13-$B$12),1))</f>
        <v>1</v>
      </c>
      <c r="N109" s="17">
        <f t="shared" ref="N109" si="85">IF(N108&lt;=$B$12,0,IF(N108&lt;$B$13,(N108-$B$12)/($B$13-$B$12),1))</f>
        <v>1</v>
      </c>
      <c r="O109" s="17">
        <f t="shared" ref="O109" si="86">IF(O108&lt;=$B$12,0,IF(O108&lt;$B$13,(O108-$B$12)/($B$13-$B$12),1))</f>
        <v>1</v>
      </c>
      <c r="P109" s="17">
        <f t="shared" ref="P109" si="87">IF(P108&lt;=$B$12,0,IF(P108&lt;$B$13,(P108-$B$12)/($B$13-$B$12),1))</f>
        <v>1</v>
      </c>
      <c r="Q109" s="17">
        <f t="shared" ref="Q109" si="88">IF(Q108&lt;=$B$12,0,IF(Q108&lt;$B$13,(Q108-$B$12)/($B$13-$B$12),1))</f>
        <v>1</v>
      </c>
      <c r="R109" s="17">
        <f t="shared" ref="R109" si="89">IF(R108&lt;=$B$12,0,IF(R108&lt;$B$13,(R108-$B$12)/($B$13-$B$12),1))</f>
        <v>1</v>
      </c>
      <c r="S109" s="17">
        <f t="shared" ref="S109" si="90">IF(S108&lt;=$B$12,0,IF(S108&lt;$B$13,(S108-$B$12)/($B$13-$B$12),1))</f>
        <v>1</v>
      </c>
      <c r="T109" s="17">
        <f t="shared" ref="T109" si="91">IF(T108&lt;=$B$12,0,IF(T108&lt;$B$13,(T108-$B$12)/($B$13-$B$12),1))</f>
        <v>1</v>
      </c>
      <c r="U109" s="17">
        <f t="shared" ref="U109" si="92">IF(U108&lt;=$B$12,0,IF(U108&lt;$B$13,(U108-$B$12)/($B$13-$B$12),1))</f>
        <v>1</v>
      </c>
      <c r="V109" s="17">
        <f t="shared" ref="V109" si="93">IF(V108&lt;=$B$12,0,IF(V108&lt;$B$13,(V108-$B$12)/($B$13-$B$12),1))</f>
        <v>1</v>
      </c>
      <c r="W109" s="17">
        <f t="shared" ref="W109" si="94">IF(W108&lt;=$B$12,0,IF(W108&lt;$B$13,(W108-$B$12)/($B$13-$B$12),1))</f>
        <v>1</v>
      </c>
      <c r="X109" s="17">
        <f t="shared" ref="X109" si="95">IF(X108&lt;=$B$12,0,IF(X108&lt;$B$13,(X108-$B$12)/($B$13-$B$12),1))</f>
        <v>1</v>
      </c>
      <c r="Y109" s="17">
        <f t="shared" ref="Y109" si="96">IF(Y108&lt;=$B$12,0,IF(Y108&lt;$B$13,(Y108-$B$12)/($B$13-$B$12),1))</f>
        <v>1</v>
      </c>
      <c r="Z109" s="17">
        <f t="shared" ref="Z109" si="97">IF(Z108&lt;=$B$12,0,IF(Z108&lt;$B$13,(Z108-$B$12)/($B$13-$B$12),1))</f>
        <v>1</v>
      </c>
      <c r="AA109" s="17">
        <f t="shared" ref="AA109" si="98">IF(AA108&lt;=$B$12,0,IF(AA108&lt;$B$13,(AA108-$B$12)/($B$13-$B$12),1))</f>
        <v>1</v>
      </c>
      <c r="AB109" s="17">
        <f t="shared" ref="AB109" si="99">IF(AB108&lt;=$B$12,0,IF(AB108&lt;$B$13,(AB108-$B$12)/($B$13-$B$12),1))</f>
        <v>1</v>
      </c>
      <c r="AC109" s="17">
        <f t="shared" ref="AC109" si="100">IF(AC108&lt;=$B$12,0,IF(AC108&lt;$B$13,(AC108-$B$12)/($B$13-$B$12),1))</f>
        <v>1</v>
      </c>
      <c r="AD109" s="17">
        <f t="shared" ref="AD109" si="101">IF(AD108&lt;=$B$12,0,IF(AD108&lt;$B$13,(AD108-$B$12)/($B$13-$B$12),1))</f>
        <v>1</v>
      </c>
      <c r="AE109" s="17">
        <f t="shared" ref="AE109" si="102">IF(AE108&lt;=$B$12,0,IF(AE108&lt;$B$13,(AE108-$B$12)/($B$13-$B$12),1))</f>
        <v>1</v>
      </c>
    </row>
    <row r="110" spans="1:31" ht="17" x14ac:dyDescent="0.25">
      <c r="A110" s="16" t="s">
        <v>23</v>
      </c>
      <c r="B110" s="17">
        <f>$B$18+$B$19*B109</f>
        <v>6.6583333333333328E-2</v>
      </c>
      <c r="C110" s="16">
        <f>$B$18+$B$19*C109</f>
        <v>6.6583333333333328E-2</v>
      </c>
      <c r="D110" s="16">
        <f t="shared" ref="D110:AE110" si="103">$B$18+$B$19*D109</f>
        <v>6.6583333333333328E-2</v>
      </c>
      <c r="E110" s="16">
        <f t="shared" si="103"/>
        <v>6.6583333333333328E-2</v>
      </c>
      <c r="F110" s="16">
        <f t="shared" si="103"/>
        <v>6.6583333333333328E-2</v>
      </c>
      <c r="G110" s="16">
        <f t="shared" si="103"/>
        <v>6.6583333333333328E-2</v>
      </c>
      <c r="H110" s="16">
        <f t="shared" si="103"/>
        <v>6.6583333333333328E-2</v>
      </c>
      <c r="I110" s="16">
        <f t="shared" si="103"/>
        <v>6.6583333333333328E-2</v>
      </c>
      <c r="J110" s="16">
        <f t="shared" si="103"/>
        <v>6.6583333333333328E-2</v>
      </c>
      <c r="K110" s="16">
        <f t="shared" si="103"/>
        <v>6.6583333333333328E-2</v>
      </c>
      <c r="L110" s="16">
        <f t="shared" si="103"/>
        <v>6.6583333333333328E-2</v>
      </c>
      <c r="M110" s="16">
        <f t="shared" si="103"/>
        <v>6.6583333333333328E-2</v>
      </c>
      <c r="N110" s="16">
        <f t="shared" si="103"/>
        <v>6.6583333333333328E-2</v>
      </c>
      <c r="O110" s="16">
        <f t="shared" si="103"/>
        <v>6.6583333333333328E-2</v>
      </c>
      <c r="P110" s="16">
        <f t="shared" si="103"/>
        <v>6.6583333333333328E-2</v>
      </c>
      <c r="Q110" s="16">
        <f t="shared" si="103"/>
        <v>6.6583333333333328E-2</v>
      </c>
      <c r="R110" s="16">
        <f t="shared" si="103"/>
        <v>6.6583333333333328E-2</v>
      </c>
      <c r="S110" s="16">
        <f t="shared" si="103"/>
        <v>6.6583333333333328E-2</v>
      </c>
      <c r="T110" s="16">
        <f t="shared" si="103"/>
        <v>6.6583333333333328E-2</v>
      </c>
      <c r="U110" s="16">
        <f t="shared" si="103"/>
        <v>6.6583333333333328E-2</v>
      </c>
      <c r="V110" s="16">
        <f t="shared" si="103"/>
        <v>6.6583333333333328E-2</v>
      </c>
      <c r="W110" s="16">
        <f t="shared" si="103"/>
        <v>6.6583333333333328E-2</v>
      </c>
      <c r="X110" s="16">
        <f t="shared" si="103"/>
        <v>6.6583333333333328E-2</v>
      </c>
      <c r="Y110" s="16">
        <f t="shared" si="103"/>
        <v>6.6583333333333328E-2</v>
      </c>
      <c r="Z110" s="16">
        <f t="shared" si="103"/>
        <v>6.6583333333333328E-2</v>
      </c>
      <c r="AA110" s="16">
        <f t="shared" si="103"/>
        <v>6.6583333333333328E-2</v>
      </c>
      <c r="AB110" s="16">
        <f t="shared" si="103"/>
        <v>6.6583333333333328E-2</v>
      </c>
      <c r="AC110" s="16">
        <f t="shared" si="103"/>
        <v>6.6583333333333328E-2</v>
      </c>
      <c r="AD110" s="16">
        <f t="shared" si="103"/>
        <v>6.6583333333333328E-2</v>
      </c>
      <c r="AE110" s="16">
        <f t="shared" si="103"/>
        <v>6.6583333333333328E-2</v>
      </c>
    </row>
    <row r="111" spans="1:31" ht="17" x14ac:dyDescent="0.25">
      <c r="A111" s="16" t="s">
        <v>24</v>
      </c>
      <c r="B111" s="17">
        <f>$B$9</f>
        <v>9250</v>
      </c>
      <c r="C111" s="16">
        <f>B115</f>
        <v>5967.4689662917335</v>
      </c>
      <c r="D111" s="16">
        <f t="shared" ref="D111" si="104">C115</f>
        <v>2337.1615372482265</v>
      </c>
      <c r="E111" s="16">
        <f t="shared" ref="E111" si="105">D115</f>
        <v>0</v>
      </c>
      <c r="F111" s="16">
        <f t="shared" ref="F111" si="106">E115</f>
        <v>0</v>
      </c>
      <c r="G111" s="16">
        <f t="shared" ref="G111" si="107">F115</f>
        <v>0</v>
      </c>
      <c r="H111" s="16">
        <f t="shared" ref="H111" si="108">G115</f>
        <v>0</v>
      </c>
      <c r="I111" s="16">
        <f t="shared" ref="I111" si="109">H115</f>
        <v>0</v>
      </c>
      <c r="J111" s="16">
        <f t="shared" ref="J111" si="110">I115</f>
        <v>0</v>
      </c>
      <c r="K111" s="16">
        <f t="shared" ref="K111" si="111">J115</f>
        <v>0</v>
      </c>
      <c r="L111" s="16">
        <f t="shared" ref="L111" si="112">K115</f>
        <v>0</v>
      </c>
      <c r="M111" s="16">
        <f t="shared" ref="M111" si="113">L115</f>
        <v>0</v>
      </c>
      <c r="N111" s="16">
        <f t="shared" ref="N111" si="114">M115</f>
        <v>0</v>
      </c>
      <c r="O111" s="16">
        <f t="shared" ref="O111" si="115">N115</f>
        <v>0</v>
      </c>
      <c r="P111" s="16">
        <f t="shared" ref="P111" si="116">O115</f>
        <v>0</v>
      </c>
      <c r="Q111" s="16">
        <f t="shared" ref="Q111" si="117">P115</f>
        <v>0</v>
      </c>
      <c r="R111" s="16">
        <f t="shared" ref="R111" si="118">Q115</f>
        <v>0</v>
      </c>
      <c r="S111" s="16">
        <f t="shared" ref="S111" si="119">R115</f>
        <v>0</v>
      </c>
      <c r="T111" s="16">
        <f t="shared" ref="T111" si="120">S115</f>
        <v>0</v>
      </c>
      <c r="U111" s="16">
        <f t="shared" ref="U111" si="121">T115</f>
        <v>0</v>
      </c>
      <c r="V111" s="16">
        <f t="shared" ref="V111" si="122">U115</f>
        <v>0</v>
      </c>
      <c r="W111" s="16">
        <f t="shared" ref="W111" si="123">V115</f>
        <v>0</v>
      </c>
      <c r="X111" s="16">
        <f t="shared" ref="X111" si="124">W115</f>
        <v>0</v>
      </c>
      <c r="Y111" s="16">
        <f t="shared" ref="Y111" si="125">X115</f>
        <v>0</v>
      </c>
      <c r="Z111" s="16">
        <f t="shared" ref="Z111" si="126">Y115</f>
        <v>0</v>
      </c>
      <c r="AA111" s="16">
        <f t="shared" ref="AA111" si="127">Z115</f>
        <v>0</v>
      </c>
      <c r="AB111" s="16">
        <f t="shared" ref="AB111" si="128">AA115</f>
        <v>0</v>
      </c>
      <c r="AC111" s="16">
        <f t="shared" ref="AC111" si="129">AB115</f>
        <v>0</v>
      </c>
      <c r="AD111" s="16">
        <f t="shared" ref="AD111" si="130">AC115</f>
        <v>0</v>
      </c>
      <c r="AE111" s="16">
        <f t="shared" ref="AE111" si="131">AD115</f>
        <v>0</v>
      </c>
    </row>
    <row r="112" spans="1:31" ht="17" x14ac:dyDescent="0.25">
      <c r="A112" s="16" t="s">
        <v>25</v>
      </c>
      <c r="B112" s="17">
        <f>B111*(1+B110)</f>
        <v>9865.8958333333339</v>
      </c>
      <c r="C112" s="16">
        <f>C111*(1+C110)</f>
        <v>6364.802941630659</v>
      </c>
      <c r="D112" s="16">
        <f t="shared" ref="D112:AE112" si="132">D111*(1+D110)</f>
        <v>2492.7775429366711</v>
      </c>
      <c r="E112" s="16">
        <f t="shared" si="132"/>
        <v>0</v>
      </c>
      <c r="F112" s="16">
        <f t="shared" si="132"/>
        <v>0</v>
      </c>
      <c r="G112" s="16">
        <f t="shared" si="132"/>
        <v>0</v>
      </c>
      <c r="H112" s="16">
        <f t="shared" si="132"/>
        <v>0</v>
      </c>
      <c r="I112" s="16">
        <f t="shared" si="132"/>
        <v>0</v>
      </c>
      <c r="J112" s="16">
        <f t="shared" si="132"/>
        <v>0</v>
      </c>
      <c r="K112" s="16">
        <f t="shared" si="132"/>
        <v>0</v>
      </c>
      <c r="L112" s="16">
        <f t="shared" si="132"/>
        <v>0</v>
      </c>
      <c r="M112" s="16">
        <f t="shared" si="132"/>
        <v>0</v>
      </c>
      <c r="N112" s="16">
        <f t="shared" si="132"/>
        <v>0</v>
      </c>
      <c r="O112" s="16">
        <f t="shared" si="132"/>
        <v>0</v>
      </c>
      <c r="P112" s="16">
        <f t="shared" si="132"/>
        <v>0</v>
      </c>
      <c r="Q112" s="16">
        <f t="shared" si="132"/>
        <v>0</v>
      </c>
      <c r="R112" s="16">
        <f t="shared" si="132"/>
        <v>0</v>
      </c>
      <c r="S112" s="16">
        <f t="shared" si="132"/>
        <v>0</v>
      </c>
      <c r="T112" s="16">
        <f t="shared" si="132"/>
        <v>0</v>
      </c>
      <c r="U112" s="16">
        <f t="shared" si="132"/>
        <v>0</v>
      </c>
      <c r="V112" s="16">
        <f t="shared" si="132"/>
        <v>0</v>
      </c>
      <c r="W112" s="16">
        <f t="shared" si="132"/>
        <v>0</v>
      </c>
      <c r="X112" s="16">
        <f t="shared" si="132"/>
        <v>0</v>
      </c>
      <c r="Y112" s="16">
        <f t="shared" si="132"/>
        <v>0</v>
      </c>
      <c r="Z112" s="16">
        <f t="shared" si="132"/>
        <v>0</v>
      </c>
      <c r="AA112" s="16">
        <f t="shared" si="132"/>
        <v>0</v>
      </c>
      <c r="AB112" s="16">
        <f t="shared" si="132"/>
        <v>0</v>
      </c>
      <c r="AC112" s="16">
        <f t="shared" si="132"/>
        <v>0</v>
      </c>
      <c r="AD112" s="16">
        <f t="shared" si="132"/>
        <v>0</v>
      </c>
      <c r="AE112" s="16">
        <f t="shared" si="132"/>
        <v>0</v>
      </c>
    </row>
    <row r="113" spans="1:31" ht="17" x14ac:dyDescent="0.25">
      <c r="A113" s="16" t="s">
        <v>26</v>
      </c>
      <c r="B113" s="17">
        <f>$B$11*MAX(0,B108-$B$12)</f>
        <v>3898.4268670416004</v>
      </c>
      <c r="C113" s="16">
        <f>$B$11*MAX(0,C108-$B$12)</f>
        <v>4027.6414043824325</v>
      </c>
      <c r="D113" s="16">
        <f t="shared" ref="D113:AE113" si="133">$B$11*MAX(0,D108-$B$12)</f>
        <v>4159.4402324700823</v>
      </c>
      <c r="E113" s="16">
        <f t="shared" si="133"/>
        <v>4293.8750371194828</v>
      </c>
      <c r="F113" s="16">
        <f t="shared" si="133"/>
        <v>4430.9985378618721</v>
      </c>
      <c r="G113" s="16">
        <f t="shared" si="133"/>
        <v>4570.8645086191109</v>
      </c>
      <c r="H113" s="16">
        <f t="shared" si="133"/>
        <v>4713.5277987914924</v>
      </c>
      <c r="I113" s="16">
        <f t="shared" si="133"/>
        <v>4859.0443547673212</v>
      </c>
      <c r="J113" s="16">
        <f t="shared" si="133"/>
        <v>5007.4712418626686</v>
      </c>
      <c r="K113" s="16">
        <f t="shared" si="133"/>
        <v>5158.8666666999225</v>
      </c>
      <c r="L113" s="16">
        <f t="shared" si="133"/>
        <v>5313.2900000339196</v>
      </c>
      <c r="M113" s="16">
        <f t="shared" si="133"/>
        <v>5470.8018000345965</v>
      </c>
      <c r="N113" s="16">
        <f t="shared" si="133"/>
        <v>5631.4638360352901</v>
      </c>
      <c r="O113" s="16">
        <f t="shared" si="133"/>
        <v>5795.3391127559962</v>
      </c>
      <c r="P113" s="16">
        <f t="shared" si="133"/>
        <v>5962.491895011116</v>
      </c>
      <c r="Q113" s="16">
        <f t="shared" si="133"/>
        <v>6132.987732911336</v>
      </c>
      <c r="R113" s="16">
        <f t="shared" si="133"/>
        <v>6306.8934875695641</v>
      </c>
      <c r="S113" s="16">
        <f t="shared" si="133"/>
        <v>6484.2773573209561</v>
      </c>
      <c r="T113" s="16">
        <f t="shared" si="133"/>
        <v>6665.2089044673749</v>
      </c>
      <c r="U113" s="16">
        <f t="shared" si="133"/>
        <v>6849.7590825567222</v>
      </c>
      <c r="V113" s="16">
        <f t="shared" si="133"/>
        <v>7038.0002642078571</v>
      </c>
      <c r="W113" s="16">
        <f t="shared" si="133"/>
        <v>7230.0062694920134</v>
      </c>
      <c r="X113" s="16">
        <f t="shared" si="133"/>
        <v>7425.8523948818547</v>
      </c>
      <c r="Y113" s="16">
        <f t="shared" si="133"/>
        <v>7625.61544277949</v>
      </c>
      <c r="Z113" s="16">
        <f t="shared" si="133"/>
        <v>7829.3737516350802</v>
      </c>
      <c r="AA113" s="16">
        <f t="shared" si="133"/>
        <v>8037.2072266677815</v>
      </c>
      <c r="AB113" s="16">
        <f t="shared" si="133"/>
        <v>8249.1973712011386</v>
      </c>
      <c r="AC113" s="16">
        <f t="shared" si="133"/>
        <v>8465.4273186251594</v>
      </c>
      <c r="AD113" s="16">
        <f t="shared" si="133"/>
        <v>8685.9818649976642</v>
      </c>
      <c r="AE113" s="16">
        <f t="shared" si="133"/>
        <v>8910.9475022976167</v>
      </c>
    </row>
    <row r="114" spans="1:31" ht="17" x14ac:dyDescent="0.25">
      <c r="A114" s="16" t="s">
        <v>27</v>
      </c>
      <c r="B114" s="17">
        <f>MIN(B113,B112)</f>
        <v>3898.4268670416004</v>
      </c>
      <c r="C114" s="16">
        <f>MIN(C113,C112)</f>
        <v>4027.6414043824325</v>
      </c>
      <c r="D114" s="16">
        <f>MIN(D113,D112)</f>
        <v>2492.7775429366711</v>
      </c>
      <c r="E114" s="16">
        <f t="shared" ref="E114:AE114" si="134">MIN(E113,E112)</f>
        <v>0</v>
      </c>
      <c r="F114" s="16">
        <f t="shared" si="134"/>
        <v>0</v>
      </c>
      <c r="G114" s="16">
        <f t="shared" si="134"/>
        <v>0</v>
      </c>
      <c r="H114" s="16">
        <f t="shared" si="134"/>
        <v>0</v>
      </c>
      <c r="I114" s="16">
        <f t="shared" si="134"/>
        <v>0</v>
      </c>
      <c r="J114" s="16">
        <f t="shared" si="134"/>
        <v>0</v>
      </c>
      <c r="K114" s="16">
        <f t="shared" si="134"/>
        <v>0</v>
      </c>
      <c r="L114" s="16">
        <f t="shared" si="134"/>
        <v>0</v>
      </c>
      <c r="M114" s="16">
        <f t="shared" si="134"/>
        <v>0</v>
      </c>
      <c r="N114" s="16">
        <f t="shared" si="134"/>
        <v>0</v>
      </c>
      <c r="O114" s="16">
        <f t="shared" si="134"/>
        <v>0</v>
      </c>
      <c r="P114" s="16">
        <f t="shared" si="134"/>
        <v>0</v>
      </c>
      <c r="Q114" s="16">
        <f t="shared" si="134"/>
        <v>0</v>
      </c>
      <c r="R114" s="16">
        <f t="shared" si="134"/>
        <v>0</v>
      </c>
      <c r="S114" s="16">
        <f t="shared" si="134"/>
        <v>0</v>
      </c>
      <c r="T114" s="16">
        <f t="shared" si="134"/>
        <v>0</v>
      </c>
      <c r="U114" s="16">
        <f t="shared" si="134"/>
        <v>0</v>
      </c>
      <c r="V114" s="16">
        <f t="shared" si="134"/>
        <v>0</v>
      </c>
      <c r="W114" s="16">
        <f t="shared" si="134"/>
        <v>0</v>
      </c>
      <c r="X114" s="16">
        <f t="shared" si="134"/>
        <v>0</v>
      </c>
      <c r="Y114" s="16">
        <f t="shared" si="134"/>
        <v>0</v>
      </c>
      <c r="Z114" s="16">
        <f t="shared" si="134"/>
        <v>0</v>
      </c>
      <c r="AA114" s="16">
        <f t="shared" si="134"/>
        <v>0</v>
      </c>
      <c r="AB114" s="16">
        <f t="shared" si="134"/>
        <v>0</v>
      </c>
      <c r="AC114" s="16">
        <f t="shared" si="134"/>
        <v>0</v>
      </c>
      <c r="AD114" s="16">
        <f t="shared" si="134"/>
        <v>0</v>
      </c>
      <c r="AE114" s="16">
        <f t="shared" si="134"/>
        <v>0</v>
      </c>
    </row>
    <row r="115" spans="1:31" ht="17" x14ac:dyDescent="0.25">
      <c r="A115" s="18" t="s">
        <v>28</v>
      </c>
      <c r="B115" s="19">
        <f>B112-B114</f>
        <v>5967.4689662917335</v>
      </c>
      <c r="C115" s="18">
        <f>C112-C114</f>
        <v>2337.1615372482265</v>
      </c>
      <c r="D115" s="18">
        <f t="shared" ref="D115:AE115" si="135">D112-D114</f>
        <v>0</v>
      </c>
      <c r="E115" s="18">
        <f t="shared" si="135"/>
        <v>0</v>
      </c>
      <c r="F115" s="18">
        <f t="shared" si="135"/>
        <v>0</v>
      </c>
      <c r="G115" s="18">
        <f t="shared" si="135"/>
        <v>0</v>
      </c>
      <c r="H115" s="18">
        <f t="shared" si="135"/>
        <v>0</v>
      </c>
      <c r="I115" s="18">
        <f t="shared" si="135"/>
        <v>0</v>
      </c>
      <c r="J115" s="18">
        <f t="shared" si="135"/>
        <v>0</v>
      </c>
      <c r="K115" s="18">
        <f t="shared" si="135"/>
        <v>0</v>
      </c>
      <c r="L115" s="18">
        <f t="shared" si="135"/>
        <v>0</v>
      </c>
      <c r="M115" s="18">
        <f t="shared" si="135"/>
        <v>0</v>
      </c>
      <c r="N115" s="18">
        <f t="shared" si="135"/>
        <v>0</v>
      </c>
      <c r="O115" s="18">
        <f t="shared" si="135"/>
        <v>0</v>
      </c>
      <c r="P115" s="18">
        <f t="shared" si="135"/>
        <v>0</v>
      </c>
      <c r="Q115" s="18">
        <f t="shared" si="135"/>
        <v>0</v>
      </c>
      <c r="R115" s="18">
        <f t="shared" si="135"/>
        <v>0</v>
      </c>
      <c r="S115" s="18">
        <f t="shared" si="135"/>
        <v>0</v>
      </c>
      <c r="T115" s="18">
        <f t="shared" si="135"/>
        <v>0</v>
      </c>
      <c r="U115" s="18">
        <f t="shared" si="135"/>
        <v>0</v>
      </c>
      <c r="V115" s="18">
        <f t="shared" si="135"/>
        <v>0</v>
      </c>
      <c r="W115" s="18">
        <f t="shared" si="135"/>
        <v>0</v>
      </c>
      <c r="X115" s="18">
        <f t="shared" si="135"/>
        <v>0</v>
      </c>
      <c r="Y115" s="18">
        <f t="shared" si="135"/>
        <v>0</v>
      </c>
      <c r="Z115" s="18">
        <f t="shared" si="135"/>
        <v>0</v>
      </c>
      <c r="AA115" s="18">
        <f t="shared" si="135"/>
        <v>0</v>
      </c>
      <c r="AB115" s="18">
        <f t="shared" si="135"/>
        <v>0</v>
      </c>
      <c r="AC115" s="18">
        <f t="shared" si="135"/>
        <v>0</v>
      </c>
      <c r="AD115" s="18">
        <f t="shared" si="135"/>
        <v>0</v>
      </c>
      <c r="AE115" s="18">
        <f t="shared" si="135"/>
        <v>0</v>
      </c>
    </row>
    <row r="116" spans="1:31" ht="17" x14ac:dyDescent="0.25">
      <c r="A116" s="16" t="s">
        <v>29</v>
      </c>
      <c r="B116" s="17">
        <f>1/(1+$B$103)^B107</f>
        <v>0.7407407407407407</v>
      </c>
      <c r="C116" s="17">
        <f t="shared" ref="C116:AE116" si="136">1/(1+$B$103)^C107</f>
        <v>0.5486968449931412</v>
      </c>
      <c r="D116" s="17">
        <f t="shared" si="136"/>
        <v>0.40644210740232684</v>
      </c>
      <c r="E116" s="17">
        <f t="shared" si="136"/>
        <v>0.30106822770542724</v>
      </c>
      <c r="F116" s="17">
        <f t="shared" si="136"/>
        <v>0.22301350200402015</v>
      </c>
      <c r="G116" s="17">
        <f t="shared" si="136"/>
        <v>0.16519518666964456</v>
      </c>
      <c r="H116" s="17">
        <f t="shared" si="136"/>
        <v>0.12236680494047744</v>
      </c>
      <c r="I116" s="17">
        <f t="shared" si="136"/>
        <v>9.0642077733686988E-2</v>
      </c>
      <c r="J116" s="17">
        <f t="shared" si="136"/>
        <v>6.7142279802731103E-2</v>
      </c>
      <c r="K116" s="17">
        <f t="shared" si="136"/>
        <v>4.9735022076097105E-2</v>
      </c>
      <c r="L116" s="17">
        <f t="shared" si="136"/>
        <v>3.6840757093405264E-2</v>
      </c>
      <c r="M116" s="17">
        <f t="shared" si="136"/>
        <v>2.7289449698818708E-2</v>
      </c>
      <c r="N116" s="17">
        <f t="shared" si="136"/>
        <v>2.0214407184310154E-2</v>
      </c>
      <c r="O116" s="17">
        <f t="shared" si="136"/>
        <v>1.4973634951340853E-2</v>
      </c>
      <c r="P116" s="17">
        <f t="shared" si="136"/>
        <v>1.1091581445437669E-2</v>
      </c>
      <c r="Q116" s="17">
        <f t="shared" si="136"/>
        <v>8.2159862558797547E-3</v>
      </c>
      <c r="R116" s="17">
        <f t="shared" si="136"/>
        <v>6.0859157450961132E-3</v>
      </c>
      <c r="S116" s="17">
        <f t="shared" si="136"/>
        <v>4.5080857371082323E-3</v>
      </c>
      <c r="T116" s="17">
        <f t="shared" si="136"/>
        <v>3.3393227682283204E-3</v>
      </c>
      <c r="U116" s="17">
        <f t="shared" si="136"/>
        <v>2.4735724209098667E-3</v>
      </c>
      <c r="V116" s="17">
        <f t="shared" si="136"/>
        <v>1.8322758673406418E-3</v>
      </c>
      <c r="W116" s="17">
        <f t="shared" si="136"/>
        <v>1.3572413832152901E-3</v>
      </c>
      <c r="X116" s="17">
        <f t="shared" si="136"/>
        <v>1.0053639875668816E-3</v>
      </c>
      <c r="Y116" s="17">
        <f t="shared" si="136"/>
        <v>7.4471406486435656E-4</v>
      </c>
      <c r="Z116" s="17">
        <f t="shared" si="136"/>
        <v>5.5164004804767147E-4</v>
      </c>
      <c r="AA116" s="17">
        <f t="shared" si="136"/>
        <v>4.0862225781308997E-4</v>
      </c>
      <c r="AB116" s="17">
        <f t="shared" si="136"/>
        <v>3.0268315393562221E-4</v>
      </c>
      <c r="AC116" s="17">
        <f t="shared" si="136"/>
        <v>2.2420974365601644E-4</v>
      </c>
      <c r="AD116" s="17">
        <f t="shared" si="136"/>
        <v>1.6608129159704916E-4</v>
      </c>
      <c r="AE116" s="17">
        <f t="shared" si="136"/>
        <v>1.2302317896077715E-4</v>
      </c>
    </row>
    <row r="117" spans="1:31" ht="17" x14ac:dyDescent="0.25">
      <c r="A117" s="16" t="s">
        <v>30</v>
      </c>
      <c r="B117" s="17">
        <f>B114*B116</f>
        <v>2887.7236052160001</v>
      </c>
      <c r="C117" s="16">
        <f>C114*C116</f>
        <v>2209.9541313483851</v>
      </c>
      <c r="D117" s="16">
        <f t="shared" ref="D117:AE117" si="137">D114*D116</f>
        <v>1013.1697578363749</v>
      </c>
      <c r="E117" s="16">
        <f t="shared" si="137"/>
        <v>0</v>
      </c>
      <c r="F117" s="16">
        <f t="shared" si="137"/>
        <v>0</v>
      </c>
      <c r="G117" s="16">
        <f t="shared" si="137"/>
        <v>0</v>
      </c>
      <c r="H117" s="16">
        <f t="shared" si="137"/>
        <v>0</v>
      </c>
      <c r="I117" s="16">
        <f t="shared" si="137"/>
        <v>0</v>
      </c>
      <c r="J117" s="16">
        <f t="shared" si="137"/>
        <v>0</v>
      </c>
      <c r="K117" s="16">
        <f t="shared" si="137"/>
        <v>0</v>
      </c>
      <c r="L117" s="16">
        <f t="shared" si="137"/>
        <v>0</v>
      </c>
      <c r="M117" s="16">
        <f t="shared" si="137"/>
        <v>0</v>
      </c>
      <c r="N117" s="16">
        <f t="shared" si="137"/>
        <v>0</v>
      </c>
      <c r="O117" s="16">
        <f t="shared" si="137"/>
        <v>0</v>
      </c>
      <c r="P117" s="16">
        <f t="shared" si="137"/>
        <v>0</v>
      </c>
      <c r="Q117" s="16">
        <f t="shared" si="137"/>
        <v>0</v>
      </c>
      <c r="R117" s="16">
        <f t="shared" si="137"/>
        <v>0</v>
      </c>
      <c r="S117" s="16">
        <f t="shared" si="137"/>
        <v>0</v>
      </c>
      <c r="T117" s="16">
        <f t="shared" si="137"/>
        <v>0</v>
      </c>
      <c r="U117" s="16">
        <f t="shared" si="137"/>
        <v>0</v>
      </c>
      <c r="V117" s="16">
        <f t="shared" si="137"/>
        <v>0</v>
      </c>
      <c r="W117" s="16">
        <f t="shared" si="137"/>
        <v>0</v>
      </c>
      <c r="X117" s="16">
        <f t="shared" si="137"/>
        <v>0</v>
      </c>
      <c r="Y117" s="16">
        <f t="shared" si="137"/>
        <v>0</v>
      </c>
      <c r="Z117" s="16">
        <f t="shared" si="137"/>
        <v>0</v>
      </c>
      <c r="AA117" s="16">
        <f t="shared" si="137"/>
        <v>0</v>
      </c>
      <c r="AB117" s="16">
        <f t="shared" si="137"/>
        <v>0</v>
      </c>
      <c r="AC117" s="16">
        <f t="shared" si="137"/>
        <v>0</v>
      </c>
      <c r="AD117" s="16">
        <f t="shared" si="137"/>
        <v>0</v>
      </c>
      <c r="AE117" s="16">
        <f t="shared" si="137"/>
        <v>0</v>
      </c>
    </row>
    <row r="118" spans="1:31" x14ac:dyDescent="0.2">
      <c r="A118" s="9"/>
      <c r="AE118" s="8"/>
    </row>
    <row r="119" spans="1:31" ht="17" x14ac:dyDescent="0.25">
      <c r="A119" s="9"/>
      <c r="B119" s="1"/>
      <c r="AE119" s="8"/>
    </row>
    <row r="120" spans="1:31" x14ac:dyDescent="0.2">
      <c r="A120" s="11" t="s">
        <v>111</v>
      </c>
      <c r="B120" s="21">
        <f>SUM(B117:AE117)</f>
        <v>6110.8474944007594</v>
      </c>
      <c r="AE120" s="8"/>
    </row>
    <row r="121" spans="1:31" x14ac:dyDescent="0.2">
      <c r="A121" s="9" t="s">
        <v>34</v>
      </c>
      <c r="B121" s="10">
        <f>LN($B$10)-LN(B120)</f>
        <v>1.2900268191922972</v>
      </c>
      <c r="AE121" s="8"/>
    </row>
    <row r="122" spans="1:31" x14ac:dyDescent="0.2">
      <c r="A122" s="9" t="s">
        <v>35</v>
      </c>
      <c r="B122">
        <f>$B$21/B121</f>
        <v>-0.44743186065030177</v>
      </c>
      <c r="AE122" s="8"/>
    </row>
    <row r="123" spans="1:31" ht="17" thickBot="1" x14ac:dyDescent="0.25">
      <c r="A123" s="12" t="s">
        <v>36</v>
      </c>
      <c r="B123" s="20">
        <f>AE115</f>
        <v>0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4"/>
    </row>
    <row r="127" spans="1:31" x14ac:dyDescent="0.2">
      <c r="A127" s="22" t="s">
        <v>110</v>
      </c>
      <c r="B127" s="22" t="s">
        <v>109</v>
      </c>
      <c r="C127" s="22" t="s">
        <v>41</v>
      </c>
      <c r="D127" s="22" t="s">
        <v>42</v>
      </c>
    </row>
    <row r="128" spans="1:31" x14ac:dyDescent="0.2">
      <c r="A128" s="25" t="s">
        <v>43</v>
      </c>
      <c r="B128" s="25">
        <v>-0.58614544886634701</v>
      </c>
      <c r="C128" s="25">
        <v>-0.45993260769701999</v>
      </c>
      <c r="D128" s="25">
        <v>-0.32894814920229298</v>
      </c>
    </row>
    <row r="129" spans="1:9" x14ac:dyDescent="0.2">
      <c r="A129" s="25" t="s">
        <v>44</v>
      </c>
      <c r="B129" s="25">
        <v>-0.66869757579934896</v>
      </c>
      <c r="C129" s="25">
        <v>-0.52837902573743001</v>
      </c>
      <c r="D129" s="25">
        <v>-0.38008516372288098</v>
      </c>
    </row>
    <row r="130" spans="1:9" x14ac:dyDescent="0.2">
      <c r="A130" s="25" t="s">
        <v>45</v>
      </c>
      <c r="B130" s="25">
        <v>-1.4144607593885301</v>
      </c>
      <c r="C130" s="25">
        <v>-0.77852611549534401</v>
      </c>
      <c r="D130" s="25">
        <v>-0.51547062201255101</v>
      </c>
    </row>
    <row r="131" spans="1:9" x14ac:dyDescent="0.2">
      <c r="A131" s="25" t="s">
        <v>47</v>
      </c>
      <c r="B131" s="25">
        <v>-0.86337158831215</v>
      </c>
      <c r="C131" s="25">
        <v>-0.43620577854349801</v>
      </c>
      <c r="D131" s="25">
        <v>-0.26794453514884897</v>
      </c>
    </row>
    <row r="132" spans="1:9" x14ac:dyDescent="0.2">
      <c r="A132" s="25" t="s">
        <v>48</v>
      </c>
      <c r="B132" s="25">
        <v>-1.09853331339046</v>
      </c>
      <c r="C132" s="25">
        <v>-0.59486208375216498</v>
      </c>
      <c r="D132" s="25">
        <v>-0.375323686814998</v>
      </c>
    </row>
    <row r="133" spans="1:9" x14ac:dyDescent="0.2">
      <c r="A133" s="25" t="s">
        <v>53</v>
      </c>
      <c r="B133" s="25">
        <v>-0.67053413204072898</v>
      </c>
      <c r="C133" s="25">
        <v>-0.50891470759776003</v>
      </c>
      <c r="D133" s="25">
        <v>-0.35468099821187898</v>
      </c>
    </row>
    <row r="134" spans="1:9" x14ac:dyDescent="0.2">
      <c r="A134" s="25" t="s">
        <v>49</v>
      </c>
      <c r="B134" s="25">
        <v>-1.19185690254768</v>
      </c>
      <c r="C134" s="25">
        <v>-0.99317691500073402</v>
      </c>
      <c r="D134" s="25">
        <v>-0.752812599640313</v>
      </c>
    </row>
    <row r="135" spans="1:9" x14ac:dyDescent="0.2">
      <c r="A135" s="25" t="s">
        <v>50</v>
      </c>
      <c r="B135" s="25">
        <v>-1.22459329359077</v>
      </c>
      <c r="C135" s="25">
        <v>-0.58774190753072597</v>
      </c>
      <c r="D135" s="25">
        <v>-0.35142133114213597</v>
      </c>
    </row>
    <row r="136" spans="1:9" x14ac:dyDescent="0.2">
      <c r="A136" s="25" t="s">
        <v>67</v>
      </c>
      <c r="B136" s="25">
        <v>-0.50407321347544298</v>
      </c>
      <c r="C136" s="25">
        <v>-0.31280310941075401</v>
      </c>
      <c r="D136" s="25">
        <v>-0.19944718534314801</v>
      </c>
    </row>
    <row r="137" spans="1:9" x14ac:dyDescent="0.2">
      <c r="A137" s="25" t="s">
        <v>51</v>
      </c>
      <c r="B137" s="25">
        <v>-1.8273856562655399</v>
      </c>
      <c r="C137" s="25">
        <v>-1.33433281281336</v>
      </c>
      <c r="D137" s="25">
        <v>-0.906650221232709</v>
      </c>
    </row>
    <row r="138" spans="1:9" x14ac:dyDescent="0.2">
      <c r="A138" s="25" t="s">
        <v>52</v>
      </c>
      <c r="B138" s="25">
        <v>-0.62206808500064303</v>
      </c>
      <c r="C138" s="25">
        <v>-0.45243018745755198</v>
      </c>
      <c r="D138" s="25">
        <v>-0.30635200977872901</v>
      </c>
    </row>
    <row r="139" spans="1:9" x14ac:dyDescent="0.2">
      <c r="A139" s="25" t="s">
        <v>54</v>
      </c>
      <c r="B139" s="25">
        <v>-0.36334740861109199</v>
      </c>
      <c r="C139" s="25">
        <v>-0.20617629447072</v>
      </c>
      <c r="D139" s="25">
        <v>-0.122664684135534</v>
      </c>
    </row>
    <row r="140" spans="1:9" x14ac:dyDescent="0.2">
      <c r="A140" s="25" t="s">
        <v>46</v>
      </c>
      <c r="B140" s="25">
        <v>-1.5380750557948299</v>
      </c>
      <c r="C140" s="25">
        <v>-0.81547343858451204</v>
      </c>
      <c r="D140" s="25">
        <v>-0.51454730676986604</v>
      </c>
    </row>
    <row r="141" spans="1:9" x14ac:dyDescent="0.2">
      <c r="A141" s="25" t="s">
        <v>55</v>
      </c>
      <c r="B141" s="25">
        <v>-0.55857886820699898</v>
      </c>
      <c r="C141" s="25">
        <v>-0.31232251836350799</v>
      </c>
      <c r="D141" s="25">
        <v>-0.18759041310098501</v>
      </c>
    </row>
    <row r="142" spans="1:9" x14ac:dyDescent="0.2">
      <c r="A142" s="25" t="s">
        <v>56</v>
      </c>
      <c r="B142" s="25">
        <v>-0.85570571970405696</v>
      </c>
      <c r="C142" s="25">
        <v>-0.52883782018824199</v>
      </c>
      <c r="D142" s="25">
        <v>-0.336870700038572</v>
      </c>
    </row>
    <row r="143" spans="1:9" x14ac:dyDescent="0.2">
      <c r="A143" s="25" t="s">
        <v>58</v>
      </c>
      <c r="B143" s="25">
        <v>-2.43768482512542</v>
      </c>
      <c r="C143" s="25">
        <v>-1.5261989503366</v>
      </c>
      <c r="D143" s="25">
        <v>-0.97309932187657899</v>
      </c>
    </row>
    <row r="144" spans="1:9" x14ac:dyDescent="0.2">
      <c r="A144" s="25" t="s">
        <v>59</v>
      </c>
      <c r="B144" s="28">
        <v>-0.66661039491295104</v>
      </c>
      <c r="C144" s="28">
        <v>-0.57157730556795205</v>
      </c>
      <c r="D144" s="28">
        <v>-0.44743187775741</v>
      </c>
      <c r="E144" s="2"/>
      <c r="F144" s="2"/>
      <c r="G144" s="2">
        <f>B39</f>
        <v>-0.71140915438134722</v>
      </c>
      <c r="H144" s="2">
        <f>B80</f>
        <v>-0.5715772837142673</v>
      </c>
      <c r="I144" s="2">
        <f>B122</f>
        <v>-0.44743186065030177</v>
      </c>
    </row>
    <row r="145" spans="1:4" x14ac:dyDescent="0.2">
      <c r="A145" s="25" t="s">
        <v>57</v>
      </c>
      <c r="B145" s="25">
        <v>-1.3441146329795901</v>
      </c>
      <c r="C145" s="25">
        <v>-0.67730867995102995</v>
      </c>
      <c r="D145" s="25">
        <v>-0.427101515326829</v>
      </c>
    </row>
    <row r="146" spans="1:4" x14ac:dyDescent="0.2">
      <c r="A146" s="25" t="s">
        <v>60</v>
      </c>
      <c r="B146" s="25">
        <v>-0.55461809786982696</v>
      </c>
      <c r="C146" s="25">
        <v>-0.34257169860977599</v>
      </c>
      <c r="D146" s="25">
        <v>-0.21818978350995899</v>
      </c>
    </row>
    <row r="147" spans="1:4" x14ac:dyDescent="0.2">
      <c r="A147" s="25" t="s">
        <v>62</v>
      </c>
      <c r="B147" s="25">
        <v>-1.32683568007014</v>
      </c>
      <c r="C147" s="25">
        <v>-0.67280518308419601</v>
      </c>
      <c r="D147" s="25">
        <v>-0.42580564303864399</v>
      </c>
    </row>
    <row r="148" spans="1:4" x14ac:dyDescent="0.2">
      <c r="A148" s="25" t="s">
        <v>63</v>
      </c>
      <c r="B148" s="25">
        <v>-0.87181032969424599</v>
      </c>
      <c r="C148" s="25">
        <v>-0.48591103396166802</v>
      </c>
      <c r="D148" s="25">
        <v>-0.306622644936763</v>
      </c>
    </row>
    <row r="149" spans="1:4" x14ac:dyDescent="0.2">
      <c r="A149" s="25" t="s">
        <v>64</v>
      </c>
      <c r="B149" s="25">
        <v>-1.8800757443350899</v>
      </c>
      <c r="C149" s="25">
        <v>-1.0659547936865801</v>
      </c>
      <c r="D149" s="25">
        <v>-0.66804669792123705</v>
      </c>
    </row>
    <row r="150" spans="1:4" x14ac:dyDescent="0.2">
      <c r="A150" s="25" t="s">
        <v>68</v>
      </c>
      <c r="B150" s="25">
        <v>-1.0263243649277101</v>
      </c>
      <c r="C150" s="25">
        <v>-0.72516914505149099</v>
      </c>
      <c r="D150" s="25">
        <v>-0.48373052995065102</v>
      </c>
    </row>
    <row r="151" spans="1:4" x14ac:dyDescent="0.2">
      <c r="A151" s="25" t="s">
        <v>66</v>
      </c>
      <c r="B151" s="25">
        <v>-1.27039626483388</v>
      </c>
      <c r="C151" s="25">
        <v>-0.81392674301899304</v>
      </c>
      <c r="D151" s="25">
        <v>-0.52286628116991596</v>
      </c>
    </row>
    <row r="152" spans="1:4" x14ac:dyDescent="0.2">
      <c r="A152" s="25" t="s">
        <v>65</v>
      </c>
      <c r="B152" s="25">
        <v>-1.03695678437342</v>
      </c>
      <c r="C152" s="25">
        <v>-0.54856411758239598</v>
      </c>
      <c r="D152" s="25">
        <v>-0.34611947850182301</v>
      </c>
    </row>
  </sheetData>
  <mergeCells count="3">
    <mergeCell ref="A23:B23"/>
    <mergeCell ref="A64:B64"/>
    <mergeCell ref="A106:B106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75FE-EA20-E84D-B2D9-AA713C3C64E4}">
  <dimension ref="A1:AE122"/>
  <sheetViews>
    <sheetView zoomScale="75" workbookViewId="0">
      <selection activeCell="B121" sqref="B121"/>
    </sheetView>
  </sheetViews>
  <sheetFormatPr baseColWidth="10" defaultRowHeight="16" x14ac:dyDescent="0.2"/>
  <cols>
    <col min="1" max="1" width="23.83203125" customWidth="1"/>
    <col min="2" max="2" width="13.33203125" bestFit="1" customWidth="1"/>
    <col min="3" max="31" width="11" bestFit="1" customWidth="1"/>
  </cols>
  <sheetData>
    <row r="1" spans="1:31" x14ac:dyDescent="0.2">
      <c r="A1" s="3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6" t="s">
        <v>0</v>
      </c>
      <c r="B2" s="7" t="s">
        <v>1</v>
      </c>
      <c r="AE2" s="8"/>
    </row>
    <row r="3" spans="1:31" x14ac:dyDescent="0.2">
      <c r="A3" s="9" t="s">
        <v>2</v>
      </c>
      <c r="B3">
        <f>data!J8</f>
        <v>24818</v>
      </c>
      <c r="AE3" s="8"/>
    </row>
    <row r="4" spans="1:31" x14ac:dyDescent="0.2">
      <c r="A4" s="9" t="s">
        <v>3</v>
      </c>
      <c r="B4">
        <v>0.848248</v>
      </c>
      <c r="AE4" s="8"/>
    </row>
    <row r="5" spans="1:31" x14ac:dyDescent="0.2">
      <c r="A5" s="9" t="s">
        <v>4</v>
      </c>
      <c r="B5">
        <v>0.02</v>
      </c>
      <c r="AE5" s="8"/>
    </row>
    <row r="6" spans="1:31" x14ac:dyDescent="0.2">
      <c r="A6" s="9" t="s">
        <v>5</v>
      </c>
      <c r="B6">
        <v>1</v>
      </c>
      <c r="AE6" s="8"/>
    </row>
    <row r="7" spans="1:31" x14ac:dyDescent="0.2">
      <c r="A7" s="9" t="s">
        <v>6</v>
      </c>
      <c r="B7">
        <f>B3*B4</f>
        <v>21051.818864000001</v>
      </c>
      <c r="AE7" s="8"/>
    </row>
    <row r="8" spans="1:31" x14ac:dyDescent="0.2">
      <c r="A8" s="9" t="s">
        <v>7</v>
      </c>
      <c r="B8">
        <f>B7*(1+B5)^B6</f>
        <v>21472.855241280002</v>
      </c>
      <c r="AE8" s="8"/>
    </row>
    <row r="9" spans="1:31" x14ac:dyDescent="0.2">
      <c r="A9" s="9" t="s">
        <v>8</v>
      </c>
      <c r="B9">
        <v>9250</v>
      </c>
      <c r="AE9" s="8"/>
    </row>
    <row r="10" spans="1:31" x14ac:dyDescent="0.2">
      <c r="A10" s="9" t="s">
        <v>9</v>
      </c>
      <c r="B10">
        <v>22200</v>
      </c>
      <c r="AE10" s="8"/>
    </row>
    <row r="11" spans="1:31" x14ac:dyDescent="0.2">
      <c r="A11" s="9" t="s">
        <v>10</v>
      </c>
      <c r="B11">
        <v>0.09</v>
      </c>
      <c r="AE11" s="8"/>
    </row>
    <row r="12" spans="1:31" x14ac:dyDescent="0.2">
      <c r="A12" s="9" t="s">
        <v>11</v>
      </c>
      <c r="B12">
        <f>data!D22</f>
        <v>17085</v>
      </c>
      <c r="AE12" s="8"/>
    </row>
    <row r="13" spans="1:31" x14ac:dyDescent="0.2">
      <c r="A13" s="9" t="s">
        <v>12</v>
      </c>
      <c r="B13">
        <f>data!E22</f>
        <v>30750</v>
      </c>
      <c r="H13" s="7"/>
      <c r="I13" s="7"/>
      <c r="AE13" s="8"/>
    </row>
    <row r="14" spans="1:31" x14ac:dyDescent="0.2">
      <c r="A14" s="9" t="s">
        <v>13</v>
      </c>
      <c r="B14">
        <v>4.2999999999999997E-2</v>
      </c>
      <c r="AE14" s="8"/>
    </row>
    <row r="15" spans="1:31" x14ac:dyDescent="0.2">
      <c r="A15" s="9" t="s">
        <v>14</v>
      </c>
      <c r="B15">
        <v>5</v>
      </c>
      <c r="AE15" s="8"/>
    </row>
    <row r="16" spans="1:31" x14ac:dyDescent="0.2">
      <c r="A16" s="9" t="s">
        <v>15</v>
      </c>
      <c r="B16">
        <v>3.2000000000000001E-2</v>
      </c>
      <c r="E16" s="10"/>
      <c r="AE16" s="8"/>
    </row>
    <row r="17" spans="1:31" x14ac:dyDescent="0.2">
      <c r="A17" s="9" t="s">
        <v>16</v>
      </c>
      <c r="B17">
        <v>7</v>
      </c>
      <c r="AE17" s="8"/>
    </row>
    <row r="18" spans="1:31" ht="17" x14ac:dyDescent="0.25">
      <c r="A18" s="9" t="s">
        <v>17</v>
      </c>
      <c r="B18" s="1">
        <f>(B14*B15+B16*B17)/(B15+B17)</f>
        <v>3.6583333333333329E-2</v>
      </c>
      <c r="AE18" s="8"/>
    </row>
    <row r="19" spans="1:31" x14ac:dyDescent="0.2">
      <c r="A19" s="9" t="s">
        <v>18</v>
      </c>
      <c r="B19">
        <v>0.03</v>
      </c>
      <c r="AE19" s="8"/>
    </row>
    <row r="20" spans="1:31" x14ac:dyDescent="0.2">
      <c r="A20" s="9" t="s">
        <v>19</v>
      </c>
      <c r="B20">
        <v>0.03</v>
      </c>
      <c r="AE20" s="8"/>
    </row>
    <row r="21" spans="1:31" x14ac:dyDescent="0.2">
      <c r="A21" s="9" t="s">
        <v>20</v>
      </c>
      <c r="B21" s="25">
        <v>-0.83574020000000004</v>
      </c>
      <c r="C21" s="25"/>
      <c r="AE21" s="8"/>
    </row>
    <row r="22" spans="1:31" x14ac:dyDescent="0.2">
      <c r="A22" s="9"/>
      <c r="AE22" s="8"/>
    </row>
    <row r="23" spans="1:31" x14ac:dyDescent="0.2">
      <c r="A23" s="43"/>
      <c r="B23" s="44"/>
      <c r="AE23" s="8"/>
    </row>
    <row r="24" spans="1:31" x14ac:dyDescent="0.2">
      <c r="A24" s="34" t="s">
        <v>31</v>
      </c>
      <c r="B24" s="15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>
        <v>13</v>
      </c>
      <c r="O24" s="16">
        <v>14</v>
      </c>
      <c r="P24" s="16">
        <v>15</v>
      </c>
      <c r="Q24" s="16">
        <v>16</v>
      </c>
      <c r="R24" s="16">
        <v>17</v>
      </c>
      <c r="S24" s="16">
        <v>18</v>
      </c>
      <c r="T24" s="16">
        <v>19</v>
      </c>
      <c r="U24" s="16">
        <v>20</v>
      </c>
      <c r="V24" s="16">
        <v>21</v>
      </c>
      <c r="W24" s="16">
        <v>22</v>
      </c>
      <c r="X24" s="16">
        <v>23</v>
      </c>
      <c r="Y24" s="16">
        <v>24</v>
      </c>
      <c r="Z24" s="16">
        <v>25</v>
      </c>
      <c r="AA24" s="16">
        <v>26</v>
      </c>
      <c r="AB24" s="16">
        <v>27</v>
      </c>
      <c r="AC24" s="16">
        <v>28</v>
      </c>
      <c r="AD24" s="16">
        <v>29</v>
      </c>
      <c r="AE24" s="35">
        <v>30</v>
      </c>
    </row>
    <row r="25" spans="1:31" ht="17" x14ac:dyDescent="0.25">
      <c r="A25" s="36" t="s">
        <v>21</v>
      </c>
      <c r="B25" s="17">
        <f>$B$8</f>
        <v>21472.855241280002</v>
      </c>
      <c r="C25" s="16">
        <f t="shared" ref="C25:AE25" si="0">$B$8*(1+$B$5)^(C$24-1)</f>
        <v>21902.312346105602</v>
      </c>
      <c r="D25" s="16">
        <f t="shared" si="0"/>
        <v>22340.358593027715</v>
      </c>
      <c r="E25" s="16">
        <f t="shared" si="0"/>
        <v>22787.165764888268</v>
      </c>
      <c r="F25" s="16">
        <f t="shared" si="0"/>
        <v>23242.909080186033</v>
      </c>
      <c r="G25" s="16">
        <f t="shared" si="0"/>
        <v>23707.767261789755</v>
      </c>
      <c r="H25" s="16">
        <f t="shared" si="0"/>
        <v>24181.92260702555</v>
      </c>
      <c r="I25" s="16">
        <f t="shared" si="0"/>
        <v>24665.561059166055</v>
      </c>
      <c r="J25" s="16">
        <f t="shared" si="0"/>
        <v>25158.87228034938</v>
      </c>
      <c r="K25" s="16">
        <f t="shared" si="0"/>
        <v>25662.049725956367</v>
      </c>
      <c r="L25" s="16">
        <f t="shared" si="0"/>
        <v>26175.290720475496</v>
      </c>
      <c r="M25" s="16">
        <f t="shared" si="0"/>
        <v>26698.796534885001</v>
      </c>
      <c r="N25" s="16">
        <f t="shared" si="0"/>
        <v>27232.772465582704</v>
      </c>
      <c r="O25" s="16">
        <f t="shared" si="0"/>
        <v>27777.427914894357</v>
      </c>
      <c r="P25" s="16">
        <f t="shared" si="0"/>
        <v>28332.976473192248</v>
      </c>
      <c r="Q25" s="16">
        <f t="shared" si="0"/>
        <v>28899.636002656083</v>
      </c>
      <c r="R25" s="16">
        <f t="shared" si="0"/>
        <v>29477.628722709211</v>
      </c>
      <c r="S25" s="16">
        <f t="shared" si="0"/>
        <v>30067.181297163399</v>
      </c>
      <c r="T25" s="16">
        <f t="shared" si="0"/>
        <v>30668.524923106663</v>
      </c>
      <c r="U25" s="16">
        <f t="shared" si="0"/>
        <v>31281.895421568795</v>
      </c>
      <c r="V25" s="16">
        <f t="shared" si="0"/>
        <v>31907.533330000173</v>
      </c>
      <c r="W25" s="16">
        <f t="shared" si="0"/>
        <v>32545.683996600175</v>
      </c>
      <c r="X25" s="16">
        <f t="shared" si="0"/>
        <v>33196.597676532183</v>
      </c>
      <c r="Y25" s="16">
        <f t="shared" si="0"/>
        <v>33860.529630062818</v>
      </c>
      <c r="Z25" s="16">
        <f t="shared" si="0"/>
        <v>34537.740222664077</v>
      </c>
      <c r="AA25" s="16">
        <f t="shared" si="0"/>
        <v>35228.495027117358</v>
      </c>
      <c r="AB25" s="16">
        <f t="shared" si="0"/>
        <v>35933.064927659711</v>
      </c>
      <c r="AC25" s="16">
        <f t="shared" si="0"/>
        <v>36651.726226212893</v>
      </c>
      <c r="AD25" s="16">
        <f t="shared" si="0"/>
        <v>37384.760750737165</v>
      </c>
      <c r="AE25" s="35">
        <f t="shared" si="0"/>
        <v>38132.455965751898</v>
      </c>
    </row>
    <row r="26" spans="1:31" ht="17" x14ac:dyDescent="0.25">
      <c r="A26" s="36" t="s">
        <v>22</v>
      </c>
      <c r="B26" s="17">
        <f>IF(B25&lt;=$B$12,0,IF(B25&lt;$B$13,(B25-$B$12)/($B$13-$B$12),1))</f>
        <v>0.32110173737870484</v>
      </c>
      <c r="C26" s="17">
        <f>IF(C25&lt;=$B$12,0,IF(C25&lt;$B$13,(C25-$B$12)/($B$13-$B$12),1))</f>
        <v>0.35252926060048312</v>
      </c>
      <c r="D26" s="17">
        <f t="shared" ref="D26:AE26" si="1">IF(D25&lt;=$B$12,0,IF(D25&lt;$B$13,(D25-$B$12)/($B$13-$B$12),1))</f>
        <v>0.38458533428669706</v>
      </c>
      <c r="E26" s="17">
        <f t="shared" si="1"/>
        <v>0.41728252944663508</v>
      </c>
      <c r="F26" s="17">
        <f t="shared" si="1"/>
        <v>0.45063366850977188</v>
      </c>
      <c r="G26" s="17">
        <f t="shared" si="1"/>
        <v>0.48465183035417164</v>
      </c>
      <c r="H26" s="17">
        <f t="shared" si="1"/>
        <v>0.51935035543545915</v>
      </c>
      <c r="I26" s="17">
        <f t="shared" si="1"/>
        <v>0.55474285101837217</v>
      </c>
      <c r="J26" s="17">
        <f t="shared" si="1"/>
        <v>0.59084319651294404</v>
      </c>
      <c r="K26" s="17">
        <f t="shared" si="1"/>
        <v>0.627665548917407</v>
      </c>
      <c r="L26" s="17">
        <f t="shared" si="1"/>
        <v>0.66522434836995947</v>
      </c>
      <c r="M26" s="17">
        <f t="shared" si="1"/>
        <v>0.70353432381156245</v>
      </c>
      <c r="N26" s="17">
        <f t="shared" si="1"/>
        <v>0.74261049876199814</v>
      </c>
      <c r="O26" s="17">
        <f t="shared" si="1"/>
        <v>0.78246819721144212</v>
      </c>
      <c r="P26" s="17">
        <f t="shared" si="1"/>
        <v>0.82312304962987548</v>
      </c>
      <c r="Q26" s="17">
        <f t="shared" si="1"/>
        <v>0.86459099909667647</v>
      </c>
      <c r="R26" s="17">
        <f t="shared" si="1"/>
        <v>0.90688830755281458</v>
      </c>
      <c r="S26" s="17">
        <f t="shared" si="1"/>
        <v>0.95003156217807527</v>
      </c>
      <c r="T26" s="17">
        <f t="shared" si="1"/>
        <v>0.99403768189584063</v>
      </c>
      <c r="U26" s="17">
        <f t="shared" si="1"/>
        <v>1</v>
      </c>
      <c r="V26" s="17">
        <f t="shared" si="1"/>
        <v>1</v>
      </c>
      <c r="W26" s="17">
        <f t="shared" si="1"/>
        <v>1</v>
      </c>
      <c r="X26" s="17">
        <f t="shared" si="1"/>
        <v>1</v>
      </c>
      <c r="Y26" s="17">
        <f t="shared" si="1"/>
        <v>1</v>
      </c>
      <c r="Z26" s="17">
        <f t="shared" si="1"/>
        <v>1</v>
      </c>
      <c r="AA26" s="17">
        <f t="shared" si="1"/>
        <v>1</v>
      </c>
      <c r="AB26" s="17">
        <f t="shared" si="1"/>
        <v>1</v>
      </c>
      <c r="AC26" s="17">
        <f t="shared" si="1"/>
        <v>1</v>
      </c>
      <c r="AD26" s="17">
        <f t="shared" si="1"/>
        <v>1</v>
      </c>
      <c r="AE26" s="37">
        <f t="shared" si="1"/>
        <v>1</v>
      </c>
    </row>
    <row r="27" spans="1:31" ht="17" x14ac:dyDescent="0.25">
      <c r="A27" s="36" t="s">
        <v>23</v>
      </c>
      <c r="B27" s="17">
        <f>$B$18+$B$19*B26</f>
        <v>4.6216385454694475E-2</v>
      </c>
      <c r="C27" s="16">
        <f>$B$18+$B$19*C26</f>
        <v>4.7159211151347823E-2</v>
      </c>
      <c r="D27" s="16">
        <f t="shared" ref="D27:AE27" si="2">$B$18+$B$19*D26</f>
        <v>4.8120893361934244E-2</v>
      </c>
      <c r="E27" s="16">
        <f t="shared" si="2"/>
        <v>4.9101809216732378E-2</v>
      </c>
      <c r="F27" s="16">
        <f t="shared" si="2"/>
        <v>5.0102343388626486E-2</v>
      </c>
      <c r="G27" s="16">
        <f t="shared" si="2"/>
        <v>5.1122888243958477E-2</v>
      </c>
      <c r="H27" s="16">
        <f t="shared" si="2"/>
        <v>5.2163843996397105E-2</v>
      </c>
      <c r="I27" s="16">
        <f t="shared" si="2"/>
        <v>5.3225618863884494E-2</v>
      </c>
      <c r="J27" s="16">
        <f t="shared" si="2"/>
        <v>5.430862922872165E-2</v>
      </c>
      <c r="K27" s="16">
        <f t="shared" si="2"/>
        <v>5.5413299800855534E-2</v>
      </c>
      <c r="L27" s="16">
        <f t="shared" si="2"/>
        <v>5.6540063784432111E-2</v>
      </c>
      <c r="M27" s="16">
        <f t="shared" si="2"/>
        <v>5.7689363047680201E-2</v>
      </c>
      <c r="N27" s="16">
        <f t="shared" si="2"/>
        <v>5.8861648296193274E-2</v>
      </c>
      <c r="O27" s="16">
        <f t="shared" si="2"/>
        <v>6.0057379249676593E-2</v>
      </c>
      <c r="P27" s="16">
        <f t="shared" si="2"/>
        <v>6.1277024822229589E-2</v>
      </c>
      <c r="Q27" s="16">
        <f t="shared" si="2"/>
        <v>6.2521063306233624E-2</v>
      </c>
      <c r="R27" s="16">
        <f t="shared" si="2"/>
        <v>6.378998255991776E-2</v>
      </c>
      <c r="S27" s="16">
        <f t="shared" si="2"/>
        <v>6.5084280198675584E-2</v>
      </c>
      <c r="T27" s="16">
        <f t="shared" si="2"/>
        <v>6.6404463790208548E-2</v>
      </c>
      <c r="U27" s="16">
        <f t="shared" si="2"/>
        <v>6.6583333333333328E-2</v>
      </c>
      <c r="V27" s="16">
        <f t="shared" si="2"/>
        <v>6.6583333333333328E-2</v>
      </c>
      <c r="W27" s="16">
        <f t="shared" si="2"/>
        <v>6.6583333333333328E-2</v>
      </c>
      <c r="X27" s="16">
        <f t="shared" si="2"/>
        <v>6.6583333333333328E-2</v>
      </c>
      <c r="Y27" s="16">
        <f t="shared" si="2"/>
        <v>6.6583333333333328E-2</v>
      </c>
      <c r="Z27" s="16">
        <f t="shared" si="2"/>
        <v>6.6583333333333328E-2</v>
      </c>
      <c r="AA27" s="16">
        <f t="shared" si="2"/>
        <v>6.6583333333333328E-2</v>
      </c>
      <c r="AB27" s="16">
        <f t="shared" si="2"/>
        <v>6.6583333333333328E-2</v>
      </c>
      <c r="AC27" s="16">
        <f t="shared" si="2"/>
        <v>6.6583333333333328E-2</v>
      </c>
      <c r="AD27" s="16">
        <f t="shared" si="2"/>
        <v>6.6583333333333328E-2</v>
      </c>
      <c r="AE27" s="35">
        <f t="shared" si="2"/>
        <v>6.6583333333333328E-2</v>
      </c>
    </row>
    <row r="28" spans="1:31" ht="17" x14ac:dyDescent="0.25">
      <c r="A28" s="36" t="s">
        <v>24</v>
      </c>
      <c r="B28" s="17">
        <f>$B$9</f>
        <v>9250</v>
      </c>
      <c r="C28" s="16">
        <f>B32</f>
        <v>9282.5945937407232</v>
      </c>
      <c r="D28" s="16">
        <f t="shared" ref="D28:AE28" si="3">C32</f>
        <v>9286.7963210697981</v>
      </c>
      <c r="E28" s="16">
        <f t="shared" si="3"/>
        <v>9260.7029831375057</v>
      </c>
      <c r="F28" s="16">
        <f t="shared" si="3"/>
        <v>9202.2253353884025</v>
      </c>
      <c r="G28" s="16">
        <f t="shared" si="3"/>
        <v>9109.0665718648088</v>
      </c>
      <c r="H28" s="16">
        <f t="shared" si="3"/>
        <v>8978.6993106639529</v>
      </c>
      <c r="I28" s="16">
        <f t="shared" si="3"/>
        <v>8808.3397461636869</v>
      </c>
      <c r="J28" s="16">
        <f t="shared" si="3"/>
        <v>8594.9185849916557</v>
      </c>
      <c r="K28" s="16">
        <f t="shared" si="3"/>
        <v>8335.0483264435716</v>
      </c>
      <c r="L28" s="16">
        <f t="shared" si="3"/>
        <v>8024.9863828753369</v>
      </c>
      <c r="M28" s="16">
        <f t="shared" si="3"/>
        <v>7660.5934599895145</v>
      </c>
      <c r="N28" s="16">
        <f t="shared" si="3"/>
        <v>7237.2865291238841</v>
      </c>
      <c r="O28" s="16">
        <f t="shared" si="3"/>
        <v>6749.9856215175078</v>
      </c>
      <c r="P28" s="16">
        <f t="shared" si="3"/>
        <v>6193.0535555783563</v>
      </c>
      <c r="Q28" s="16">
        <f t="shared" si="3"/>
        <v>5560.2275694416267</v>
      </c>
      <c r="R28" s="16">
        <f t="shared" si="3"/>
        <v>4844.5416690687052</v>
      </c>
      <c r="S28" s="16">
        <f t="shared" si="3"/>
        <v>4038.2383126055634</v>
      </c>
      <c r="T28" s="16">
        <f t="shared" si="3"/>
        <v>3132.6678297075046</v>
      </c>
      <c r="U28" s="16">
        <f t="shared" si="3"/>
        <v>2118.1737140924683</v>
      </c>
      <c r="V28" s="16">
        <f t="shared" si="3"/>
        <v>981.48819261460062</v>
      </c>
      <c r="W28" s="16">
        <f t="shared" si="3"/>
        <v>0</v>
      </c>
      <c r="X28" s="16">
        <f t="shared" si="3"/>
        <v>0</v>
      </c>
      <c r="Y28" s="16">
        <f t="shared" si="3"/>
        <v>0</v>
      </c>
      <c r="Z28" s="16">
        <f t="shared" si="3"/>
        <v>0</v>
      </c>
      <c r="AA28" s="16">
        <f t="shared" si="3"/>
        <v>0</v>
      </c>
      <c r="AB28" s="16">
        <f t="shared" si="3"/>
        <v>0</v>
      </c>
      <c r="AC28" s="16">
        <f t="shared" si="3"/>
        <v>0</v>
      </c>
      <c r="AD28" s="16">
        <f t="shared" si="3"/>
        <v>0</v>
      </c>
      <c r="AE28" s="35">
        <f t="shared" si="3"/>
        <v>0</v>
      </c>
    </row>
    <row r="29" spans="1:31" ht="17" x14ac:dyDescent="0.25">
      <c r="A29" s="36" t="s">
        <v>25</v>
      </c>
      <c r="B29" s="17">
        <f>B28*(1+B27)</f>
        <v>9677.5015654559229</v>
      </c>
      <c r="C29" s="16">
        <f>C28*(1+C27)</f>
        <v>9720.3544322193029</v>
      </c>
      <c r="D29" s="16">
        <f t="shared" ref="D29:AE29" si="4">D28*(1+D27)</f>
        <v>9733.6852565099998</v>
      </c>
      <c r="E29" s="16">
        <f t="shared" si="4"/>
        <v>9715.4202542283474</v>
      </c>
      <c r="F29" s="16">
        <f t="shared" si="4"/>
        <v>9663.2783890815517</v>
      </c>
      <c r="G29" s="16">
        <f t="shared" si="4"/>
        <v>9574.7483642250318</v>
      </c>
      <c r="H29" s="16">
        <f t="shared" si="4"/>
        <v>9447.0627807959863</v>
      </c>
      <c r="I29" s="16">
        <f t="shared" si="4"/>
        <v>9277.1690803166002</v>
      </c>
      <c r="J29" s="16">
        <f t="shared" si="4"/>
        <v>9061.6968316750153</v>
      </c>
      <c r="K29" s="16">
        <f t="shared" si="4"/>
        <v>8796.9208582114097</v>
      </c>
      <c r="L29" s="16">
        <f t="shared" si="4"/>
        <v>8478.7196248323089</v>
      </c>
      <c r="M29" s="16">
        <f t="shared" si="4"/>
        <v>8102.5282172635343</v>
      </c>
      <c r="N29" s="16">
        <f t="shared" si="4"/>
        <v>7663.2851434199511</v>
      </c>
      <c r="O29" s="16">
        <f t="shared" si="4"/>
        <v>7155.3720679188482</v>
      </c>
      <c r="P29" s="16">
        <f t="shared" si="4"/>
        <v>6572.5454520289286</v>
      </c>
      <c r="Q29" s="16">
        <f t="shared" si="4"/>
        <v>5907.8589093077526</v>
      </c>
      <c r="R29" s="16">
        <f t="shared" si="4"/>
        <v>5153.5748976493924</v>
      </c>
      <c r="S29" s="16">
        <f t="shared" si="4"/>
        <v>4301.0641464522105</v>
      </c>
      <c r="T29" s="16">
        <f t="shared" si="4"/>
        <v>3340.690957172068</v>
      </c>
      <c r="U29" s="16">
        <f t="shared" si="4"/>
        <v>2259.2087805557921</v>
      </c>
      <c r="V29" s="16">
        <f t="shared" si="4"/>
        <v>1046.8389481061895</v>
      </c>
      <c r="W29" s="16">
        <f t="shared" si="4"/>
        <v>0</v>
      </c>
      <c r="X29" s="16">
        <f t="shared" si="4"/>
        <v>0</v>
      </c>
      <c r="Y29" s="16">
        <f t="shared" si="4"/>
        <v>0</v>
      </c>
      <c r="Z29" s="16">
        <f t="shared" si="4"/>
        <v>0</v>
      </c>
      <c r="AA29" s="16">
        <f t="shared" si="4"/>
        <v>0</v>
      </c>
      <c r="AB29" s="16">
        <f t="shared" si="4"/>
        <v>0</v>
      </c>
      <c r="AC29" s="16">
        <f t="shared" si="4"/>
        <v>0</v>
      </c>
      <c r="AD29" s="16">
        <f t="shared" si="4"/>
        <v>0</v>
      </c>
      <c r="AE29" s="35">
        <f t="shared" si="4"/>
        <v>0</v>
      </c>
    </row>
    <row r="30" spans="1:31" ht="17" x14ac:dyDescent="0.25">
      <c r="A30" s="36" t="s">
        <v>26</v>
      </c>
      <c r="B30" s="17">
        <f>$B$11*MAX(0,B25-$B$12)</f>
        <v>394.90697171520014</v>
      </c>
      <c r="C30" s="16">
        <f>$B$11*MAX(0,C25-$B$12)</f>
        <v>433.55811114950416</v>
      </c>
      <c r="D30" s="16">
        <f t="shared" ref="D30:AE30" si="5">$B$11*MAX(0,D25-$B$12)</f>
        <v>472.98227337249432</v>
      </c>
      <c r="E30" s="16">
        <f t="shared" si="5"/>
        <v>513.19491883994408</v>
      </c>
      <c r="F30" s="16">
        <f t="shared" si="5"/>
        <v>554.21181721674293</v>
      </c>
      <c r="G30" s="16">
        <f t="shared" si="5"/>
        <v>596.04905356107793</v>
      </c>
      <c r="H30" s="16">
        <f t="shared" si="5"/>
        <v>638.72303463229946</v>
      </c>
      <c r="I30" s="16">
        <f t="shared" si="5"/>
        <v>682.25049532494495</v>
      </c>
      <c r="J30" s="16">
        <f t="shared" si="5"/>
        <v>726.64850523144423</v>
      </c>
      <c r="K30" s="16">
        <f t="shared" si="5"/>
        <v>771.93447533607298</v>
      </c>
      <c r="L30" s="16">
        <f t="shared" si="5"/>
        <v>818.12616484279454</v>
      </c>
      <c r="M30" s="16">
        <f t="shared" si="5"/>
        <v>865.24168813965002</v>
      </c>
      <c r="N30" s="16">
        <f t="shared" si="5"/>
        <v>913.2995219024433</v>
      </c>
      <c r="O30" s="16">
        <f t="shared" si="5"/>
        <v>962.31851234049213</v>
      </c>
      <c r="P30" s="16">
        <f t="shared" si="5"/>
        <v>1012.3178825873023</v>
      </c>
      <c r="Q30" s="16">
        <f t="shared" si="5"/>
        <v>1063.3172402390474</v>
      </c>
      <c r="R30" s="16">
        <f t="shared" si="5"/>
        <v>1115.336585043829</v>
      </c>
      <c r="S30" s="16">
        <f t="shared" si="5"/>
        <v>1168.3963167447059</v>
      </c>
      <c r="T30" s="16">
        <f t="shared" si="5"/>
        <v>1222.5172430795997</v>
      </c>
      <c r="U30" s="16">
        <f t="shared" si="5"/>
        <v>1277.7205879411915</v>
      </c>
      <c r="V30" s="16">
        <f t="shared" si="5"/>
        <v>1334.0279997000155</v>
      </c>
      <c r="W30" s="16">
        <f t="shared" si="5"/>
        <v>1391.4615596940157</v>
      </c>
      <c r="X30" s="16">
        <f t="shared" si="5"/>
        <v>1450.0437908878964</v>
      </c>
      <c r="Y30" s="16">
        <f t="shared" si="5"/>
        <v>1509.7976667056535</v>
      </c>
      <c r="Z30" s="16">
        <f t="shared" si="5"/>
        <v>1570.7466200397669</v>
      </c>
      <c r="AA30" s="16">
        <f t="shared" si="5"/>
        <v>1632.9145524405621</v>
      </c>
      <c r="AB30" s="16">
        <f t="shared" si="5"/>
        <v>1696.3258434893739</v>
      </c>
      <c r="AC30" s="16">
        <f t="shared" si="5"/>
        <v>1761.0053603591602</v>
      </c>
      <c r="AD30" s="16">
        <f t="shared" si="5"/>
        <v>1826.9784675663448</v>
      </c>
      <c r="AE30" s="35">
        <f t="shared" si="5"/>
        <v>1894.2710369176707</v>
      </c>
    </row>
    <row r="31" spans="1:31" ht="17" x14ac:dyDescent="0.25">
      <c r="A31" s="36" t="s">
        <v>27</v>
      </c>
      <c r="B31" s="17">
        <f>MIN(B30,B29)</f>
        <v>394.90697171520014</v>
      </c>
      <c r="C31" s="16">
        <f>MIN(C30,C29)</f>
        <v>433.55811114950416</v>
      </c>
      <c r="D31" s="16">
        <f>MIN(D30,D29)</f>
        <v>472.98227337249432</v>
      </c>
      <c r="E31" s="16">
        <f t="shared" ref="E31:AE31" si="6">MIN(E30,E29)</f>
        <v>513.19491883994408</v>
      </c>
      <c r="F31" s="16">
        <f t="shared" si="6"/>
        <v>554.21181721674293</v>
      </c>
      <c r="G31" s="16">
        <f t="shared" si="6"/>
        <v>596.04905356107793</v>
      </c>
      <c r="H31" s="16">
        <f t="shared" si="6"/>
        <v>638.72303463229946</v>
      </c>
      <c r="I31" s="16">
        <f t="shared" si="6"/>
        <v>682.25049532494495</v>
      </c>
      <c r="J31" s="16">
        <f t="shared" si="6"/>
        <v>726.64850523144423</v>
      </c>
      <c r="K31" s="16">
        <f t="shared" si="6"/>
        <v>771.93447533607298</v>
      </c>
      <c r="L31" s="16">
        <f t="shared" si="6"/>
        <v>818.12616484279454</v>
      </c>
      <c r="M31" s="16">
        <f t="shared" si="6"/>
        <v>865.24168813965002</v>
      </c>
      <c r="N31" s="16">
        <f t="shared" si="6"/>
        <v>913.2995219024433</v>
      </c>
      <c r="O31" s="16">
        <f t="shared" si="6"/>
        <v>962.31851234049213</v>
      </c>
      <c r="P31" s="16">
        <f t="shared" si="6"/>
        <v>1012.3178825873023</v>
      </c>
      <c r="Q31" s="16">
        <f t="shared" si="6"/>
        <v>1063.3172402390474</v>
      </c>
      <c r="R31" s="16">
        <f t="shared" si="6"/>
        <v>1115.336585043829</v>
      </c>
      <c r="S31" s="16">
        <f t="shared" si="6"/>
        <v>1168.3963167447059</v>
      </c>
      <c r="T31" s="16">
        <f t="shared" si="6"/>
        <v>1222.5172430795997</v>
      </c>
      <c r="U31" s="16">
        <f t="shared" si="6"/>
        <v>1277.7205879411915</v>
      </c>
      <c r="V31" s="16">
        <f t="shared" si="6"/>
        <v>1046.8389481061895</v>
      </c>
      <c r="W31" s="16">
        <f t="shared" si="6"/>
        <v>0</v>
      </c>
      <c r="X31" s="16">
        <f t="shared" si="6"/>
        <v>0</v>
      </c>
      <c r="Y31" s="16">
        <f t="shared" si="6"/>
        <v>0</v>
      </c>
      <c r="Z31" s="16">
        <f t="shared" si="6"/>
        <v>0</v>
      </c>
      <c r="AA31" s="16">
        <f t="shared" si="6"/>
        <v>0</v>
      </c>
      <c r="AB31" s="16">
        <f t="shared" si="6"/>
        <v>0</v>
      </c>
      <c r="AC31" s="16">
        <f t="shared" si="6"/>
        <v>0</v>
      </c>
      <c r="AD31" s="16">
        <f t="shared" si="6"/>
        <v>0</v>
      </c>
      <c r="AE31" s="35">
        <f t="shared" si="6"/>
        <v>0</v>
      </c>
    </row>
    <row r="32" spans="1:31" ht="17" x14ac:dyDescent="0.25">
      <c r="A32" s="38" t="s">
        <v>28</v>
      </c>
      <c r="B32" s="19">
        <f>B29-B31</f>
        <v>9282.5945937407232</v>
      </c>
      <c r="C32" s="18">
        <f>C29-C31</f>
        <v>9286.7963210697981</v>
      </c>
      <c r="D32" s="18">
        <f t="shared" ref="D32:AE32" si="7">D29-D31</f>
        <v>9260.7029831375057</v>
      </c>
      <c r="E32" s="18">
        <f t="shared" si="7"/>
        <v>9202.2253353884025</v>
      </c>
      <c r="F32" s="18">
        <f t="shared" si="7"/>
        <v>9109.0665718648088</v>
      </c>
      <c r="G32" s="18">
        <f t="shared" si="7"/>
        <v>8978.6993106639529</v>
      </c>
      <c r="H32" s="18">
        <f t="shared" si="7"/>
        <v>8808.3397461636869</v>
      </c>
      <c r="I32" s="18">
        <f t="shared" si="7"/>
        <v>8594.9185849916557</v>
      </c>
      <c r="J32" s="18">
        <f t="shared" si="7"/>
        <v>8335.0483264435716</v>
      </c>
      <c r="K32" s="18">
        <f t="shared" si="7"/>
        <v>8024.9863828753369</v>
      </c>
      <c r="L32" s="18">
        <f t="shared" si="7"/>
        <v>7660.5934599895145</v>
      </c>
      <c r="M32" s="18">
        <f t="shared" si="7"/>
        <v>7237.2865291238841</v>
      </c>
      <c r="N32" s="18">
        <f t="shared" si="7"/>
        <v>6749.9856215175078</v>
      </c>
      <c r="O32" s="18">
        <f t="shared" si="7"/>
        <v>6193.0535555783563</v>
      </c>
      <c r="P32" s="18">
        <f t="shared" si="7"/>
        <v>5560.2275694416267</v>
      </c>
      <c r="Q32" s="18">
        <f t="shared" si="7"/>
        <v>4844.5416690687052</v>
      </c>
      <c r="R32" s="18">
        <f t="shared" si="7"/>
        <v>4038.2383126055634</v>
      </c>
      <c r="S32" s="18">
        <f t="shared" si="7"/>
        <v>3132.6678297075046</v>
      </c>
      <c r="T32" s="18">
        <f t="shared" si="7"/>
        <v>2118.1737140924683</v>
      </c>
      <c r="U32" s="18">
        <f t="shared" si="7"/>
        <v>981.48819261460062</v>
      </c>
      <c r="V32" s="18">
        <f t="shared" si="7"/>
        <v>0</v>
      </c>
      <c r="W32" s="18">
        <f t="shared" si="7"/>
        <v>0</v>
      </c>
      <c r="X32" s="18">
        <f t="shared" si="7"/>
        <v>0</v>
      </c>
      <c r="Y32" s="18">
        <f t="shared" si="7"/>
        <v>0</v>
      </c>
      <c r="Z32" s="18">
        <f t="shared" si="7"/>
        <v>0</v>
      </c>
      <c r="AA32" s="18">
        <f t="shared" si="7"/>
        <v>0</v>
      </c>
      <c r="AB32" s="18">
        <f t="shared" si="7"/>
        <v>0</v>
      </c>
      <c r="AC32" s="18">
        <f t="shared" si="7"/>
        <v>0</v>
      </c>
      <c r="AD32" s="18">
        <f t="shared" si="7"/>
        <v>0</v>
      </c>
      <c r="AE32" s="39">
        <f t="shared" si="7"/>
        <v>0</v>
      </c>
    </row>
    <row r="33" spans="1:31" ht="17" x14ac:dyDescent="0.25">
      <c r="A33" s="36" t="s">
        <v>29</v>
      </c>
      <c r="B33" s="17">
        <f>1/(1+$B$20)</f>
        <v>0.970873786407767</v>
      </c>
      <c r="C33" s="16">
        <f t="shared" ref="C33:AE33" si="8">1/(1+$B$20)^C$24</f>
        <v>0.94259590913375435</v>
      </c>
      <c r="D33" s="16">
        <f t="shared" si="8"/>
        <v>0.91514165935315961</v>
      </c>
      <c r="E33" s="16">
        <f t="shared" si="8"/>
        <v>0.888487047915689</v>
      </c>
      <c r="F33" s="16">
        <f t="shared" si="8"/>
        <v>0.86260878438416411</v>
      </c>
      <c r="G33" s="16">
        <f t="shared" si="8"/>
        <v>0.83748425668365445</v>
      </c>
      <c r="H33" s="16">
        <f t="shared" si="8"/>
        <v>0.81309151134335378</v>
      </c>
      <c r="I33" s="16">
        <f t="shared" si="8"/>
        <v>0.78940923431393573</v>
      </c>
      <c r="J33" s="16">
        <f t="shared" si="8"/>
        <v>0.76641673234362695</v>
      </c>
      <c r="K33" s="16">
        <f t="shared" si="8"/>
        <v>0.74409391489672516</v>
      </c>
      <c r="L33" s="16">
        <f t="shared" si="8"/>
        <v>0.72242127659876232</v>
      </c>
      <c r="M33" s="16">
        <f t="shared" si="8"/>
        <v>0.70137988019297326</v>
      </c>
      <c r="N33" s="16">
        <f t="shared" si="8"/>
        <v>0.68095133999317792</v>
      </c>
      <c r="O33" s="16">
        <f t="shared" si="8"/>
        <v>0.66111780581861923</v>
      </c>
      <c r="P33" s="16">
        <f t="shared" si="8"/>
        <v>0.64186194739671765</v>
      </c>
      <c r="Q33" s="16">
        <f t="shared" si="8"/>
        <v>0.62316693922011435</v>
      </c>
      <c r="R33" s="16">
        <f t="shared" si="8"/>
        <v>0.60501644584477121</v>
      </c>
      <c r="S33" s="16">
        <f t="shared" si="8"/>
        <v>0.5873946076162827</v>
      </c>
      <c r="T33" s="16">
        <f t="shared" si="8"/>
        <v>0.57028602681192497</v>
      </c>
      <c r="U33" s="16">
        <f t="shared" si="8"/>
        <v>0.55367575418633497</v>
      </c>
      <c r="V33" s="16">
        <f t="shared" si="8"/>
        <v>0.5375492759090631</v>
      </c>
      <c r="W33" s="16">
        <f t="shared" si="8"/>
        <v>0.52189250088258554</v>
      </c>
      <c r="X33" s="16">
        <f t="shared" si="8"/>
        <v>0.50669174842969467</v>
      </c>
      <c r="Y33" s="16">
        <f t="shared" si="8"/>
        <v>0.49193373633950943</v>
      </c>
      <c r="Z33" s="16">
        <f t="shared" si="8"/>
        <v>0.47760556926165965</v>
      </c>
      <c r="AA33" s="16">
        <f t="shared" si="8"/>
        <v>0.46369472743850448</v>
      </c>
      <c r="AB33" s="16">
        <f t="shared" si="8"/>
        <v>0.45018905576553836</v>
      </c>
      <c r="AC33" s="16">
        <f t="shared" si="8"/>
        <v>0.4370767531704256</v>
      </c>
      <c r="AD33" s="16">
        <f t="shared" si="8"/>
        <v>0.42434636230138412</v>
      </c>
      <c r="AE33" s="35">
        <f t="shared" si="8"/>
        <v>0.41198675951590691</v>
      </c>
    </row>
    <row r="34" spans="1:31" ht="17" x14ac:dyDescent="0.25">
      <c r="A34" s="36" t="s">
        <v>30</v>
      </c>
      <c r="B34" s="17">
        <f>B31*B33</f>
        <v>383.40482690796131</v>
      </c>
      <c r="C34" s="16">
        <f>C31*C33</f>
        <v>408.67010194128017</v>
      </c>
      <c r="D34" s="16">
        <f t="shared" ref="D34:AE34" si="9">D31*D33</f>
        <v>432.8457824987342</v>
      </c>
      <c r="E34" s="16">
        <f t="shared" si="9"/>
        <v>455.9670384454335</v>
      </c>
      <c r="F34" s="16">
        <f t="shared" si="9"/>
        <v>478.06798194067318</v>
      </c>
      <c r="G34" s="16">
        <f t="shared" si="9"/>
        <v>499.1816985685951</v>
      </c>
      <c r="H34" s="16">
        <f t="shared" si="9"/>
        <v>519.34027755898967</v>
      </c>
      <c r="I34" s="16">
        <f t="shared" si="9"/>
        <v>538.57484112476823</v>
      </c>
      <c r="J34" s="16">
        <f t="shared" si="9"/>
        <v>556.91557294186441</v>
      </c>
      <c r="K34" s="16">
        <f t="shared" si="9"/>
        <v>574.3917457965681</v>
      </c>
      <c r="L34" s="16">
        <f t="shared" si="9"/>
        <v>591.03174842458111</v>
      </c>
      <c r="M34" s="16">
        <f t="shared" si="9"/>
        <v>606.86311156535362</v>
      </c>
      <c r="N34" s="16">
        <f t="shared" si="9"/>
        <v>621.91253325459752</v>
      </c>
      <c r="O34" s="16">
        <f t="shared" si="9"/>
        <v>636.20590337718397</v>
      </c>
      <c r="P34" s="16">
        <f t="shared" si="9"/>
        <v>649.76832750200765</v>
      </c>
      <c r="Q34" s="16">
        <f t="shared" si="9"/>
        <v>662.62415001974614</v>
      </c>
      <c r="R34" s="16">
        <f t="shared" si="9"/>
        <v>674.79697660386182</v>
      </c>
      <c r="S34" s="16">
        <f t="shared" si="9"/>
        <v>686.3096960145665</v>
      </c>
      <c r="T34" s="16">
        <f t="shared" si="9"/>
        <v>697.18450126493315</v>
      </c>
      <c r="U34" s="16">
        <f t="shared" si="9"/>
        <v>707.4429101677465</v>
      </c>
      <c r="V34" s="16">
        <f t="shared" si="9"/>
        <v>562.72751854788748</v>
      </c>
      <c r="W34" s="16">
        <f t="shared" si="9"/>
        <v>0</v>
      </c>
      <c r="X34" s="16">
        <f t="shared" si="9"/>
        <v>0</v>
      </c>
      <c r="Y34" s="16">
        <f t="shared" si="9"/>
        <v>0</v>
      </c>
      <c r="Z34" s="16">
        <f t="shared" si="9"/>
        <v>0</v>
      </c>
      <c r="AA34" s="16">
        <f t="shared" si="9"/>
        <v>0</v>
      </c>
      <c r="AB34" s="16">
        <f t="shared" si="9"/>
        <v>0</v>
      </c>
      <c r="AC34" s="16">
        <f t="shared" si="9"/>
        <v>0</v>
      </c>
      <c r="AD34" s="16">
        <f t="shared" si="9"/>
        <v>0</v>
      </c>
      <c r="AE34" s="35">
        <f t="shared" si="9"/>
        <v>0</v>
      </c>
    </row>
    <row r="35" spans="1:31" x14ac:dyDescent="0.2">
      <c r="A35" s="9"/>
      <c r="AE35" s="8"/>
    </row>
    <row r="36" spans="1:31" ht="17" x14ac:dyDescent="0.25">
      <c r="A36" s="9"/>
      <c r="B36" s="1"/>
      <c r="AE36" s="8"/>
    </row>
    <row r="37" spans="1:31" ht="17" x14ac:dyDescent="0.2">
      <c r="A37" s="40" t="s">
        <v>33</v>
      </c>
      <c r="B37" s="41">
        <f>SUM(B34:AE34)</f>
        <v>11944.227244467336</v>
      </c>
      <c r="AE37" s="8"/>
    </row>
    <row r="38" spans="1:31" ht="34" x14ac:dyDescent="0.2">
      <c r="A38" s="40" t="s">
        <v>34</v>
      </c>
      <c r="B38" s="40">
        <f>LN($B$10)-LN(B37)</f>
        <v>0.61984420299619991</v>
      </c>
      <c r="AE38" s="8"/>
    </row>
    <row r="39" spans="1:31" ht="17" x14ac:dyDescent="0.2">
      <c r="A39" s="40" t="s">
        <v>35</v>
      </c>
      <c r="B39" s="40">
        <f>$B$21/B38</f>
        <v>-1.3483068744697508</v>
      </c>
      <c r="AE39" s="8"/>
    </row>
    <row r="40" spans="1:31" ht="35" thickBot="1" x14ac:dyDescent="0.25">
      <c r="A40" s="40" t="s">
        <v>36</v>
      </c>
      <c r="B40" s="41">
        <f>AE32</f>
        <v>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/>
    </row>
    <row r="41" spans="1:31" ht="17" thickBot="1" x14ac:dyDescent="0.25"/>
    <row r="42" spans="1:31" x14ac:dyDescent="0.2">
      <c r="A42" s="3" t="s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</row>
    <row r="43" spans="1:31" x14ac:dyDescent="0.2">
      <c r="A43" s="6" t="s">
        <v>0</v>
      </c>
      <c r="B43" s="7" t="s">
        <v>1</v>
      </c>
      <c r="AE43" s="8"/>
    </row>
    <row r="44" spans="1:31" x14ac:dyDescent="0.2">
      <c r="A44" s="9" t="s">
        <v>2</v>
      </c>
      <c r="B44">
        <v>24818</v>
      </c>
      <c r="AE44" s="8"/>
    </row>
    <row r="45" spans="1:31" x14ac:dyDescent="0.2">
      <c r="A45" s="9" t="s">
        <v>3</v>
      </c>
      <c r="B45">
        <v>0.848248</v>
      </c>
      <c r="AE45" s="8"/>
    </row>
    <row r="46" spans="1:31" x14ac:dyDescent="0.2">
      <c r="A46" s="9" t="s">
        <v>4</v>
      </c>
      <c r="B46">
        <v>0.02</v>
      </c>
      <c r="AE46" s="8"/>
    </row>
    <row r="47" spans="1:31" x14ac:dyDescent="0.2">
      <c r="A47" s="9" t="s">
        <v>5</v>
      </c>
      <c r="B47">
        <v>1</v>
      </c>
      <c r="AE47" s="8"/>
    </row>
    <row r="48" spans="1:31" x14ac:dyDescent="0.2">
      <c r="A48" s="9" t="s">
        <v>6</v>
      </c>
      <c r="B48">
        <v>21051.818864000001</v>
      </c>
      <c r="AE48" s="8"/>
    </row>
    <row r="49" spans="1:31" x14ac:dyDescent="0.2">
      <c r="A49" s="9" t="s">
        <v>7</v>
      </c>
      <c r="B49">
        <v>21472.855241280002</v>
      </c>
      <c r="AE49" s="8"/>
    </row>
    <row r="50" spans="1:31" x14ac:dyDescent="0.2">
      <c r="A50" s="9" t="s">
        <v>8</v>
      </c>
      <c r="B50">
        <v>9250</v>
      </c>
      <c r="AE50" s="8"/>
    </row>
    <row r="51" spans="1:31" x14ac:dyDescent="0.2">
      <c r="A51" s="9" t="s">
        <v>9</v>
      </c>
      <c r="B51">
        <v>22200</v>
      </c>
      <c r="AE51" s="8"/>
    </row>
    <row r="52" spans="1:31" x14ac:dyDescent="0.2">
      <c r="A52" s="9" t="s">
        <v>10</v>
      </c>
      <c r="B52">
        <v>0.09</v>
      </c>
      <c r="AE52" s="8"/>
    </row>
    <row r="53" spans="1:31" x14ac:dyDescent="0.2">
      <c r="A53" s="9" t="s">
        <v>11</v>
      </c>
      <c r="B53">
        <v>17085</v>
      </c>
      <c r="AE53" s="8"/>
    </row>
    <row r="54" spans="1:31" x14ac:dyDescent="0.2">
      <c r="A54" s="9" t="s">
        <v>12</v>
      </c>
      <c r="B54">
        <v>30750</v>
      </c>
      <c r="H54" s="7"/>
      <c r="I54" s="7"/>
      <c r="AE54" s="8"/>
    </row>
    <row r="55" spans="1:31" x14ac:dyDescent="0.2">
      <c r="A55" s="9" t="s">
        <v>13</v>
      </c>
      <c r="B55">
        <v>4.2999999999999997E-2</v>
      </c>
      <c r="AE55" s="8"/>
    </row>
    <row r="56" spans="1:31" x14ac:dyDescent="0.2">
      <c r="A56" s="9" t="s">
        <v>14</v>
      </c>
      <c r="B56">
        <v>5</v>
      </c>
      <c r="AE56" s="8"/>
    </row>
    <row r="57" spans="1:31" x14ac:dyDescent="0.2">
      <c r="A57" s="9" t="s">
        <v>15</v>
      </c>
      <c r="B57">
        <v>3.2000000000000001E-2</v>
      </c>
      <c r="E57" s="10"/>
      <c r="AE57" s="8"/>
    </row>
    <row r="58" spans="1:31" x14ac:dyDescent="0.2">
      <c r="A58" s="9" t="s">
        <v>16</v>
      </c>
      <c r="B58">
        <v>7</v>
      </c>
      <c r="AE58" s="8"/>
    </row>
    <row r="59" spans="1:31" ht="17" x14ac:dyDescent="0.25">
      <c r="A59" s="9" t="s">
        <v>17</v>
      </c>
      <c r="B59" s="1">
        <v>3.6583333333333329E-2</v>
      </c>
      <c r="AE59" s="8"/>
    </row>
    <row r="60" spans="1:31" x14ac:dyDescent="0.2">
      <c r="A60" s="9" t="s">
        <v>18</v>
      </c>
      <c r="B60">
        <v>0.03</v>
      </c>
      <c r="AE60" s="8"/>
    </row>
    <row r="61" spans="1:31" x14ac:dyDescent="0.2">
      <c r="A61" s="9" t="s">
        <v>19</v>
      </c>
      <c r="B61">
        <v>0.14899999999999999</v>
      </c>
      <c r="AE61" s="8"/>
    </row>
    <row r="62" spans="1:31" x14ac:dyDescent="0.2">
      <c r="A62" s="9" t="s">
        <v>20</v>
      </c>
      <c r="B62" s="25">
        <v>-0.83574020000000004</v>
      </c>
      <c r="C62" s="25"/>
      <c r="AE62" s="8"/>
    </row>
    <row r="63" spans="1:31" x14ac:dyDescent="0.2">
      <c r="A63" s="9"/>
      <c r="AE63" s="8"/>
    </row>
    <row r="64" spans="1:31" x14ac:dyDescent="0.2">
      <c r="A64" s="43"/>
      <c r="B64" s="44"/>
      <c r="AE64" s="8"/>
    </row>
    <row r="65" spans="1:31" x14ac:dyDescent="0.2">
      <c r="A65" s="34" t="s">
        <v>31</v>
      </c>
      <c r="B65" s="15">
        <v>1</v>
      </c>
      <c r="C65" s="16">
        <v>2</v>
      </c>
      <c r="D65" s="16">
        <v>3</v>
      </c>
      <c r="E65" s="16">
        <v>4</v>
      </c>
      <c r="F65" s="16">
        <v>5</v>
      </c>
      <c r="G65" s="16">
        <v>6</v>
      </c>
      <c r="H65" s="16">
        <v>7</v>
      </c>
      <c r="I65" s="16">
        <v>8</v>
      </c>
      <c r="J65" s="16">
        <v>9</v>
      </c>
      <c r="K65" s="16">
        <v>10</v>
      </c>
      <c r="L65" s="16">
        <v>11</v>
      </c>
      <c r="M65" s="16">
        <v>12</v>
      </c>
      <c r="N65" s="16">
        <v>13</v>
      </c>
      <c r="O65" s="16">
        <v>14</v>
      </c>
      <c r="P65" s="16">
        <v>15</v>
      </c>
      <c r="Q65" s="16">
        <v>16</v>
      </c>
      <c r="R65" s="16">
        <v>17</v>
      </c>
      <c r="S65" s="16">
        <v>18</v>
      </c>
      <c r="T65" s="16">
        <v>19</v>
      </c>
      <c r="U65" s="16">
        <v>20</v>
      </c>
      <c r="V65" s="16">
        <v>21</v>
      </c>
      <c r="W65" s="16">
        <v>22</v>
      </c>
      <c r="X65" s="16">
        <v>23</v>
      </c>
      <c r="Y65" s="16">
        <v>24</v>
      </c>
      <c r="Z65" s="16">
        <v>25</v>
      </c>
      <c r="AA65" s="16">
        <v>26</v>
      </c>
      <c r="AB65" s="16">
        <v>27</v>
      </c>
      <c r="AC65" s="16">
        <v>28</v>
      </c>
      <c r="AD65" s="16">
        <v>29</v>
      </c>
      <c r="AE65" s="35">
        <v>30</v>
      </c>
    </row>
    <row r="66" spans="1:31" ht="17" x14ac:dyDescent="0.25">
      <c r="A66" s="36" t="s">
        <v>21</v>
      </c>
      <c r="B66" s="17">
        <f>$B$8</f>
        <v>21472.855241280002</v>
      </c>
      <c r="C66" s="16">
        <f t="shared" ref="C66:AE66" si="10">$B$8*(1+$B$5)^(C$24-1)</f>
        <v>21902.312346105602</v>
      </c>
      <c r="D66" s="16">
        <f t="shared" si="10"/>
        <v>22340.358593027715</v>
      </c>
      <c r="E66" s="16">
        <f t="shared" si="10"/>
        <v>22787.165764888268</v>
      </c>
      <c r="F66" s="16">
        <f t="shared" si="10"/>
        <v>23242.909080186033</v>
      </c>
      <c r="G66" s="16">
        <f t="shared" si="10"/>
        <v>23707.767261789755</v>
      </c>
      <c r="H66" s="16">
        <f t="shared" si="10"/>
        <v>24181.92260702555</v>
      </c>
      <c r="I66" s="16">
        <f t="shared" si="10"/>
        <v>24665.561059166055</v>
      </c>
      <c r="J66" s="16">
        <f t="shared" si="10"/>
        <v>25158.87228034938</v>
      </c>
      <c r="K66" s="16">
        <f t="shared" si="10"/>
        <v>25662.049725956367</v>
      </c>
      <c r="L66" s="16">
        <f t="shared" si="10"/>
        <v>26175.290720475496</v>
      </c>
      <c r="M66" s="16">
        <f t="shared" si="10"/>
        <v>26698.796534885001</v>
      </c>
      <c r="N66" s="16">
        <f t="shared" si="10"/>
        <v>27232.772465582704</v>
      </c>
      <c r="O66" s="16">
        <f t="shared" si="10"/>
        <v>27777.427914894357</v>
      </c>
      <c r="P66" s="16">
        <f t="shared" si="10"/>
        <v>28332.976473192248</v>
      </c>
      <c r="Q66" s="16">
        <f t="shared" si="10"/>
        <v>28899.636002656083</v>
      </c>
      <c r="R66" s="16">
        <f t="shared" si="10"/>
        <v>29477.628722709211</v>
      </c>
      <c r="S66" s="16">
        <f t="shared" si="10"/>
        <v>30067.181297163399</v>
      </c>
      <c r="T66" s="16">
        <f t="shared" si="10"/>
        <v>30668.524923106663</v>
      </c>
      <c r="U66" s="16">
        <f t="shared" si="10"/>
        <v>31281.895421568795</v>
      </c>
      <c r="V66" s="16">
        <f t="shared" si="10"/>
        <v>31907.533330000173</v>
      </c>
      <c r="W66" s="16">
        <f t="shared" si="10"/>
        <v>32545.683996600175</v>
      </c>
      <c r="X66" s="16">
        <f t="shared" si="10"/>
        <v>33196.597676532183</v>
      </c>
      <c r="Y66" s="16">
        <f t="shared" si="10"/>
        <v>33860.529630062818</v>
      </c>
      <c r="Z66" s="16">
        <f t="shared" si="10"/>
        <v>34537.740222664077</v>
      </c>
      <c r="AA66" s="16">
        <f t="shared" si="10"/>
        <v>35228.495027117358</v>
      </c>
      <c r="AB66" s="16">
        <f t="shared" si="10"/>
        <v>35933.064927659711</v>
      </c>
      <c r="AC66" s="16">
        <f t="shared" si="10"/>
        <v>36651.726226212893</v>
      </c>
      <c r="AD66" s="16">
        <f t="shared" si="10"/>
        <v>37384.760750737165</v>
      </c>
      <c r="AE66" s="35">
        <f t="shared" si="10"/>
        <v>38132.455965751898</v>
      </c>
    </row>
    <row r="67" spans="1:31" ht="17" x14ac:dyDescent="0.25">
      <c r="A67" s="36" t="s">
        <v>22</v>
      </c>
      <c r="B67" s="17">
        <f>IF(B66&lt;=$B$12,0,IF(B66&lt;$B$13,(B66-$B$12)/($B$13-$B$12),1))</f>
        <v>0.32110173737870484</v>
      </c>
      <c r="C67" s="17">
        <f>IF(C66&lt;=$B$12,0,IF(C66&lt;$B$13,(C66-$B$12)/($B$13-$B$12),1))</f>
        <v>0.35252926060048312</v>
      </c>
      <c r="D67" s="17">
        <f t="shared" ref="D67" si="11">IF(D66&lt;=$B$12,0,IF(D66&lt;$B$13,(D66-$B$12)/($B$13-$B$12),1))</f>
        <v>0.38458533428669706</v>
      </c>
      <c r="E67" s="17">
        <f t="shared" ref="E67" si="12">IF(E66&lt;=$B$12,0,IF(E66&lt;$B$13,(E66-$B$12)/($B$13-$B$12),1))</f>
        <v>0.41728252944663508</v>
      </c>
      <c r="F67" s="17">
        <f t="shared" ref="F67" si="13">IF(F66&lt;=$B$12,0,IF(F66&lt;$B$13,(F66-$B$12)/($B$13-$B$12),1))</f>
        <v>0.45063366850977188</v>
      </c>
      <c r="G67" s="17">
        <f t="shared" ref="G67" si="14">IF(G66&lt;=$B$12,0,IF(G66&lt;$B$13,(G66-$B$12)/($B$13-$B$12),1))</f>
        <v>0.48465183035417164</v>
      </c>
      <c r="H67" s="17">
        <f t="shared" ref="H67" si="15">IF(H66&lt;=$B$12,0,IF(H66&lt;$B$13,(H66-$B$12)/($B$13-$B$12),1))</f>
        <v>0.51935035543545915</v>
      </c>
      <c r="I67" s="17">
        <f t="shared" ref="I67" si="16">IF(I66&lt;=$B$12,0,IF(I66&lt;$B$13,(I66-$B$12)/($B$13-$B$12),1))</f>
        <v>0.55474285101837217</v>
      </c>
      <c r="J67" s="17">
        <f t="shared" ref="J67" si="17">IF(J66&lt;=$B$12,0,IF(J66&lt;$B$13,(J66-$B$12)/($B$13-$B$12),1))</f>
        <v>0.59084319651294404</v>
      </c>
      <c r="K67" s="17">
        <f t="shared" ref="K67" si="18">IF(K66&lt;=$B$12,0,IF(K66&lt;$B$13,(K66-$B$12)/($B$13-$B$12),1))</f>
        <v>0.627665548917407</v>
      </c>
      <c r="L67" s="17">
        <f t="shared" ref="L67" si="19">IF(L66&lt;=$B$12,0,IF(L66&lt;$B$13,(L66-$B$12)/($B$13-$B$12),1))</f>
        <v>0.66522434836995947</v>
      </c>
      <c r="M67" s="17">
        <f t="shared" ref="M67" si="20">IF(M66&lt;=$B$12,0,IF(M66&lt;$B$13,(M66-$B$12)/($B$13-$B$12),1))</f>
        <v>0.70353432381156245</v>
      </c>
      <c r="N67" s="17">
        <f t="shared" ref="N67" si="21">IF(N66&lt;=$B$12,0,IF(N66&lt;$B$13,(N66-$B$12)/($B$13-$B$12),1))</f>
        <v>0.74261049876199814</v>
      </c>
      <c r="O67" s="17">
        <f t="shared" ref="O67" si="22">IF(O66&lt;=$B$12,0,IF(O66&lt;$B$13,(O66-$B$12)/($B$13-$B$12),1))</f>
        <v>0.78246819721144212</v>
      </c>
      <c r="P67" s="17">
        <f t="shared" ref="P67" si="23">IF(P66&lt;=$B$12,0,IF(P66&lt;$B$13,(P66-$B$12)/($B$13-$B$12),1))</f>
        <v>0.82312304962987548</v>
      </c>
      <c r="Q67" s="17">
        <f t="shared" ref="Q67" si="24">IF(Q66&lt;=$B$12,0,IF(Q66&lt;$B$13,(Q66-$B$12)/($B$13-$B$12),1))</f>
        <v>0.86459099909667647</v>
      </c>
      <c r="R67" s="17">
        <f t="shared" ref="R67" si="25">IF(R66&lt;=$B$12,0,IF(R66&lt;$B$13,(R66-$B$12)/($B$13-$B$12),1))</f>
        <v>0.90688830755281458</v>
      </c>
      <c r="S67" s="17">
        <f t="shared" ref="S67" si="26">IF(S66&lt;=$B$12,0,IF(S66&lt;$B$13,(S66-$B$12)/($B$13-$B$12),1))</f>
        <v>0.95003156217807527</v>
      </c>
      <c r="T67" s="17">
        <f t="shared" ref="T67" si="27">IF(T66&lt;=$B$12,0,IF(T66&lt;$B$13,(T66-$B$12)/($B$13-$B$12),1))</f>
        <v>0.99403768189584063</v>
      </c>
      <c r="U67" s="17">
        <f t="shared" ref="U67" si="28">IF(U66&lt;=$B$12,0,IF(U66&lt;$B$13,(U66-$B$12)/($B$13-$B$12),1))</f>
        <v>1</v>
      </c>
      <c r="V67" s="17">
        <f t="shared" ref="V67" si="29">IF(V66&lt;=$B$12,0,IF(V66&lt;$B$13,(V66-$B$12)/($B$13-$B$12),1))</f>
        <v>1</v>
      </c>
      <c r="W67" s="17">
        <f t="shared" ref="W67" si="30">IF(W66&lt;=$B$12,0,IF(W66&lt;$B$13,(W66-$B$12)/($B$13-$B$12),1))</f>
        <v>1</v>
      </c>
      <c r="X67" s="17">
        <f t="shared" ref="X67" si="31">IF(X66&lt;=$B$12,0,IF(X66&lt;$B$13,(X66-$B$12)/($B$13-$B$12),1))</f>
        <v>1</v>
      </c>
      <c r="Y67" s="17">
        <f t="shared" ref="Y67" si="32">IF(Y66&lt;=$B$12,0,IF(Y66&lt;$B$13,(Y66-$B$12)/($B$13-$B$12),1))</f>
        <v>1</v>
      </c>
      <c r="Z67" s="17">
        <f t="shared" ref="Z67" si="33">IF(Z66&lt;=$B$12,0,IF(Z66&lt;$B$13,(Z66-$B$12)/($B$13-$B$12),1))</f>
        <v>1</v>
      </c>
      <c r="AA67" s="17">
        <f t="shared" ref="AA67" si="34">IF(AA66&lt;=$B$12,0,IF(AA66&lt;$B$13,(AA66-$B$12)/($B$13-$B$12),1))</f>
        <v>1</v>
      </c>
      <c r="AB67" s="17">
        <f t="shared" ref="AB67" si="35">IF(AB66&lt;=$B$12,0,IF(AB66&lt;$B$13,(AB66-$B$12)/($B$13-$B$12),1))</f>
        <v>1</v>
      </c>
      <c r="AC67" s="17">
        <f t="shared" ref="AC67" si="36">IF(AC66&lt;=$B$12,0,IF(AC66&lt;$B$13,(AC66-$B$12)/($B$13-$B$12),1))</f>
        <v>1</v>
      </c>
      <c r="AD67" s="17">
        <f t="shared" ref="AD67" si="37">IF(AD66&lt;=$B$12,0,IF(AD66&lt;$B$13,(AD66-$B$12)/($B$13-$B$12),1))</f>
        <v>1</v>
      </c>
      <c r="AE67" s="37">
        <f t="shared" ref="AE67" si="38">IF(AE66&lt;=$B$12,0,IF(AE66&lt;$B$13,(AE66-$B$12)/($B$13-$B$12),1))</f>
        <v>1</v>
      </c>
    </row>
    <row r="68" spans="1:31" ht="17" x14ac:dyDescent="0.25">
      <c r="A68" s="36" t="s">
        <v>23</v>
      </c>
      <c r="B68" s="17">
        <f>$B$18+$B$19*B67</f>
        <v>4.6216385454694475E-2</v>
      </c>
      <c r="C68" s="16">
        <f>$B$18+$B$19*C67</f>
        <v>4.7159211151347823E-2</v>
      </c>
      <c r="D68" s="16">
        <f t="shared" ref="D68:AE68" si="39">$B$18+$B$19*D67</f>
        <v>4.8120893361934244E-2</v>
      </c>
      <c r="E68" s="16">
        <f t="shared" si="39"/>
        <v>4.9101809216732378E-2</v>
      </c>
      <c r="F68" s="16">
        <f t="shared" si="39"/>
        <v>5.0102343388626486E-2</v>
      </c>
      <c r="G68" s="16">
        <f t="shared" si="39"/>
        <v>5.1122888243958477E-2</v>
      </c>
      <c r="H68" s="16">
        <f t="shared" si="39"/>
        <v>5.2163843996397105E-2</v>
      </c>
      <c r="I68" s="16">
        <f t="shared" si="39"/>
        <v>5.3225618863884494E-2</v>
      </c>
      <c r="J68" s="16">
        <f t="shared" si="39"/>
        <v>5.430862922872165E-2</v>
      </c>
      <c r="K68" s="16">
        <f t="shared" si="39"/>
        <v>5.5413299800855534E-2</v>
      </c>
      <c r="L68" s="16">
        <f t="shared" si="39"/>
        <v>5.6540063784432111E-2</v>
      </c>
      <c r="M68" s="16">
        <f t="shared" si="39"/>
        <v>5.7689363047680201E-2</v>
      </c>
      <c r="N68" s="16">
        <f t="shared" si="39"/>
        <v>5.8861648296193274E-2</v>
      </c>
      <c r="O68" s="16">
        <f t="shared" si="39"/>
        <v>6.0057379249676593E-2</v>
      </c>
      <c r="P68" s="16">
        <f t="shared" si="39"/>
        <v>6.1277024822229589E-2</v>
      </c>
      <c r="Q68" s="16">
        <f t="shared" si="39"/>
        <v>6.2521063306233624E-2</v>
      </c>
      <c r="R68" s="16">
        <f t="shared" si="39"/>
        <v>6.378998255991776E-2</v>
      </c>
      <c r="S68" s="16">
        <f t="shared" si="39"/>
        <v>6.5084280198675584E-2</v>
      </c>
      <c r="T68" s="16">
        <f t="shared" si="39"/>
        <v>6.6404463790208548E-2</v>
      </c>
      <c r="U68" s="16">
        <f t="shared" si="39"/>
        <v>6.6583333333333328E-2</v>
      </c>
      <c r="V68" s="16">
        <f t="shared" si="39"/>
        <v>6.6583333333333328E-2</v>
      </c>
      <c r="W68" s="16">
        <f t="shared" si="39"/>
        <v>6.6583333333333328E-2</v>
      </c>
      <c r="X68" s="16">
        <f t="shared" si="39"/>
        <v>6.6583333333333328E-2</v>
      </c>
      <c r="Y68" s="16">
        <f t="shared" si="39"/>
        <v>6.6583333333333328E-2</v>
      </c>
      <c r="Z68" s="16">
        <f t="shared" si="39"/>
        <v>6.6583333333333328E-2</v>
      </c>
      <c r="AA68" s="16">
        <f t="shared" si="39"/>
        <v>6.6583333333333328E-2</v>
      </c>
      <c r="AB68" s="16">
        <f t="shared" si="39"/>
        <v>6.6583333333333328E-2</v>
      </c>
      <c r="AC68" s="16">
        <f t="shared" si="39"/>
        <v>6.6583333333333328E-2</v>
      </c>
      <c r="AD68" s="16">
        <f t="shared" si="39"/>
        <v>6.6583333333333328E-2</v>
      </c>
      <c r="AE68" s="35">
        <f t="shared" si="39"/>
        <v>6.6583333333333328E-2</v>
      </c>
    </row>
    <row r="69" spans="1:31" ht="17" x14ac:dyDescent="0.25">
      <c r="A69" s="36" t="s">
        <v>24</v>
      </c>
      <c r="B69" s="17">
        <f>$B$9</f>
        <v>9250</v>
      </c>
      <c r="C69" s="16">
        <f>B73</f>
        <v>9282.5945937407232</v>
      </c>
      <c r="D69" s="16">
        <f t="shared" ref="D69" si="40">C73</f>
        <v>9286.7963210697981</v>
      </c>
      <c r="E69" s="16">
        <f t="shared" ref="E69" si="41">D73</f>
        <v>9260.7029831375057</v>
      </c>
      <c r="F69" s="16">
        <f t="shared" ref="F69" si="42">E73</f>
        <v>9202.2253353884025</v>
      </c>
      <c r="G69" s="16">
        <f t="shared" ref="G69" si="43">F73</f>
        <v>9109.0665718648088</v>
      </c>
      <c r="H69" s="16">
        <f t="shared" ref="H69" si="44">G73</f>
        <v>8978.6993106639529</v>
      </c>
      <c r="I69" s="16">
        <f t="shared" ref="I69" si="45">H73</f>
        <v>8808.3397461636869</v>
      </c>
      <c r="J69" s="16">
        <f t="shared" ref="J69" si="46">I73</f>
        <v>8594.9185849916557</v>
      </c>
      <c r="K69" s="16">
        <f t="shared" ref="K69" si="47">J73</f>
        <v>8335.0483264435716</v>
      </c>
      <c r="L69" s="16">
        <f t="shared" ref="L69" si="48">K73</f>
        <v>8024.9863828753369</v>
      </c>
      <c r="M69" s="16">
        <f t="shared" ref="M69" si="49">L73</f>
        <v>7660.5934599895145</v>
      </c>
      <c r="N69" s="16">
        <f t="shared" ref="N69" si="50">M73</f>
        <v>7237.2865291238841</v>
      </c>
      <c r="O69" s="16">
        <f t="shared" ref="O69" si="51">N73</f>
        <v>6749.9856215175078</v>
      </c>
      <c r="P69" s="16">
        <f t="shared" ref="P69" si="52">O73</f>
        <v>6193.0535555783563</v>
      </c>
      <c r="Q69" s="16">
        <f t="shared" ref="Q69" si="53">P73</f>
        <v>5560.2275694416267</v>
      </c>
      <c r="R69" s="16">
        <f t="shared" ref="R69" si="54">Q73</f>
        <v>4844.5416690687052</v>
      </c>
      <c r="S69" s="16">
        <f t="shared" ref="S69" si="55">R73</f>
        <v>4038.2383126055634</v>
      </c>
      <c r="T69" s="16">
        <f t="shared" ref="T69" si="56">S73</f>
        <v>3132.6678297075046</v>
      </c>
      <c r="U69" s="16">
        <f t="shared" ref="U69" si="57">T73</f>
        <v>2118.1737140924683</v>
      </c>
      <c r="V69" s="16">
        <f t="shared" ref="V69" si="58">U73</f>
        <v>981.48819261460062</v>
      </c>
      <c r="W69" s="16">
        <f t="shared" ref="W69" si="59">V73</f>
        <v>0</v>
      </c>
      <c r="X69" s="16">
        <f t="shared" ref="X69" si="60">W73</f>
        <v>0</v>
      </c>
      <c r="Y69" s="16">
        <f t="shared" ref="Y69" si="61">X73</f>
        <v>0</v>
      </c>
      <c r="Z69" s="16">
        <f t="shared" ref="Z69" si="62">Y73</f>
        <v>0</v>
      </c>
      <c r="AA69" s="16">
        <f t="shared" ref="AA69" si="63">Z73</f>
        <v>0</v>
      </c>
      <c r="AB69" s="16">
        <f t="shared" ref="AB69" si="64">AA73</f>
        <v>0</v>
      </c>
      <c r="AC69" s="16">
        <f t="shared" ref="AC69" si="65">AB73</f>
        <v>0</v>
      </c>
      <c r="AD69" s="16">
        <f t="shared" ref="AD69" si="66">AC73</f>
        <v>0</v>
      </c>
      <c r="AE69" s="35">
        <f t="shared" ref="AE69" si="67">AD73</f>
        <v>0</v>
      </c>
    </row>
    <row r="70" spans="1:31" ht="17" x14ac:dyDescent="0.25">
      <c r="A70" s="36" t="s">
        <v>25</v>
      </c>
      <c r="B70" s="17">
        <f>B69*(1+B68)</f>
        <v>9677.5015654559229</v>
      </c>
      <c r="C70" s="16">
        <f>C69*(1+C68)</f>
        <v>9720.3544322193029</v>
      </c>
      <c r="D70" s="16">
        <f t="shared" ref="D70:AE70" si="68">D69*(1+D68)</f>
        <v>9733.6852565099998</v>
      </c>
      <c r="E70" s="16">
        <f t="shared" si="68"/>
        <v>9715.4202542283474</v>
      </c>
      <c r="F70" s="16">
        <f t="shared" si="68"/>
        <v>9663.2783890815517</v>
      </c>
      <c r="G70" s="16">
        <f t="shared" si="68"/>
        <v>9574.7483642250318</v>
      </c>
      <c r="H70" s="16">
        <f t="shared" si="68"/>
        <v>9447.0627807959863</v>
      </c>
      <c r="I70" s="16">
        <f t="shared" si="68"/>
        <v>9277.1690803166002</v>
      </c>
      <c r="J70" s="16">
        <f t="shared" si="68"/>
        <v>9061.6968316750153</v>
      </c>
      <c r="K70" s="16">
        <f t="shared" si="68"/>
        <v>8796.9208582114097</v>
      </c>
      <c r="L70" s="16">
        <f t="shared" si="68"/>
        <v>8478.7196248323089</v>
      </c>
      <c r="M70" s="16">
        <f t="shared" si="68"/>
        <v>8102.5282172635343</v>
      </c>
      <c r="N70" s="16">
        <f t="shared" si="68"/>
        <v>7663.2851434199511</v>
      </c>
      <c r="O70" s="16">
        <f t="shared" si="68"/>
        <v>7155.3720679188482</v>
      </c>
      <c r="P70" s="16">
        <f t="shared" si="68"/>
        <v>6572.5454520289286</v>
      </c>
      <c r="Q70" s="16">
        <f t="shared" si="68"/>
        <v>5907.8589093077526</v>
      </c>
      <c r="R70" s="16">
        <f t="shared" si="68"/>
        <v>5153.5748976493924</v>
      </c>
      <c r="S70" s="16">
        <f t="shared" si="68"/>
        <v>4301.0641464522105</v>
      </c>
      <c r="T70" s="16">
        <f t="shared" si="68"/>
        <v>3340.690957172068</v>
      </c>
      <c r="U70" s="16">
        <f t="shared" si="68"/>
        <v>2259.2087805557921</v>
      </c>
      <c r="V70" s="16">
        <f t="shared" si="68"/>
        <v>1046.8389481061895</v>
      </c>
      <c r="W70" s="16">
        <f t="shared" si="68"/>
        <v>0</v>
      </c>
      <c r="X70" s="16">
        <f t="shared" si="68"/>
        <v>0</v>
      </c>
      <c r="Y70" s="16">
        <f t="shared" si="68"/>
        <v>0</v>
      </c>
      <c r="Z70" s="16">
        <f t="shared" si="68"/>
        <v>0</v>
      </c>
      <c r="AA70" s="16">
        <f t="shared" si="68"/>
        <v>0</v>
      </c>
      <c r="AB70" s="16">
        <f t="shared" si="68"/>
        <v>0</v>
      </c>
      <c r="AC70" s="16">
        <f t="shared" si="68"/>
        <v>0</v>
      </c>
      <c r="AD70" s="16">
        <f t="shared" si="68"/>
        <v>0</v>
      </c>
      <c r="AE70" s="35">
        <f t="shared" si="68"/>
        <v>0</v>
      </c>
    </row>
    <row r="71" spans="1:31" ht="17" x14ac:dyDescent="0.25">
      <c r="A71" s="36" t="s">
        <v>26</v>
      </c>
      <c r="B71" s="17">
        <f>$B$11*MAX(0,B66-$B$12)</f>
        <v>394.90697171520014</v>
      </c>
      <c r="C71" s="16">
        <f>$B$11*MAX(0,C66-$B$12)</f>
        <v>433.55811114950416</v>
      </c>
      <c r="D71" s="16">
        <f t="shared" ref="D71:AE71" si="69">$B$11*MAX(0,D66-$B$12)</f>
        <v>472.98227337249432</v>
      </c>
      <c r="E71" s="16">
        <f t="shared" si="69"/>
        <v>513.19491883994408</v>
      </c>
      <c r="F71" s="16">
        <f t="shared" si="69"/>
        <v>554.21181721674293</v>
      </c>
      <c r="G71" s="16">
        <f t="shared" si="69"/>
        <v>596.04905356107793</v>
      </c>
      <c r="H71" s="16">
        <f t="shared" si="69"/>
        <v>638.72303463229946</v>
      </c>
      <c r="I71" s="16">
        <f t="shared" si="69"/>
        <v>682.25049532494495</v>
      </c>
      <c r="J71" s="16">
        <f t="shared" si="69"/>
        <v>726.64850523144423</v>
      </c>
      <c r="K71" s="16">
        <f t="shared" si="69"/>
        <v>771.93447533607298</v>
      </c>
      <c r="L71" s="16">
        <f t="shared" si="69"/>
        <v>818.12616484279454</v>
      </c>
      <c r="M71" s="16">
        <f t="shared" si="69"/>
        <v>865.24168813965002</v>
      </c>
      <c r="N71" s="16">
        <f t="shared" si="69"/>
        <v>913.2995219024433</v>
      </c>
      <c r="O71" s="16">
        <f t="shared" si="69"/>
        <v>962.31851234049213</v>
      </c>
      <c r="P71" s="16">
        <f t="shared" si="69"/>
        <v>1012.3178825873023</v>
      </c>
      <c r="Q71" s="16">
        <f t="shared" si="69"/>
        <v>1063.3172402390474</v>
      </c>
      <c r="R71" s="16">
        <f t="shared" si="69"/>
        <v>1115.336585043829</v>
      </c>
      <c r="S71" s="16">
        <f t="shared" si="69"/>
        <v>1168.3963167447059</v>
      </c>
      <c r="T71" s="16">
        <f t="shared" si="69"/>
        <v>1222.5172430795997</v>
      </c>
      <c r="U71" s="16">
        <f t="shared" si="69"/>
        <v>1277.7205879411915</v>
      </c>
      <c r="V71" s="16">
        <f t="shared" si="69"/>
        <v>1334.0279997000155</v>
      </c>
      <c r="W71" s="16">
        <f t="shared" si="69"/>
        <v>1391.4615596940157</v>
      </c>
      <c r="X71" s="16">
        <f t="shared" si="69"/>
        <v>1450.0437908878964</v>
      </c>
      <c r="Y71" s="16">
        <f t="shared" si="69"/>
        <v>1509.7976667056535</v>
      </c>
      <c r="Z71" s="16">
        <f t="shared" si="69"/>
        <v>1570.7466200397669</v>
      </c>
      <c r="AA71" s="16">
        <f t="shared" si="69"/>
        <v>1632.9145524405621</v>
      </c>
      <c r="AB71" s="16">
        <f t="shared" si="69"/>
        <v>1696.3258434893739</v>
      </c>
      <c r="AC71" s="16">
        <f t="shared" si="69"/>
        <v>1761.0053603591602</v>
      </c>
      <c r="AD71" s="16">
        <f t="shared" si="69"/>
        <v>1826.9784675663448</v>
      </c>
      <c r="AE71" s="35">
        <f t="shared" si="69"/>
        <v>1894.2710369176707</v>
      </c>
    </row>
    <row r="72" spans="1:31" ht="17" x14ac:dyDescent="0.25">
      <c r="A72" s="36" t="s">
        <v>27</v>
      </c>
      <c r="B72" s="17">
        <f>MIN(B71,B70)</f>
        <v>394.90697171520014</v>
      </c>
      <c r="C72" s="16">
        <f>MIN(C71,C70)</f>
        <v>433.55811114950416</v>
      </c>
      <c r="D72" s="16">
        <f>MIN(D71,D70)</f>
        <v>472.98227337249432</v>
      </c>
      <c r="E72" s="16">
        <f t="shared" ref="E72:AE72" si="70">MIN(E71,E70)</f>
        <v>513.19491883994408</v>
      </c>
      <c r="F72" s="16">
        <f t="shared" si="70"/>
        <v>554.21181721674293</v>
      </c>
      <c r="G72" s="16">
        <f t="shared" si="70"/>
        <v>596.04905356107793</v>
      </c>
      <c r="H72" s="16">
        <f t="shared" si="70"/>
        <v>638.72303463229946</v>
      </c>
      <c r="I72" s="16">
        <f t="shared" si="70"/>
        <v>682.25049532494495</v>
      </c>
      <c r="J72" s="16">
        <f t="shared" si="70"/>
        <v>726.64850523144423</v>
      </c>
      <c r="K72" s="16">
        <f t="shared" si="70"/>
        <v>771.93447533607298</v>
      </c>
      <c r="L72" s="16">
        <f t="shared" si="70"/>
        <v>818.12616484279454</v>
      </c>
      <c r="M72" s="16">
        <f t="shared" si="70"/>
        <v>865.24168813965002</v>
      </c>
      <c r="N72" s="16">
        <f t="shared" si="70"/>
        <v>913.2995219024433</v>
      </c>
      <c r="O72" s="16">
        <f t="shared" si="70"/>
        <v>962.31851234049213</v>
      </c>
      <c r="P72" s="16">
        <f t="shared" si="70"/>
        <v>1012.3178825873023</v>
      </c>
      <c r="Q72" s="16">
        <f t="shared" si="70"/>
        <v>1063.3172402390474</v>
      </c>
      <c r="R72" s="16">
        <f t="shared" si="70"/>
        <v>1115.336585043829</v>
      </c>
      <c r="S72" s="16">
        <f t="shared" si="70"/>
        <v>1168.3963167447059</v>
      </c>
      <c r="T72" s="16">
        <f t="shared" si="70"/>
        <v>1222.5172430795997</v>
      </c>
      <c r="U72" s="16">
        <f t="shared" si="70"/>
        <v>1277.7205879411915</v>
      </c>
      <c r="V72" s="16">
        <f t="shared" si="70"/>
        <v>1046.8389481061895</v>
      </c>
      <c r="W72" s="16">
        <f t="shared" si="70"/>
        <v>0</v>
      </c>
      <c r="X72" s="16">
        <f t="shared" si="70"/>
        <v>0</v>
      </c>
      <c r="Y72" s="16">
        <f t="shared" si="70"/>
        <v>0</v>
      </c>
      <c r="Z72" s="16">
        <f t="shared" si="70"/>
        <v>0</v>
      </c>
      <c r="AA72" s="16">
        <f t="shared" si="70"/>
        <v>0</v>
      </c>
      <c r="AB72" s="16">
        <f t="shared" si="70"/>
        <v>0</v>
      </c>
      <c r="AC72" s="16">
        <f t="shared" si="70"/>
        <v>0</v>
      </c>
      <c r="AD72" s="16">
        <f t="shared" si="70"/>
        <v>0</v>
      </c>
      <c r="AE72" s="35">
        <f t="shared" si="70"/>
        <v>0</v>
      </c>
    </row>
    <row r="73" spans="1:31" ht="17" x14ac:dyDescent="0.25">
      <c r="A73" s="38" t="s">
        <v>28</v>
      </c>
      <c r="B73" s="19">
        <f>B70-B72</f>
        <v>9282.5945937407232</v>
      </c>
      <c r="C73" s="18">
        <f>C70-C72</f>
        <v>9286.7963210697981</v>
      </c>
      <c r="D73" s="18">
        <f t="shared" ref="D73:AE73" si="71">D70-D72</f>
        <v>9260.7029831375057</v>
      </c>
      <c r="E73" s="18">
        <f t="shared" si="71"/>
        <v>9202.2253353884025</v>
      </c>
      <c r="F73" s="18">
        <f t="shared" si="71"/>
        <v>9109.0665718648088</v>
      </c>
      <c r="G73" s="18">
        <f t="shared" si="71"/>
        <v>8978.6993106639529</v>
      </c>
      <c r="H73" s="18">
        <f t="shared" si="71"/>
        <v>8808.3397461636869</v>
      </c>
      <c r="I73" s="18">
        <f t="shared" si="71"/>
        <v>8594.9185849916557</v>
      </c>
      <c r="J73" s="18">
        <f t="shared" si="71"/>
        <v>8335.0483264435716</v>
      </c>
      <c r="K73" s="18">
        <f t="shared" si="71"/>
        <v>8024.9863828753369</v>
      </c>
      <c r="L73" s="18">
        <f t="shared" si="71"/>
        <v>7660.5934599895145</v>
      </c>
      <c r="M73" s="18">
        <f t="shared" si="71"/>
        <v>7237.2865291238841</v>
      </c>
      <c r="N73" s="18">
        <f t="shared" si="71"/>
        <v>6749.9856215175078</v>
      </c>
      <c r="O73" s="18">
        <f t="shared" si="71"/>
        <v>6193.0535555783563</v>
      </c>
      <c r="P73" s="18">
        <f t="shared" si="71"/>
        <v>5560.2275694416267</v>
      </c>
      <c r="Q73" s="18">
        <f t="shared" si="71"/>
        <v>4844.5416690687052</v>
      </c>
      <c r="R73" s="18">
        <f t="shared" si="71"/>
        <v>4038.2383126055634</v>
      </c>
      <c r="S73" s="18">
        <f t="shared" si="71"/>
        <v>3132.6678297075046</v>
      </c>
      <c r="T73" s="18">
        <f t="shared" si="71"/>
        <v>2118.1737140924683</v>
      </c>
      <c r="U73" s="18">
        <f t="shared" si="71"/>
        <v>981.48819261460062</v>
      </c>
      <c r="V73" s="18">
        <f t="shared" si="71"/>
        <v>0</v>
      </c>
      <c r="W73" s="18">
        <f t="shared" si="71"/>
        <v>0</v>
      </c>
      <c r="X73" s="18">
        <f t="shared" si="71"/>
        <v>0</v>
      </c>
      <c r="Y73" s="18">
        <f t="shared" si="71"/>
        <v>0</v>
      </c>
      <c r="Z73" s="18">
        <f t="shared" si="71"/>
        <v>0</v>
      </c>
      <c r="AA73" s="18">
        <f t="shared" si="71"/>
        <v>0</v>
      </c>
      <c r="AB73" s="18">
        <f t="shared" si="71"/>
        <v>0</v>
      </c>
      <c r="AC73" s="18">
        <f t="shared" si="71"/>
        <v>0</v>
      </c>
      <c r="AD73" s="18">
        <f t="shared" si="71"/>
        <v>0</v>
      </c>
      <c r="AE73" s="39">
        <f t="shared" si="71"/>
        <v>0</v>
      </c>
    </row>
    <row r="74" spans="1:31" ht="17" x14ac:dyDescent="0.25">
      <c r="A74" s="36" t="s">
        <v>29</v>
      </c>
      <c r="B74" s="17">
        <f>1/(1+$B$61)^B65</f>
        <v>0.8703220191470844</v>
      </c>
      <c r="C74" s="17">
        <f t="shared" ref="C74:AE74" si="72">1/(1+$B$61)^C65</f>
        <v>0.75746041701225797</v>
      </c>
      <c r="D74" s="17">
        <f t="shared" si="72"/>
        <v>0.65923447955810099</v>
      </c>
      <c r="E74" s="17">
        <f t="shared" si="72"/>
        <v>0.5737462833403838</v>
      </c>
      <c r="F74" s="17">
        <f t="shared" si="72"/>
        <v>0.49934402379493803</v>
      </c>
      <c r="G74" s="17">
        <f t="shared" si="72"/>
        <v>0.4345900990382402</v>
      </c>
      <c r="H74" s="17">
        <f t="shared" si="72"/>
        <v>0.37823333249629271</v>
      </c>
      <c r="I74" s="17">
        <f t="shared" si="72"/>
        <v>0.329184797646904</v>
      </c>
      <c r="J74" s="17">
        <f t="shared" si="72"/>
        <v>0.28649677776057786</v>
      </c>
      <c r="K74" s="17">
        <f t="shared" si="72"/>
        <v>0.24934445409971967</v>
      </c>
      <c r="L74" s="17">
        <f t="shared" si="72"/>
        <v>0.21700996875519551</v>
      </c>
      <c r="M74" s="17">
        <f t="shared" si="72"/>
        <v>0.18886855418206749</v>
      </c>
      <c r="N74" s="17">
        <f t="shared" si="72"/>
        <v>0.16437646142912749</v>
      </c>
      <c r="O74" s="17">
        <f t="shared" si="72"/>
        <v>0.14306045381125107</v>
      </c>
      <c r="P74" s="17">
        <f t="shared" si="72"/>
        <v>0.12450866302110625</v>
      </c>
      <c r="Q74" s="17">
        <f t="shared" si="72"/>
        <v>0.10836263100183312</v>
      </c>
      <c r="R74" s="17">
        <f t="shared" si="72"/>
        <v>9.4310383813605861E-2</v>
      </c>
      <c r="S74" s="17">
        <f t="shared" si="72"/>
        <v>8.2080403667193963E-2</v>
      </c>
      <c r="T74" s="17">
        <f t="shared" si="72"/>
        <v>7.1436382652039998E-2</v>
      </c>
      <c r="U74" s="17">
        <f t="shared" si="72"/>
        <v>6.217265679028721E-2</v>
      </c>
      <c r="V74" s="17">
        <f t="shared" si="72"/>
        <v>5.4110232193461449E-2</v>
      </c>
      <c r="W74" s="17">
        <f t="shared" si="72"/>
        <v>4.7093326539130939E-2</v>
      </c>
      <c r="X74" s="17">
        <f t="shared" si="72"/>
        <v>4.0986359041889422E-2</v>
      </c>
      <c r="Y74" s="17">
        <f t="shared" si="72"/>
        <v>3.567133075882456E-2</v>
      </c>
      <c r="Z74" s="17">
        <f t="shared" si="72"/>
        <v>3.1045544611683691E-2</v>
      </c>
      <c r="AA74" s="17">
        <f t="shared" si="72"/>
        <v>2.7019621071961437E-2</v>
      </c>
      <c r="AB74" s="17">
        <f t="shared" si="72"/>
        <v>2.3515771167938588E-2</v>
      </c>
      <c r="AC74" s="17">
        <f t="shared" si="72"/>
        <v>2.0466293444681104E-2</v>
      </c>
      <c r="AD74" s="17">
        <f t="shared" si="72"/>
        <v>1.7812265835231596E-2</v>
      </c>
      <c r="AE74" s="17">
        <f t="shared" si="72"/>
        <v>1.5502407167303389E-2</v>
      </c>
    </row>
    <row r="75" spans="1:31" ht="17" x14ac:dyDescent="0.25">
      <c r="A75" s="36" t="s">
        <v>30</v>
      </c>
      <c r="B75" s="17">
        <f>B72*B74</f>
        <v>343.69623299843352</v>
      </c>
      <c r="C75" s="16">
        <f>C72*C74</f>
        <v>328.40310767035032</v>
      </c>
      <c r="D75" s="16">
        <f t="shared" ref="D75:AE75" si="73">D72*D74</f>
        <v>311.80622282692372</v>
      </c>
      <c r="E75" s="16">
        <f t="shared" si="73"/>
        <v>294.44367731358784</v>
      </c>
      <c r="F75" s="16">
        <f t="shared" si="73"/>
        <v>276.74235884371313</v>
      </c>
      <c r="G75" s="16">
        <f t="shared" si="73"/>
        <v>259.03701721875819</v>
      </c>
      <c r="H75" s="16">
        <f t="shared" si="73"/>
        <v>241.58634193111959</v>
      </c>
      <c r="I75" s="16">
        <f t="shared" si="73"/>
        <v>224.58649124804202</v>
      </c>
      <c r="J75" s="16">
        <f t="shared" si="73"/>
        <v>208.18245531334918</v>
      </c>
      <c r="K75" s="16">
        <f t="shared" si="73"/>
        <v>192.47758035342665</v>
      </c>
      <c r="L75" s="16">
        <f t="shared" si="73"/>
        <v>177.54153347034278</v>
      </c>
      <c r="M75" s="16">
        <f t="shared" si="73"/>
        <v>163.41694665698702</v>
      </c>
      <c r="N75" s="16">
        <f t="shared" si="73"/>
        <v>150.12494363523754</v>
      </c>
      <c r="O75" s="16">
        <f t="shared" si="73"/>
        <v>137.66972308639882</v>
      </c>
      <c r="P75" s="16">
        <f t="shared" si="73"/>
        <v>126.04234611330222</v>
      </c>
      <c r="Q75" s="16">
        <f t="shared" si="73"/>
        <v>115.22385374191143</v>
      </c>
      <c r="R75" s="16">
        <f t="shared" si="73"/>
        <v>105.18782141683997</v>
      </c>
      <c r="S75" s="16">
        <f t="shared" si="73"/>
        <v>95.902441321668078</v>
      </c>
      <c r="T75" s="16">
        <f t="shared" si="73"/>
        <v>87.332209575351285</v>
      </c>
      <c r="U75" s="16">
        <f t="shared" si="73"/>
        <v>79.439283587951692</v>
      </c>
      <c r="V75" s="16">
        <f t="shared" si="73"/>
        <v>56.644698551184852</v>
      </c>
      <c r="W75" s="16">
        <f t="shared" si="73"/>
        <v>0</v>
      </c>
      <c r="X75" s="16">
        <f t="shared" si="73"/>
        <v>0</v>
      </c>
      <c r="Y75" s="16">
        <f t="shared" si="73"/>
        <v>0</v>
      </c>
      <c r="Z75" s="16">
        <f t="shared" si="73"/>
        <v>0</v>
      </c>
      <c r="AA75" s="16">
        <f t="shared" si="73"/>
        <v>0</v>
      </c>
      <c r="AB75" s="16">
        <f t="shared" si="73"/>
        <v>0</v>
      </c>
      <c r="AC75" s="16">
        <f t="shared" si="73"/>
        <v>0</v>
      </c>
      <c r="AD75" s="16">
        <f t="shared" si="73"/>
        <v>0</v>
      </c>
      <c r="AE75" s="35">
        <f t="shared" si="73"/>
        <v>0</v>
      </c>
    </row>
    <row r="76" spans="1:31" x14ac:dyDescent="0.2">
      <c r="A76" s="9"/>
      <c r="AE76" s="8"/>
    </row>
    <row r="77" spans="1:31" ht="17" x14ac:dyDescent="0.25">
      <c r="A77" s="9"/>
      <c r="B77" s="1"/>
      <c r="AE77" s="8"/>
    </row>
    <row r="78" spans="1:31" ht="17" x14ac:dyDescent="0.2">
      <c r="A78" s="40" t="s">
        <v>33</v>
      </c>
      <c r="B78" s="41">
        <f>SUM(B75:AE75)</f>
        <v>3975.4872868748807</v>
      </c>
      <c r="AE78" s="8"/>
    </row>
    <row r="79" spans="1:31" ht="34" x14ac:dyDescent="0.2">
      <c r="A79" s="40" t="s">
        <v>34</v>
      </c>
      <c r="B79" s="40">
        <f>LN($B$10)-LN(B78)</f>
        <v>1.7199449603921675</v>
      </c>
      <c r="AE79" s="8"/>
    </row>
    <row r="80" spans="1:31" ht="17" x14ac:dyDescent="0.2">
      <c r="A80" s="40" t="s">
        <v>35</v>
      </c>
      <c r="B80" s="40">
        <f>$B$21/B79</f>
        <v>-0.4859110141579423</v>
      </c>
      <c r="AE80" s="8"/>
    </row>
    <row r="81" spans="1:31" ht="35" thickBot="1" x14ac:dyDescent="0.25">
      <c r="A81" s="40" t="s">
        <v>36</v>
      </c>
      <c r="B81" s="41">
        <f>AE73</f>
        <v>0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4"/>
    </row>
    <row r="82" spans="1:31" ht="17" thickBot="1" x14ac:dyDescent="0.25"/>
    <row r="83" spans="1:31" x14ac:dyDescent="0.2">
      <c r="A83" s="3" t="s">
        <v>113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</row>
    <row r="84" spans="1:31" x14ac:dyDescent="0.2">
      <c r="A84" s="6" t="s">
        <v>0</v>
      </c>
      <c r="B84" s="7" t="s">
        <v>1</v>
      </c>
      <c r="AE84" s="8"/>
    </row>
    <row r="85" spans="1:31" x14ac:dyDescent="0.2">
      <c r="A85" s="9" t="s">
        <v>2</v>
      </c>
      <c r="B85">
        <v>24818</v>
      </c>
      <c r="AE85" s="8"/>
    </row>
    <row r="86" spans="1:31" x14ac:dyDescent="0.2">
      <c r="A86" s="9" t="s">
        <v>3</v>
      </c>
      <c r="B86">
        <v>0.848248</v>
      </c>
      <c r="AE86" s="8"/>
    </row>
    <row r="87" spans="1:31" x14ac:dyDescent="0.2">
      <c r="A87" s="9" t="s">
        <v>4</v>
      </c>
      <c r="B87">
        <v>0.02</v>
      </c>
      <c r="AE87" s="8"/>
    </row>
    <row r="88" spans="1:31" x14ac:dyDescent="0.2">
      <c r="A88" s="9" t="s">
        <v>5</v>
      </c>
      <c r="B88">
        <v>1</v>
      </c>
      <c r="AE88" s="8"/>
    </row>
    <row r="89" spans="1:31" x14ac:dyDescent="0.2">
      <c r="A89" s="9" t="s">
        <v>6</v>
      </c>
      <c r="B89">
        <v>21051.818864000001</v>
      </c>
      <c r="AE89" s="8"/>
    </row>
    <row r="90" spans="1:31" x14ac:dyDescent="0.2">
      <c r="A90" s="9" t="s">
        <v>7</v>
      </c>
      <c r="B90">
        <v>21472.855241280002</v>
      </c>
      <c r="AE90" s="8"/>
    </row>
    <row r="91" spans="1:31" x14ac:dyDescent="0.2">
      <c r="A91" s="9" t="s">
        <v>8</v>
      </c>
      <c r="B91">
        <v>9250</v>
      </c>
      <c r="AE91" s="8"/>
    </row>
    <row r="92" spans="1:31" x14ac:dyDescent="0.2">
      <c r="A92" s="9" t="s">
        <v>9</v>
      </c>
      <c r="B92">
        <v>22200</v>
      </c>
      <c r="AE92" s="8"/>
    </row>
    <row r="93" spans="1:31" x14ac:dyDescent="0.2">
      <c r="A93" s="9" t="s">
        <v>10</v>
      </c>
      <c r="B93">
        <v>0.09</v>
      </c>
      <c r="AE93" s="8"/>
    </row>
    <row r="94" spans="1:31" x14ac:dyDescent="0.2">
      <c r="A94" s="9" t="s">
        <v>11</v>
      </c>
      <c r="B94">
        <v>17085</v>
      </c>
      <c r="AE94" s="8"/>
    </row>
    <row r="95" spans="1:31" x14ac:dyDescent="0.2">
      <c r="A95" s="9" t="s">
        <v>12</v>
      </c>
      <c r="B95">
        <v>30750</v>
      </c>
      <c r="H95" s="7"/>
      <c r="I95" s="7"/>
      <c r="AE95" s="8"/>
    </row>
    <row r="96" spans="1:31" x14ac:dyDescent="0.2">
      <c r="A96" s="9" t="s">
        <v>13</v>
      </c>
      <c r="B96">
        <v>4.2999999999999997E-2</v>
      </c>
      <c r="AE96" s="8"/>
    </row>
    <row r="97" spans="1:31" x14ac:dyDescent="0.2">
      <c r="A97" s="9" t="s">
        <v>14</v>
      </c>
      <c r="B97">
        <v>5</v>
      </c>
      <c r="AE97" s="8"/>
    </row>
    <row r="98" spans="1:31" x14ac:dyDescent="0.2">
      <c r="A98" s="9" t="s">
        <v>15</v>
      </c>
      <c r="B98">
        <v>3.2000000000000001E-2</v>
      </c>
      <c r="E98" s="10"/>
      <c r="AE98" s="8"/>
    </row>
    <row r="99" spans="1:31" x14ac:dyDescent="0.2">
      <c r="A99" s="9" t="s">
        <v>16</v>
      </c>
      <c r="B99">
        <v>7</v>
      </c>
      <c r="AE99" s="8"/>
    </row>
    <row r="100" spans="1:31" ht="17" x14ac:dyDescent="0.25">
      <c r="A100" s="9" t="s">
        <v>17</v>
      </c>
      <c r="B100" s="1">
        <v>3.6583333333333329E-2</v>
      </c>
      <c r="AE100" s="8"/>
    </row>
    <row r="101" spans="1:31" x14ac:dyDescent="0.2">
      <c r="A101" s="9" t="s">
        <v>18</v>
      </c>
      <c r="B101">
        <v>0.03</v>
      </c>
      <c r="AE101" s="8"/>
    </row>
    <row r="102" spans="1:31" x14ac:dyDescent="0.2">
      <c r="A102" s="9" t="s">
        <v>19</v>
      </c>
      <c r="B102" s="42">
        <v>0.35</v>
      </c>
      <c r="AE102" s="8"/>
    </row>
    <row r="103" spans="1:31" x14ac:dyDescent="0.2">
      <c r="A103" s="9" t="s">
        <v>20</v>
      </c>
      <c r="B103" s="25">
        <v>-0.83574020000000004</v>
      </c>
      <c r="C103" s="25"/>
      <c r="AE103" s="8"/>
    </row>
    <row r="104" spans="1:31" x14ac:dyDescent="0.2">
      <c r="A104" s="9"/>
      <c r="AE104" s="8"/>
    </row>
    <row r="105" spans="1:31" x14ac:dyDescent="0.2">
      <c r="A105" s="43"/>
      <c r="B105" s="44"/>
      <c r="AE105" s="8"/>
    </row>
    <row r="106" spans="1:31" x14ac:dyDescent="0.2">
      <c r="A106" s="34" t="s">
        <v>31</v>
      </c>
      <c r="B106" s="15">
        <v>1</v>
      </c>
      <c r="C106" s="16">
        <v>2</v>
      </c>
      <c r="D106" s="16">
        <v>3</v>
      </c>
      <c r="E106" s="16">
        <v>4</v>
      </c>
      <c r="F106" s="16">
        <v>5</v>
      </c>
      <c r="G106" s="16">
        <v>6</v>
      </c>
      <c r="H106" s="16">
        <v>7</v>
      </c>
      <c r="I106" s="16">
        <v>8</v>
      </c>
      <c r="J106" s="16">
        <v>9</v>
      </c>
      <c r="K106" s="16">
        <v>10</v>
      </c>
      <c r="L106" s="16">
        <v>11</v>
      </c>
      <c r="M106" s="16">
        <v>12</v>
      </c>
      <c r="N106" s="16">
        <v>13</v>
      </c>
      <c r="O106" s="16">
        <v>14</v>
      </c>
      <c r="P106" s="16">
        <v>15</v>
      </c>
      <c r="Q106" s="16">
        <v>16</v>
      </c>
      <c r="R106" s="16">
        <v>17</v>
      </c>
      <c r="S106" s="16">
        <v>18</v>
      </c>
      <c r="T106" s="16">
        <v>19</v>
      </c>
      <c r="U106" s="16">
        <v>20</v>
      </c>
      <c r="V106" s="16">
        <v>21</v>
      </c>
      <c r="W106" s="16">
        <v>22</v>
      </c>
      <c r="X106" s="16">
        <v>23</v>
      </c>
      <c r="Y106" s="16">
        <v>24</v>
      </c>
      <c r="Z106" s="16">
        <v>25</v>
      </c>
      <c r="AA106" s="16">
        <v>26</v>
      </c>
      <c r="AB106" s="16">
        <v>27</v>
      </c>
      <c r="AC106" s="16">
        <v>28</v>
      </c>
      <c r="AD106" s="16">
        <v>29</v>
      </c>
      <c r="AE106" s="35">
        <v>30</v>
      </c>
    </row>
    <row r="107" spans="1:31" ht="17" x14ac:dyDescent="0.25">
      <c r="A107" s="36" t="s">
        <v>21</v>
      </c>
      <c r="B107" s="17">
        <f>$B$8</f>
        <v>21472.855241280002</v>
      </c>
      <c r="C107" s="16">
        <f t="shared" ref="C107:AE107" si="74">$B$8*(1+$B$5)^(C$24-1)</f>
        <v>21902.312346105602</v>
      </c>
      <c r="D107" s="16">
        <f t="shared" si="74"/>
        <v>22340.358593027715</v>
      </c>
      <c r="E107" s="16">
        <f t="shared" si="74"/>
        <v>22787.165764888268</v>
      </c>
      <c r="F107" s="16">
        <f t="shared" si="74"/>
        <v>23242.909080186033</v>
      </c>
      <c r="G107" s="16">
        <f t="shared" si="74"/>
        <v>23707.767261789755</v>
      </c>
      <c r="H107" s="16">
        <f t="shared" si="74"/>
        <v>24181.92260702555</v>
      </c>
      <c r="I107" s="16">
        <f t="shared" si="74"/>
        <v>24665.561059166055</v>
      </c>
      <c r="J107" s="16">
        <f t="shared" si="74"/>
        <v>25158.87228034938</v>
      </c>
      <c r="K107" s="16">
        <f t="shared" si="74"/>
        <v>25662.049725956367</v>
      </c>
      <c r="L107" s="16">
        <f t="shared" si="74"/>
        <v>26175.290720475496</v>
      </c>
      <c r="M107" s="16">
        <f t="shared" si="74"/>
        <v>26698.796534885001</v>
      </c>
      <c r="N107" s="16">
        <f t="shared" si="74"/>
        <v>27232.772465582704</v>
      </c>
      <c r="O107" s="16">
        <f t="shared" si="74"/>
        <v>27777.427914894357</v>
      </c>
      <c r="P107" s="16">
        <f t="shared" si="74"/>
        <v>28332.976473192248</v>
      </c>
      <c r="Q107" s="16">
        <f t="shared" si="74"/>
        <v>28899.636002656083</v>
      </c>
      <c r="R107" s="16">
        <f t="shared" si="74"/>
        <v>29477.628722709211</v>
      </c>
      <c r="S107" s="16">
        <f t="shared" si="74"/>
        <v>30067.181297163399</v>
      </c>
      <c r="T107" s="16">
        <f t="shared" si="74"/>
        <v>30668.524923106663</v>
      </c>
      <c r="U107" s="16">
        <f t="shared" si="74"/>
        <v>31281.895421568795</v>
      </c>
      <c r="V107" s="16">
        <f t="shared" si="74"/>
        <v>31907.533330000173</v>
      </c>
      <c r="W107" s="16">
        <f t="shared" si="74"/>
        <v>32545.683996600175</v>
      </c>
      <c r="X107" s="16">
        <f t="shared" si="74"/>
        <v>33196.597676532183</v>
      </c>
      <c r="Y107" s="16">
        <f t="shared" si="74"/>
        <v>33860.529630062818</v>
      </c>
      <c r="Z107" s="16">
        <f t="shared" si="74"/>
        <v>34537.740222664077</v>
      </c>
      <c r="AA107" s="16">
        <f t="shared" si="74"/>
        <v>35228.495027117358</v>
      </c>
      <c r="AB107" s="16">
        <f t="shared" si="74"/>
        <v>35933.064927659711</v>
      </c>
      <c r="AC107" s="16">
        <f t="shared" si="74"/>
        <v>36651.726226212893</v>
      </c>
      <c r="AD107" s="16">
        <f t="shared" si="74"/>
        <v>37384.760750737165</v>
      </c>
      <c r="AE107" s="35">
        <f t="shared" si="74"/>
        <v>38132.455965751898</v>
      </c>
    </row>
    <row r="108" spans="1:31" ht="17" x14ac:dyDescent="0.25">
      <c r="A108" s="36" t="s">
        <v>22</v>
      </c>
      <c r="B108" s="17">
        <f>IF(B107&lt;=$B$12,0,IF(B107&lt;$B$13,(B107-$B$12)/($B$13-$B$12),1))</f>
        <v>0.32110173737870484</v>
      </c>
      <c r="C108" s="17">
        <f>IF(C107&lt;=$B$12,0,IF(C107&lt;$B$13,(C107-$B$12)/($B$13-$B$12),1))</f>
        <v>0.35252926060048312</v>
      </c>
      <c r="D108" s="17">
        <f t="shared" ref="D108" si="75">IF(D107&lt;=$B$12,0,IF(D107&lt;$B$13,(D107-$B$12)/($B$13-$B$12),1))</f>
        <v>0.38458533428669706</v>
      </c>
      <c r="E108" s="17">
        <f t="shared" ref="E108" si="76">IF(E107&lt;=$B$12,0,IF(E107&lt;$B$13,(E107-$B$12)/($B$13-$B$12),1))</f>
        <v>0.41728252944663508</v>
      </c>
      <c r="F108" s="17">
        <f t="shared" ref="F108" si="77">IF(F107&lt;=$B$12,0,IF(F107&lt;$B$13,(F107-$B$12)/($B$13-$B$12),1))</f>
        <v>0.45063366850977188</v>
      </c>
      <c r="G108" s="17">
        <f t="shared" ref="G108" si="78">IF(G107&lt;=$B$12,0,IF(G107&lt;$B$13,(G107-$B$12)/($B$13-$B$12),1))</f>
        <v>0.48465183035417164</v>
      </c>
      <c r="H108" s="17">
        <f t="shared" ref="H108" si="79">IF(H107&lt;=$B$12,0,IF(H107&lt;$B$13,(H107-$B$12)/($B$13-$B$12),1))</f>
        <v>0.51935035543545915</v>
      </c>
      <c r="I108" s="17">
        <f t="shared" ref="I108" si="80">IF(I107&lt;=$B$12,0,IF(I107&lt;$B$13,(I107-$B$12)/($B$13-$B$12),1))</f>
        <v>0.55474285101837217</v>
      </c>
      <c r="J108" s="17">
        <f t="shared" ref="J108" si="81">IF(J107&lt;=$B$12,0,IF(J107&lt;$B$13,(J107-$B$12)/($B$13-$B$12),1))</f>
        <v>0.59084319651294404</v>
      </c>
      <c r="K108" s="17">
        <f t="shared" ref="K108" si="82">IF(K107&lt;=$B$12,0,IF(K107&lt;$B$13,(K107-$B$12)/($B$13-$B$12),1))</f>
        <v>0.627665548917407</v>
      </c>
      <c r="L108" s="17">
        <f t="shared" ref="L108" si="83">IF(L107&lt;=$B$12,0,IF(L107&lt;$B$13,(L107-$B$12)/($B$13-$B$12),1))</f>
        <v>0.66522434836995947</v>
      </c>
      <c r="M108" s="17">
        <f t="shared" ref="M108" si="84">IF(M107&lt;=$B$12,0,IF(M107&lt;$B$13,(M107-$B$12)/($B$13-$B$12),1))</f>
        <v>0.70353432381156245</v>
      </c>
      <c r="N108" s="17">
        <f t="shared" ref="N108" si="85">IF(N107&lt;=$B$12,0,IF(N107&lt;$B$13,(N107-$B$12)/($B$13-$B$12),1))</f>
        <v>0.74261049876199814</v>
      </c>
      <c r="O108" s="17">
        <f t="shared" ref="O108" si="86">IF(O107&lt;=$B$12,0,IF(O107&lt;$B$13,(O107-$B$12)/($B$13-$B$12),1))</f>
        <v>0.78246819721144212</v>
      </c>
      <c r="P108" s="17">
        <f t="shared" ref="P108" si="87">IF(P107&lt;=$B$12,0,IF(P107&lt;$B$13,(P107-$B$12)/($B$13-$B$12),1))</f>
        <v>0.82312304962987548</v>
      </c>
      <c r="Q108" s="17">
        <f t="shared" ref="Q108" si="88">IF(Q107&lt;=$B$12,0,IF(Q107&lt;$B$13,(Q107-$B$12)/($B$13-$B$12),1))</f>
        <v>0.86459099909667647</v>
      </c>
      <c r="R108" s="17">
        <f t="shared" ref="R108" si="89">IF(R107&lt;=$B$12,0,IF(R107&lt;$B$13,(R107-$B$12)/($B$13-$B$12),1))</f>
        <v>0.90688830755281458</v>
      </c>
      <c r="S108" s="17">
        <f t="shared" ref="S108" si="90">IF(S107&lt;=$B$12,0,IF(S107&lt;$B$13,(S107-$B$12)/($B$13-$B$12),1))</f>
        <v>0.95003156217807527</v>
      </c>
      <c r="T108" s="17">
        <f t="shared" ref="T108" si="91">IF(T107&lt;=$B$12,0,IF(T107&lt;$B$13,(T107-$B$12)/($B$13-$B$12),1))</f>
        <v>0.99403768189584063</v>
      </c>
      <c r="U108" s="17">
        <f t="shared" ref="U108" si="92">IF(U107&lt;=$B$12,0,IF(U107&lt;$B$13,(U107-$B$12)/($B$13-$B$12),1))</f>
        <v>1</v>
      </c>
      <c r="V108" s="17">
        <f t="shared" ref="V108" si="93">IF(V107&lt;=$B$12,0,IF(V107&lt;$B$13,(V107-$B$12)/($B$13-$B$12),1))</f>
        <v>1</v>
      </c>
      <c r="W108" s="17">
        <f t="shared" ref="W108" si="94">IF(W107&lt;=$B$12,0,IF(W107&lt;$B$13,(W107-$B$12)/($B$13-$B$12),1))</f>
        <v>1</v>
      </c>
      <c r="X108" s="17">
        <f t="shared" ref="X108" si="95">IF(X107&lt;=$B$12,0,IF(X107&lt;$B$13,(X107-$B$12)/($B$13-$B$12),1))</f>
        <v>1</v>
      </c>
      <c r="Y108" s="17">
        <f t="shared" ref="Y108" si="96">IF(Y107&lt;=$B$12,0,IF(Y107&lt;$B$13,(Y107-$B$12)/($B$13-$B$12),1))</f>
        <v>1</v>
      </c>
      <c r="Z108" s="17">
        <f t="shared" ref="Z108" si="97">IF(Z107&lt;=$B$12,0,IF(Z107&lt;$B$13,(Z107-$B$12)/($B$13-$B$12),1))</f>
        <v>1</v>
      </c>
      <c r="AA108" s="17">
        <f t="shared" ref="AA108" si="98">IF(AA107&lt;=$B$12,0,IF(AA107&lt;$B$13,(AA107-$B$12)/($B$13-$B$12),1))</f>
        <v>1</v>
      </c>
      <c r="AB108" s="17">
        <f t="shared" ref="AB108" si="99">IF(AB107&lt;=$B$12,0,IF(AB107&lt;$B$13,(AB107-$B$12)/($B$13-$B$12),1))</f>
        <v>1</v>
      </c>
      <c r="AC108" s="17">
        <f t="shared" ref="AC108" si="100">IF(AC107&lt;=$B$12,0,IF(AC107&lt;$B$13,(AC107-$B$12)/($B$13-$B$12),1))</f>
        <v>1</v>
      </c>
      <c r="AD108" s="17">
        <f t="shared" ref="AD108" si="101">IF(AD107&lt;=$B$12,0,IF(AD107&lt;$B$13,(AD107-$B$12)/($B$13-$B$12),1))</f>
        <v>1</v>
      </c>
      <c r="AE108" s="37">
        <f t="shared" ref="AE108" si="102">IF(AE107&lt;=$B$12,0,IF(AE107&lt;$B$13,(AE107-$B$12)/($B$13-$B$12),1))</f>
        <v>1</v>
      </c>
    </row>
    <row r="109" spans="1:31" ht="17" x14ac:dyDescent="0.25">
      <c r="A109" s="36" t="s">
        <v>23</v>
      </c>
      <c r="B109" s="17">
        <f>$B$18+$B$19*B108</f>
        <v>4.6216385454694475E-2</v>
      </c>
      <c r="C109" s="16">
        <f>$B$18+$B$19*C108</f>
        <v>4.7159211151347823E-2</v>
      </c>
      <c r="D109" s="16">
        <f t="shared" ref="D109:AE109" si="103">$B$18+$B$19*D108</f>
        <v>4.8120893361934244E-2</v>
      </c>
      <c r="E109" s="16">
        <f t="shared" si="103"/>
        <v>4.9101809216732378E-2</v>
      </c>
      <c r="F109" s="16">
        <f t="shared" si="103"/>
        <v>5.0102343388626486E-2</v>
      </c>
      <c r="G109" s="16">
        <f t="shared" si="103"/>
        <v>5.1122888243958477E-2</v>
      </c>
      <c r="H109" s="16">
        <f t="shared" si="103"/>
        <v>5.2163843996397105E-2</v>
      </c>
      <c r="I109" s="16">
        <f t="shared" si="103"/>
        <v>5.3225618863884494E-2</v>
      </c>
      <c r="J109" s="16">
        <f t="shared" si="103"/>
        <v>5.430862922872165E-2</v>
      </c>
      <c r="K109" s="16">
        <f t="shared" si="103"/>
        <v>5.5413299800855534E-2</v>
      </c>
      <c r="L109" s="16">
        <f t="shared" si="103"/>
        <v>5.6540063784432111E-2</v>
      </c>
      <c r="M109" s="16">
        <f t="shared" si="103"/>
        <v>5.7689363047680201E-2</v>
      </c>
      <c r="N109" s="16">
        <f t="shared" si="103"/>
        <v>5.8861648296193274E-2</v>
      </c>
      <c r="O109" s="16">
        <f t="shared" si="103"/>
        <v>6.0057379249676593E-2</v>
      </c>
      <c r="P109" s="16">
        <f t="shared" si="103"/>
        <v>6.1277024822229589E-2</v>
      </c>
      <c r="Q109" s="16">
        <f t="shared" si="103"/>
        <v>6.2521063306233624E-2</v>
      </c>
      <c r="R109" s="16">
        <f t="shared" si="103"/>
        <v>6.378998255991776E-2</v>
      </c>
      <c r="S109" s="16">
        <f t="shared" si="103"/>
        <v>6.5084280198675584E-2</v>
      </c>
      <c r="T109" s="16">
        <f t="shared" si="103"/>
        <v>6.6404463790208548E-2</v>
      </c>
      <c r="U109" s="16">
        <f t="shared" si="103"/>
        <v>6.6583333333333328E-2</v>
      </c>
      <c r="V109" s="16">
        <f t="shared" si="103"/>
        <v>6.6583333333333328E-2</v>
      </c>
      <c r="W109" s="16">
        <f t="shared" si="103"/>
        <v>6.6583333333333328E-2</v>
      </c>
      <c r="X109" s="16">
        <f t="shared" si="103"/>
        <v>6.6583333333333328E-2</v>
      </c>
      <c r="Y109" s="16">
        <f t="shared" si="103"/>
        <v>6.6583333333333328E-2</v>
      </c>
      <c r="Z109" s="16">
        <f t="shared" si="103"/>
        <v>6.6583333333333328E-2</v>
      </c>
      <c r="AA109" s="16">
        <f t="shared" si="103"/>
        <v>6.6583333333333328E-2</v>
      </c>
      <c r="AB109" s="16">
        <f t="shared" si="103"/>
        <v>6.6583333333333328E-2</v>
      </c>
      <c r="AC109" s="16">
        <f t="shared" si="103"/>
        <v>6.6583333333333328E-2</v>
      </c>
      <c r="AD109" s="16">
        <f t="shared" si="103"/>
        <v>6.6583333333333328E-2</v>
      </c>
      <c r="AE109" s="35">
        <f t="shared" si="103"/>
        <v>6.6583333333333328E-2</v>
      </c>
    </row>
    <row r="110" spans="1:31" ht="17" x14ac:dyDescent="0.25">
      <c r="A110" s="36" t="s">
        <v>24</v>
      </c>
      <c r="B110" s="17">
        <f>$B$9</f>
        <v>9250</v>
      </c>
      <c r="C110" s="16">
        <f>B114</f>
        <v>9282.5945937407232</v>
      </c>
      <c r="D110" s="16">
        <f t="shared" ref="D110" si="104">C114</f>
        <v>9286.7963210697981</v>
      </c>
      <c r="E110" s="16">
        <f t="shared" ref="E110" si="105">D114</f>
        <v>9260.7029831375057</v>
      </c>
      <c r="F110" s="16">
        <f t="shared" ref="F110" si="106">E114</f>
        <v>9202.2253353884025</v>
      </c>
      <c r="G110" s="16">
        <f t="shared" ref="G110" si="107">F114</f>
        <v>9109.0665718648088</v>
      </c>
      <c r="H110" s="16">
        <f t="shared" ref="H110" si="108">G114</f>
        <v>8978.6993106639529</v>
      </c>
      <c r="I110" s="16">
        <f t="shared" ref="I110" si="109">H114</f>
        <v>8808.3397461636869</v>
      </c>
      <c r="J110" s="16">
        <f t="shared" ref="J110" si="110">I114</f>
        <v>8594.9185849916557</v>
      </c>
      <c r="K110" s="16">
        <f t="shared" ref="K110" si="111">J114</f>
        <v>8335.0483264435716</v>
      </c>
      <c r="L110" s="16">
        <f t="shared" ref="L110" si="112">K114</f>
        <v>8024.9863828753369</v>
      </c>
      <c r="M110" s="16">
        <f t="shared" ref="M110" si="113">L114</f>
        <v>7660.5934599895145</v>
      </c>
      <c r="N110" s="16">
        <f t="shared" ref="N110" si="114">M114</f>
        <v>7237.2865291238841</v>
      </c>
      <c r="O110" s="16">
        <f t="shared" ref="O110" si="115">N114</f>
        <v>6749.9856215175078</v>
      </c>
      <c r="P110" s="16">
        <f t="shared" ref="P110" si="116">O114</f>
        <v>6193.0535555783563</v>
      </c>
      <c r="Q110" s="16">
        <f t="shared" ref="Q110" si="117">P114</f>
        <v>5560.2275694416267</v>
      </c>
      <c r="R110" s="16">
        <f t="shared" ref="R110" si="118">Q114</f>
        <v>4844.5416690687052</v>
      </c>
      <c r="S110" s="16">
        <f t="shared" ref="S110" si="119">R114</f>
        <v>4038.2383126055634</v>
      </c>
      <c r="T110" s="16">
        <f t="shared" ref="T110" si="120">S114</f>
        <v>3132.6678297075046</v>
      </c>
      <c r="U110" s="16">
        <f t="shared" ref="U110" si="121">T114</f>
        <v>2118.1737140924683</v>
      </c>
      <c r="V110" s="16">
        <f t="shared" ref="V110" si="122">U114</f>
        <v>981.48819261460062</v>
      </c>
      <c r="W110" s="16">
        <f t="shared" ref="W110" si="123">V114</f>
        <v>0</v>
      </c>
      <c r="X110" s="16">
        <f t="shared" ref="X110" si="124">W114</f>
        <v>0</v>
      </c>
      <c r="Y110" s="16">
        <f t="shared" ref="Y110" si="125">X114</f>
        <v>0</v>
      </c>
      <c r="Z110" s="16">
        <f t="shared" ref="Z110" si="126">Y114</f>
        <v>0</v>
      </c>
      <c r="AA110" s="16">
        <f t="shared" ref="AA110" si="127">Z114</f>
        <v>0</v>
      </c>
      <c r="AB110" s="16">
        <f t="shared" ref="AB110" si="128">AA114</f>
        <v>0</v>
      </c>
      <c r="AC110" s="16">
        <f t="shared" ref="AC110" si="129">AB114</f>
        <v>0</v>
      </c>
      <c r="AD110" s="16">
        <f t="shared" ref="AD110" si="130">AC114</f>
        <v>0</v>
      </c>
      <c r="AE110" s="35">
        <f t="shared" ref="AE110" si="131">AD114</f>
        <v>0</v>
      </c>
    </row>
    <row r="111" spans="1:31" ht="17" x14ac:dyDescent="0.25">
      <c r="A111" s="36" t="s">
        <v>25</v>
      </c>
      <c r="B111" s="17">
        <f>B110*(1+B109)</f>
        <v>9677.5015654559229</v>
      </c>
      <c r="C111" s="16">
        <f>C110*(1+C109)</f>
        <v>9720.3544322193029</v>
      </c>
      <c r="D111" s="16">
        <f t="shared" ref="D111:AE111" si="132">D110*(1+D109)</f>
        <v>9733.6852565099998</v>
      </c>
      <c r="E111" s="16">
        <f t="shared" si="132"/>
        <v>9715.4202542283474</v>
      </c>
      <c r="F111" s="16">
        <f t="shared" si="132"/>
        <v>9663.2783890815517</v>
      </c>
      <c r="G111" s="16">
        <f t="shared" si="132"/>
        <v>9574.7483642250318</v>
      </c>
      <c r="H111" s="16">
        <f t="shared" si="132"/>
        <v>9447.0627807959863</v>
      </c>
      <c r="I111" s="16">
        <f t="shared" si="132"/>
        <v>9277.1690803166002</v>
      </c>
      <c r="J111" s="16">
        <f t="shared" si="132"/>
        <v>9061.6968316750153</v>
      </c>
      <c r="K111" s="16">
        <f t="shared" si="132"/>
        <v>8796.9208582114097</v>
      </c>
      <c r="L111" s="16">
        <f t="shared" si="132"/>
        <v>8478.7196248323089</v>
      </c>
      <c r="M111" s="16">
        <f t="shared" si="132"/>
        <v>8102.5282172635343</v>
      </c>
      <c r="N111" s="16">
        <f t="shared" si="132"/>
        <v>7663.2851434199511</v>
      </c>
      <c r="O111" s="16">
        <f t="shared" si="132"/>
        <v>7155.3720679188482</v>
      </c>
      <c r="P111" s="16">
        <f t="shared" si="132"/>
        <v>6572.5454520289286</v>
      </c>
      <c r="Q111" s="16">
        <f t="shared" si="132"/>
        <v>5907.8589093077526</v>
      </c>
      <c r="R111" s="16">
        <f t="shared" si="132"/>
        <v>5153.5748976493924</v>
      </c>
      <c r="S111" s="16">
        <f t="shared" si="132"/>
        <v>4301.0641464522105</v>
      </c>
      <c r="T111" s="16">
        <f t="shared" si="132"/>
        <v>3340.690957172068</v>
      </c>
      <c r="U111" s="16">
        <f t="shared" si="132"/>
        <v>2259.2087805557921</v>
      </c>
      <c r="V111" s="16">
        <f t="shared" si="132"/>
        <v>1046.8389481061895</v>
      </c>
      <c r="W111" s="16">
        <f t="shared" si="132"/>
        <v>0</v>
      </c>
      <c r="X111" s="16">
        <f t="shared" si="132"/>
        <v>0</v>
      </c>
      <c r="Y111" s="16">
        <f t="shared" si="132"/>
        <v>0</v>
      </c>
      <c r="Z111" s="16">
        <f t="shared" si="132"/>
        <v>0</v>
      </c>
      <c r="AA111" s="16">
        <f t="shared" si="132"/>
        <v>0</v>
      </c>
      <c r="AB111" s="16">
        <f t="shared" si="132"/>
        <v>0</v>
      </c>
      <c r="AC111" s="16">
        <f t="shared" si="132"/>
        <v>0</v>
      </c>
      <c r="AD111" s="16">
        <f t="shared" si="132"/>
        <v>0</v>
      </c>
      <c r="AE111" s="35">
        <f t="shared" si="132"/>
        <v>0</v>
      </c>
    </row>
    <row r="112" spans="1:31" ht="17" x14ac:dyDescent="0.25">
      <c r="A112" s="36" t="s">
        <v>26</v>
      </c>
      <c r="B112" s="17">
        <f>$B$11*MAX(0,B107-$B$12)</f>
        <v>394.90697171520014</v>
      </c>
      <c r="C112" s="16">
        <f>$B$11*MAX(0,C107-$B$12)</f>
        <v>433.55811114950416</v>
      </c>
      <c r="D112" s="16">
        <f t="shared" ref="D112:AE112" si="133">$B$11*MAX(0,D107-$B$12)</f>
        <v>472.98227337249432</v>
      </c>
      <c r="E112" s="16">
        <f t="shared" si="133"/>
        <v>513.19491883994408</v>
      </c>
      <c r="F112" s="16">
        <f t="shared" si="133"/>
        <v>554.21181721674293</v>
      </c>
      <c r="G112" s="16">
        <f t="shared" si="133"/>
        <v>596.04905356107793</v>
      </c>
      <c r="H112" s="16">
        <f t="shared" si="133"/>
        <v>638.72303463229946</v>
      </c>
      <c r="I112" s="16">
        <f t="shared" si="133"/>
        <v>682.25049532494495</v>
      </c>
      <c r="J112" s="16">
        <f t="shared" si="133"/>
        <v>726.64850523144423</v>
      </c>
      <c r="K112" s="16">
        <f t="shared" si="133"/>
        <v>771.93447533607298</v>
      </c>
      <c r="L112" s="16">
        <f t="shared" si="133"/>
        <v>818.12616484279454</v>
      </c>
      <c r="M112" s="16">
        <f t="shared" si="133"/>
        <v>865.24168813965002</v>
      </c>
      <c r="N112" s="16">
        <f t="shared" si="133"/>
        <v>913.2995219024433</v>
      </c>
      <c r="O112" s="16">
        <f t="shared" si="133"/>
        <v>962.31851234049213</v>
      </c>
      <c r="P112" s="16">
        <f t="shared" si="133"/>
        <v>1012.3178825873023</v>
      </c>
      <c r="Q112" s="16">
        <f t="shared" si="133"/>
        <v>1063.3172402390474</v>
      </c>
      <c r="R112" s="16">
        <f t="shared" si="133"/>
        <v>1115.336585043829</v>
      </c>
      <c r="S112" s="16">
        <f t="shared" si="133"/>
        <v>1168.3963167447059</v>
      </c>
      <c r="T112" s="16">
        <f t="shared" si="133"/>
        <v>1222.5172430795997</v>
      </c>
      <c r="U112" s="16">
        <f t="shared" si="133"/>
        <v>1277.7205879411915</v>
      </c>
      <c r="V112" s="16">
        <f t="shared" si="133"/>
        <v>1334.0279997000155</v>
      </c>
      <c r="W112" s="16">
        <f t="shared" si="133"/>
        <v>1391.4615596940157</v>
      </c>
      <c r="X112" s="16">
        <f t="shared" si="133"/>
        <v>1450.0437908878964</v>
      </c>
      <c r="Y112" s="16">
        <f t="shared" si="133"/>
        <v>1509.7976667056535</v>
      </c>
      <c r="Z112" s="16">
        <f t="shared" si="133"/>
        <v>1570.7466200397669</v>
      </c>
      <c r="AA112" s="16">
        <f t="shared" si="133"/>
        <v>1632.9145524405621</v>
      </c>
      <c r="AB112" s="16">
        <f t="shared" si="133"/>
        <v>1696.3258434893739</v>
      </c>
      <c r="AC112" s="16">
        <f t="shared" si="133"/>
        <v>1761.0053603591602</v>
      </c>
      <c r="AD112" s="16">
        <f t="shared" si="133"/>
        <v>1826.9784675663448</v>
      </c>
      <c r="AE112" s="35">
        <f t="shared" si="133"/>
        <v>1894.2710369176707</v>
      </c>
    </row>
    <row r="113" spans="1:31" ht="17" x14ac:dyDescent="0.25">
      <c r="A113" s="36" t="s">
        <v>27</v>
      </c>
      <c r="B113" s="17">
        <f>MIN(B112,B111)</f>
        <v>394.90697171520014</v>
      </c>
      <c r="C113" s="16">
        <f>MIN(C112,C111)</f>
        <v>433.55811114950416</v>
      </c>
      <c r="D113" s="16">
        <f>MIN(D112,D111)</f>
        <v>472.98227337249432</v>
      </c>
      <c r="E113" s="16">
        <f t="shared" ref="E113:AE113" si="134">MIN(E112,E111)</f>
        <v>513.19491883994408</v>
      </c>
      <c r="F113" s="16">
        <f t="shared" si="134"/>
        <v>554.21181721674293</v>
      </c>
      <c r="G113" s="16">
        <f t="shared" si="134"/>
        <v>596.04905356107793</v>
      </c>
      <c r="H113" s="16">
        <f t="shared" si="134"/>
        <v>638.72303463229946</v>
      </c>
      <c r="I113" s="16">
        <f t="shared" si="134"/>
        <v>682.25049532494495</v>
      </c>
      <c r="J113" s="16">
        <f t="shared" si="134"/>
        <v>726.64850523144423</v>
      </c>
      <c r="K113" s="16">
        <f t="shared" si="134"/>
        <v>771.93447533607298</v>
      </c>
      <c r="L113" s="16">
        <f t="shared" si="134"/>
        <v>818.12616484279454</v>
      </c>
      <c r="M113" s="16">
        <f t="shared" si="134"/>
        <v>865.24168813965002</v>
      </c>
      <c r="N113" s="16">
        <f t="shared" si="134"/>
        <v>913.2995219024433</v>
      </c>
      <c r="O113" s="16">
        <f t="shared" si="134"/>
        <v>962.31851234049213</v>
      </c>
      <c r="P113" s="16">
        <f t="shared" si="134"/>
        <v>1012.3178825873023</v>
      </c>
      <c r="Q113" s="16">
        <f t="shared" si="134"/>
        <v>1063.3172402390474</v>
      </c>
      <c r="R113" s="16">
        <f t="shared" si="134"/>
        <v>1115.336585043829</v>
      </c>
      <c r="S113" s="16">
        <f t="shared" si="134"/>
        <v>1168.3963167447059</v>
      </c>
      <c r="T113" s="16">
        <f t="shared" si="134"/>
        <v>1222.5172430795997</v>
      </c>
      <c r="U113" s="16">
        <f t="shared" si="134"/>
        <v>1277.7205879411915</v>
      </c>
      <c r="V113" s="16">
        <f t="shared" si="134"/>
        <v>1046.8389481061895</v>
      </c>
      <c r="W113" s="16">
        <f t="shared" si="134"/>
        <v>0</v>
      </c>
      <c r="X113" s="16">
        <f t="shared" si="134"/>
        <v>0</v>
      </c>
      <c r="Y113" s="16">
        <f t="shared" si="134"/>
        <v>0</v>
      </c>
      <c r="Z113" s="16">
        <f t="shared" si="134"/>
        <v>0</v>
      </c>
      <c r="AA113" s="16">
        <f t="shared" si="134"/>
        <v>0</v>
      </c>
      <c r="AB113" s="16">
        <f t="shared" si="134"/>
        <v>0</v>
      </c>
      <c r="AC113" s="16">
        <f t="shared" si="134"/>
        <v>0</v>
      </c>
      <c r="AD113" s="16">
        <f t="shared" si="134"/>
        <v>0</v>
      </c>
      <c r="AE113" s="35">
        <f t="shared" si="134"/>
        <v>0</v>
      </c>
    </row>
    <row r="114" spans="1:31" ht="17" x14ac:dyDescent="0.25">
      <c r="A114" s="38" t="s">
        <v>28</v>
      </c>
      <c r="B114" s="19">
        <f>B111-B113</f>
        <v>9282.5945937407232</v>
      </c>
      <c r="C114" s="18">
        <f>C111-C113</f>
        <v>9286.7963210697981</v>
      </c>
      <c r="D114" s="18">
        <f t="shared" ref="D114:AE114" si="135">D111-D113</f>
        <v>9260.7029831375057</v>
      </c>
      <c r="E114" s="18">
        <f t="shared" si="135"/>
        <v>9202.2253353884025</v>
      </c>
      <c r="F114" s="18">
        <f t="shared" si="135"/>
        <v>9109.0665718648088</v>
      </c>
      <c r="G114" s="18">
        <f t="shared" si="135"/>
        <v>8978.6993106639529</v>
      </c>
      <c r="H114" s="18">
        <f t="shared" si="135"/>
        <v>8808.3397461636869</v>
      </c>
      <c r="I114" s="18">
        <f t="shared" si="135"/>
        <v>8594.9185849916557</v>
      </c>
      <c r="J114" s="18">
        <f t="shared" si="135"/>
        <v>8335.0483264435716</v>
      </c>
      <c r="K114" s="18">
        <f t="shared" si="135"/>
        <v>8024.9863828753369</v>
      </c>
      <c r="L114" s="18">
        <f t="shared" si="135"/>
        <v>7660.5934599895145</v>
      </c>
      <c r="M114" s="18">
        <f t="shared" si="135"/>
        <v>7237.2865291238841</v>
      </c>
      <c r="N114" s="18">
        <f t="shared" si="135"/>
        <v>6749.9856215175078</v>
      </c>
      <c r="O114" s="18">
        <f t="shared" si="135"/>
        <v>6193.0535555783563</v>
      </c>
      <c r="P114" s="18">
        <f t="shared" si="135"/>
        <v>5560.2275694416267</v>
      </c>
      <c r="Q114" s="18">
        <f t="shared" si="135"/>
        <v>4844.5416690687052</v>
      </c>
      <c r="R114" s="18">
        <f t="shared" si="135"/>
        <v>4038.2383126055634</v>
      </c>
      <c r="S114" s="18">
        <f t="shared" si="135"/>
        <v>3132.6678297075046</v>
      </c>
      <c r="T114" s="18">
        <f t="shared" si="135"/>
        <v>2118.1737140924683</v>
      </c>
      <c r="U114" s="18">
        <f t="shared" si="135"/>
        <v>981.48819261460062</v>
      </c>
      <c r="V114" s="18">
        <f t="shared" si="135"/>
        <v>0</v>
      </c>
      <c r="W114" s="18">
        <f t="shared" si="135"/>
        <v>0</v>
      </c>
      <c r="X114" s="18">
        <f t="shared" si="135"/>
        <v>0</v>
      </c>
      <c r="Y114" s="18">
        <f t="shared" si="135"/>
        <v>0</v>
      </c>
      <c r="Z114" s="18">
        <f t="shared" si="135"/>
        <v>0</v>
      </c>
      <c r="AA114" s="18">
        <f t="shared" si="135"/>
        <v>0</v>
      </c>
      <c r="AB114" s="18">
        <f t="shared" si="135"/>
        <v>0</v>
      </c>
      <c r="AC114" s="18">
        <f t="shared" si="135"/>
        <v>0</v>
      </c>
      <c r="AD114" s="18">
        <f t="shared" si="135"/>
        <v>0</v>
      </c>
      <c r="AE114" s="39">
        <f t="shared" si="135"/>
        <v>0</v>
      </c>
    </row>
    <row r="115" spans="1:31" ht="17" x14ac:dyDescent="0.25">
      <c r="A115" s="36" t="s">
        <v>29</v>
      </c>
      <c r="B115" s="17">
        <f>1/(1+$B$102)^B106</f>
        <v>0.7407407407407407</v>
      </c>
      <c r="C115" s="17">
        <f t="shared" ref="C115:AE115" si="136">1/(1+$B$102)^C106</f>
        <v>0.5486968449931412</v>
      </c>
      <c r="D115" s="17">
        <f t="shared" si="136"/>
        <v>0.40644210740232684</v>
      </c>
      <c r="E115" s="17">
        <f t="shared" si="136"/>
        <v>0.30106822770542724</v>
      </c>
      <c r="F115" s="17">
        <f t="shared" si="136"/>
        <v>0.22301350200402015</v>
      </c>
      <c r="G115" s="17">
        <f t="shared" si="136"/>
        <v>0.16519518666964456</v>
      </c>
      <c r="H115" s="17">
        <f t="shared" si="136"/>
        <v>0.12236680494047744</v>
      </c>
      <c r="I115" s="17">
        <f t="shared" si="136"/>
        <v>9.0642077733686988E-2</v>
      </c>
      <c r="J115" s="17">
        <f t="shared" si="136"/>
        <v>6.7142279802731103E-2</v>
      </c>
      <c r="K115" s="17">
        <f t="shared" si="136"/>
        <v>4.9735022076097105E-2</v>
      </c>
      <c r="L115" s="17">
        <f t="shared" si="136"/>
        <v>3.6840757093405264E-2</v>
      </c>
      <c r="M115" s="17">
        <f t="shared" si="136"/>
        <v>2.7289449698818708E-2</v>
      </c>
      <c r="N115" s="17">
        <f t="shared" si="136"/>
        <v>2.0214407184310154E-2</v>
      </c>
      <c r="O115" s="17">
        <f t="shared" si="136"/>
        <v>1.4973634951340853E-2</v>
      </c>
      <c r="P115" s="17">
        <f t="shared" si="136"/>
        <v>1.1091581445437669E-2</v>
      </c>
      <c r="Q115" s="17">
        <f t="shared" si="136"/>
        <v>8.2159862558797547E-3</v>
      </c>
      <c r="R115" s="17">
        <f t="shared" si="136"/>
        <v>6.0859157450961132E-3</v>
      </c>
      <c r="S115" s="17">
        <f t="shared" si="136"/>
        <v>4.5080857371082323E-3</v>
      </c>
      <c r="T115" s="17">
        <f t="shared" si="136"/>
        <v>3.3393227682283204E-3</v>
      </c>
      <c r="U115" s="17">
        <f t="shared" si="136"/>
        <v>2.4735724209098667E-3</v>
      </c>
      <c r="V115" s="17">
        <f t="shared" si="136"/>
        <v>1.8322758673406418E-3</v>
      </c>
      <c r="W115" s="17">
        <f t="shared" si="136"/>
        <v>1.3572413832152901E-3</v>
      </c>
      <c r="X115" s="17">
        <f t="shared" si="136"/>
        <v>1.0053639875668816E-3</v>
      </c>
      <c r="Y115" s="17">
        <f t="shared" si="136"/>
        <v>7.4471406486435656E-4</v>
      </c>
      <c r="Z115" s="17">
        <f t="shared" si="136"/>
        <v>5.5164004804767147E-4</v>
      </c>
      <c r="AA115" s="17">
        <f t="shared" si="136"/>
        <v>4.0862225781308997E-4</v>
      </c>
      <c r="AB115" s="17">
        <f t="shared" si="136"/>
        <v>3.0268315393562221E-4</v>
      </c>
      <c r="AC115" s="17">
        <f t="shared" si="136"/>
        <v>2.2420974365601644E-4</v>
      </c>
      <c r="AD115" s="17">
        <f t="shared" si="136"/>
        <v>1.6608129159704916E-4</v>
      </c>
      <c r="AE115" s="17">
        <f t="shared" si="136"/>
        <v>1.2302317896077715E-4</v>
      </c>
    </row>
    <row r="116" spans="1:31" ht="17" x14ac:dyDescent="0.25">
      <c r="A116" s="36" t="s">
        <v>30</v>
      </c>
      <c r="B116" s="17">
        <f>B113*B115</f>
        <v>292.52368275200007</v>
      </c>
      <c r="C116" s="16">
        <f>C113*C115</f>
        <v>237.89196770891857</v>
      </c>
      <c r="D116" s="16">
        <f t="shared" ref="D116:AE116" si="137">D113*D115</f>
        <v>192.23991195346005</v>
      </c>
      <c r="E116" s="16">
        <f t="shared" si="137"/>
        <v>154.50668468257254</v>
      </c>
      <c r="F116" s="16">
        <f t="shared" si="137"/>
        <v>123.59671820951775</v>
      </c>
      <c r="G116" s="16">
        <f t="shared" si="137"/>
        <v>98.464434667287236</v>
      </c>
      <c r="H116" s="16">
        <f t="shared" si="137"/>
        <v>78.158496989840401</v>
      </c>
      <c r="I116" s="16">
        <f t="shared" si="137"/>
        <v>61.840602431090112</v>
      </c>
      <c r="J116" s="16">
        <f t="shared" si="137"/>
        <v>48.788837256485941</v>
      </c>
      <c r="K116" s="16">
        <f t="shared" si="137"/>
        <v>38.392178172140028</v>
      </c>
      <c r="L116" s="16">
        <f t="shared" si="137"/>
        <v>30.140387310732628</v>
      </c>
      <c r="M116" s="16">
        <f t="shared" si="137"/>
        <v>23.611969525807964</v>
      </c>
      <c r="N116" s="16">
        <f t="shared" si="137"/>
        <v>18.461808416971778</v>
      </c>
      <c r="O116" s="16">
        <f t="shared" si="137"/>
        <v>14.409406110703927</v>
      </c>
      <c r="P116" s="16">
        <f t="shared" si="137"/>
        <v>11.228206243390071</v>
      </c>
      <c r="Q116" s="16">
        <f t="shared" si="137"/>
        <v>8.7361998314440044</v>
      </c>
      <c r="R116" s="16">
        <f t="shared" si="137"/>
        <v>6.7878444839999688</v>
      </c>
      <c r="S116" s="16">
        <f t="shared" si="137"/>
        <v>5.2672307708066013</v>
      </c>
      <c r="T116" s="16">
        <f t="shared" si="137"/>
        <v>4.0823796643674228</v>
      </c>
      <c r="U116" s="16">
        <f t="shared" si="137"/>
        <v>3.1605344079600712</v>
      </c>
      <c r="V116" s="16">
        <f t="shared" si="137"/>
        <v>1.9180977416072333</v>
      </c>
      <c r="W116" s="16">
        <f t="shared" si="137"/>
        <v>0</v>
      </c>
      <c r="X116" s="16">
        <f t="shared" si="137"/>
        <v>0</v>
      </c>
      <c r="Y116" s="16">
        <f t="shared" si="137"/>
        <v>0</v>
      </c>
      <c r="Z116" s="16">
        <f t="shared" si="137"/>
        <v>0</v>
      </c>
      <c r="AA116" s="16">
        <f t="shared" si="137"/>
        <v>0</v>
      </c>
      <c r="AB116" s="16">
        <f t="shared" si="137"/>
        <v>0</v>
      </c>
      <c r="AC116" s="16">
        <f t="shared" si="137"/>
        <v>0</v>
      </c>
      <c r="AD116" s="16">
        <f t="shared" si="137"/>
        <v>0</v>
      </c>
      <c r="AE116" s="35">
        <f t="shared" si="137"/>
        <v>0</v>
      </c>
    </row>
    <row r="117" spans="1:31" x14ac:dyDescent="0.2">
      <c r="A117" s="9"/>
      <c r="AE117" s="8"/>
    </row>
    <row r="118" spans="1:31" ht="17" x14ac:dyDescent="0.25">
      <c r="A118" s="9"/>
      <c r="B118" s="1"/>
      <c r="AE118" s="8"/>
    </row>
    <row r="119" spans="1:31" ht="17" x14ac:dyDescent="0.2">
      <c r="A119" s="40" t="s">
        <v>111</v>
      </c>
      <c r="B119" s="41">
        <f>SUM(B116:AE116)</f>
        <v>1454.2075793311046</v>
      </c>
      <c r="AE119" s="8"/>
    </row>
    <row r="120" spans="1:31" ht="34" x14ac:dyDescent="0.2">
      <c r="A120" s="40" t="s">
        <v>34</v>
      </c>
      <c r="B120" s="40">
        <f>LN($B$10)-LN(B119)</f>
        <v>2.7256311556300057</v>
      </c>
      <c r="AE120" s="8"/>
    </row>
    <row r="121" spans="1:31" ht="17" x14ac:dyDescent="0.2">
      <c r="A121" s="40" t="s">
        <v>35</v>
      </c>
      <c r="B121" s="40">
        <f>$B$21/B120</f>
        <v>-0.30662263244009114</v>
      </c>
      <c r="AE121" s="8"/>
    </row>
    <row r="122" spans="1:31" ht="35" thickBot="1" x14ac:dyDescent="0.25">
      <c r="A122" s="40" t="s">
        <v>36</v>
      </c>
      <c r="B122" s="41">
        <f>AE114</f>
        <v>0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4"/>
    </row>
  </sheetData>
  <mergeCells count="3">
    <mergeCell ref="A23:B23"/>
    <mergeCell ref="A64:B64"/>
    <mergeCell ref="A105:B1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1583-F6D3-744F-A47E-D4B92F0A12BF}">
  <dimension ref="A1:J30"/>
  <sheetViews>
    <sheetView workbookViewId="0">
      <selection activeCell="J8" sqref="J8"/>
    </sheetView>
  </sheetViews>
  <sheetFormatPr baseColWidth="10" defaultRowHeight="16" x14ac:dyDescent="0.2"/>
  <sheetData>
    <row r="1" spans="1:10" x14ac:dyDescent="0.2">
      <c r="A1" t="s">
        <v>106</v>
      </c>
      <c r="B1" t="s">
        <v>97</v>
      </c>
      <c r="C1" t="s">
        <v>105</v>
      </c>
      <c r="D1" t="s">
        <v>103</v>
      </c>
      <c r="E1" t="s">
        <v>104</v>
      </c>
      <c r="I1" s="22" t="s">
        <v>97</v>
      </c>
      <c r="J1" s="22" t="s">
        <v>98</v>
      </c>
    </row>
    <row r="2" spans="1:10" x14ac:dyDescent="0.2">
      <c r="A2">
        <v>1</v>
      </c>
      <c r="B2" s="25" t="s">
        <v>43</v>
      </c>
      <c r="C2" s="25" t="s">
        <v>71</v>
      </c>
      <c r="D2" s="25">
        <v>28470</v>
      </c>
      <c r="E2" s="25">
        <v>51245</v>
      </c>
      <c r="H2" s="22"/>
      <c r="I2" s="33" t="s">
        <v>102</v>
      </c>
      <c r="J2" s="33" t="s">
        <v>102</v>
      </c>
    </row>
    <row r="3" spans="1:10" x14ac:dyDescent="0.2">
      <c r="A3" s="25">
        <v>2</v>
      </c>
      <c r="B3" s="25" t="s">
        <v>44</v>
      </c>
      <c r="C3" s="25" t="s">
        <v>72</v>
      </c>
      <c r="D3" s="25">
        <v>28470</v>
      </c>
      <c r="E3" s="25">
        <v>51245</v>
      </c>
      <c r="H3" s="25">
        <v>28</v>
      </c>
      <c r="I3" s="25" t="s">
        <v>68</v>
      </c>
      <c r="J3" s="25">
        <v>46525</v>
      </c>
    </row>
    <row r="4" spans="1:10" x14ac:dyDescent="0.2">
      <c r="A4" s="25">
        <v>3</v>
      </c>
      <c r="B4" s="25" t="s">
        <v>45</v>
      </c>
      <c r="C4" s="25" t="s">
        <v>73</v>
      </c>
      <c r="D4" s="25">
        <v>11390</v>
      </c>
      <c r="E4" s="25">
        <v>20500</v>
      </c>
      <c r="H4" s="25">
        <v>11</v>
      </c>
      <c r="I4" s="25" t="s">
        <v>67</v>
      </c>
      <c r="J4" s="25">
        <v>33700</v>
      </c>
    </row>
    <row r="5" spans="1:10" x14ac:dyDescent="0.2">
      <c r="A5" s="25">
        <v>4</v>
      </c>
      <c r="B5" s="25" t="s">
        <v>46</v>
      </c>
      <c r="C5" s="25" t="s">
        <v>74</v>
      </c>
      <c r="D5" s="25">
        <v>17085</v>
      </c>
      <c r="E5" s="25">
        <v>30750</v>
      </c>
      <c r="H5" s="25">
        <v>25</v>
      </c>
      <c r="I5" s="25" t="s">
        <v>66</v>
      </c>
      <c r="J5" s="25">
        <v>35133</v>
      </c>
    </row>
    <row r="6" spans="1:10" x14ac:dyDescent="0.2">
      <c r="A6" s="25">
        <v>5</v>
      </c>
      <c r="B6" s="25" t="s">
        <v>47</v>
      </c>
      <c r="C6" s="25" t="s">
        <v>75</v>
      </c>
      <c r="D6" s="25">
        <v>22780</v>
      </c>
      <c r="E6" s="25">
        <v>41000</v>
      </c>
      <c r="H6" s="25">
        <v>26</v>
      </c>
      <c r="I6" s="25" t="s">
        <v>65</v>
      </c>
      <c r="J6" s="25">
        <v>20287</v>
      </c>
    </row>
    <row r="7" spans="1:10" x14ac:dyDescent="0.2">
      <c r="A7" s="25">
        <v>6</v>
      </c>
      <c r="B7" s="25" t="s">
        <v>48</v>
      </c>
      <c r="C7" s="25" t="s">
        <v>76</v>
      </c>
      <c r="D7" s="25">
        <v>17085</v>
      </c>
      <c r="E7" s="25">
        <v>30750</v>
      </c>
      <c r="H7" s="25">
        <v>24</v>
      </c>
      <c r="I7" s="25" t="s">
        <v>64</v>
      </c>
      <c r="J7" s="25">
        <v>21108</v>
      </c>
    </row>
    <row r="8" spans="1:10" x14ac:dyDescent="0.2">
      <c r="A8" s="25">
        <v>7</v>
      </c>
      <c r="B8" s="25" t="s">
        <v>49</v>
      </c>
      <c r="C8" s="25" t="s">
        <v>77</v>
      </c>
      <c r="D8" s="25">
        <v>28470</v>
      </c>
      <c r="E8" s="25">
        <v>51245</v>
      </c>
      <c r="H8" s="25">
        <v>23</v>
      </c>
      <c r="I8" s="25" t="s">
        <v>63</v>
      </c>
      <c r="J8" s="25">
        <v>24818</v>
      </c>
    </row>
    <row r="9" spans="1:10" x14ac:dyDescent="0.2">
      <c r="A9" s="25">
        <v>8</v>
      </c>
      <c r="B9" s="25" t="s">
        <v>50</v>
      </c>
      <c r="C9" s="25" t="s">
        <v>78</v>
      </c>
      <c r="D9" s="25">
        <v>22780</v>
      </c>
      <c r="E9" s="25">
        <v>41000</v>
      </c>
      <c r="H9" s="25">
        <v>22</v>
      </c>
      <c r="I9" s="25" t="s">
        <v>62</v>
      </c>
      <c r="J9" s="25">
        <v>21246</v>
      </c>
    </row>
    <row r="10" spans="1:10" x14ac:dyDescent="0.2">
      <c r="A10" s="25">
        <v>9</v>
      </c>
      <c r="B10" s="25" t="s">
        <v>51</v>
      </c>
      <c r="C10" s="25" t="s">
        <v>79</v>
      </c>
      <c r="D10" s="25">
        <v>28470</v>
      </c>
      <c r="E10" s="25">
        <v>51245</v>
      </c>
      <c r="H10" s="25">
        <v>20</v>
      </c>
      <c r="I10" s="25" t="s">
        <v>60</v>
      </c>
      <c r="J10" s="25">
        <v>33499</v>
      </c>
    </row>
    <row r="11" spans="1:10" x14ac:dyDescent="0.2">
      <c r="A11" s="25">
        <v>10</v>
      </c>
      <c r="B11" s="25" t="s">
        <v>52</v>
      </c>
      <c r="C11" s="25" t="s">
        <v>80</v>
      </c>
      <c r="D11" s="25">
        <v>22780</v>
      </c>
      <c r="E11" s="25">
        <v>41000</v>
      </c>
      <c r="H11" s="25">
        <v>18</v>
      </c>
      <c r="I11" s="25" t="s">
        <v>59</v>
      </c>
      <c r="J11" s="25">
        <v>82969</v>
      </c>
    </row>
    <row r="12" spans="1:10" x14ac:dyDescent="0.2">
      <c r="A12" s="25">
        <v>11</v>
      </c>
      <c r="B12" s="25" t="s">
        <v>53</v>
      </c>
      <c r="C12" s="25" t="s">
        <v>81</v>
      </c>
      <c r="D12" s="25">
        <v>28470</v>
      </c>
      <c r="E12" s="25">
        <v>51245</v>
      </c>
      <c r="H12" s="25">
        <v>17</v>
      </c>
      <c r="I12" s="25" t="s">
        <v>58</v>
      </c>
      <c r="J12" s="25">
        <v>29104</v>
      </c>
    </row>
    <row r="13" spans="1:10" x14ac:dyDescent="0.2">
      <c r="A13" s="25">
        <v>12</v>
      </c>
      <c r="B13" s="25" t="s">
        <v>54</v>
      </c>
      <c r="C13" s="25" t="s">
        <v>82</v>
      </c>
      <c r="D13" s="25">
        <v>17085</v>
      </c>
      <c r="E13" s="25">
        <v>30750</v>
      </c>
      <c r="H13" s="25">
        <v>16</v>
      </c>
      <c r="I13" s="25" t="s">
        <v>57</v>
      </c>
      <c r="J13" s="25">
        <v>22262</v>
      </c>
    </row>
    <row r="14" spans="1:10" x14ac:dyDescent="0.2">
      <c r="A14" s="25">
        <v>13</v>
      </c>
      <c r="B14" s="25" t="s">
        <v>55</v>
      </c>
      <c r="C14" s="25" t="s">
        <v>83</v>
      </c>
      <c r="D14" s="25">
        <v>17085</v>
      </c>
      <c r="E14" s="25">
        <v>30750</v>
      </c>
      <c r="H14" s="25">
        <v>14</v>
      </c>
      <c r="I14" s="25" t="s">
        <v>56</v>
      </c>
      <c r="J14" s="25">
        <v>33523</v>
      </c>
    </row>
    <row r="15" spans="1:10" x14ac:dyDescent="0.2">
      <c r="A15" s="25">
        <v>14</v>
      </c>
      <c r="B15" s="25" t="s">
        <v>56</v>
      </c>
      <c r="C15" s="25" t="s">
        <v>84</v>
      </c>
      <c r="D15" s="25">
        <v>22780</v>
      </c>
      <c r="E15" s="25">
        <v>41000</v>
      </c>
      <c r="H15" s="25">
        <v>9</v>
      </c>
      <c r="I15" s="25" t="s">
        <v>99</v>
      </c>
      <c r="J15" s="25">
        <v>61051</v>
      </c>
    </row>
    <row r="16" spans="1:10" x14ac:dyDescent="0.2">
      <c r="A16" s="25">
        <v>15</v>
      </c>
      <c r="B16" s="25" t="s">
        <v>57</v>
      </c>
      <c r="C16" s="25" t="s">
        <v>85</v>
      </c>
      <c r="D16" s="25">
        <v>17085</v>
      </c>
      <c r="E16" s="25">
        <v>30750</v>
      </c>
      <c r="H16" s="25">
        <v>19</v>
      </c>
      <c r="I16" s="25" t="s">
        <v>55</v>
      </c>
      <c r="J16" s="25">
        <v>18461</v>
      </c>
    </row>
    <row r="17" spans="1:10" x14ac:dyDescent="0.2">
      <c r="A17" s="25">
        <v>16</v>
      </c>
      <c r="B17" s="25" t="s">
        <v>58</v>
      </c>
      <c r="C17" s="25" t="s">
        <v>86</v>
      </c>
      <c r="D17" s="25">
        <v>17085</v>
      </c>
      <c r="E17" s="25">
        <v>30750</v>
      </c>
      <c r="H17" s="25">
        <v>10</v>
      </c>
      <c r="I17" s="25" t="s">
        <v>54</v>
      </c>
      <c r="J17" s="25">
        <v>17954</v>
      </c>
    </row>
    <row r="18" spans="1:10" x14ac:dyDescent="0.2">
      <c r="A18" s="25">
        <v>17</v>
      </c>
      <c r="B18" s="25" t="s">
        <v>59</v>
      </c>
      <c r="C18" s="25" t="s">
        <v>87</v>
      </c>
      <c r="D18" s="25">
        <v>28470</v>
      </c>
      <c r="E18" s="25">
        <v>51245</v>
      </c>
      <c r="H18" s="25">
        <v>7</v>
      </c>
      <c r="I18" s="25" t="s">
        <v>53</v>
      </c>
      <c r="J18" s="25">
        <v>53791</v>
      </c>
    </row>
    <row r="19" spans="1:10" x14ac:dyDescent="0.2">
      <c r="A19" s="25">
        <v>18</v>
      </c>
      <c r="B19" s="25" t="s">
        <v>60</v>
      </c>
      <c r="C19" s="25" t="s">
        <v>88</v>
      </c>
      <c r="D19" s="25">
        <v>22780</v>
      </c>
      <c r="E19" s="25">
        <v>41000</v>
      </c>
      <c r="H19" s="25">
        <v>12</v>
      </c>
      <c r="I19" s="25" t="s">
        <v>52</v>
      </c>
      <c r="J19" s="25">
        <v>43790</v>
      </c>
    </row>
    <row r="20" spans="1:10" x14ac:dyDescent="0.2">
      <c r="A20" s="25">
        <v>19</v>
      </c>
      <c r="B20" s="25" t="s">
        <v>61</v>
      </c>
      <c r="C20" s="25" t="s">
        <v>89</v>
      </c>
      <c r="D20" s="25">
        <v>28470</v>
      </c>
      <c r="E20" s="25">
        <v>51245</v>
      </c>
      <c r="H20" s="25">
        <v>27</v>
      </c>
      <c r="I20" s="25" t="s">
        <v>51</v>
      </c>
      <c r="J20" s="25">
        <v>49428</v>
      </c>
    </row>
    <row r="21" spans="1:10" x14ac:dyDescent="0.2">
      <c r="A21" s="25">
        <v>20</v>
      </c>
      <c r="B21" s="25" t="s">
        <v>62</v>
      </c>
      <c r="C21" s="25" t="s">
        <v>90</v>
      </c>
      <c r="D21" s="25">
        <v>17085</v>
      </c>
      <c r="E21" s="25">
        <v>30750</v>
      </c>
      <c r="H21" s="25">
        <v>1</v>
      </c>
      <c r="I21" s="25" t="s">
        <v>100</v>
      </c>
      <c r="J21" s="25">
        <v>39808</v>
      </c>
    </row>
    <row r="22" spans="1:10" x14ac:dyDescent="0.2">
      <c r="A22" s="25">
        <v>21</v>
      </c>
      <c r="B22" s="25" t="s">
        <v>63</v>
      </c>
      <c r="C22" s="25" t="s">
        <v>91</v>
      </c>
      <c r="D22" s="25">
        <v>17085</v>
      </c>
      <c r="E22" s="25">
        <v>30750</v>
      </c>
      <c r="H22" s="25">
        <v>2</v>
      </c>
      <c r="I22" s="25" t="s">
        <v>101</v>
      </c>
      <c r="J22" s="25">
        <v>43512</v>
      </c>
    </row>
    <row r="23" spans="1:10" x14ac:dyDescent="0.2">
      <c r="A23" s="25">
        <v>22</v>
      </c>
      <c r="B23" s="25" t="s">
        <v>64</v>
      </c>
      <c r="C23" s="25" t="s">
        <v>92</v>
      </c>
      <c r="D23" s="25">
        <v>11390</v>
      </c>
      <c r="E23" s="25">
        <v>20500</v>
      </c>
      <c r="H23" s="25">
        <v>8</v>
      </c>
      <c r="I23" s="25" t="s">
        <v>50</v>
      </c>
      <c r="J23" s="25">
        <v>26546</v>
      </c>
    </row>
    <row r="24" spans="1:10" x14ac:dyDescent="0.2">
      <c r="A24" s="25">
        <v>23</v>
      </c>
      <c r="B24" s="25" t="s">
        <v>65</v>
      </c>
      <c r="C24" s="25" t="s">
        <v>93</v>
      </c>
      <c r="D24" s="25">
        <v>17085</v>
      </c>
      <c r="E24" s="25">
        <v>30750</v>
      </c>
      <c r="H24" s="25">
        <v>6</v>
      </c>
      <c r="I24" s="25" t="s">
        <v>49</v>
      </c>
      <c r="J24" s="25">
        <v>71565</v>
      </c>
    </row>
    <row r="25" spans="1:10" x14ac:dyDescent="0.2">
      <c r="A25" s="25">
        <v>24</v>
      </c>
      <c r="B25" s="25" t="s">
        <v>66</v>
      </c>
      <c r="C25" s="25" t="s">
        <v>94</v>
      </c>
      <c r="D25" s="25">
        <v>22780</v>
      </c>
      <c r="E25" s="25">
        <v>41000</v>
      </c>
      <c r="H25" s="25">
        <v>5</v>
      </c>
      <c r="I25" s="25" t="s">
        <v>48</v>
      </c>
      <c r="J25" s="25">
        <v>23998</v>
      </c>
    </row>
    <row r="26" spans="1:10" x14ac:dyDescent="0.2">
      <c r="A26" s="25">
        <v>25</v>
      </c>
      <c r="B26" s="25" t="s">
        <v>67</v>
      </c>
      <c r="C26" s="25" t="s">
        <v>95</v>
      </c>
      <c r="D26" s="25">
        <v>22780</v>
      </c>
      <c r="E26" s="25">
        <v>41000</v>
      </c>
      <c r="H26" s="25">
        <v>15</v>
      </c>
      <c r="I26" s="25" t="s">
        <v>47</v>
      </c>
      <c r="J26" s="25">
        <v>27611</v>
      </c>
    </row>
    <row r="27" spans="1:10" x14ac:dyDescent="0.2">
      <c r="A27" s="25">
        <v>26</v>
      </c>
      <c r="B27" s="25" t="s">
        <v>68</v>
      </c>
      <c r="C27" s="25" t="s">
        <v>96</v>
      </c>
      <c r="D27" s="25">
        <v>28470</v>
      </c>
      <c r="E27" s="25">
        <v>51245</v>
      </c>
      <c r="H27" s="25">
        <v>13</v>
      </c>
      <c r="I27" s="25" t="s">
        <v>46</v>
      </c>
      <c r="J27" s="25">
        <v>23446</v>
      </c>
    </row>
    <row r="28" spans="1:10" x14ac:dyDescent="0.2">
      <c r="H28" s="25">
        <v>4</v>
      </c>
      <c r="I28" s="25" t="s">
        <v>45</v>
      </c>
      <c r="J28" s="25">
        <v>15387</v>
      </c>
    </row>
    <row r="29" spans="1:10" x14ac:dyDescent="0.2">
      <c r="H29" s="25">
        <v>3</v>
      </c>
      <c r="I29" s="25" t="s">
        <v>44</v>
      </c>
      <c r="J29" s="25">
        <v>59632</v>
      </c>
    </row>
    <row r="30" spans="1:10" x14ac:dyDescent="0.2">
      <c r="H30" s="25">
        <v>21</v>
      </c>
      <c r="I30" s="25" t="s">
        <v>43</v>
      </c>
      <c r="J30" s="25">
        <v>58600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Bulgaria</vt:lpstr>
      <vt:lpstr>Luxemourg</vt:lpstr>
      <vt:lpstr>Portugal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2026-08-29T12:04:04Z</dcterms:created>
  <dcterms:modified xsi:type="dcterms:W3CDTF">2026-08-30T15:49:34Z</dcterms:modified>
</cp:coreProperties>
</file>