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ycho/Documents/GitHub/Estimating_price_elasticity/Statistical_documentation_in_R/Present_value_simulations_wage=2025/Replications/"/>
    </mc:Choice>
  </mc:AlternateContent>
  <xr:revisionPtr revIDLastSave="0" documentId="13_ncr:1_{82FB0973-BB69-AC44-B749-C8E62889340E}" xr6:coauthVersionLast="47" xr6:coauthVersionMax="47" xr10:uidLastSave="{00000000-0000-0000-0000-000000000000}"/>
  <bookViews>
    <workbookView xWindow="760" yWindow="500" windowWidth="28040" windowHeight="16080" activeTab="2" xr2:uid="{14E8A7D0-3566-294C-ACFB-47E5A9FB7C4A}"/>
  </bookViews>
  <sheets>
    <sheet name="covariates_matrix" sheetId="1" r:id="rId1"/>
    <sheet name="WB_PULL_CHECK" sheetId="4" r:id="rId2"/>
    <sheet name="regressions_check " sheetId="3" r:id="rId3"/>
    <sheet name="elasticiti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35" i="1"/>
  <c r="H34" i="1"/>
  <c r="G35" i="1"/>
  <c r="F35" i="1"/>
  <c r="F34" i="1"/>
  <c r="I34" i="1"/>
  <c r="G34" i="1"/>
  <c r="E35" i="1"/>
  <c r="N35" i="1"/>
  <c r="C34" i="1"/>
  <c r="D35" i="1"/>
  <c r="C35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C33" i="1"/>
  <c r="R34" i="1"/>
  <c r="O34" i="1"/>
  <c r="P34" i="1"/>
  <c r="Q34" i="1"/>
  <c r="D34" i="1"/>
  <c r="E34" i="1"/>
  <c r="J34" i="1"/>
  <c r="K34" i="1"/>
  <c r="L34" i="1"/>
  <c r="M34" i="1"/>
  <c r="N34" i="1"/>
  <c r="A34" i="1"/>
  <c r="C31" i="1"/>
  <c r="D29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Q3" i="1"/>
  <c r="T3" i="1" s="1"/>
  <c r="Q4" i="1"/>
  <c r="T4" i="1" s="1"/>
  <c r="Q5" i="1"/>
  <c r="T5" i="1" s="1"/>
  <c r="Q6" i="1"/>
  <c r="T6" i="1" s="1"/>
  <c r="Q7" i="1"/>
  <c r="T7" i="1" s="1"/>
  <c r="Q8" i="1"/>
  <c r="U8" i="1" s="1"/>
  <c r="Q9" i="1"/>
  <c r="T9" i="1" s="1"/>
  <c r="Q10" i="1"/>
  <c r="T10" i="1" s="1"/>
  <c r="Q11" i="1"/>
  <c r="T11" i="1" s="1"/>
  <c r="Q12" i="1"/>
  <c r="T12" i="1" s="1"/>
  <c r="Q13" i="1"/>
  <c r="T13" i="1" s="1"/>
  <c r="Q14" i="1"/>
  <c r="T14" i="1" s="1"/>
  <c r="Q15" i="1"/>
  <c r="T15" i="1" s="1"/>
  <c r="Q16" i="1"/>
  <c r="U16" i="1" s="1"/>
  <c r="Q17" i="1"/>
  <c r="T17" i="1" s="1"/>
  <c r="Q18" i="1"/>
  <c r="T18" i="1" s="1"/>
  <c r="Q19" i="1"/>
  <c r="T19" i="1" s="1"/>
  <c r="Q20" i="1"/>
  <c r="T20" i="1" s="1"/>
  <c r="Q21" i="1"/>
  <c r="T21" i="1" s="1"/>
  <c r="Q22" i="1"/>
  <c r="T22" i="1" s="1"/>
  <c r="Q23" i="1"/>
  <c r="T23" i="1" s="1"/>
  <c r="Q24" i="1"/>
  <c r="U24" i="1" s="1"/>
  <c r="Q25" i="1"/>
  <c r="T25" i="1" s="1"/>
  <c r="Q26" i="1"/>
  <c r="T26" i="1" s="1"/>
  <c r="Q2" i="1"/>
  <c r="T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S25" i="1" s="1"/>
  <c r="P26" i="1"/>
  <c r="P2" i="1"/>
  <c r="D10" i="2"/>
  <c r="C10" i="2"/>
  <c r="B10" i="2"/>
  <c r="U23" i="1" l="1"/>
  <c r="U15" i="1"/>
  <c r="U7" i="1"/>
  <c r="T24" i="1"/>
  <c r="T16" i="1"/>
  <c r="T8" i="1"/>
  <c r="U22" i="1"/>
  <c r="U14" i="1"/>
  <c r="U6" i="1"/>
  <c r="U21" i="1"/>
  <c r="U13" i="1"/>
  <c r="U5" i="1"/>
  <c r="U20" i="1"/>
  <c r="U12" i="1"/>
  <c r="U4" i="1"/>
  <c r="U2" i="1"/>
  <c r="U19" i="1"/>
  <c r="U11" i="1"/>
  <c r="U3" i="1"/>
  <c r="U26" i="1"/>
  <c r="U18" i="1"/>
  <c r="U10" i="1"/>
  <c r="U25" i="1"/>
  <c r="U17" i="1"/>
  <c r="U9" i="1"/>
  <c r="S24" i="1"/>
  <c r="S8" i="1"/>
  <c r="S23" i="1"/>
  <c r="S22" i="1"/>
  <c r="S14" i="1"/>
  <c r="S6" i="1"/>
  <c r="S17" i="1"/>
  <c r="S16" i="1"/>
  <c r="S7" i="1"/>
  <c r="S21" i="1"/>
  <c r="S20" i="1"/>
  <c r="S12" i="1"/>
  <c r="S4" i="1"/>
  <c r="S9" i="1"/>
  <c r="S15" i="1"/>
  <c r="S5" i="1"/>
  <c r="S2" i="1"/>
  <c r="S19" i="1"/>
  <c r="S11" i="1"/>
  <c r="S3" i="1"/>
  <c r="S13" i="1"/>
  <c r="S26" i="1"/>
  <c r="S18" i="1"/>
  <c r="S10" i="1"/>
</calcChain>
</file>

<file path=xl/sharedStrings.xml><?xml version="1.0" encoding="utf-8"?>
<sst xmlns="http://schemas.openxmlformats.org/spreadsheetml/2006/main" count="697" uniqueCount="251">
  <si>
    <t>Educ_spend_gdp</t>
  </si>
  <si>
    <t>GDP_growth</t>
  </si>
  <si>
    <t>Gini</t>
  </si>
  <si>
    <t>Inflation</t>
  </si>
  <si>
    <t>log_cons</t>
  </si>
  <si>
    <t>log_gdp</t>
  </si>
  <si>
    <t>log_gni</t>
  </si>
  <si>
    <t>log_pop</t>
  </si>
  <si>
    <t>Tertiary_attain</t>
  </si>
  <si>
    <t>Tertiary_enrol</t>
  </si>
  <si>
    <t>Unemp</t>
  </si>
  <si>
    <t>Youth_unemp</t>
  </si>
  <si>
    <t>IGE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</si>
  <si>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</si>
  <si>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</si>
  <si>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</si>
  <si>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</si>
  <si>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</si>
  <si>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</si>
  <si>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</si>
  <si>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</si>
  <si>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</si>
  <si>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</si>
  <si>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</si>
  <si>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</si>
  <si>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</si>
  <si>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NA</t>
  </si>
  <si>
    <t>Italy</t>
  </si>
  <si>
    <t>Latvia</t>
  </si>
  <si>
    <t>Lithuania</t>
  </si>
  <si>
    <t>Luxembourg</t>
  </si>
  <si>
    <t>Malta</t>
  </si>
  <si>
    <t>Poland</t>
  </si>
  <si>
    <t>Portugal</t>
  </si>
  <si>
    <t>Romania</t>
  </si>
  <si>
    <t>Slovakia</t>
  </si>
  <si>
    <t>Slovenia</t>
  </si>
  <si>
    <t>Spain</t>
  </si>
  <si>
    <t>Sweden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</si>
  <si>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</si>
  <si>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</si>
  <si>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</si>
  <si>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</si>
  <si>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</si>
  <si>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</si>
  <si>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</si>
  <si>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</si>
  <si>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</si>
  <si>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</si>
  <si>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</si>
  <si>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</si>
  <si>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</si>
  <si>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</si>
  <si>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IT</t>
  </si>
  <si>
    <t>LT</t>
  </si>
  <si>
    <t>LU</t>
  </si>
  <si>
    <t>LV</t>
  </si>
  <si>
    <t>MT</t>
  </si>
  <si>
    <t>PL</t>
  </si>
  <si>
    <t>PT</t>
  </si>
  <si>
    <t>RO</t>
  </si>
  <si>
    <t>SE</t>
  </si>
  <si>
    <t>SI</t>
  </si>
  <si>
    <t>SK</t>
  </si>
  <si>
    <t>&gt; rho_alt[3]</t>
  </si>
  <si>
    <t>[1] 0.04</t>
  </si>
  <si>
    <t>&gt; rho_alt[10]</t>
  </si>
  <si>
    <t>[1] 0.075</t>
  </si>
  <si>
    <t>&gt; rho_alt[23]</t>
  </si>
  <si>
    <t>country</t>
  </si>
  <si>
    <t>&gt; betas[betas$Country=="Austria",]$Estimate_controls/(log(22200)-log(loan_pv(wages[wages$Country=="Austria",]$Wage_EURO*0.848248*(1+0.02), dat[dat$Country=="Austria",]$lower,dat[dat$Country=="Austria",]$upper,0.04)))</t>
  </si>
  <si>
    <t>[1] -0.6311931</t>
  </si>
  <si>
    <t>&gt; betas[betas$Country=="Austria",]$Estimate_controls/(log(22200)-log(loan_pv(wages[wages$Country=="Austria",]$Wage_EURO*0.848248*(1+0.02), dat[dat$Country=="Austria",]$lower,dat[dat$Country=="Austria",]$upper,0.075)))</t>
  </si>
  <si>
    <t>[1] -0.5602358</t>
  </si>
  <si>
    <t>betas[betas$Country=="Austria",]$Estimate_controls/(log(22200)-log(loan_pv(wages[wages$Country=="Austria",]$Wage_EURO*0.848248*(1+0.02), dat[dat$Country=="Austria",]$lower,dat[dat$Country=="Austria",]$upper,0.14)))</t>
  </si>
  <si>
    <t>[1] -0.4696517</t>
  </si>
  <si>
    <t>Check</t>
  </si>
  <si>
    <t>&gt; betas[betas$Country=="Slovakia",]$Estimate_controls/(log(22200)-log(loan_pv(wages[wages$Country=="Slovakia",]$Wage_EURO*0.848248*(1+0.02), dat[dat$Country=="Slovakia",]$lower,dat[dat$Country=="Slovakia",]$upper,0.075)))</t>
  </si>
  <si>
    <t>[1] -0.8893191</t>
  </si>
  <si>
    <t>&gt; betas[betas$Country=="Slovakia",]$Estimate_controls/(log(22200)-log(loan_pv(wages[wages$Country=="Slovakia",]$Wage_EURO*0.848248*(1+0.02), dat[dat$Country=="Slovakia",]$lower,dat[dat$Country=="Slovakia",]$upper,0.14)))</t>
  </si>
  <si>
    <t>[1] -0.5713938</t>
  </si>
  <si>
    <t>&gt; betas[betas$Country=="Slovakia",]$Estimate_controls/(log(22200)-log(loan_pv(wages[wages$Country=="Slovakia",]$Wage_EURO*0.848248*(1+0.02), dat[dat$Country=="Slovakia",]$lower,dat[dat$Country=="Slovakia",]$upper,0.04)))</t>
  </si>
  <si>
    <t>[1] -1.416424</t>
  </si>
  <si>
    <t>regressions</t>
  </si>
  <si>
    <t>&gt; audit_models[["Educ_spend_gdp_0.04"]]</t>
  </si>
  <si>
    <t>Call</t>
  </si>
  <si>
    <t>lm(formula = scale(y) ~ scale(x))</t>
  </si>
  <si>
    <t>Coefficients</t>
  </si>
  <si>
    <t xml:space="preserve">(Intercept)     scale(x)  </t>
  </si>
  <si>
    <t xml:space="preserve">  2.986e-17    1.230e-01  </t>
  </si>
  <si>
    <t>eta_0.04</t>
  </si>
  <si>
    <t>eta_0.075</t>
  </si>
  <si>
    <t>[1]  0.14</t>
  </si>
  <si>
    <t>eta_0.14</t>
  </si>
  <si>
    <t>Country_ISO</t>
  </si>
  <si>
    <t>COUNTRY_FULL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</si>
  <si>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</si>
  <si>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</si>
  <si>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</si>
  <si>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</si>
  <si>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</si>
  <si>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</si>
  <si>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</si>
  <si>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</si>
  <si>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</si>
  <si>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</si>
  <si>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</si>
  <si>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</si>
  <si>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</si>
  <si>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</si>
  <si>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</si>
  <si>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</si>
  <si>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</si>
  <si>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t Stat</t>
  </si>
  <si>
    <t>P-value</t>
  </si>
  <si>
    <t>Lower 95%</t>
  </si>
  <si>
    <t>Upper 95%</t>
  </si>
  <si>
    <t>Lower 95.0%</t>
  </si>
  <si>
    <t>Upper 95.0%</t>
  </si>
  <si>
    <t>eta_0.04_Z</t>
  </si>
  <si>
    <t>eta_0.075_Z</t>
  </si>
  <si>
    <t>eta_0.14_Z</t>
  </si>
  <si>
    <t xml:space="preserve"> -2.473e-16    2.051e-01  </t>
  </si>
  <si>
    <t>udit_models[["GDP_growth_0.075"]]</t>
  </si>
  <si>
    <t>===============================================</t>
  </si>
  <si>
    <t xml:space="preserve">                        Dependent variable</t>
  </si>
  <si>
    <t xml:space="preserve">    </t>
  </si>
  <si>
    <t xml:space="preserve">                    ---------------------------</t>
  </si>
  <si>
    <t xml:space="preserve">                             scale(y)          </t>
  </si>
  <si>
    <t>-----------------------------------------------</t>
  </si>
  <si>
    <t xml:space="preserve">scale(x)                      -0.016           </t>
  </si>
  <si>
    <t xml:space="preserve">                                               </t>
  </si>
  <si>
    <t xml:space="preserve">Constant                       0.000           </t>
  </si>
  <si>
    <t xml:space="preserve">Observations                    24             </t>
  </si>
  <si>
    <t xml:space="preserve">R2                            0.0003           </t>
  </si>
  <si>
    <t xml:space="preserve">Adjusted R2                   -0.045           </t>
  </si>
  <si>
    <t xml:space="preserve">Residual Std. Error       1.022 (df = 22)      </t>
  </si>
  <si>
    <t xml:space="preserve">F Statistic             0.006 (df = 1; 22)     </t>
  </si>
  <si>
    <t>Note</t>
  </si>
  <si>
    <t xml:space="preserve">               *p&lt;0.1; **p&lt;0.05; ***p&lt;0.01</t>
  </si>
  <si>
    <t>code</t>
  </si>
  <si>
    <t>source</t>
  </si>
  <si>
    <t>ARG</t>
  </si>
  <si>
    <t>Jimenez 2011</t>
  </si>
  <si>
    <t>AUS</t>
  </si>
  <si>
    <t>Author estimate</t>
  </si>
  <si>
    <t>AUT</t>
  </si>
  <si>
    <t>BEL</t>
  </si>
  <si>
    <t>BGR</t>
  </si>
  <si>
    <t>BIH</t>
  </si>
  <si>
    <t>BOL</t>
  </si>
  <si>
    <t>BRA</t>
  </si>
  <si>
    <t>CAN</t>
  </si>
  <si>
    <t>CHE</t>
  </si>
  <si>
    <t>CHL</t>
  </si>
  <si>
    <t>CHN</t>
  </si>
  <si>
    <t>COD</t>
  </si>
  <si>
    <t>COL</t>
  </si>
  <si>
    <t>CYP</t>
  </si>
  <si>
    <t>CZE</t>
  </si>
  <si>
    <t>DEU</t>
  </si>
  <si>
    <t>DNK</t>
  </si>
  <si>
    <t>ECU</t>
  </si>
  <si>
    <t>EGY</t>
  </si>
  <si>
    <t>ESP</t>
  </si>
  <si>
    <t>EST</t>
  </si>
  <si>
    <t>ETH</t>
  </si>
  <si>
    <t>FIN</t>
  </si>
  <si>
    <t>FRA</t>
  </si>
  <si>
    <t>GBR</t>
  </si>
  <si>
    <t>GHA</t>
  </si>
  <si>
    <t>GRC</t>
  </si>
  <si>
    <t>GTM</t>
  </si>
  <si>
    <t>HRV</t>
  </si>
  <si>
    <t>HUN</t>
  </si>
  <si>
    <t>IDN</t>
  </si>
  <si>
    <t>IND</t>
  </si>
  <si>
    <t>IRL</t>
  </si>
  <si>
    <t>ISL</t>
  </si>
  <si>
    <t>ITA</t>
  </si>
  <si>
    <t>JOR</t>
  </si>
  <si>
    <t>JPN</t>
  </si>
  <si>
    <t>KAZ</t>
  </si>
  <si>
    <t>KEN</t>
  </si>
  <si>
    <t>KOR</t>
  </si>
  <si>
    <t>LBR</t>
  </si>
  <si>
    <t>LKA</t>
  </si>
  <si>
    <t>LTU</t>
  </si>
  <si>
    <t>LUX</t>
  </si>
  <si>
    <t>LVA</t>
  </si>
  <si>
    <t>MAR</t>
  </si>
  <si>
    <t>MDA</t>
  </si>
  <si>
    <t>MDG</t>
  </si>
  <si>
    <t>MEX</t>
  </si>
  <si>
    <t>MLT</t>
  </si>
  <si>
    <t>MNE</t>
  </si>
  <si>
    <t>MNG</t>
  </si>
  <si>
    <t>MWI</t>
  </si>
  <si>
    <t>MYS</t>
  </si>
  <si>
    <t>Grawe 2001</t>
  </si>
  <si>
    <t>NER</t>
  </si>
  <si>
    <t>NGA</t>
  </si>
  <si>
    <t>NLD</t>
  </si>
  <si>
    <t>Equalchances 2018</t>
  </si>
  <si>
    <t>NOR</t>
  </si>
  <si>
    <t>NPL</t>
  </si>
  <si>
    <t>NZL</t>
  </si>
  <si>
    <t>Greenaway-Mcgrevy So 2024</t>
  </si>
  <si>
    <t>PAK</t>
  </si>
  <si>
    <t>Javed and Irfan 2014</t>
  </si>
  <si>
    <t>PAN</t>
  </si>
  <si>
    <t>PER</t>
  </si>
  <si>
    <t>PHL</t>
  </si>
  <si>
    <t>Dacuycuy 2018</t>
  </si>
  <si>
    <t>POL</t>
  </si>
  <si>
    <t>PRT</t>
  </si>
  <si>
    <t>ROU</t>
  </si>
  <si>
    <t>RUS</t>
  </si>
  <si>
    <t>SGP</t>
  </si>
  <si>
    <t>Ng 2013</t>
  </si>
  <si>
    <t>SRB</t>
  </si>
  <si>
    <t>SVK</t>
  </si>
  <si>
    <t>SVN</t>
  </si>
  <si>
    <t>SWE</t>
  </si>
  <si>
    <t>TGO</t>
  </si>
  <si>
    <t>TJK</t>
  </si>
  <si>
    <t>TUN</t>
  </si>
  <si>
    <t>TUR</t>
  </si>
  <si>
    <t>TWN</t>
  </si>
  <si>
    <t>TZA</t>
  </si>
  <si>
    <t>UGA</t>
  </si>
  <si>
    <t>URY</t>
  </si>
  <si>
    <t>Araya 2019</t>
  </si>
  <si>
    <t>USA</t>
  </si>
  <si>
    <t>UZB</t>
  </si>
  <si>
    <t>VNM</t>
  </si>
  <si>
    <t>XKX</t>
  </si>
  <si>
    <t>ZAF</t>
  </si>
  <si>
    <t>from STATA</t>
  </si>
  <si>
    <t>iso2c</t>
  </si>
  <si>
    <t>year</t>
  </si>
  <si>
    <t>GDP_PPP_pc</t>
  </si>
  <si>
    <t>GNI_PPP_pc</t>
  </si>
  <si>
    <t>HH_cons_pc</t>
  </si>
  <si>
    <t>Population</t>
  </si>
  <si>
    <t>CH</t>
  </si>
  <si>
    <t>IE</t>
  </si>
  <si>
    <t>IS</t>
  </si>
  <si>
    <t>LI</t>
  </si>
  <si>
    <t>NL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</si>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</sst>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000000000"/>
    <numFmt numFmtId="166" formatCode="0.0000000000000000000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  <font>
      <i/>
      <sz val="11"/>
      <color theme="1"/>
      <name val="Lucida Grande"/>
      <family val="2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2" fontId="0" fillId="0" borderId="0" xfId="0" applyNumberFormat="1"/>
    <xf numFmtId="2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9DAE-6325-6849-BA9D-9FE7F90709E2}">
  <dimension ref="A1:AH35"/>
  <sheetViews>
    <sheetView zoomScale="75" workbookViewId="0">
      <selection activeCell="Z4" sqref="Z4"/>
    </sheetView>
  </sheetViews>
  <sheetFormatPr baseColWidth="10" defaultRowHeight="16" x14ac:dyDescent="0.2"/>
  <cols>
    <col min="1" max="2" width="16.5" customWidth="1"/>
    <col min="3" max="3" width="12.83203125" customWidth="1"/>
    <col min="15" max="15" width="14.1640625" customWidth="1"/>
  </cols>
  <sheetData>
    <row r="1" spans="1:34" x14ac:dyDescent="0.2">
      <c r="A1" t="s">
        <v>94</v>
      </c>
      <c r="B1" t="s">
        <v>95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90</v>
      </c>
      <c r="Q1" s="2" t="s">
        <v>91</v>
      </c>
      <c r="R1" s="2" t="s">
        <v>93</v>
      </c>
      <c r="S1" s="2" t="s">
        <v>119</v>
      </c>
      <c r="T1" s="2" t="s">
        <v>120</v>
      </c>
      <c r="U1" s="2" t="s">
        <v>121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8</v>
      </c>
      <c r="AE1" s="2" t="s">
        <v>9</v>
      </c>
      <c r="AF1" s="2" t="s">
        <v>10</v>
      </c>
      <c r="AG1" s="2" t="s">
        <v>11</v>
      </c>
      <c r="AH1" s="2" t="s">
        <v>12</v>
      </c>
    </row>
    <row r="2" spans="1:34" x14ac:dyDescent="0.2">
      <c r="A2" s="1" t="s">
        <v>39</v>
      </c>
      <c r="B2" s="1" t="s">
        <v>13</v>
      </c>
      <c r="C2" s="1">
        <v>5.2774900000000002</v>
      </c>
      <c r="D2" s="1">
        <v>5.3309638000000001</v>
      </c>
      <c r="E2" s="1">
        <v>30.9</v>
      </c>
      <c r="F2" s="1">
        <v>8.5468700000000002</v>
      </c>
      <c r="G2" s="1">
        <v>10.068441999999999</v>
      </c>
      <c r="H2" s="1">
        <v>11.09277</v>
      </c>
      <c r="I2" s="1">
        <v>11.06734</v>
      </c>
      <c r="J2" s="1">
        <v>16.01737</v>
      </c>
      <c r="K2" s="1">
        <v>14.87918</v>
      </c>
      <c r="L2" s="1">
        <v>94.511690000000002</v>
      </c>
      <c r="M2" s="1">
        <v>4.992</v>
      </c>
      <c r="N2" s="1">
        <v>10.327</v>
      </c>
      <c r="O2" s="1">
        <v>0.3334917</v>
      </c>
      <c r="P2">
        <f>VLOOKUP(B2,elasticities!$A$11:$D$35,2,FALSE)</f>
        <v>-0.63119309999999995</v>
      </c>
      <c r="Q2">
        <f>VLOOKUP(B2,elasticities!$A$11:$D$35,3,FALSE)</f>
        <v>-0.56023579999999995</v>
      </c>
      <c r="R2">
        <f>VLOOKUP(B2,elasticities!$A$11:$D$35,4,FALSE)</f>
        <v>-0.46965170000000001</v>
      </c>
      <c r="S2">
        <f>(P2-AVERAGE($P$2:$P$26))/_xlfn.STDEV.S($P$2:$P$26)</f>
        <v>1.0545188407017565</v>
      </c>
      <c r="T2">
        <f>(Q2-AVERAGE($Q$2:$Q$26))/_xlfn.STDEV.S($Q$2:$Q$26)</f>
        <v>0.86075010948544939</v>
      </c>
      <c r="U2">
        <f>(Q2-AVERAGE($Q$2:$Q$26))/_xlfn.STDEV.S($Q$2:$Q$26)</f>
        <v>0.86075010948544939</v>
      </c>
      <c r="V2">
        <f>(C2-AVERAGE($C$2:$C$26))/_xlfn.STDEV.S($C$2:$C$26)</f>
        <v>0.48692417414573197</v>
      </c>
      <c r="W2">
        <f>(D2-AVERAGE($D$2:$D$26))/_xlfn.STDEV.S($D$2:$D$26)</f>
        <v>0.75923604729668759</v>
      </c>
      <c r="X2">
        <f>(E2-AVERAGE($E$2:$E$26))/_xlfn.STDEV.S($E$2:$E$26)</f>
        <v>-0.14292763558619759</v>
      </c>
    </row>
    <row r="3" spans="1:34" x14ac:dyDescent="0.2">
      <c r="A3" s="1" t="s">
        <v>40</v>
      </c>
      <c r="B3" s="1" t="s">
        <v>14</v>
      </c>
      <c r="C3" s="1">
        <v>6.2761100000000001</v>
      </c>
      <c r="D3" s="1">
        <v>4.0246085000000003</v>
      </c>
      <c r="E3" s="1">
        <v>26.4</v>
      </c>
      <c r="F3" s="1">
        <v>9.597512</v>
      </c>
      <c r="G3" s="1">
        <v>10.016499</v>
      </c>
      <c r="H3" s="1">
        <v>11.04457</v>
      </c>
      <c r="I3" s="1">
        <v>11.01925</v>
      </c>
      <c r="J3" s="1">
        <v>16.273409999999998</v>
      </c>
      <c r="K3" s="1">
        <v>36.307490000000001</v>
      </c>
      <c r="L3" s="1">
        <v>83.573650000000001</v>
      </c>
      <c r="M3" s="1">
        <v>5.57</v>
      </c>
      <c r="N3" s="1">
        <v>16.41</v>
      </c>
      <c r="O3" s="1">
        <v>0.35820479999999999</v>
      </c>
      <c r="P3">
        <f>VLOOKUP(B3,elasticities!$A$11:$D$35,2,FALSE)</f>
        <v>-0.71818850000000001</v>
      </c>
      <c r="Q3">
        <f>VLOOKUP(B3,elasticities!$A$11:$D$35,3,FALSE)</f>
        <v>-0.64009269999999996</v>
      </c>
      <c r="R3">
        <f>VLOOKUP(B3,elasticities!$A$11:$D$35,4,FALSE)</f>
        <v>-0.53927250000000004</v>
      </c>
      <c r="S3">
        <f t="shared" ref="S3:S26" si="0">(P3-AVERAGE($P$2:$P$26))/_xlfn.STDEV.S($P$2:$P$26)</f>
        <v>0.92239407819103547</v>
      </c>
      <c r="T3">
        <f t="shared" ref="T3:T26" si="1">(Q3-AVERAGE($Q$2:$Q$26))/_xlfn.STDEV.S($Q$2:$Q$26)</f>
        <v>0.68147438156596285</v>
      </c>
      <c r="U3">
        <f t="shared" ref="U3:U26" si="2">(Q3-AVERAGE($Q$2:$Q$26))/_xlfn.STDEV.S($Q$2:$Q$26)</f>
        <v>0.68147438156596285</v>
      </c>
      <c r="V3">
        <f t="shared" ref="V3:V26" si="3">(C3-AVERAGE($C$2:$C$26))/_xlfn.STDEV.S($C$2:$C$26)</f>
        <v>1.5013884784869935</v>
      </c>
      <c r="W3">
        <f t="shared" ref="W3:W26" si="4">(D3-AVERAGE($D$2:$D$26))/_xlfn.STDEV.S($D$2:$D$26)</f>
        <v>0.25127953044397505</v>
      </c>
      <c r="X3">
        <f t="shared" ref="X3:X26" si="5">(E3-AVERAGE($E$2:$E$26))/_xlfn.STDEV.S($E$2:$E$26)</f>
        <v>-1.3395310963078488</v>
      </c>
    </row>
    <row r="4" spans="1:34" x14ac:dyDescent="0.2">
      <c r="A4" s="1" t="s">
        <v>41</v>
      </c>
      <c r="B4" s="1" t="s">
        <v>15</v>
      </c>
      <c r="C4" s="1">
        <v>4.5010899999999996</v>
      </c>
      <c r="D4" s="1">
        <v>4.0838640000000002</v>
      </c>
      <c r="E4" s="1">
        <v>38.200000000000003</v>
      </c>
      <c r="F4" s="1">
        <v>15.325259000000001</v>
      </c>
      <c r="G4" s="1">
        <v>8.7368520000000007</v>
      </c>
      <c r="H4" s="1">
        <v>10.386950000000001</v>
      </c>
      <c r="I4" s="1">
        <v>10.283289999999999</v>
      </c>
      <c r="J4" s="1">
        <v>15.681929999999999</v>
      </c>
      <c r="K4" s="1">
        <v>26.006959999999999</v>
      </c>
      <c r="L4" s="1">
        <v>84.129360000000005</v>
      </c>
      <c r="M4" s="1">
        <v>4.1479999999999997</v>
      </c>
      <c r="N4" s="1">
        <v>10.582000000000001</v>
      </c>
      <c r="O4" s="1">
        <v>0.63832069999999996</v>
      </c>
      <c r="P4">
        <f>VLOOKUP(B4,elasticities!$A$11:$D$35,2,FALSE)</f>
        <v>-1.9067829999999999</v>
      </c>
      <c r="Q4">
        <f>VLOOKUP(B4,elasticities!$A$11:$D$35,3,FALSE)</f>
        <v>-1.2221637999999999</v>
      </c>
      <c r="R4">
        <f>VLOOKUP(B4,elasticities!$A$11:$D$35,4,FALSE)</f>
        <v>-0.80816279999999996</v>
      </c>
      <c r="S4">
        <f t="shared" si="0"/>
        <v>-0.88279063311610406</v>
      </c>
      <c r="T4">
        <f t="shared" si="1"/>
        <v>-0.62525327945514209</v>
      </c>
      <c r="U4">
        <f t="shared" si="2"/>
        <v>-0.62525327945514209</v>
      </c>
      <c r="V4">
        <f t="shared" si="3"/>
        <v>-0.30179434329889776</v>
      </c>
      <c r="W4">
        <f t="shared" si="4"/>
        <v>0.27432013615389628</v>
      </c>
      <c r="X4">
        <f t="shared" si="5"/>
        <v>1.7982290895844821</v>
      </c>
    </row>
    <row r="5" spans="1:34" x14ac:dyDescent="0.2">
      <c r="A5" s="1" t="s">
        <v>42</v>
      </c>
      <c r="B5" s="1" t="s">
        <v>17</v>
      </c>
      <c r="C5" s="1">
        <v>4.7421100000000003</v>
      </c>
      <c r="D5" s="1">
        <v>8.7385467999999999</v>
      </c>
      <c r="E5" s="1">
        <v>31.5</v>
      </c>
      <c r="F5" s="1">
        <v>8.3954830000000005</v>
      </c>
      <c r="G5" s="1">
        <v>9.8336220000000001</v>
      </c>
      <c r="H5" s="1">
        <v>10.836460000000001</v>
      </c>
      <c r="I5" s="1">
        <v>10.72325</v>
      </c>
      <c r="J5" s="1">
        <v>14.10172</v>
      </c>
      <c r="K5" s="1">
        <v>33.164639999999999</v>
      </c>
      <c r="L5" s="1">
        <v>105.38498</v>
      </c>
      <c r="M5" s="1">
        <v>6.806</v>
      </c>
      <c r="N5" s="1">
        <v>18.707000000000001</v>
      </c>
      <c r="O5" s="1">
        <v>0.5799067</v>
      </c>
      <c r="P5">
        <f>VLOOKUP(B5,elasticities!$A$11:$D$35,2,FALSE)</f>
        <v>-1.218459</v>
      </c>
      <c r="Q5">
        <f>VLOOKUP(B5,elasticities!$A$11:$D$35,3,FALSE)</f>
        <v>-0.73093050000000004</v>
      </c>
      <c r="R5">
        <f>VLOOKUP(B5,elasticities!$A$11:$D$35,4,FALSE)</f>
        <v>-0.4555112</v>
      </c>
      <c r="S5">
        <f t="shared" si="0"/>
        <v>0.16260538817271686</v>
      </c>
      <c r="T5">
        <f t="shared" si="1"/>
        <v>0.47754694739803549</v>
      </c>
      <c r="U5">
        <f t="shared" si="2"/>
        <v>0.47754694739803549</v>
      </c>
      <c r="V5">
        <f t="shared" si="3"/>
        <v>-5.6950271847963911E-2</v>
      </c>
      <c r="W5">
        <f t="shared" si="4"/>
        <v>2.0842232016845612</v>
      </c>
      <c r="X5">
        <f t="shared" si="5"/>
        <v>1.6619492510022933E-2</v>
      </c>
    </row>
    <row r="6" spans="1:34" x14ac:dyDescent="0.2">
      <c r="A6" s="1" t="s">
        <v>43</v>
      </c>
      <c r="B6" s="1" t="s">
        <v>18</v>
      </c>
      <c r="C6" s="1">
        <v>4.3029200000000003</v>
      </c>
      <c r="D6" s="1">
        <v>2.8471706999999999</v>
      </c>
      <c r="E6" s="1">
        <v>25.9</v>
      </c>
      <c r="F6" s="1">
        <v>15.100165000000001</v>
      </c>
      <c r="G6" s="1">
        <v>9.1745629999999991</v>
      </c>
      <c r="H6" s="1">
        <v>10.78706</v>
      </c>
      <c r="I6" s="1">
        <v>10.72021</v>
      </c>
      <c r="J6" s="1">
        <v>16.183150000000001</v>
      </c>
      <c r="K6" s="1">
        <v>22.287659999999999</v>
      </c>
      <c r="L6" s="1">
        <v>70.814589999999995</v>
      </c>
      <c r="M6" s="1">
        <v>2.2240000000000002</v>
      </c>
      <c r="N6" s="1">
        <v>6.72</v>
      </c>
      <c r="O6" s="1">
        <v>0.49124390000000001</v>
      </c>
      <c r="P6">
        <f>VLOOKUP(B6,elasticities!$A$11:$D$35,2,FALSE)</f>
        <v>-1.4719671999999999</v>
      </c>
      <c r="Q6">
        <f>VLOOKUP(B6,elasticities!$A$11:$D$35,3,FALSE)</f>
        <v>-0.94929070000000004</v>
      </c>
      <c r="R6">
        <f>VLOOKUP(B6,elasticities!$A$11:$D$35,4,FALSE)</f>
        <v>-0.61912610000000001</v>
      </c>
      <c r="S6">
        <f t="shared" si="0"/>
        <v>-0.22241164398668867</v>
      </c>
      <c r="T6">
        <f t="shared" si="1"/>
        <v>-1.2663464020948744E-2</v>
      </c>
      <c r="U6">
        <f t="shared" si="2"/>
        <v>-1.2663464020948744E-2</v>
      </c>
      <c r="V6">
        <f t="shared" si="3"/>
        <v>-0.50310854809282046</v>
      </c>
      <c r="W6">
        <f t="shared" si="4"/>
        <v>-0.20654936472621416</v>
      </c>
      <c r="X6">
        <f t="shared" si="5"/>
        <v>-1.4724870363880322</v>
      </c>
    </row>
    <row r="7" spans="1:34" x14ac:dyDescent="0.2">
      <c r="A7" s="1" t="s">
        <v>44</v>
      </c>
      <c r="B7" s="1" t="s">
        <v>23</v>
      </c>
      <c r="C7" s="1">
        <v>5.23916</v>
      </c>
      <c r="D7" s="1">
        <v>1.8092581000000001</v>
      </c>
      <c r="E7" s="1">
        <v>33.700000000000003</v>
      </c>
      <c r="F7" s="1">
        <v>6.8725740000000002</v>
      </c>
      <c r="G7" s="1">
        <v>10.079891999999999</v>
      </c>
      <c r="H7" s="1">
        <v>11.06316</v>
      </c>
      <c r="I7" s="1">
        <v>11.07808</v>
      </c>
      <c r="J7" s="1">
        <v>18.23649</v>
      </c>
      <c r="K7" s="1">
        <v>29.57574</v>
      </c>
      <c r="L7" s="1">
        <v>77.365700000000004</v>
      </c>
      <c r="M7" s="1">
        <v>3.137</v>
      </c>
      <c r="N7" s="1">
        <v>6.0490000000000004</v>
      </c>
      <c r="O7" s="1">
        <v>0.38979160000000002</v>
      </c>
      <c r="P7">
        <f>VLOOKUP(B7,elasticities!$A$11:$D$35,2,FALSE)</f>
        <v>-0.73153060000000003</v>
      </c>
      <c r="Q7">
        <f>VLOOKUP(B7,elasticities!$A$11:$D$35,3,FALSE)</f>
        <v>-0.63626150000000004</v>
      </c>
      <c r="R7">
        <f>VLOOKUP(B7,elasticities!$A$11:$D$35,4,FALSE)</f>
        <v>-0.52089390000000002</v>
      </c>
      <c r="S7">
        <f t="shared" si="0"/>
        <v>0.90213068732330803</v>
      </c>
      <c r="T7">
        <f t="shared" si="1"/>
        <v>0.69007528103495197</v>
      </c>
      <c r="U7">
        <f t="shared" si="2"/>
        <v>0.69007528103495197</v>
      </c>
      <c r="V7">
        <f t="shared" si="3"/>
        <v>0.44798602271135179</v>
      </c>
      <c r="W7">
        <f t="shared" si="4"/>
        <v>-0.61012599437171922</v>
      </c>
      <c r="X7">
        <f t="shared" si="5"/>
        <v>0.60162562886283089</v>
      </c>
    </row>
    <row r="8" spans="1:34" x14ac:dyDescent="0.2">
      <c r="A8" s="1" t="s">
        <v>45</v>
      </c>
      <c r="B8" s="1" t="s">
        <v>19</v>
      </c>
      <c r="C8" s="1">
        <v>6.3558599999999998</v>
      </c>
      <c r="D8" s="1">
        <v>0.44383260000000002</v>
      </c>
      <c r="E8" s="1">
        <v>29.3</v>
      </c>
      <c r="F8" s="1">
        <v>7.6965669999999999</v>
      </c>
      <c r="G8" s="1">
        <v>10.227137000000001</v>
      </c>
      <c r="H8" s="1">
        <v>11.14316</v>
      </c>
      <c r="I8" s="1">
        <v>11.19969</v>
      </c>
      <c r="J8" s="1">
        <v>15.59098</v>
      </c>
      <c r="K8" s="1">
        <v>33.080820000000003</v>
      </c>
      <c r="L8" s="1">
        <v>84.586609999999993</v>
      </c>
      <c r="M8" s="1">
        <v>4.4340000000000002</v>
      </c>
      <c r="N8" s="1">
        <v>10.532999999999999</v>
      </c>
      <c r="O8" s="1">
        <v>0.22598950000000001</v>
      </c>
      <c r="P8">
        <f>VLOOKUP(B8,elasticities!$A$11:$D$35,2,FALSE)</f>
        <v>-1.2563437</v>
      </c>
      <c r="Q8">
        <f>VLOOKUP(B8,elasticities!$A$11:$D$35,3,FALSE)</f>
        <v>-1.1533260999999999</v>
      </c>
      <c r="R8">
        <f>VLOOKUP(B8,elasticities!$A$11:$D$35,4,FALSE)</f>
        <v>-1.0095158</v>
      </c>
      <c r="S8">
        <f t="shared" si="0"/>
        <v>0.10506778284772371</v>
      </c>
      <c r="T8">
        <f t="shared" si="1"/>
        <v>-0.47071523983923863</v>
      </c>
      <c r="U8">
        <f t="shared" si="2"/>
        <v>-0.47071523983923863</v>
      </c>
      <c r="V8">
        <f t="shared" si="3"/>
        <v>1.5824038079128164</v>
      </c>
      <c r="W8">
        <f t="shared" si="4"/>
        <v>-1.1410510658295943</v>
      </c>
      <c r="X8">
        <f t="shared" si="5"/>
        <v>-0.56838664384278414</v>
      </c>
    </row>
    <row r="9" spans="1:34" x14ac:dyDescent="0.2">
      <c r="A9" s="1" t="s">
        <v>46</v>
      </c>
      <c r="B9" s="1" t="s">
        <v>20</v>
      </c>
      <c r="C9" s="1">
        <v>5.2073400000000003</v>
      </c>
      <c r="D9" s="1">
        <v>-1.2261697</v>
      </c>
      <c r="E9" s="1">
        <v>32.299999999999997</v>
      </c>
      <c r="F9" s="1">
        <v>19.398263</v>
      </c>
      <c r="G9" s="1">
        <v>9.3493490000000001</v>
      </c>
      <c r="H9" s="1">
        <v>10.671849999999999</v>
      </c>
      <c r="I9" s="1">
        <v>10.664479999999999</v>
      </c>
      <c r="J9" s="1">
        <v>14.11476</v>
      </c>
      <c r="K9" s="1">
        <v>32.660170000000001</v>
      </c>
      <c r="L9" s="1">
        <v>71.425190000000001</v>
      </c>
      <c r="M9" s="1">
        <v>5.5709999999999997</v>
      </c>
      <c r="N9" s="1">
        <v>18.391999999999999</v>
      </c>
      <c r="O9" s="1">
        <v>0.34748509999999999</v>
      </c>
      <c r="P9">
        <f>VLOOKUP(B9,elasticities!$A$11:$D$35,2,FALSE)</f>
        <v>-1.8044746</v>
      </c>
      <c r="Q9">
        <f>VLOOKUP(B9,elasticities!$A$11:$D$35,3,FALSE)</f>
        <v>-1.0204728999999999</v>
      </c>
      <c r="R9">
        <f>VLOOKUP(B9,elasticities!$A$11:$D$35,4,FALSE)</f>
        <v>-0.61524100000000004</v>
      </c>
      <c r="S9">
        <f t="shared" si="0"/>
        <v>-0.72740916406312162</v>
      </c>
      <c r="T9">
        <f t="shared" si="1"/>
        <v>-0.17246481769120711</v>
      </c>
      <c r="U9">
        <f t="shared" si="2"/>
        <v>-0.17246481769120711</v>
      </c>
      <c r="V9">
        <f t="shared" si="3"/>
        <v>0.41566116023699851</v>
      </c>
      <c r="W9">
        <f t="shared" si="4"/>
        <v>-1.7904062232236193</v>
      </c>
      <c r="X9">
        <f t="shared" si="5"/>
        <v>0.22934899663831571</v>
      </c>
    </row>
    <row r="10" spans="1:34" x14ac:dyDescent="0.2">
      <c r="A10" s="1" t="s">
        <v>47</v>
      </c>
      <c r="B10" s="1" t="s">
        <v>37</v>
      </c>
      <c r="C10" s="1">
        <v>4.5855399999999999</v>
      </c>
      <c r="D10" s="1">
        <v>6.3703171000000003</v>
      </c>
      <c r="E10" s="1">
        <v>33.6</v>
      </c>
      <c r="F10" s="1">
        <v>8.3905759999999994</v>
      </c>
      <c r="G10" s="1">
        <v>9.6706090000000007</v>
      </c>
      <c r="H10" s="1">
        <v>10.752219999999999</v>
      </c>
      <c r="I10" s="1">
        <v>10.7349</v>
      </c>
      <c r="J10" s="1">
        <v>17.68225</v>
      </c>
      <c r="K10" s="1">
        <v>24.153420000000001</v>
      </c>
      <c r="L10" s="1">
        <v>95.027159999999995</v>
      </c>
      <c r="M10" s="1">
        <v>13.032999999999999</v>
      </c>
      <c r="N10" s="1">
        <v>29.713000000000001</v>
      </c>
      <c r="O10" s="1">
        <v>0.49607000000000001</v>
      </c>
      <c r="P10">
        <f>VLOOKUP(B10,elasticities!$A$11:$D$35,2,FALSE)</f>
        <v>-0.60875219999999997</v>
      </c>
      <c r="Q10">
        <f>VLOOKUP(B10,elasticities!$A$11:$D$35,3,FALSE)</f>
        <v>-0.45465660000000002</v>
      </c>
      <c r="R10">
        <f>VLOOKUP(B10,elasticities!$A$11:$D$35,4,FALSE)</f>
        <v>-0.32389620000000002</v>
      </c>
      <c r="S10">
        <f t="shared" si="0"/>
        <v>1.0886010862345874</v>
      </c>
      <c r="T10">
        <f t="shared" si="1"/>
        <v>1.0977714305379451</v>
      </c>
      <c r="U10">
        <f t="shared" si="2"/>
        <v>1.0977714305379451</v>
      </c>
      <c r="V10">
        <f t="shared" si="3"/>
        <v>-0.21600444273449898</v>
      </c>
      <c r="W10">
        <f t="shared" si="4"/>
        <v>1.1633728713654325</v>
      </c>
      <c r="X10">
        <f t="shared" si="5"/>
        <v>0.57503444084679389</v>
      </c>
    </row>
    <row r="11" spans="1:34" x14ac:dyDescent="0.2">
      <c r="A11" s="1" t="s">
        <v>48</v>
      </c>
      <c r="B11" s="1" t="s">
        <v>21</v>
      </c>
      <c r="C11" s="1">
        <v>6.3757799999999998</v>
      </c>
      <c r="D11" s="1">
        <v>0.76304190000000005</v>
      </c>
      <c r="E11" s="1">
        <v>27.9</v>
      </c>
      <c r="F11" s="1">
        <v>7.1235080000000002</v>
      </c>
      <c r="G11" s="1">
        <v>10.075524</v>
      </c>
      <c r="H11" s="1">
        <v>10.952</v>
      </c>
      <c r="I11" s="1">
        <v>10.959490000000001</v>
      </c>
      <c r="J11" s="1">
        <v>15.53041</v>
      </c>
      <c r="K11" s="1">
        <v>28.86382</v>
      </c>
      <c r="L11" s="1">
        <v>104.94422</v>
      </c>
      <c r="M11" s="1">
        <v>6.7190000000000003</v>
      </c>
      <c r="N11" s="1">
        <v>14.138</v>
      </c>
      <c r="O11" s="1">
        <v>0.1449637</v>
      </c>
      <c r="P11">
        <f>VLOOKUP(B11,elasticities!$A$11:$D$35,2,FALSE)</f>
        <v>-2.0263068</v>
      </c>
      <c r="Q11">
        <f>VLOOKUP(B11,elasticities!$A$11:$D$35,3,FALSE)</f>
        <v>-1.7187965000000001</v>
      </c>
      <c r="R11">
        <f>VLOOKUP(B11,elasticities!$A$11:$D$35,4,FALSE)</f>
        <v>-1.3692607000000001</v>
      </c>
      <c r="S11">
        <f t="shared" si="0"/>
        <v>-1.0643180896181597</v>
      </c>
      <c r="T11">
        <f t="shared" si="1"/>
        <v>-1.740174955617378</v>
      </c>
      <c r="U11">
        <f t="shared" si="2"/>
        <v>-1.740174955617378</v>
      </c>
      <c r="V11">
        <f t="shared" si="3"/>
        <v>1.6026398626107774</v>
      </c>
      <c r="W11">
        <f t="shared" si="4"/>
        <v>-1.0169313533937869</v>
      </c>
      <c r="X11">
        <f t="shared" si="5"/>
        <v>-0.94066327606729838</v>
      </c>
    </row>
    <row r="12" spans="1:34" x14ac:dyDescent="0.2">
      <c r="A12" s="1" t="s">
        <v>49</v>
      </c>
      <c r="B12" s="1" t="s">
        <v>22</v>
      </c>
      <c r="C12" s="1">
        <v>5.3243499999999999</v>
      </c>
      <c r="D12" s="1">
        <v>2.7167626</v>
      </c>
      <c r="E12" s="1">
        <v>31.2</v>
      </c>
      <c r="F12" s="1">
        <v>5.2223670000000002</v>
      </c>
      <c r="G12" s="1">
        <v>9.9521160000000002</v>
      </c>
      <c r="H12" s="1">
        <v>10.89068</v>
      </c>
      <c r="I12" s="1">
        <v>10.90701</v>
      </c>
      <c r="J12" s="1">
        <v>18.03773</v>
      </c>
      <c r="K12" s="1">
        <v>23.58888</v>
      </c>
      <c r="L12" s="1">
        <v>71.510729999999995</v>
      </c>
      <c r="M12" s="1">
        <v>7.3029999999999999</v>
      </c>
      <c r="N12" s="1">
        <v>17.856000000000002</v>
      </c>
      <c r="O12" s="1">
        <v>0.42006599999999999</v>
      </c>
      <c r="P12">
        <f>VLOOKUP(B12,elasticities!$A$11:$D$35,2,FALSE)</f>
        <v>-0.69090119999999999</v>
      </c>
      <c r="Q12">
        <f>VLOOKUP(B12,elasticities!$A$11:$D$35,3,FALSE)</f>
        <v>-0.58458900000000003</v>
      </c>
      <c r="R12">
        <f>VLOOKUP(B12,elasticities!$A$11:$D$35,4,FALSE)</f>
        <v>-0.4644025</v>
      </c>
      <c r="S12">
        <f t="shared" si="0"/>
        <v>0.96383682150917405</v>
      </c>
      <c r="T12">
        <f t="shared" si="1"/>
        <v>0.80607809420350318</v>
      </c>
      <c r="U12">
        <f t="shared" si="2"/>
        <v>0.80607809420350318</v>
      </c>
      <c r="V12">
        <f t="shared" si="3"/>
        <v>0.53452766426352571</v>
      </c>
      <c r="W12">
        <f t="shared" si="4"/>
        <v>-0.25725658369289206</v>
      </c>
      <c r="X12">
        <f t="shared" si="5"/>
        <v>-6.3154071538087331E-2</v>
      </c>
    </row>
    <row r="13" spans="1:34" x14ac:dyDescent="0.2">
      <c r="A13" s="1" t="s">
        <v>50</v>
      </c>
      <c r="B13" s="12" t="s">
        <v>24</v>
      </c>
      <c r="C13" s="12">
        <v>3.37548</v>
      </c>
      <c r="D13" s="12">
        <v>5.5219858000000004</v>
      </c>
      <c r="E13" s="12">
        <v>33.4</v>
      </c>
      <c r="F13" s="12">
        <v>9.6452600000000004</v>
      </c>
      <c r="G13" s="12">
        <v>9.5997900000000005</v>
      </c>
      <c r="H13" s="12">
        <v>10.48649</v>
      </c>
      <c r="I13" s="12">
        <v>10.47301</v>
      </c>
      <c r="J13" s="12">
        <v>16.16094</v>
      </c>
      <c r="K13" s="12">
        <v>28.93045</v>
      </c>
      <c r="L13" s="12">
        <v>166.38955999999999</v>
      </c>
      <c r="M13" s="12">
        <v>12.426</v>
      </c>
      <c r="N13" s="12">
        <v>31.29</v>
      </c>
      <c r="O13" s="12">
        <v>0.33311869999999999</v>
      </c>
      <c r="P13">
        <f>VLOOKUP(B13,elasticities!$A$11:$D$35,2,FALSE)</f>
        <v>-0.46036670000000002</v>
      </c>
      <c r="Q13">
        <f>VLOOKUP(B13,elasticities!$A$11:$D$35,3,FALSE)</f>
        <v>-0.32040469999999999</v>
      </c>
      <c r="R13">
        <f>VLOOKUP(B13,elasticities!$A$11:$D$35,4,FALSE)</f>
        <v>-0.21466250000000001</v>
      </c>
      <c r="S13">
        <f t="shared" si="0"/>
        <v>1.3139624150811078</v>
      </c>
      <c r="T13">
        <f t="shared" si="1"/>
        <v>1.3991618814203879</v>
      </c>
      <c r="U13">
        <f t="shared" si="2"/>
        <v>1.3991618814203879</v>
      </c>
      <c r="V13">
        <f t="shared" si="3"/>
        <v>-1.4452634963396611</v>
      </c>
      <c r="W13">
        <f t="shared" si="4"/>
        <v>0.83351206528523869</v>
      </c>
      <c r="X13">
        <f t="shared" si="5"/>
        <v>0.52185206481471968</v>
      </c>
    </row>
    <row r="14" spans="1:34" x14ac:dyDescent="0.2">
      <c r="A14" s="1" t="s">
        <v>51</v>
      </c>
      <c r="B14" s="1" t="s">
        <v>16</v>
      </c>
      <c r="C14" s="1">
        <v>4.0916600000000001</v>
      </c>
      <c r="D14" s="1">
        <v>7.2947911000000003</v>
      </c>
      <c r="E14" s="1">
        <v>30</v>
      </c>
      <c r="F14" s="1">
        <v>10.780581</v>
      </c>
      <c r="G14" s="1">
        <v>9.1940030000000004</v>
      </c>
      <c r="H14" s="1">
        <v>10.59323</v>
      </c>
      <c r="I14" s="1">
        <v>10.55851</v>
      </c>
      <c r="J14" s="1">
        <v>15.165050000000001</v>
      </c>
      <c r="K14" s="1">
        <v>19.69295</v>
      </c>
      <c r="L14" s="1">
        <v>80.76267</v>
      </c>
      <c r="M14" s="1">
        <v>6.8109999999999999</v>
      </c>
      <c r="N14" s="1">
        <v>17.744</v>
      </c>
      <c r="O14" s="1">
        <v>0.34943340000000001</v>
      </c>
      <c r="P14">
        <f>VLOOKUP(B14,elasticities!$A$11:$D$35,2,FALSE)</f>
        <v>-2.1014018999999999</v>
      </c>
      <c r="Q14">
        <f>VLOOKUP(B14,elasticities!$A$11:$D$35,3,FALSE)</f>
        <v>-1.3195079000000001</v>
      </c>
      <c r="R14">
        <f>VLOOKUP(B14,elasticities!$A$11:$D$35,4,FALSE)</f>
        <v>-0.84928130000000002</v>
      </c>
      <c r="S14">
        <f t="shared" si="0"/>
        <v>-1.1783692032772592</v>
      </c>
      <c r="T14">
        <f t="shared" si="1"/>
        <v>-0.84378711167461629</v>
      </c>
      <c r="U14">
        <f t="shared" si="2"/>
        <v>-0.84378711167461629</v>
      </c>
      <c r="V14">
        <f t="shared" si="3"/>
        <v>-0.71772044144077585</v>
      </c>
      <c r="W14">
        <f t="shared" si="4"/>
        <v>1.522840615677332</v>
      </c>
      <c r="X14">
        <f t="shared" si="5"/>
        <v>-0.38224832773052747</v>
      </c>
    </row>
    <row r="15" spans="1:34" x14ac:dyDescent="0.2">
      <c r="A15" s="1" t="s">
        <v>52</v>
      </c>
      <c r="B15" s="1" t="s">
        <v>25</v>
      </c>
      <c r="C15" s="1">
        <v>3.8012000000000001</v>
      </c>
      <c r="D15" s="1">
        <v>4.1523805999999999</v>
      </c>
      <c r="E15" s="3" t="s">
        <v>26</v>
      </c>
      <c r="F15" s="1">
        <v>14.608143999999999</v>
      </c>
      <c r="G15" s="1">
        <v>9.0767410000000002</v>
      </c>
      <c r="H15" s="1">
        <v>10.611789999999999</v>
      </c>
      <c r="I15" s="1">
        <v>10.53659</v>
      </c>
      <c r="J15" s="1">
        <v>16.0778</v>
      </c>
      <c r="K15" s="1">
        <v>24.664719999999999</v>
      </c>
      <c r="L15" s="1">
        <v>60.274679999999996</v>
      </c>
      <c r="M15" s="1">
        <v>3.5830000000000002</v>
      </c>
      <c r="N15" s="1">
        <v>10.541</v>
      </c>
      <c r="O15" s="1">
        <v>0.47483059999999999</v>
      </c>
      <c r="P15">
        <f>VLOOKUP(B15,elasticities!$A$11:$D$35,2,FALSE)</f>
        <v>-0.71749640000000003</v>
      </c>
      <c r="Q15">
        <f>VLOOKUP(B15,elasticities!$A$11:$D$35,3,FALSE)</f>
        <v>-0.48991000000000001</v>
      </c>
      <c r="R15">
        <f>VLOOKUP(B15,elasticities!$A$11:$D$35,4,FALSE)</f>
        <v>-0.32525140000000002</v>
      </c>
      <c r="S15">
        <f t="shared" si="0"/>
        <v>0.92344520903397276</v>
      </c>
      <c r="T15">
        <f t="shared" si="1"/>
        <v>1.0186288774631724</v>
      </c>
      <c r="U15">
        <f t="shared" si="2"/>
        <v>1.0186288774631724</v>
      </c>
      <c r="V15">
        <f t="shared" si="3"/>
        <v>-1.0127889378047208</v>
      </c>
      <c r="W15">
        <f t="shared" si="4"/>
        <v>0.30096178064570522</v>
      </c>
      <c r="X15" t="e">
        <f t="shared" si="5"/>
        <v>#VALUE!</v>
      </c>
    </row>
    <row r="16" spans="1:34" x14ac:dyDescent="0.2">
      <c r="A16" s="1" t="s">
        <v>53</v>
      </c>
      <c r="B16" s="1" t="s">
        <v>27</v>
      </c>
      <c r="C16" s="1">
        <v>4.0677599999999998</v>
      </c>
      <c r="D16" s="1">
        <v>4.8211766999999996</v>
      </c>
      <c r="E16" s="1">
        <v>33.700000000000003</v>
      </c>
      <c r="F16" s="1">
        <v>8.2012900000000002</v>
      </c>
      <c r="G16" s="1">
        <v>9.8719990000000006</v>
      </c>
      <c r="H16" s="1">
        <v>10.86539</v>
      </c>
      <c r="I16" s="1">
        <v>10.84347</v>
      </c>
      <c r="J16" s="1">
        <v>17.893280000000001</v>
      </c>
      <c r="K16" s="1">
        <v>16.490169999999999</v>
      </c>
      <c r="L16" s="1">
        <v>73.896209999999996</v>
      </c>
      <c r="M16" s="1">
        <v>8.0690000000000008</v>
      </c>
      <c r="N16" s="1">
        <v>23.704000000000001</v>
      </c>
      <c r="O16" s="1">
        <v>0.45472620000000002</v>
      </c>
      <c r="P16">
        <f>VLOOKUP(B16,elasticities!$A$11:$D$35,2,FALSE)</f>
        <v>-1.0360092000000001</v>
      </c>
      <c r="Q16">
        <f>VLOOKUP(B16,elasticities!$A$11:$D$35,3,FALSE)</f>
        <v>-0.77093080000000003</v>
      </c>
      <c r="R16">
        <f>VLOOKUP(B16,elasticities!$A$11:$D$35,4,FALSE)</f>
        <v>-0.54769959999999995</v>
      </c>
      <c r="S16">
        <f t="shared" si="0"/>
        <v>0.43970206794117039</v>
      </c>
      <c r="T16">
        <f t="shared" si="1"/>
        <v>0.38774778289881451</v>
      </c>
      <c r="U16">
        <f t="shared" si="2"/>
        <v>0.38774778289881451</v>
      </c>
      <c r="V16">
        <f t="shared" si="3"/>
        <v>-0.74199964361353066</v>
      </c>
      <c r="W16">
        <f t="shared" si="4"/>
        <v>0.56101303732960917</v>
      </c>
      <c r="X16">
        <f t="shared" si="5"/>
        <v>0.60162562886283089</v>
      </c>
    </row>
    <row r="17" spans="1:24" x14ac:dyDescent="0.2">
      <c r="A17" s="1" t="s">
        <v>54</v>
      </c>
      <c r="B17" s="1" t="s">
        <v>29</v>
      </c>
      <c r="C17" s="1">
        <v>4.2528499999999996</v>
      </c>
      <c r="D17" s="1">
        <v>2.4653201</v>
      </c>
      <c r="E17" s="1">
        <v>36.6</v>
      </c>
      <c r="F17" s="1">
        <v>19.705045999999999</v>
      </c>
      <c r="G17" s="1">
        <v>9.2978869999999993</v>
      </c>
      <c r="H17" s="1">
        <v>10.75027</v>
      </c>
      <c r="I17" s="1">
        <v>10.6492</v>
      </c>
      <c r="J17" s="1">
        <v>14.85637</v>
      </c>
      <c r="K17" s="1">
        <v>41.414949999999997</v>
      </c>
      <c r="L17" s="1">
        <v>76.915459999999996</v>
      </c>
      <c r="M17" s="1">
        <v>5.9550000000000001</v>
      </c>
      <c r="N17" s="1">
        <v>11.872999999999999</v>
      </c>
      <c r="O17" s="1">
        <v>0.4023293</v>
      </c>
      <c r="P17">
        <f>VLOOKUP(B17,elasticities!$A$11:$D$35,2,FALSE)</f>
        <v>-2.9275286999999999</v>
      </c>
      <c r="Q17">
        <f>VLOOKUP(B17,elasticities!$A$11:$D$35,3,FALSE)</f>
        <v>-2.2043225999999998</v>
      </c>
      <c r="R17">
        <f>VLOOKUP(B17,elasticities!$A$11:$D$35,4,FALSE)</f>
        <v>-1.5797129999999999</v>
      </c>
      <c r="S17">
        <f t="shared" si="0"/>
        <v>-2.4330540171150239</v>
      </c>
      <c r="T17">
        <f t="shared" si="1"/>
        <v>-2.8301627337731716</v>
      </c>
      <c r="U17">
        <f t="shared" si="2"/>
        <v>-2.8301627337731716</v>
      </c>
      <c r="V17">
        <f t="shared" si="3"/>
        <v>-0.55397296871164214</v>
      </c>
      <c r="W17">
        <f t="shared" si="4"/>
        <v>-0.35502620003596363</v>
      </c>
      <c r="X17">
        <f t="shared" si="5"/>
        <v>1.3727700813278947</v>
      </c>
    </row>
    <row r="18" spans="1:24" x14ac:dyDescent="0.2">
      <c r="A18" s="1" t="s">
        <v>55</v>
      </c>
      <c r="B18" s="1" t="s">
        <v>30</v>
      </c>
      <c r="C18" s="1">
        <v>3.7445200000000001</v>
      </c>
      <c r="D18" s="1">
        <v>-1.0974126</v>
      </c>
      <c r="E18" s="1">
        <v>34.1</v>
      </c>
      <c r="F18" s="1">
        <v>6.3360079999999996</v>
      </c>
      <c r="G18" s="1">
        <v>10.512934</v>
      </c>
      <c r="H18" s="1">
        <v>11.79487</v>
      </c>
      <c r="I18" s="1">
        <v>11.35294</v>
      </c>
      <c r="J18" s="1">
        <v>13.38949</v>
      </c>
      <c r="K18" s="1">
        <v>42.035130000000002</v>
      </c>
      <c r="L18" s="1">
        <v>21.032599999999999</v>
      </c>
      <c r="M18" s="1">
        <v>4.5880000000000001</v>
      </c>
      <c r="N18" s="1">
        <v>17.599</v>
      </c>
      <c r="O18" s="1">
        <v>0.46560299999999999</v>
      </c>
      <c r="P18">
        <f>VLOOKUP(B18,elasticities!$A$11:$D$35,2,FALSE)</f>
        <v>-0.69611730000000005</v>
      </c>
      <c r="Q18">
        <f>VLOOKUP(B18,elasticities!$A$11:$D$35,3,FALSE)</f>
        <v>-0.64867609999999998</v>
      </c>
      <c r="R18">
        <f>VLOOKUP(B18,elasticities!$A$11:$D$35,4,FALSE)</f>
        <v>-0.57963849999999995</v>
      </c>
      <c r="S18">
        <f t="shared" si="0"/>
        <v>0.9559148397293078</v>
      </c>
      <c r="T18">
        <f t="shared" si="1"/>
        <v>0.66220497237246634</v>
      </c>
      <c r="U18">
        <f t="shared" si="2"/>
        <v>0.66220497237246634</v>
      </c>
      <c r="V18">
        <f t="shared" si="3"/>
        <v>-1.0703682340035379</v>
      </c>
      <c r="W18">
        <f t="shared" si="4"/>
        <v>-1.7403409706571418</v>
      </c>
      <c r="X18">
        <f t="shared" si="5"/>
        <v>0.7079903809269773</v>
      </c>
    </row>
    <row r="19" spans="1:24" x14ac:dyDescent="0.2">
      <c r="A19" s="1" t="s">
        <v>56</v>
      </c>
      <c r="B19" s="1" t="s">
        <v>28</v>
      </c>
      <c r="C19" s="1">
        <v>4.3196700000000003</v>
      </c>
      <c r="D19" s="1">
        <v>1.9085342000000001</v>
      </c>
      <c r="E19" s="1">
        <v>33.700000000000003</v>
      </c>
      <c r="F19" s="1">
        <v>17.310282999999998</v>
      </c>
      <c r="G19" s="1">
        <v>9.1962849999999996</v>
      </c>
      <c r="H19" s="1">
        <v>10.53791</v>
      </c>
      <c r="I19" s="1">
        <v>10.49653</v>
      </c>
      <c r="J19" s="1">
        <v>14.44645</v>
      </c>
      <c r="K19" s="1">
        <v>32.57349</v>
      </c>
      <c r="L19" s="1">
        <v>91.330370000000002</v>
      </c>
      <c r="M19" s="1">
        <v>6.8150000000000004</v>
      </c>
      <c r="N19" s="1">
        <v>15.27</v>
      </c>
      <c r="O19" s="1">
        <v>0.47937269999999998</v>
      </c>
      <c r="P19">
        <f>VLOOKUP(B19,elasticities!$A$11:$D$35,2,FALSE)</f>
        <v>-1.9315724000000001</v>
      </c>
      <c r="Q19">
        <f>VLOOKUP(B19,elasticities!$A$11:$D$35,3,FALSE)</f>
        <v>-1.1325831</v>
      </c>
      <c r="R19">
        <f>VLOOKUP(B19,elasticities!$A$11:$D$35,4,FALSE)</f>
        <v>-0.70642870000000002</v>
      </c>
      <c r="S19">
        <f t="shared" si="0"/>
        <v>-0.92043967648832026</v>
      </c>
      <c r="T19">
        <f t="shared" si="1"/>
        <v>-0.42414798736344878</v>
      </c>
      <c r="U19">
        <f t="shared" si="2"/>
        <v>-0.42414798736344878</v>
      </c>
      <c r="V19">
        <f t="shared" si="3"/>
        <v>-0.48609278924789828</v>
      </c>
      <c r="W19">
        <f t="shared" si="4"/>
        <v>-0.57152398314037844</v>
      </c>
      <c r="X19">
        <f t="shared" si="5"/>
        <v>0.60162562886283089</v>
      </c>
    </row>
    <row r="20" spans="1:24" x14ac:dyDescent="0.2">
      <c r="A20" s="1" t="s">
        <v>57</v>
      </c>
      <c r="B20" s="1" t="s">
        <v>31</v>
      </c>
      <c r="C20" s="1">
        <v>4.71258</v>
      </c>
      <c r="D20" s="1">
        <v>2.5927677999999998</v>
      </c>
      <c r="E20" s="1">
        <v>34.6</v>
      </c>
      <c r="F20" s="1">
        <v>6.1537559999999996</v>
      </c>
      <c r="G20" s="1">
        <v>9.5912310000000005</v>
      </c>
      <c r="H20" s="1">
        <v>10.948600000000001</v>
      </c>
      <c r="I20" s="1">
        <v>10.8588</v>
      </c>
      <c r="J20" s="1">
        <v>13.182729999999999</v>
      </c>
      <c r="K20" s="1">
        <v>24.440539999999999</v>
      </c>
      <c r="L20" s="1">
        <v>74.590130000000002</v>
      </c>
      <c r="M20" s="1">
        <v>3.4710000000000001</v>
      </c>
      <c r="N20" s="1">
        <v>9.0640000000000001</v>
      </c>
      <c r="O20" s="1">
        <v>0.63871310000000003</v>
      </c>
      <c r="P20">
        <f>VLOOKUP(B20,elasticities!$A$11:$D$35,2,FALSE)</f>
        <v>-0.67170790000000002</v>
      </c>
      <c r="Q20">
        <f>VLOOKUP(B20,elasticities!$A$11:$D$35,3,FALSE)</f>
        <v>-0.4995946</v>
      </c>
      <c r="R20">
        <f>VLOOKUP(B20,elasticities!$A$11:$D$35,4,FALSE)</f>
        <v>-0.35479949999999999</v>
      </c>
      <c r="S20">
        <f t="shared" si="0"/>
        <v>0.99298675592291341</v>
      </c>
      <c r="T20">
        <f t="shared" si="1"/>
        <v>0.99688731581215584</v>
      </c>
      <c r="U20">
        <f t="shared" si="2"/>
        <v>0.99688731581215584</v>
      </c>
      <c r="V20">
        <f t="shared" si="3"/>
        <v>-8.6948800725011974E-2</v>
      </c>
      <c r="W20">
        <f t="shared" si="4"/>
        <v>-0.3054700878719227</v>
      </c>
      <c r="X20">
        <f t="shared" si="5"/>
        <v>0.84094632100716071</v>
      </c>
    </row>
    <row r="21" spans="1:24" x14ac:dyDescent="0.2">
      <c r="A21" s="1" t="s">
        <v>58</v>
      </c>
      <c r="B21" s="1" t="s">
        <v>32</v>
      </c>
      <c r="C21" s="1">
        <v>4.3137299999999996</v>
      </c>
      <c r="D21" s="1">
        <v>5.2554569999999998</v>
      </c>
      <c r="E21" s="1">
        <v>28.9</v>
      </c>
      <c r="F21" s="1">
        <v>14.429451</v>
      </c>
      <c r="G21" s="1">
        <v>9.2045320000000004</v>
      </c>
      <c r="H21" s="1">
        <v>10.678330000000001</v>
      </c>
      <c r="I21" s="1">
        <v>10.61905</v>
      </c>
      <c r="J21" s="1">
        <v>17.421600000000002</v>
      </c>
      <c r="K21" s="1">
        <v>27.72372</v>
      </c>
      <c r="L21" s="1">
        <v>75.291110000000003</v>
      </c>
      <c r="M21" s="1">
        <v>2.8109999999999999</v>
      </c>
      <c r="N21" s="1">
        <v>10.56</v>
      </c>
      <c r="O21" s="1">
        <v>0.35605949999999997</v>
      </c>
      <c r="P21">
        <f>VLOOKUP(B21,elasticities!$A$11:$D$35,2,FALSE)</f>
        <v>-1.8951127000000001</v>
      </c>
      <c r="Q21">
        <f>VLOOKUP(B21,elasticities!$A$11:$D$35,3,FALSE)</f>
        <v>-1.1203354999999999</v>
      </c>
      <c r="R21">
        <f>VLOOKUP(B21,elasticities!$A$11:$D$35,4,FALSE)</f>
        <v>-0.70153350000000003</v>
      </c>
      <c r="S21">
        <f t="shared" si="0"/>
        <v>-0.86506629808311564</v>
      </c>
      <c r="T21">
        <f t="shared" si="1"/>
        <v>-0.39665258740093196</v>
      </c>
      <c r="U21">
        <f t="shared" si="2"/>
        <v>-0.39665258740093196</v>
      </c>
      <c r="V21">
        <f t="shared" si="3"/>
        <v>-0.49212703447409828</v>
      </c>
      <c r="W21">
        <f t="shared" si="4"/>
        <v>0.72987636917030452</v>
      </c>
      <c r="X21">
        <f t="shared" si="5"/>
        <v>-0.67475139590693145</v>
      </c>
    </row>
    <row r="22" spans="1:24" x14ac:dyDescent="0.2">
      <c r="A22" s="1" t="s">
        <v>59</v>
      </c>
      <c r="B22" s="1" t="s">
        <v>33</v>
      </c>
      <c r="C22" s="1">
        <v>4.5516100000000002</v>
      </c>
      <c r="D22" s="1">
        <v>6.9858414</v>
      </c>
      <c r="E22" s="1">
        <v>36.299999999999997</v>
      </c>
      <c r="F22" s="1">
        <v>7.8326909999999996</v>
      </c>
      <c r="G22" s="1">
        <v>9.5649110000000004</v>
      </c>
      <c r="H22" s="1">
        <v>10.623049999999999</v>
      </c>
      <c r="I22" s="1">
        <v>10.58709</v>
      </c>
      <c r="J22" s="1">
        <v>16.160609999999998</v>
      </c>
      <c r="K22" s="1">
        <v>23.122389999999999</v>
      </c>
      <c r="L22" s="1">
        <v>75.071479999999994</v>
      </c>
      <c r="M22" s="1">
        <v>6.1379999999999999</v>
      </c>
      <c r="N22" s="1">
        <v>19.183</v>
      </c>
      <c r="O22" s="1">
        <v>0.4016885</v>
      </c>
      <c r="P22">
        <f>VLOOKUP(B22,elasticities!$A$11:$D$35,2,FALSE)</f>
        <v>-1.139278</v>
      </c>
      <c r="Q22">
        <f>VLOOKUP(B22,elasticities!$A$11:$D$35,3,FALSE)</f>
        <v>-0.76068780000000003</v>
      </c>
      <c r="R22">
        <f>VLOOKUP(B22,elasticities!$A$11:$D$35,4,FALSE)</f>
        <v>-0.50526110000000002</v>
      </c>
      <c r="S22">
        <f t="shared" si="0"/>
        <v>0.28286198588203704</v>
      </c>
      <c r="T22">
        <f t="shared" si="1"/>
        <v>0.41074293148433816</v>
      </c>
      <c r="U22">
        <f t="shared" si="2"/>
        <v>0.41074293148433816</v>
      </c>
      <c r="V22">
        <f t="shared" si="3"/>
        <v>-0.25047278289021269</v>
      </c>
      <c r="W22">
        <f t="shared" si="4"/>
        <v>1.4027101936591486</v>
      </c>
      <c r="X22">
        <f t="shared" si="5"/>
        <v>1.2929965172797835</v>
      </c>
    </row>
    <row r="23" spans="1:24" x14ac:dyDescent="0.2">
      <c r="A23" s="1" t="s">
        <v>60</v>
      </c>
      <c r="B23" s="1" t="s">
        <v>34</v>
      </c>
      <c r="C23" s="1">
        <v>3.2788200000000001</v>
      </c>
      <c r="D23" s="1">
        <v>4.1877130999999999</v>
      </c>
      <c r="E23" s="1">
        <v>32.299999999999997</v>
      </c>
      <c r="F23" s="1">
        <v>13.795489</v>
      </c>
      <c r="G23" s="1">
        <v>9.0259289999999996</v>
      </c>
      <c r="H23" s="1">
        <v>10.57788</v>
      </c>
      <c r="I23" s="1">
        <v>10.54992</v>
      </c>
      <c r="J23" s="1">
        <v>16.762499999999999</v>
      </c>
      <c r="K23" s="1">
        <v>15.283469999999999</v>
      </c>
      <c r="L23" s="1">
        <v>58.239040000000003</v>
      </c>
      <c r="M23" s="1">
        <v>5.6139999999999999</v>
      </c>
      <c r="N23" s="1">
        <v>22.873999999999999</v>
      </c>
      <c r="O23" s="1">
        <v>0.56293360000000003</v>
      </c>
      <c r="P23">
        <f>VLOOKUP(B23,elasticities!$A$11:$D$35,2,FALSE)</f>
        <v>-2.420309</v>
      </c>
      <c r="Q23">
        <f>VLOOKUP(B23,elasticities!$A$11:$D$35,3,FALSE)</f>
        <v>-1.6501927999999999</v>
      </c>
      <c r="R23">
        <f>VLOOKUP(B23,elasticities!$A$11:$D$35,4,FALSE)</f>
        <v>-1.1079519</v>
      </c>
      <c r="S23">
        <f t="shared" si="0"/>
        <v>-1.6627111897556566</v>
      </c>
      <c r="T23">
        <f t="shared" si="1"/>
        <v>-1.5861622371738857</v>
      </c>
      <c r="U23">
        <f t="shared" si="2"/>
        <v>-1.5861622371738857</v>
      </c>
      <c r="V23">
        <f t="shared" si="3"/>
        <v>-1.543457123202358</v>
      </c>
      <c r="W23">
        <f t="shared" si="4"/>
        <v>0.31470028932837252</v>
      </c>
      <c r="X23">
        <f t="shared" si="5"/>
        <v>0.22934899663831571</v>
      </c>
    </row>
    <row r="24" spans="1:24" x14ac:dyDescent="0.2">
      <c r="A24" s="1" t="s">
        <v>61</v>
      </c>
      <c r="B24" s="1" t="s">
        <v>38</v>
      </c>
      <c r="C24" s="1">
        <v>7.3190999999999997</v>
      </c>
      <c r="D24" s="1">
        <v>1.2554361999999999</v>
      </c>
      <c r="E24" s="1">
        <v>31.6</v>
      </c>
      <c r="F24" s="1">
        <v>8.3692910000000005</v>
      </c>
      <c r="G24" s="1">
        <v>10.146343</v>
      </c>
      <c r="H24" s="1">
        <v>11.04363</v>
      </c>
      <c r="I24" s="1">
        <v>11.07484</v>
      </c>
      <c r="J24" s="1">
        <v>16.16564</v>
      </c>
      <c r="K24" s="1">
        <v>33.664149999999999</v>
      </c>
      <c r="L24" s="1">
        <v>83.89761</v>
      </c>
      <c r="M24" s="1">
        <v>7.4169999999999998</v>
      </c>
      <c r="N24" s="1">
        <v>21.597000000000001</v>
      </c>
      <c r="O24" s="1">
        <v>0.13658600000000001</v>
      </c>
      <c r="P24">
        <f>VLOOKUP(B24,elasticities!$A$11:$D$35,2,FALSE)</f>
        <v>-1.1550248999999999</v>
      </c>
      <c r="Q24">
        <f>VLOOKUP(B24,elasticities!$A$11:$D$35,3,FALSE)</f>
        <v>-0.95785260000000005</v>
      </c>
      <c r="R24">
        <f>VLOOKUP(B24,elasticities!$A$11:$D$35,4,FALSE)</f>
        <v>-0.74569289999999999</v>
      </c>
      <c r="S24">
        <f t="shared" si="0"/>
        <v>0.25894629122714657</v>
      </c>
      <c r="T24">
        <f t="shared" si="1"/>
        <v>-3.1884606525526986E-2</v>
      </c>
      <c r="U24">
        <f t="shared" si="2"/>
        <v>-3.1884606525526986E-2</v>
      </c>
      <c r="V24">
        <f t="shared" si="3"/>
        <v>2.5609267661088038</v>
      </c>
      <c r="W24">
        <f t="shared" si="4"/>
        <v>-0.82547127086790029</v>
      </c>
      <c r="X24">
        <f t="shared" si="5"/>
        <v>4.3210680526060002E-2</v>
      </c>
    </row>
    <row r="25" spans="1:24" x14ac:dyDescent="0.2">
      <c r="A25" s="1" t="s">
        <v>62</v>
      </c>
      <c r="B25" s="1" t="s">
        <v>36</v>
      </c>
      <c r="C25" s="1">
        <v>5.2806499999999996</v>
      </c>
      <c r="D25" s="1">
        <v>2.6685056</v>
      </c>
      <c r="E25" s="1">
        <v>24.3</v>
      </c>
      <c r="F25" s="1">
        <v>8.8336989999999993</v>
      </c>
      <c r="G25" s="1">
        <v>9.5221900000000002</v>
      </c>
      <c r="H25" s="1">
        <v>10.75916</v>
      </c>
      <c r="I25" s="1">
        <v>10.716749999999999</v>
      </c>
      <c r="J25" s="1">
        <v>14.563179999999999</v>
      </c>
      <c r="K25" s="1">
        <v>26.089320000000001</v>
      </c>
      <c r="L25" s="1">
        <v>82.392259999999993</v>
      </c>
      <c r="M25" s="1">
        <v>4.0110000000000001</v>
      </c>
      <c r="N25" s="1">
        <v>10.14</v>
      </c>
      <c r="O25" s="1">
        <v>0.2494575</v>
      </c>
      <c r="P25">
        <f>VLOOKUP(B25,elasticities!$A$11:$D$35,2,FALSE)</f>
        <v>-1.5048474999999999</v>
      </c>
      <c r="Q25">
        <f>VLOOKUP(B25,elasticities!$A$11:$D$35,3,FALSE)</f>
        <v>-1.1561129000000001</v>
      </c>
      <c r="R25">
        <f>VLOOKUP(B25,elasticities!$A$11:$D$35,4,FALSE)</f>
        <v>-0.84150069999999999</v>
      </c>
      <c r="S25">
        <f t="shared" si="0"/>
        <v>-0.27234878812053087</v>
      </c>
      <c r="T25">
        <f t="shared" si="1"/>
        <v>-0.47697150070794331</v>
      </c>
      <c r="U25">
        <f t="shared" si="2"/>
        <v>-0.47697150070794331</v>
      </c>
      <c r="V25">
        <f t="shared" si="3"/>
        <v>0.49013431133677338</v>
      </c>
      <c r="W25">
        <f t="shared" si="4"/>
        <v>-0.27602058888639597</v>
      </c>
      <c r="X25">
        <f t="shared" si="5"/>
        <v>-1.8979460446446188</v>
      </c>
    </row>
    <row r="26" spans="1:24" x14ac:dyDescent="0.2">
      <c r="A26" s="1" t="s">
        <v>63</v>
      </c>
      <c r="B26" s="1" t="s">
        <v>35</v>
      </c>
      <c r="C26" s="1">
        <v>4.6568899999999998</v>
      </c>
      <c r="D26" s="1">
        <v>0.54459159999999995</v>
      </c>
      <c r="E26" s="1">
        <v>24.1</v>
      </c>
      <c r="F26" s="1">
        <v>12.774146</v>
      </c>
      <c r="G26" s="1">
        <v>9.3201389999999993</v>
      </c>
      <c r="H26" s="1">
        <v>10.562279999999999</v>
      </c>
      <c r="I26" s="1">
        <v>10.492979999999999</v>
      </c>
      <c r="J26" s="1">
        <v>15.507770000000001</v>
      </c>
      <c r="K26" s="1">
        <v>25.772680000000001</v>
      </c>
      <c r="L26" s="1">
        <v>52.495910000000002</v>
      </c>
      <c r="M26" s="1">
        <v>6.1429999999999998</v>
      </c>
      <c r="N26" s="1">
        <v>19.923999999999999</v>
      </c>
      <c r="O26" s="1">
        <v>0.45502559999999997</v>
      </c>
      <c r="P26">
        <f>VLOOKUP(B26,elasticities!$A$11:$D$35,2,FALSE)</f>
        <v>-1.4164243000000001</v>
      </c>
      <c r="Q26">
        <f>VLOOKUP(B26,elasticities!$A$11:$D$35,3,FALSE)</f>
        <v>-0.88931910000000003</v>
      </c>
      <c r="R26">
        <f>VLOOKUP(B26,elasticities!$A$11:$D$35,4,FALSE)</f>
        <v>-0.57139379999999995</v>
      </c>
      <c r="S26">
        <f t="shared" si="0"/>
        <v>-0.13805554617396867</v>
      </c>
      <c r="T26">
        <f t="shared" si="1"/>
        <v>0.12197051556624142</v>
      </c>
      <c r="U26">
        <f t="shared" si="2"/>
        <v>0.12197051556624142</v>
      </c>
      <c r="V26">
        <f t="shared" si="3"/>
        <v>-0.14352238938612941</v>
      </c>
      <c r="W26">
        <f t="shared" si="4"/>
        <v>-1.1018724513427371</v>
      </c>
      <c r="X26">
        <f t="shared" si="5"/>
        <v>-1.9511284206766919</v>
      </c>
    </row>
    <row r="29" spans="1:24" x14ac:dyDescent="0.2">
      <c r="B29" s="1" t="s">
        <v>39</v>
      </c>
      <c r="C29" s="12">
        <v>2022</v>
      </c>
      <c r="D29" s="12">
        <f>LN(WB_PULL_CHECK!I8)</f>
        <v>11.092769878238501</v>
      </c>
    </row>
    <row r="30" spans="1:24" x14ac:dyDescent="0.2">
      <c r="B30" t="s">
        <v>144</v>
      </c>
      <c r="C30">
        <v>0.27007920000000002</v>
      </c>
      <c r="D30" t="s">
        <v>145</v>
      </c>
    </row>
    <row r="31" spans="1:24" x14ac:dyDescent="0.2">
      <c r="B31" t="s">
        <v>146</v>
      </c>
      <c r="C31">
        <f>WB_PULL_CHECK!B5</f>
        <v>0.3334917</v>
      </c>
      <c r="D31" t="s">
        <v>145</v>
      </c>
    </row>
    <row r="33" spans="1:18" x14ac:dyDescent="0.2">
      <c r="C33" t="str">
        <f>WB_PULL_CHECK!I3</f>
        <v>GDP_PPP_pc</v>
      </c>
      <c r="D33" t="str">
        <f>WB_PULL_CHECK!J3</f>
        <v>GNI_PPP_pc</v>
      </c>
      <c r="E33" t="str">
        <f>WB_PULL_CHECK!K3</f>
        <v>HH_cons_pc</v>
      </c>
      <c r="F33" t="str">
        <f>WB_PULL_CHECK!L3</f>
        <v>Gini</v>
      </c>
      <c r="G33" t="str">
        <f>WB_PULL_CHECK!M3</f>
        <v>Unemp</v>
      </c>
      <c r="H33" t="str">
        <f>WB_PULL_CHECK!N3</f>
        <v>Youth_unemp</v>
      </c>
      <c r="I33" t="str">
        <f>WB_PULL_CHECK!O3</f>
        <v>Educ_spend_gdp</v>
      </c>
      <c r="J33" t="str">
        <f>WB_PULL_CHECK!P3</f>
        <v>Tertiary_enrol</v>
      </c>
      <c r="K33" t="str">
        <f>WB_PULL_CHECK!Q3</f>
        <v>Tertiary_attain</v>
      </c>
      <c r="L33" t="str">
        <f>WB_PULL_CHECK!R3</f>
        <v>GDP_growth</v>
      </c>
      <c r="M33" t="str">
        <f>WB_PULL_CHECK!S3</f>
        <v>Inflation</v>
      </c>
      <c r="N33" t="str">
        <f>WB_PULL_CHECK!T3</f>
        <v>Population</v>
      </c>
      <c r="O33" t="str">
        <f>WB_PULL_CHECK!U3</f>
        <v>log_cons</v>
      </c>
      <c r="P33" t="str">
        <f>WB_PULL_CHECK!V3</f>
        <v>log_gdp</v>
      </c>
      <c r="Q33" t="str">
        <f>WB_PULL_CHECK!W3</f>
        <v>log_gni</v>
      </c>
      <c r="R33" t="str">
        <f>WB_PULL_CHECK!X3</f>
        <v>log_pop</v>
      </c>
    </row>
    <row r="34" spans="1:18" x14ac:dyDescent="0.2">
      <c r="A34" t="str">
        <f>B13</f>
        <v>Greece</v>
      </c>
      <c r="B34" s="13">
        <v>2022</v>
      </c>
      <c r="C34" s="13">
        <f>LN(WB_PULL_CHECK!I68)</f>
        <v>10.486490013586039</v>
      </c>
      <c r="D34" s="13">
        <f>LN(WB_PULL_CHECK!J68)</f>
        <v>10.473007842834722</v>
      </c>
      <c r="E34" s="13">
        <f>LN(WB_PULL_CHECK!K68)</f>
        <v>9.5997903870161974</v>
      </c>
      <c r="F34" s="13">
        <f>WB_PULL_CHECK!L68</f>
        <v>33.4</v>
      </c>
      <c r="G34" s="13">
        <f>WB_PULL_CHECK!M68</f>
        <v>12.426</v>
      </c>
      <c r="H34" s="13">
        <f>WB_PULL_CHECK!N68</f>
        <v>31.29</v>
      </c>
      <c r="I34" s="13">
        <f>LN(WB_PULL_CHECK!O68)</f>
        <v>1.216537536434094</v>
      </c>
      <c r="J34" s="13">
        <f>LN(WB_PULL_CHECK!P68)</f>
        <v>5.1143317860342323</v>
      </c>
      <c r="K34" s="13">
        <f>LN(WB_PULL_CHECK!Q68)</f>
        <v>3.3648946736544874</v>
      </c>
      <c r="L34" s="13">
        <f>LN(WB_PULL_CHECK!R68)</f>
        <v>1.7087375437835455</v>
      </c>
      <c r="M34" s="13">
        <f>LN(WB_PULL_CHECK!S68)</f>
        <v>2.2664665832680893</v>
      </c>
      <c r="N34" s="13">
        <f>LN(WB_PULL_CHECK!T68)</f>
        <v>16.160944869271194</v>
      </c>
      <c r="O34" s="13">
        <f>LN(WB_PULL_CHECK!U68)</f>
        <v>2.2617412232345293</v>
      </c>
      <c r="P34" s="13">
        <f>LN(WB_PULL_CHECK!V68)</f>
        <v>2.3500877620305394</v>
      </c>
      <c r="Q34" s="13">
        <f>LN(WB_PULL_CHECK!W68)</f>
        <v>2.3488014716267984</v>
      </c>
      <c r="R34" s="13">
        <f>LN(WB_PULL_CHECK!X68)</f>
        <v>2.7825972197180699</v>
      </c>
    </row>
    <row r="35" spans="1:18" x14ac:dyDescent="0.2">
      <c r="B35" s="13"/>
      <c r="C35" s="13">
        <f>H13</f>
        <v>10.48649</v>
      </c>
      <c r="D35" s="13">
        <f>I13</f>
        <v>10.47301</v>
      </c>
      <c r="E35" s="13">
        <f>G13</f>
        <v>9.5997900000000005</v>
      </c>
      <c r="F35">
        <f>E13</f>
        <v>33.4</v>
      </c>
      <c r="G35" s="13">
        <f>M13</f>
        <v>12.426</v>
      </c>
      <c r="H35" s="13">
        <f>N13</f>
        <v>31.29</v>
      </c>
      <c r="I35" s="13">
        <f>C13</f>
        <v>3.37548</v>
      </c>
      <c r="J35" s="13">
        <f>L13</f>
        <v>166.38955999999999</v>
      </c>
      <c r="K35" s="13"/>
      <c r="L35" s="13"/>
      <c r="M35" s="13"/>
      <c r="N35" s="13">
        <f>J13</f>
        <v>16.16094</v>
      </c>
      <c r="O35" s="13"/>
      <c r="P35" s="13"/>
      <c r="Q35" s="13"/>
      <c r="R35" s="1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0DB8-895B-964C-A2E0-13F47CE2A35D}">
  <dimension ref="A1:X158"/>
  <sheetViews>
    <sheetView zoomScale="50" workbookViewId="0">
      <selection activeCell="O91" sqref="O91"/>
    </sheetView>
  </sheetViews>
  <sheetFormatPr baseColWidth="10" defaultRowHeight="16" x14ac:dyDescent="0.2"/>
  <cols>
    <col min="3" max="3" width="14" customWidth="1"/>
  </cols>
  <sheetData>
    <row r="1" spans="1:24" x14ac:dyDescent="0.2">
      <c r="A1" t="s">
        <v>238</v>
      </c>
    </row>
    <row r="2" spans="1:24" x14ac:dyDescent="0.2">
      <c r="A2" t="s">
        <v>140</v>
      </c>
      <c r="B2" t="s">
        <v>12</v>
      </c>
      <c r="C2" t="s">
        <v>141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4" x14ac:dyDescent="0.2">
      <c r="A3" t="s">
        <v>142</v>
      </c>
      <c r="B3">
        <v>0.64200000000000002</v>
      </c>
      <c r="C3" t="s">
        <v>143</v>
      </c>
      <c r="F3" s="2"/>
      <c r="G3" s="2" t="s">
        <v>239</v>
      </c>
      <c r="H3" s="2" t="s">
        <v>240</v>
      </c>
      <c r="I3" s="2" t="s">
        <v>241</v>
      </c>
      <c r="J3" s="2" t="s">
        <v>242</v>
      </c>
      <c r="K3" s="2" t="s">
        <v>243</v>
      </c>
      <c r="L3" s="2" t="s">
        <v>2</v>
      </c>
      <c r="M3" s="2" t="s">
        <v>10</v>
      </c>
      <c r="N3" s="2" t="s">
        <v>11</v>
      </c>
      <c r="O3" s="2" t="s">
        <v>0</v>
      </c>
      <c r="P3" s="2" t="s">
        <v>9</v>
      </c>
      <c r="Q3" s="2" t="s">
        <v>8</v>
      </c>
      <c r="R3" s="2" t="s">
        <v>1</v>
      </c>
      <c r="S3" s="2" t="s">
        <v>3</v>
      </c>
      <c r="T3" s="2" t="s">
        <v>244</v>
      </c>
      <c r="U3" s="2" t="s">
        <v>4</v>
      </c>
      <c r="V3" s="2" t="s">
        <v>5</v>
      </c>
      <c r="W3" s="2" t="s">
        <v>6</v>
      </c>
      <c r="X3" s="2" t="s">
        <v>7</v>
      </c>
    </row>
    <row r="4" spans="1:24" x14ac:dyDescent="0.2">
      <c r="A4" t="s">
        <v>144</v>
      </c>
      <c r="B4">
        <v>0.27007920000000002</v>
      </c>
      <c r="C4" t="s">
        <v>145</v>
      </c>
      <c r="F4" s="1">
        <v>1</v>
      </c>
      <c r="G4" s="1" t="s">
        <v>39</v>
      </c>
      <c r="H4" s="1">
        <v>2018</v>
      </c>
      <c r="I4" s="1">
        <v>63777.94</v>
      </c>
      <c r="J4" s="1">
        <v>63521.33</v>
      </c>
      <c r="K4" s="1">
        <v>23450.163</v>
      </c>
      <c r="L4" s="1">
        <v>30.8</v>
      </c>
      <c r="M4" s="1">
        <v>4.9329999999999998</v>
      </c>
      <c r="N4" s="1">
        <v>9.5719999999999992</v>
      </c>
      <c r="O4" s="1">
        <v>5.2543699999999998</v>
      </c>
      <c r="P4" s="1">
        <v>85.869889999999998</v>
      </c>
      <c r="Q4" s="1">
        <v>14.79561</v>
      </c>
      <c r="R4" s="1">
        <v>2.4842211399999998</v>
      </c>
      <c r="S4" s="1">
        <v>1.9983798100000001</v>
      </c>
      <c r="T4" s="1">
        <v>8840521</v>
      </c>
      <c r="U4" s="1">
        <v>10.062633</v>
      </c>
      <c r="V4" s="1">
        <v>11.06316</v>
      </c>
      <c r="W4" s="1">
        <v>11.05913</v>
      </c>
      <c r="X4" s="1">
        <v>15.994859999999999</v>
      </c>
    </row>
    <row r="5" spans="1:24" x14ac:dyDescent="0.2">
      <c r="A5" t="s">
        <v>146</v>
      </c>
      <c r="B5">
        <v>0.3334917</v>
      </c>
      <c r="C5" t="s">
        <v>145</v>
      </c>
      <c r="F5" s="1">
        <v>2</v>
      </c>
      <c r="G5" s="1" t="s">
        <v>39</v>
      </c>
      <c r="H5" s="1">
        <v>2019</v>
      </c>
      <c r="I5" s="1">
        <v>64609.279999999999</v>
      </c>
      <c r="J5" s="1">
        <v>64512.44</v>
      </c>
      <c r="K5" s="1">
        <v>23506.084999999999</v>
      </c>
      <c r="L5" s="1">
        <v>30.2</v>
      </c>
      <c r="M5" s="1">
        <v>4.5599999999999996</v>
      </c>
      <c r="N5" s="1">
        <v>8.7669999999999995</v>
      </c>
      <c r="O5" s="1">
        <v>5.2367800000000004</v>
      </c>
      <c r="P5" s="1">
        <v>86.323430000000002</v>
      </c>
      <c r="Q5" s="1">
        <v>15.363630000000001</v>
      </c>
      <c r="R5" s="1">
        <v>1.7549762</v>
      </c>
      <c r="S5" s="1">
        <v>1.53089564</v>
      </c>
      <c r="T5" s="1">
        <v>8879920</v>
      </c>
      <c r="U5" s="1">
        <v>10.065015000000001</v>
      </c>
      <c r="V5" s="1">
        <v>11.07611</v>
      </c>
      <c r="W5" s="1">
        <v>11.07461</v>
      </c>
      <c r="X5" s="1">
        <v>15.9993</v>
      </c>
    </row>
    <row r="6" spans="1:24" x14ac:dyDescent="0.2">
      <c r="A6" t="s">
        <v>147</v>
      </c>
      <c r="B6">
        <v>0.35820479999999999</v>
      </c>
      <c r="C6" t="s">
        <v>145</v>
      </c>
      <c r="F6" s="1">
        <v>3</v>
      </c>
      <c r="G6" s="1" t="s">
        <v>39</v>
      </c>
      <c r="H6" s="1">
        <v>2020</v>
      </c>
      <c r="I6" s="1">
        <v>60276.33</v>
      </c>
      <c r="J6" s="1">
        <v>61260.45</v>
      </c>
      <c r="K6" s="1">
        <v>21635.353999999999</v>
      </c>
      <c r="L6" s="1">
        <v>29.8</v>
      </c>
      <c r="M6" s="1">
        <v>5.2009999999999996</v>
      </c>
      <c r="N6" s="1">
        <v>10.324999999999999</v>
      </c>
      <c r="O6" s="1">
        <v>5.5796200000000002</v>
      </c>
      <c r="P6" s="1">
        <v>88.7072</v>
      </c>
      <c r="Q6" s="1">
        <v>15.9696</v>
      </c>
      <c r="R6" s="1">
        <v>-6.3182550900000001</v>
      </c>
      <c r="S6" s="1">
        <v>1.3819106299999999</v>
      </c>
      <c r="T6" s="1">
        <v>8916864</v>
      </c>
      <c r="U6" s="1">
        <v>9.9820840000000004</v>
      </c>
      <c r="V6" s="1">
        <v>11.006690000000001</v>
      </c>
      <c r="W6" s="1">
        <v>11.02289</v>
      </c>
      <c r="X6" s="1">
        <v>16.003450000000001</v>
      </c>
    </row>
    <row r="7" spans="1:24" x14ac:dyDescent="0.2">
      <c r="A7" t="s">
        <v>148</v>
      </c>
      <c r="B7">
        <v>0.63832069999999996</v>
      </c>
      <c r="C7" t="s">
        <v>145</v>
      </c>
      <c r="F7" s="1">
        <v>4</v>
      </c>
      <c r="G7" s="1" t="s">
        <v>39</v>
      </c>
      <c r="H7" s="1">
        <v>2021</v>
      </c>
      <c r="I7" s="1">
        <v>62968.85</v>
      </c>
      <c r="J7" s="1">
        <v>64007.47</v>
      </c>
      <c r="K7" s="1">
        <v>22600.486000000001</v>
      </c>
      <c r="L7" s="1">
        <v>30.7</v>
      </c>
      <c r="M7" s="1">
        <v>6.4589999999999996</v>
      </c>
      <c r="N7" s="1">
        <v>12.023</v>
      </c>
      <c r="O7" s="1">
        <v>5.4807100000000002</v>
      </c>
      <c r="P7" s="1">
        <v>93.940070000000006</v>
      </c>
      <c r="Q7" s="1">
        <v>14.87918</v>
      </c>
      <c r="R7" s="1">
        <v>4.9230917200000004</v>
      </c>
      <c r="S7" s="1">
        <v>2.7666666700000002</v>
      </c>
      <c r="T7" s="1">
        <v>8955797</v>
      </c>
      <c r="U7" s="1">
        <v>10.025727</v>
      </c>
      <c r="V7" s="1">
        <v>11.0504</v>
      </c>
      <c r="W7" s="1">
        <v>11.06676</v>
      </c>
      <c r="X7" s="1">
        <v>16.007809999999999</v>
      </c>
    </row>
    <row r="8" spans="1:24" x14ac:dyDescent="0.2">
      <c r="A8" t="s">
        <v>149</v>
      </c>
      <c r="B8">
        <v>0.5347345</v>
      </c>
      <c r="C8" t="s">
        <v>145</v>
      </c>
      <c r="F8" s="1">
        <v>5</v>
      </c>
      <c r="G8" s="1" t="s">
        <v>39</v>
      </c>
      <c r="H8" s="12">
        <v>2022</v>
      </c>
      <c r="I8" s="12">
        <v>65694.460000000006</v>
      </c>
      <c r="J8" s="1">
        <v>64044.88</v>
      </c>
      <c r="K8" s="1">
        <v>23586.795999999998</v>
      </c>
      <c r="L8" s="1">
        <v>30.9</v>
      </c>
      <c r="M8" s="1">
        <v>4.992</v>
      </c>
      <c r="N8" s="1">
        <v>10.327</v>
      </c>
      <c r="O8" s="1">
        <v>5.2774900000000002</v>
      </c>
      <c r="P8" s="1">
        <v>94.511690000000002</v>
      </c>
      <c r="Q8" s="3" t="s">
        <v>26</v>
      </c>
      <c r="R8" s="1">
        <v>5.3309637900000002</v>
      </c>
      <c r="S8" s="1">
        <v>8.5468699299999997</v>
      </c>
      <c r="T8" s="1">
        <v>9041851</v>
      </c>
      <c r="U8" s="1">
        <v>10.068441999999999</v>
      </c>
      <c r="V8" s="1">
        <v>11.09277</v>
      </c>
      <c r="W8" s="1">
        <v>11.06734</v>
      </c>
      <c r="X8" s="1">
        <v>16.01737</v>
      </c>
    </row>
    <row r="9" spans="1:24" x14ac:dyDescent="0.2">
      <c r="A9" t="s">
        <v>150</v>
      </c>
      <c r="B9">
        <v>0.47850009999999998</v>
      </c>
      <c r="C9" t="s">
        <v>145</v>
      </c>
      <c r="F9" s="1">
        <v>6</v>
      </c>
      <c r="G9" s="1" t="s">
        <v>40</v>
      </c>
      <c r="H9" s="1">
        <v>2018</v>
      </c>
      <c r="I9" s="1">
        <v>59357.69</v>
      </c>
      <c r="J9" s="1">
        <v>60040.29</v>
      </c>
      <c r="K9" s="1">
        <v>22209.966</v>
      </c>
      <c r="L9" s="1">
        <v>27.2</v>
      </c>
      <c r="M9" s="1">
        <v>5.9409999999999998</v>
      </c>
      <c r="N9" s="1">
        <v>15.747999999999999</v>
      </c>
      <c r="O9" s="1">
        <v>6.3888299999999996</v>
      </c>
      <c r="P9" s="1">
        <v>79.123750000000001</v>
      </c>
      <c r="Q9" s="1">
        <v>33.788870000000003</v>
      </c>
      <c r="R9" s="1">
        <v>1.8779684699999999</v>
      </c>
      <c r="S9" s="1">
        <v>2.0531649999999999</v>
      </c>
      <c r="T9" s="1">
        <v>11427054</v>
      </c>
      <c r="U9" s="1">
        <v>10.008296</v>
      </c>
      <c r="V9" s="1">
        <v>10.991339999999999</v>
      </c>
      <c r="W9" s="1">
        <v>11.00277</v>
      </c>
      <c r="X9" s="1">
        <v>16.25149</v>
      </c>
    </row>
    <row r="10" spans="1:24" x14ac:dyDescent="0.2">
      <c r="A10" t="s">
        <v>151</v>
      </c>
      <c r="B10">
        <v>0.54225789999999996</v>
      </c>
      <c r="C10" t="s">
        <v>145</v>
      </c>
      <c r="F10" s="1">
        <v>7</v>
      </c>
      <c r="G10" s="1" t="s">
        <v>40</v>
      </c>
      <c r="H10" s="1">
        <v>2019</v>
      </c>
      <c r="I10" s="1">
        <v>60479.98</v>
      </c>
      <c r="J10" s="1">
        <v>61434.17</v>
      </c>
      <c r="K10" s="1">
        <v>22409.893</v>
      </c>
      <c r="L10" s="1">
        <v>27.2</v>
      </c>
      <c r="M10" s="1">
        <v>5.3639999999999999</v>
      </c>
      <c r="N10" s="1">
        <v>14.236000000000001</v>
      </c>
      <c r="O10" s="1">
        <v>6.3238099999999999</v>
      </c>
      <c r="P10" s="1">
        <v>79.304479999999998</v>
      </c>
      <c r="Q10" s="1">
        <v>35.304009999999998</v>
      </c>
      <c r="R10" s="1">
        <v>2.44289004</v>
      </c>
      <c r="S10" s="1">
        <v>1.4368195699999999</v>
      </c>
      <c r="T10" s="1">
        <v>11488980</v>
      </c>
      <c r="U10" s="1">
        <v>10.017258</v>
      </c>
      <c r="V10" s="1">
        <v>11.010070000000001</v>
      </c>
      <c r="W10" s="1">
        <v>11.02572</v>
      </c>
      <c r="X10" s="1">
        <v>16.256900000000002</v>
      </c>
    </row>
    <row r="11" spans="1:24" x14ac:dyDescent="0.2">
      <c r="A11" t="s">
        <v>152</v>
      </c>
      <c r="B11">
        <v>0.1975056</v>
      </c>
      <c r="C11" t="s">
        <v>145</v>
      </c>
      <c r="F11" s="1">
        <v>8</v>
      </c>
      <c r="G11" s="1" t="s">
        <v>40</v>
      </c>
      <c r="H11" s="1">
        <v>2020</v>
      </c>
      <c r="I11" s="1">
        <v>57333.54</v>
      </c>
      <c r="J11" s="1">
        <v>58454.92</v>
      </c>
      <c r="K11" s="1">
        <v>20708.131000000001</v>
      </c>
      <c r="L11" s="1">
        <v>26</v>
      </c>
      <c r="M11" s="1">
        <v>5.5449999999999999</v>
      </c>
      <c r="N11" s="1">
        <v>15.326000000000001</v>
      </c>
      <c r="O11" s="1">
        <v>6.7546999999999997</v>
      </c>
      <c r="P11" s="1">
        <v>79.499600000000001</v>
      </c>
      <c r="Q11" s="1">
        <v>35.466079999999998</v>
      </c>
      <c r="R11" s="1">
        <v>-4.7929839100000002</v>
      </c>
      <c r="S11" s="1">
        <v>0.74079181000000005</v>
      </c>
      <c r="T11" s="1">
        <v>11538604</v>
      </c>
      <c r="U11" s="1">
        <v>9.9382819999999992</v>
      </c>
      <c r="V11" s="1">
        <v>10.95664</v>
      </c>
      <c r="W11" s="1">
        <v>10.97601</v>
      </c>
      <c r="X11" s="1">
        <v>16.261209999999998</v>
      </c>
    </row>
    <row r="12" spans="1:24" x14ac:dyDescent="0.2">
      <c r="A12" t="s">
        <v>153</v>
      </c>
      <c r="B12">
        <v>0.27718700000000002</v>
      </c>
      <c r="C12" t="s">
        <v>145</v>
      </c>
      <c r="F12" s="1">
        <v>9</v>
      </c>
      <c r="G12" s="1" t="s">
        <v>40</v>
      </c>
      <c r="H12" s="1">
        <v>2021</v>
      </c>
      <c r="I12" s="1">
        <v>60669.21</v>
      </c>
      <c r="J12" s="1">
        <v>61451.4</v>
      </c>
      <c r="K12" s="1">
        <v>21773.539000000001</v>
      </c>
      <c r="L12" s="1">
        <v>26.6</v>
      </c>
      <c r="M12" s="1">
        <v>6.2480000000000002</v>
      </c>
      <c r="N12" s="1">
        <v>18.206</v>
      </c>
      <c r="O12" s="1">
        <v>6.3808199999999999</v>
      </c>
      <c r="P12" s="1">
        <v>82.688199999999995</v>
      </c>
      <c r="Q12" s="1">
        <v>37.58135</v>
      </c>
      <c r="R12" s="1">
        <v>6.2544568600000003</v>
      </c>
      <c r="S12" s="1">
        <v>2.44024851</v>
      </c>
      <c r="T12" s="1">
        <v>11586195</v>
      </c>
      <c r="U12" s="1">
        <v>9.9884509999999995</v>
      </c>
      <c r="V12" s="1">
        <v>11.01319</v>
      </c>
      <c r="W12" s="1">
        <v>11.026</v>
      </c>
      <c r="X12" s="1">
        <v>16.265319999999999</v>
      </c>
    </row>
    <row r="13" spans="1:24" x14ac:dyDescent="0.2">
      <c r="A13" t="s">
        <v>154</v>
      </c>
      <c r="B13">
        <v>0.58042769999999999</v>
      </c>
      <c r="C13" t="s">
        <v>145</v>
      </c>
      <c r="F13" s="1">
        <v>10</v>
      </c>
      <c r="G13" s="1" t="s">
        <v>40</v>
      </c>
      <c r="H13" s="1">
        <v>2022</v>
      </c>
      <c r="I13" s="1">
        <v>62602.93</v>
      </c>
      <c r="J13" s="1">
        <v>61037.61</v>
      </c>
      <c r="K13" s="1">
        <v>22392.884999999998</v>
      </c>
      <c r="L13" s="1">
        <v>26.4</v>
      </c>
      <c r="M13" s="1">
        <v>5.57</v>
      </c>
      <c r="N13" s="1">
        <v>16.41</v>
      </c>
      <c r="O13" s="1">
        <v>6.2761100000000001</v>
      </c>
      <c r="P13" s="1">
        <v>83.573650000000001</v>
      </c>
      <c r="Q13" s="1">
        <v>36.307490000000001</v>
      </c>
      <c r="R13" s="1">
        <v>4.0246085300000001</v>
      </c>
      <c r="S13" s="1">
        <v>9.5975117300000008</v>
      </c>
      <c r="T13" s="1">
        <v>11680210</v>
      </c>
      <c r="U13" s="1">
        <v>10.016499</v>
      </c>
      <c r="V13" s="1">
        <v>11.04457</v>
      </c>
      <c r="W13" s="1">
        <v>11.01925</v>
      </c>
      <c r="X13" s="1">
        <v>16.273409999999998</v>
      </c>
    </row>
    <row r="14" spans="1:24" x14ac:dyDescent="0.2">
      <c r="A14" t="s">
        <v>155</v>
      </c>
      <c r="B14">
        <v>0.51669989999999999</v>
      </c>
      <c r="C14" t="s">
        <v>145</v>
      </c>
      <c r="F14" s="1">
        <v>11</v>
      </c>
      <c r="G14" s="1" t="s">
        <v>41</v>
      </c>
      <c r="H14" s="1">
        <v>2018</v>
      </c>
      <c r="I14" s="1">
        <v>27690.89</v>
      </c>
      <c r="J14" s="1">
        <v>25500.49</v>
      </c>
      <c r="K14" s="1">
        <v>5267.799</v>
      </c>
      <c r="L14" s="1">
        <v>41.3</v>
      </c>
      <c r="M14" s="1">
        <v>5.2110000000000003</v>
      </c>
      <c r="N14" s="1">
        <v>12.676</v>
      </c>
      <c r="O14" s="1">
        <v>4.0520100000000001</v>
      </c>
      <c r="P14" s="1">
        <v>83.134879999999995</v>
      </c>
      <c r="Q14" s="1">
        <v>25.648569999999999</v>
      </c>
      <c r="R14" s="1">
        <v>2.33015054</v>
      </c>
      <c r="S14" s="1">
        <v>2.8145447400000001</v>
      </c>
      <c r="T14" s="1">
        <v>6710798</v>
      </c>
      <c r="U14" s="1">
        <v>8.5693680000000008</v>
      </c>
      <c r="V14" s="1">
        <v>10.228859999999999</v>
      </c>
      <c r="W14" s="1">
        <v>10.14645</v>
      </c>
      <c r="X14" s="1">
        <v>15.71923</v>
      </c>
    </row>
    <row r="15" spans="1:24" x14ac:dyDescent="0.2">
      <c r="A15" t="s">
        <v>156</v>
      </c>
      <c r="B15">
        <v>0.76215379999999999</v>
      </c>
      <c r="C15" t="s">
        <v>145</v>
      </c>
      <c r="F15" s="1">
        <v>12</v>
      </c>
      <c r="G15" s="1" t="s">
        <v>41</v>
      </c>
      <c r="H15" s="1">
        <v>2019</v>
      </c>
      <c r="I15" s="1">
        <v>29149.919999999998</v>
      </c>
      <c r="J15" s="1">
        <v>28268.02</v>
      </c>
      <c r="K15" s="1">
        <v>5328.9210000000003</v>
      </c>
      <c r="L15" s="1">
        <v>40.299999999999997</v>
      </c>
      <c r="M15" s="1">
        <v>4.1479999999999997</v>
      </c>
      <c r="N15" s="1">
        <v>8.7769999999999992</v>
      </c>
      <c r="O15" s="1">
        <v>4.2142999999999997</v>
      </c>
      <c r="P15" s="1">
        <v>84.750309999999999</v>
      </c>
      <c r="Q15" s="1">
        <v>24.75817</v>
      </c>
      <c r="R15" s="1">
        <v>3.7933196499999999</v>
      </c>
      <c r="S15" s="1">
        <v>3.1037294499999999</v>
      </c>
      <c r="T15" s="1">
        <v>6616726</v>
      </c>
      <c r="U15" s="1">
        <v>8.5809040000000003</v>
      </c>
      <c r="V15" s="1">
        <v>10.28021</v>
      </c>
      <c r="W15" s="1">
        <v>10.24949</v>
      </c>
      <c r="X15" s="1">
        <v>15.705109999999999</v>
      </c>
    </row>
    <row r="16" spans="1:24" x14ac:dyDescent="0.2">
      <c r="A16" t="s">
        <v>157</v>
      </c>
      <c r="B16">
        <v>0.73811599999999999</v>
      </c>
      <c r="C16" t="s">
        <v>145</v>
      </c>
      <c r="F16" s="1">
        <v>13</v>
      </c>
      <c r="G16" s="1" t="s">
        <v>41</v>
      </c>
      <c r="H16" s="1">
        <v>2020</v>
      </c>
      <c r="I16" s="1">
        <v>28521.21</v>
      </c>
      <c r="J16" s="1">
        <v>27023.8</v>
      </c>
      <c r="K16" s="1">
        <v>5847.2749999999996</v>
      </c>
      <c r="L16" s="1">
        <v>40.5</v>
      </c>
      <c r="M16" s="1">
        <v>5.0369999999999999</v>
      </c>
      <c r="N16" s="1">
        <v>14.143000000000001</v>
      </c>
      <c r="O16" s="1">
        <v>4.48299</v>
      </c>
      <c r="P16" s="1">
        <v>85.533109999999994</v>
      </c>
      <c r="Q16" s="1">
        <v>26.053470000000001</v>
      </c>
      <c r="R16" s="1">
        <v>-3.13323543</v>
      </c>
      <c r="S16" s="1">
        <v>1.67244097</v>
      </c>
      <c r="T16" s="1">
        <v>6550696</v>
      </c>
      <c r="U16" s="1">
        <v>8.6737310000000001</v>
      </c>
      <c r="V16" s="1">
        <v>10.2584</v>
      </c>
      <c r="W16" s="1">
        <v>10.204470000000001</v>
      </c>
      <c r="X16" s="1">
        <v>15.695080000000001</v>
      </c>
    </row>
    <row r="17" spans="1:24" x14ac:dyDescent="0.2">
      <c r="A17" t="s">
        <v>158</v>
      </c>
      <c r="B17">
        <v>0.5799067</v>
      </c>
      <c r="C17" t="s">
        <v>145</v>
      </c>
      <c r="F17" s="1">
        <v>14</v>
      </c>
      <c r="G17" s="1" t="s">
        <v>41</v>
      </c>
      <c r="H17" s="1">
        <v>2021</v>
      </c>
      <c r="I17" s="1">
        <v>30958.98</v>
      </c>
      <c r="J17" s="1">
        <v>29722.71</v>
      </c>
      <c r="K17" s="1">
        <v>6122.527</v>
      </c>
      <c r="L17" s="1">
        <v>39</v>
      </c>
      <c r="M17" s="1">
        <v>5.1660000000000004</v>
      </c>
      <c r="N17" s="1">
        <v>15.701000000000001</v>
      </c>
      <c r="O17" s="1">
        <v>4.7092400000000003</v>
      </c>
      <c r="P17" s="1">
        <v>85.301749999999998</v>
      </c>
      <c r="Q17" s="1">
        <v>30.022960000000001</v>
      </c>
      <c r="R17" s="1">
        <v>7.8281731099999998</v>
      </c>
      <c r="S17" s="1">
        <v>3.2977443499999999</v>
      </c>
      <c r="T17" s="1">
        <v>6507301</v>
      </c>
      <c r="U17" s="1">
        <v>8.7197300000000002</v>
      </c>
      <c r="V17" s="1">
        <v>10.34042</v>
      </c>
      <c r="W17" s="1">
        <v>10.299670000000001</v>
      </c>
      <c r="X17" s="1">
        <v>15.68844</v>
      </c>
    </row>
    <row r="18" spans="1:24" x14ac:dyDescent="0.2">
      <c r="A18" t="s">
        <v>159</v>
      </c>
      <c r="B18">
        <v>0.49124390000000001</v>
      </c>
      <c r="C18" t="s">
        <v>145</v>
      </c>
      <c r="F18" s="1">
        <v>15</v>
      </c>
      <c r="G18" s="1" t="s">
        <v>41</v>
      </c>
      <c r="H18" s="1">
        <v>2022</v>
      </c>
      <c r="I18" s="1">
        <v>32433.66</v>
      </c>
      <c r="J18" s="1">
        <v>29240.05</v>
      </c>
      <c r="K18" s="1">
        <v>6228.2550000000001</v>
      </c>
      <c r="L18" s="1">
        <v>38.200000000000003</v>
      </c>
      <c r="M18" s="1">
        <v>4.1479999999999997</v>
      </c>
      <c r="N18" s="1">
        <v>10.582000000000001</v>
      </c>
      <c r="O18" s="1">
        <v>4.5010899999999996</v>
      </c>
      <c r="P18" s="1">
        <v>84.129360000000005</v>
      </c>
      <c r="Q18" s="1">
        <v>26.006959999999999</v>
      </c>
      <c r="R18" s="1">
        <v>4.0838639800000003</v>
      </c>
      <c r="S18" s="1">
        <v>15.32525893</v>
      </c>
      <c r="T18" s="1">
        <v>6465097</v>
      </c>
      <c r="U18" s="1">
        <v>8.7368520000000007</v>
      </c>
      <c r="V18" s="1">
        <v>10.386950000000001</v>
      </c>
      <c r="W18" s="1">
        <v>10.283289999999999</v>
      </c>
      <c r="X18" s="1">
        <v>15.681929999999999</v>
      </c>
    </row>
    <row r="19" spans="1:24" x14ac:dyDescent="0.2">
      <c r="A19" t="s">
        <v>160</v>
      </c>
      <c r="B19">
        <v>0.38979160000000002</v>
      </c>
      <c r="C19" t="s">
        <v>145</v>
      </c>
      <c r="F19" s="1">
        <v>16</v>
      </c>
      <c r="G19" s="1" t="s">
        <v>245</v>
      </c>
      <c r="H19" s="1">
        <v>2018</v>
      </c>
      <c r="I19" s="1">
        <v>81371.89</v>
      </c>
      <c r="J19" s="1">
        <v>79804.740000000005</v>
      </c>
      <c r="K19" s="1">
        <v>44565.023999999998</v>
      </c>
      <c r="L19" s="1">
        <v>33.1</v>
      </c>
      <c r="M19" s="1">
        <v>4.7130000000000001</v>
      </c>
      <c r="N19" s="1">
        <v>7.9370000000000003</v>
      </c>
      <c r="O19" s="1">
        <v>4.9300800000000002</v>
      </c>
      <c r="P19" s="1">
        <v>64.353390000000005</v>
      </c>
      <c r="Q19" s="1">
        <v>38.984679999999997</v>
      </c>
      <c r="R19" s="1">
        <v>3.3274325600000001</v>
      </c>
      <c r="S19" s="1">
        <v>0.93633546000000001</v>
      </c>
      <c r="T19" s="1">
        <v>8514329</v>
      </c>
      <c r="U19" s="1">
        <v>10.704705000000001</v>
      </c>
      <c r="V19" s="1">
        <v>11.306789999999999</v>
      </c>
      <c r="W19" s="1">
        <v>11.28734</v>
      </c>
      <c r="X19" s="1">
        <v>15.95726</v>
      </c>
    </row>
    <row r="20" spans="1:24" x14ac:dyDescent="0.2">
      <c r="A20" t="s">
        <v>161</v>
      </c>
      <c r="B20">
        <v>0.22598950000000001</v>
      </c>
      <c r="C20" t="s">
        <v>145</v>
      </c>
      <c r="F20" s="1">
        <v>17</v>
      </c>
      <c r="G20" s="1" t="s">
        <v>245</v>
      </c>
      <c r="H20" s="1">
        <v>2019</v>
      </c>
      <c r="I20" s="1">
        <v>81694.63</v>
      </c>
      <c r="J20" s="1">
        <v>80262.12</v>
      </c>
      <c r="K20" s="1">
        <v>44875.258000000002</v>
      </c>
      <c r="L20" s="1">
        <v>34</v>
      </c>
      <c r="M20" s="1">
        <v>4.3940000000000001</v>
      </c>
      <c r="N20" s="1">
        <v>7.9930000000000003</v>
      </c>
      <c r="O20" s="1">
        <v>5.0143899999999997</v>
      </c>
      <c r="P20" s="1">
        <v>66.309340000000006</v>
      </c>
      <c r="Q20" s="1">
        <v>39.555599999999998</v>
      </c>
      <c r="R20" s="1">
        <v>1.11532187</v>
      </c>
      <c r="S20" s="1">
        <v>0.36288618</v>
      </c>
      <c r="T20" s="1">
        <v>8575280</v>
      </c>
      <c r="U20" s="1">
        <v>10.711641999999999</v>
      </c>
      <c r="V20" s="1">
        <v>11.310739999999999</v>
      </c>
      <c r="W20" s="1">
        <v>11.293049999999999</v>
      </c>
      <c r="X20" s="1">
        <v>15.96439</v>
      </c>
    </row>
    <row r="21" spans="1:24" x14ac:dyDescent="0.2">
      <c r="A21" t="s">
        <v>162</v>
      </c>
      <c r="B21">
        <v>0.6124617</v>
      </c>
      <c r="C21" t="s">
        <v>145</v>
      </c>
      <c r="F21" s="1">
        <v>18</v>
      </c>
      <c r="G21" s="1" t="s">
        <v>245</v>
      </c>
      <c r="H21" s="1">
        <v>2020</v>
      </c>
      <c r="I21" s="1">
        <v>79270.87</v>
      </c>
      <c r="J21" s="1">
        <v>76449.789999999994</v>
      </c>
      <c r="K21" s="1">
        <v>42873.231</v>
      </c>
      <c r="L21" s="1">
        <v>33.700000000000003</v>
      </c>
      <c r="M21" s="1">
        <v>4.8170000000000002</v>
      </c>
      <c r="N21" s="1">
        <v>8.6029999999999998</v>
      </c>
      <c r="O21" s="1">
        <v>5.2767600000000003</v>
      </c>
      <c r="P21" s="1">
        <v>68.067639999999997</v>
      </c>
      <c r="Q21" s="1">
        <v>40.410469999999997</v>
      </c>
      <c r="R21" s="1">
        <v>-2.2552579399999999</v>
      </c>
      <c r="S21" s="1">
        <v>-0.72587493000000003</v>
      </c>
      <c r="T21" s="1">
        <v>8638167</v>
      </c>
      <c r="U21" s="1">
        <v>10.666003</v>
      </c>
      <c r="V21" s="1">
        <v>11.28063</v>
      </c>
      <c r="W21" s="1">
        <v>11.244389999999999</v>
      </c>
      <c r="X21" s="1">
        <v>15.9717</v>
      </c>
    </row>
    <row r="22" spans="1:24" x14ac:dyDescent="0.2">
      <c r="A22" t="s">
        <v>163</v>
      </c>
      <c r="B22">
        <v>0.91538260000000005</v>
      </c>
      <c r="C22" t="s">
        <v>145</v>
      </c>
      <c r="F22" s="1">
        <v>19</v>
      </c>
      <c r="G22" s="1" t="s">
        <v>245</v>
      </c>
      <c r="H22" s="1">
        <v>2021</v>
      </c>
      <c r="I22" s="1">
        <v>83524.98</v>
      </c>
      <c r="J22" s="1">
        <v>80842.210000000006</v>
      </c>
      <c r="K22" s="1">
        <v>43471.49</v>
      </c>
      <c r="L22" s="1">
        <v>33.799999999999997</v>
      </c>
      <c r="M22" s="1">
        <v>5.0129999999999999</v>
      </c>
      <c r="N22" s="1">
        <v>8.3149999999999995</v>
      </c>
      <c r="O22" s="1">
        <v>5.0253500000000004</v>
      </c>
      <c r="P22" s="1">
        <v>71.893929999999997</v>
      </c>
      <c r="Q22" s="1">
        <v>39.985939999999999</v>
      </c>
      <c r="R22" s="1">
        <v>6.1762283599999996</v>
      </c>
      <c r="S22" s="1">
        <v>0.58181417000000002</v>
      </c>
      <c r="T22" s="1">
        <v>8704546</v>
      </c>
      <c r="U22" s="1">
        <v>10.679861000000001</v>
      </c>
      <c r="V22" s="1">
        <v>11.3329</v>
      </c>
      <c r="W22" s="1">
        <v>11.30025</v>
      </c>
      <c r="X22" s="1">
        <v>15.97936</v>
      </c>
    </row>
    <row r="23" spans="1:24" x14ac:dyDescent="0.2">
      <c r="A23" t="s">
        <v>164</v>
      </c>
      <c r="B23">
        <v>0.49607000000000001</v>
      </c>
      <c r="C23" t="s">
        <v>145</v>
      </c>
      <c r="F23" s="1">
        <v>20</v>
      </c>
      <c r="G23" s="1" t="s">
        <v>245</v>
      </c>
      <c r="H23" s="1">
        <v>2022</v>
      </c>
      <c r="I23" s="1">
        <v>85762.28</v>
      </c>
      <c r="J23" s="1">
        <v>84338.64</v>
      </c>
      <c r="K23" s="1">
        <v>45211.254000000001</v>
      </c>
      <c r="L23" s="1">
        <v>33.799999999999997</v>
      </c>
      <c r="M23" s="1">
        <v>4.1219999999999999</v>
      </c>
      <c r="N23" s="1">
        <v>6.835</v>
      </c>
      <c r="O23" s="1">
        <v>4.8642700000000003</v>
      </c>
      <c r="P23" s="1">
        <v>74.152680000000004</v>
      </c>
      <c r="Q23" s="1">
        <v>39.954729999999998</v>
      </c>
      <c r="R23" s="1">
        <v>3.5343028699999999</v>
      </c>
      <c r="S23" s="1">
        <v>2.8350279899999999</v>
      </c>
      <c r="T23" s="1">
        <v>8777088</v>
      </c>
      <c r="U23" s="1">
        <v>10.719101</v>
      </c>
      <c r="V23" s="1">
        <v>11.35933</v>
      </c>
      <c r="W23" s="1">
        <v>11.342599999999999</v>
      </c>
      <c r="X23" s="1">
        <v>15.98766</v>
      </c>
    </row>
    <row r="24" spans="1:24" x14ac:dyDescent="0.2">
      <c r="A24" t="s">
        <v>165</v>
      </c>
      <c r="B24">
        <v>0.34748509999999999</v>
      </c>
      <c r="C24" t="s">
        <v>145</v>
      </c>
      <c r="F24" s="1">
        <v>21</v>
      </c>
      <c r="G24" s="1" t="s">
        <v>42</v>
      </c>
      <c r="H24" s="1">
        <v>2018</v>
      </c>
      <c r="I24" s="1">
        <v>43510.03</v>
      </c>
      <c r="J24" s="1">
        <v>42117.02</v>
      </c>
      <c r="K24" s="1">
        <v>17705.057000000001</v>
      </c>
      <c r="L24" s="1">
        <v>32.700000000000003</v>
      </c>
      <c r="M24" s="1">
        <v>8.5039999999999996</v>
      </c>
      <c r="N24" s="1">
        <v>20.654</v>
      </c>
      <c r="O24" s="3" t="s">
        <v>26</v>
      </c>
      <c r="P24" s="1">
        <v>86.589929999999995</v>
      </c>
      <c r="Q24" s="1">
        <v>28.561360000000001</v>
      </c>
      <c r="R24" s="1">
        <v>6.2716636000000001</v>
      </c>
      <c r="S24" s="1">
        <v>1.4354912</v>
      </c>
      <c r="T24" s="1">
        <v>1270737</v>
      </c>
      <c r="U24" s="1">
        <v>9.781606</v>
      </c>
      <c r="V24" s="1">
        <v>10.68075</v>
      </c>
      <c r="W24" s="1">
        <v>10.648210000000001</v>
      </c>
      <c r="X24" s="1">
        <v>14.055110000000001</v>
      </c>
    </row>
    <row r="25" spans="1:24" x14ac:dyDescent="0.2">
      <c r="A25" t="s">
        <v>166</v>
      </c>
      <c r="B25">
        <v>0.6343259</v>
      </c>
      <c r="C25" t="s">
        <v>145</v>
      </c>
      <c r="F25" s="1">
        <v>22</v>
      </c>
      <c r="G25" s="1" t="s">
        <v>42</v>
      </c>
      <c r="H25" s="1">
        <v>2019</v>
      </c>
      <c r="I25" s="1">
        <v>45454.18</v>
      </c>
      <c r="J25" s="1">
        <v>43251.839999999997</v>
      </c>
      <c r="K25" s="1">
        <v>18256.673999999999</v>
      </c>
      <c r="L25" s="1">
        <v>31.2</v>
      </c>
      <c r="M25" s="1">
        <v>7.1550000000000002</v>
      </c>
      <c r="N25" s="1">
        <v>16.856000000000002</v>
      </c>
      <c r="O25" s="1">
        <v>5.1629300000000002</v>
      </c>
      <c r="P25" s="1">
        <v>93.926069999999996</v>
      </c>
      <c r="Q25" s="1">
        <v>28.871410000000001</v>
      </c>
      <c r="R25" s="1">
        <v>5.87559583</v>
      </c>
      <c r="S25" s="1">
        <v>0.25037100000000001</v>
      </c>
      <c r="T25" s="1">
        <v>1286671</v>
      </c>
      <c r="U25" s="1">
        <v>9.8122860000000003</v>
      </c>
      <c r="V25" s="1">
        <v>10.724460000000001</v>
      </c>
      <c r="W25" s="1">
        <v>10.67479</v>
      </c>
      <c r="X25" s="1">
        <v>14.06757</v>
      </c>
    </row>
    <row r="26" spans="1:24" x14ac:dyDescent="0.2">
      <c r="A26" t="s">
        <v>167</v>
      </c>
      <c r="B26">
        <v>0.1449637</v>
      </c>
      <c r="C26" t="s">
        <v>145</v>
      </c>
      <c r="F26" s="1">
        <v>23</v>
      </c>
      <c r="G26" s="1" t="s">
        <v>42</v>
      </c>
      <c r="H26" s="1">
        <v>2020</v>
      </c>
      <c r="I26" s="1">
        <v>43402.36</v>
      </c>
      <c r="J26" s="1">
        <v>40232.9</v>
      </c>
      <c r="K26" s="1">
        <v>16912.072</v>
      </c>
      <c r="L26" s="1">
        <v>31.7</v>
      </c>
      <c r="M26" s="1">
        <v>7.7549999999999999</v>
      </c>
      <c r="N26" s="1">
        <v>18.491</v>
      </c>
      <c r="O26" s="1">
        <v>5.5646199999999997</v>
      </c>
      <c r="P26" s="1">
        <v>102.39076</v>
      </c>
      <c r="Q26" s="1">
        <v>29.795259999999999</v>
      </c>
      <c r="R26" s="1">
        <v>-3.2206301900000001</v>
      </c>
      <c r="S26" s="1">
        <v>-0.63842279999999996</v>
      </c>
      <c r="T26" s="1">
        <v>1302247</v>
      </c>
      <c r="U26" s="1">
        <v>9.7357829999999996</v>
      </c>
      <c r="V26" s="1">
        <v>10.678269999999999</v>
      </c>
      <c r="W26" s="1">
        <v>10.60244</v>
      </c>
      <c r="X26" s="1">
        <v>14.079599999999999</v>
      </c>
    </row>
    <row r="27" spans="1:24" x14ac:dyDescent="0.2">
      <c r="A27" t="s">
        <v>168</v>
      </c>
      <c r="B27">
        <v>0.42006599999999999</v>
      </c>
      <c r="C27" t="s">
        <v>145</v>
      </c>
      <c r="F27" s="1">
        <v>24</v>
      </c>
      <c r="G27" s="1" t="s">
        <v>42</v>
      </c>
      <c r="H27" s="1">
        <v>2021</v>
      </c>
      <c r="I27" s="1">
        <v>47632.57</v>
      </c>
      <c r="J27" s="1">
        <v>43413.63</v>
      </c>
      <c r="K27" s="1">
        <v>17445.851999999999</v>
      </c>
      <c r="L27" s="1">
        <v>31.3</v>
      </c>
      <c r="M27" s="1">
        <v>7.5129999999999999</v>
      </c>
      <c r="N27" s="1">
        <v>17.172999999999998</v>
      </c>
      <c r="O27" s="1">
        <v>5.0824800000000003</v>
      </c>
      <c r="P27" s="1">
        <v>106.36293000000001</v>
      </c>
      <c r="Q27" s="1">
        <v>31.784880000000001</v>
      </c>
      <c r="R27" s="1">
        <v>11.397559080000001</v>
      </c>
      <c r="S27" s="1">
        <v>2.44608867</v>
      </c>
      <c r="T27" s="1">
        <v>1317309</v>
      </c>
      <c r="U27" s="1">
        <v>9.7668569999999999</v>
      </c>
      <c r="V27" s="1">
        <v>10.771269999999999</v>
      </c>
      <c r="W27" s="1">
        <v>10.67853</v>
      </c>
      <c r="X27" s="1">
        <v>14.091100000000001</v>
      </c>
    </row>
    <row r="28" spans="1:24" x14ac:dyDescent="0.2">
      <c r="A28" t="s">
        <v>169</v>
      </c>
      <c r="B28">
        <v>0.4714351</v>
      </c>
      <c r="C28" t="s">
        <v>145</v>
      </c>
      <c r="F28" s="1">
        <v>25</v>
      </c>
      <c r="G28" s="1" t="s">
        <v>42</v>
      </c>
      <c r="H28" s="1">
        <v>2022</v>
      </c>
      <c r="I28" s="1">
        <v>50840.91</v>
      </c>
      <c r="J28" s="1">
        <v>45399.39</v>
      </c>
      <c r="K28" s="1">
        <v>18650.391</v>
      </c>
      <c r="L28" s="1">
        <v>31.5</v>
      </c>
      <c r="M28" s="1">
        <v>6.806</v>
      </c>
      <c r="N28" s="1">
        <v>18.707000000000001</v>
      </c>
      <c r="O28" s="1">
        <v>4.7421100000000003</v>
      </c>
      <c r="P28" s="1">
        <v>105.38498</v>
      </c>
      <c r="Q28" s="1">
        <v>33.164639999999999</v>
      </c>
      <c r="R28" s="1">
        <v>8.7385468500000005</v>
      </c>
      <c r="S28" s="1">
        <v>8.3954829800000006</v>
      </c>
      <c r="T28" s="1">
        <v>1331370</v>
      </c>
      <c r="U28" s="1">
        <v>9.8336220000000001</v>
      </c>
      <c r="V28" s="1">
        <v>10.836460000000001</v>
      </c>
      <c r="W28" s="1">
        <v>10.72325</v>
      </c>
      <c r="X28" s="1">
        <v>14.10172</v>
      </c>
    </row>
    <row r="29" spans="1:24" x14ac:dyDescent="0.2">
      <c r="A29" t="s">
        <v>170</v>
      </c>
      <c r="B29">
        <v>0.54908570000000001</v>
      </c>
      <c r="C29" t="s">
        <v>145</v>
      </c>
      <c r="F29" s="1">
        <v>26</v>
      </c>
      <c r="G29" s="1" t="s">
        <v>43</v>
      </c>
      <c r="H29" s="1">
        <v>2018</v>
      </c>
      <c r="I29" s="1">
        <v>46301.08</v>
      </c>
      <c r="J29" s="1">
        <v>43192.67</v>
      </c>
      <c r="K29" s="1">
        <v>9590.0159999999996</v>
      </c>
      <c r="L29" s="1">
        <v>25</v>
      </c>
      <c r="M29" s="1">
        <v>2.246</v>
      </c>
      <c r="N29" s="1">
        <v>6.7140000000000004</v>
      </c>
      <c r="O29" s="1">
        <v>4.2154100000000003</v>
      </c>
      <c r="P29" s="1">
        <v>66.790220000000005</v>
      </c>
      <c r="Q29" s="1">
        <v>21.001919999999998</v>
      </c>
      <c r="R29" s="1">
        <v>2.8303058800000001</v>
      </c>
      <c r="S29" s="1">
        <v>2.1494949499999998</v>
      </c>
      <c r="T29" s="1">
        <v>10629928</v>
      </c>
      <c r="U29" s="1">
        <v>9.1684780000000003</v>
      </c>
      <c r="V29" s="1">
        <v>10.74292</v>
      </c>
      <c r="W29" s="1">
        <v>10.67343</v>
      </c>
      <c r="X29" s="1">
        <v>16.179179999999999</v>
      </c>
    </row>
    <row r="30" spans="1:24" x14ac:dyDescent="0.2">
      <c r="A30" t="s">
        <v>171</v>
      </c>
      <c r="B30">
        <v>0.33311869999999999</v>
      </c>
      <c r="C30" t="s">
        <v>145</v>
      </c>
      <c r="F30" s="1">
        <v>27</v>
      </c>
      <c r="G30" s="1" t="s">
        <v>43</v>
      </c>
      <c r="H30" s="1">
        <v>2019</v>
      </c>
      <c r="I30" s="1">
        <v>47763.62</v>
      </c>
      <c r="J30" s="1">
        <v>44401.36</v>
      </c>
      <c r="K30" s="1">
        <v>9845.7909999999993</v>
      </c>
      <c r="L30" s="1">
        <v>25.3</v>
      </c>
      <c r="M30" s="1">
        <v>2.0150000000000001</v>
      </c>
      <c r="N30" s="1">
        <v>5.6150000000000002</v>
      </c>
      <c r="O30" s="1">
        <v>4.4673699999999998</v>
      </c>
      <c r="P30" s="1">
        <v>66.880219999999994</v>
      </c>
      <c r="Q30" s="1">
        <v>20.910900000000002</v>
      </c>
      <c r="R30" s="1">
        <v>3.5657765800000001</v>
      </c>
      <c r="S30" s="1">
        <v>2.8478759600000001</v>
      </c>
      <c r="T30" s="1">
        <v>10671870</v>
      </c>
      <c r="U30" s="1">
        <v>9.1947989999999997</v>
      </c>
      <c r="V30" s="1">
        <v>10.77402</v>
      </c>
      <c r="W30" s="1">
        <v>10.701029999999999</v>
      </c>
      <c r="X30" s="1">
        <v>16.183119999999999</v>
      </c>
    </row>
    <row r="31" spans="1:24" x14ac:dyDescent="0.2">
      <c r="A31" t="s">
        <v>172</v>
      </c>
      <c r="B31">
        <v>0.93431629999999999</v>
      </c>
      <c r="C31" t="s">
        <v>145</v>
      </c>
      <c r="F31" s="1">
        <v>28</v>
      </c>
      <c r="G31" s="1" t="s">
        <v>43</v>
      </c>
      <c r="H31" s="1">
        <v>2020</v>
      </c>
      <c r="I31" s="1">
        <v>45119.94</v>
      </c>
      <c r="J31" s="1">
        <v>42810.54</v>
      </c>
      <c r="K31" s="1">
        <v>9190.2530000000006</v>
      </c>
      <c r="L31" s="1">
        <v>26.2</v>
      </c>
      <c r="M31" s="1">
        <v>2.5499999999999998</v>
      </c>
      <c r="N31" s="1">
        <v>7.9359999999999999</v>
      </c>
      <c r="O31" s="1">
        <v>4.6250299999999998</v>
      </c>
      <c r="P31" s="1">
        <v>67.184370000000001</v>
      </c>
      <c r="Q31" s="1">
        <v>21.385169999999999</v>
      </c>
      <c r="R31" s="1">
        <v>-5.3048795499999999</v>
      </c>
      <c r="S31" s="1">
        <v>3.16129528</v>
      </c>
      <c r="T31" s="1">
        <v>10697858</v>
      </c>
      <c r="U31" s="1">
        <v>9.1258990000000004</v>
      </c>
      <c r="V31" s="1">
        <v>10.717079999999999</v>
      </c>
      <c r="W31" s="1">
        <v>10.664540000000001</v>
      </c>
      <c r="X31" s="1">
        <v>16.185549999999999</v>
      </c>
    </row>
    <row r="32" spans="1:24" x14ac:dyDescent="0.2">
      <c r="A32" t="s">
        <v>173</v>
      </c>
      <c r="B32">
        <v>0.34943340000000001</v>
      </c>
      <c r="C32" t="s">
        <v>145</v>
      </c>
      <c r="F32" s="1">
        <v>29</v>
      </c>
      <c r="G32" s="1" t="s">
        <v>43</v>
      </c>
      <c r="H32" s="1">
        <v>2021</v>
      </c>
      <c r="I32" s="1">
        <v>47796.03</v>
      </c>
      <c r="J32" s="1">
        <v>46397.18</v>
      </c>
      <c r="K32" s="1">
        <v>9749.58</v>
      </c>
      <c r="L32" s="1">
        <v>26.2</v>
      </c>
      <c r="M32" s="1">
        <v>2.8029999999999999</v>
      </c>
      <c r="N32" s="1">
        <v>8.1340000000000003</v>
      </c>
      <c r="O32" s="1">
        <v>4.6516400000000004</v>
      </c>
      <c r="P32" s="1">
        <v>69.836929999999995</v>
      </c>
      <c r="Q32" s="1">
        <v>22.2698</v>
      </c>
      <c r="R32" s="1">
        <v>4.0290183199999996</v>
      </c>
      <c r="S32" s="1">
        <v>3.83984492</v>
      </c>
      <c r="T32" s="1">
        <v>10505772</v>
      </c>
      <c r="U32" s="1">
        <v>9.1849790000000002</v>
      </c>
      <c r="V32" s="1">
        <v>10.774699999999999</v>
      </c>
      <c r="W32" s="1">
        <v>10.74499</v>
      </c>
      <c r="X32" s="1">
        <v>16.167439999999999</v>
      </c>
    </row>
    <row r="33" spans="1:24" x14ac:dyDescent="0.2">
      <c r="A33" t="s">
        <v>174</v>
      </c>
      <c r="B33">
        <v>0.47483059999999999</v>
      </c>
      <c r="C33" t="s">
        <v>145</v>
      </c>
      <c r="F33" s="1">
        <v>30</v>
      </c>
      <c r="G33" s="1" t="s">
        <v>43</v>
      </c>
      <c r="H33" s="1">
        <v>2022</v>
      </c>
      <c r="I33" s="1">
        <v>48390.66</v>
      </c>
      <c r="J33" s="1">
        <v>45261.41</v>
      </c>
      <c r="K33" s="1">
        <v>9648.5540000000001</v>
      </c>
      <c r="L33" s="1">
        <v>25.9</v>
      </c>
      <c r="M33" s="1">
        <v>2.2240000000000002</v>
      </c>
      <c r="N33" s="1">
        <v>6.72</v>
      </c>
      <c r="O33" s="1">
        <v>4.3029200000000003</v>
      </c>
      <c r="P33" s="1">
        <v>70.814589999999995</v>
      </c>
      <c r="Q33" s="1">
        <v>22.287659999999999</v>
      </c>
      <c r="R33" s="1">
        <v>2.8471706600000002</v>
      </c>
      <c r="S33" s="1">
        <v>15.10016515</v>
      </c>
      <c r="T33" s="1">
        <v>10672118</v>
      </c>
      <c r="U33" s="1">
        <v>9.1745629999999991</v>
      </c>
      <c r="V33" s="1">
        <v>10.78706</v>
      </c>
      <c r="W33" s="1">
        <v>10.72021</v>
      </c>
      <c r="X33" s="1">
        <v>16.183150000000001</v>
      </c>
    </row>
    <row r="34" spans="1:24" x14ac:dyDescent="0.2">
      <c r="A34" t="s">
        <v>175</v>
      </c>
      <c r="B34">
        <v>0.50507679999999999</v>
      </c>
      <c r="C34" t="s">
        <v>145</v>
      </c>
      <c r="F34" s="1">
        <v>31</v>
      </c>
      <c r="G34" s="1" t="s">
        <v>44</v>
      </c>
      <c r="H34" s="1">
        <v>2018</v>
      </c>
      <c r="I34" s="1">
        <v>62481.120000000003</v>
      </c>
      <c r="J34" s="1">
        <v>64988.74</v>
      </c>
      <c r="K34" s="1">
        <v>23242.583999999999</v>
      </c>
      <c r="L34" s="1">
        <v>31.9</v>
      </c>
      <c r="M34" s="1">
        <v>3.3839999999999999</v>
      </c>
      <c r="N34" s="1">
        <v>6.22</v>
      </c>
      <c r="O34" s="1">
        <v>4.8840199999999996</v>
      </c>
      <c r="P34" s="1">
        <v>69.163430000000005</v>
      </c>
      <c r="Q34" s="1">
        <v>25.14988</v>
      </c>
      <c r="R34" s="1">
        <v>1.13569605</v>
      </c>
      <c r="S34" s="1">
        <v>1.7321688</v>
      </c>
      <c r="T34" s="1">
        <v>82905782</v>
      </c>
      <c r="U34" s="1">
        <v>10.053741</v>
      </c>
      <c r="V34" s="1">
        <v>11.042619999999999</v>
      </c>
      <c r="W34" s="1">
        <v>11.08197</v>
      </c>
      <c r="X34" s="1">
        <v>18.233219999999999</v>
      </c>
    </row>
    <row r="35" spans="1:24" x14ac:dyDescent="0.2">
      <c r="A35" t="s">
        <v>176</v>
      </c>
      <c r="B35">
        <v>0.80792299999999995</v>
      </c>
      <c r="C35" t="s">
        <v>145</v>
      </c>
      <c r="F35" s="1">
        <v>32</v>
      </c>
      <c r="G35" s="1" t="s">
        <v>44</v>
      </c>
      <c r="H35" s="1">
        <v>2019</v>
      </c>
      <c r="I35" s="1">
        <v>62949.89</v>
      </c>
      <c r="J35" s="1">
        <v>65457.17</v>
      </c>
      <c r="K35" s="1">
        <v>23577.17</v>
      </c>
      <c r="L35" s="1">
        <v>32.200000000000003</v>
      </c>
      <c r="M35" s="1">
        <v>3.1629999999999998</v>
      </c>
      <c r="N35" s="1">
        <v>5.859</v>
      </c>
      <c r="O35" s="1">
        <v>5.0275800000000004</v>
      </c>
      <c r="P35" s="1">
        <v>72.705079999999995</v>
      </c>
      <c r="Q35" s="1">
        <v>27.197980000000001</v>
      </c>
      <c r="R35" s="1">
        <v>0.97773469999999996</v>
      </c>
      <c r="S35" s="1">
        <v>1.44565977</v>
      </c>
      <c r="T35" s="1">
        <v>83092962</v>
      </c>
      <c r="U35" s="1">
        <v>10.068034000000001</v>
      </c>
      <c r="V35" s="1">
        <v>11.050090000000001</v>
      </c>
      <c r="W35" s="1">
        <v>11.08915</v>
      </c>
      <c r="X35" s="1">
        <v>18.235469999999999</v>
      </c>
    </row>
    <row r="36" spans="1:24" x14ac:dyDescent="0.2">
      <c r="A36" t="s">
        <v>177</v>
      </c>
      <c r="B36">
        <v>0.44148700000000002</v>
      </c>
      <c r="C36" t="s">
        <v>145</v>
      </c>
      <c r="F36" s="1">
        <v>33</v>
      </c>
      <c r="G36" s="1" t="s">
        <v>44</v>
      </c>
      <c r="H36" s="1">
        <v>2020</v>
      </c>
      <c r="I36" s="1">
        <v>60299.58</v>
      </c>
      <c r="J36" s="1">
        <v>62345.87</v>
      </c>
      <c r="K36" s="1">
        <v>21967.471000000001</v>
      </c>
      <c r="L36" s="1">
        <v>32.5</v>
      </c>
      <c r="M36" s="1">
        <v>3.8809999999999998</v>
      </c>
      <c r="N36" s="1">
        <v>7.8620000000000001</v>
      </c>
      <c r="O36" s="1">
        <v>5.5160099999999996</v>
      </c>
      <c r="P36" s="1">
        <v>72.389420000000001</v>
      </c>
      <c r="Q36" s="1">
        <v>28.346219999999999</v>
      </c>
      <c r="R36" s="1">
        <v>-4.1319144300000001</v>
      </c>
      <c r="S36" s="1">
        <v>0.14487792999999999</v>
      </c>
      <c r="T36" s="1">
        <v>83160871</v>
      </c>
      <c r="U36" s="1">
        <v>9.9973179999999999</v>
      </c>
      <c r="V36" s="1">
        <v>11.00708</v>
      </c>
      <c r="W36" s="1">
        <v>11.04045</v>
      </c>
      <c r="X36" s="1">
        <v>18.23629</v>
      </c>
    </row>
    <row r="37" spans="1:24" x14ac:dyDescent="0.2">
      <c r="A37" t="s">
        <v>178</v>
      </c>
      <c r="B37">
        <v>0.2825569</v>
      </c>
      <c r="C37" t="s">
        <v>145</v>
      </c>
      <c r="F37" s="1">
        <v>34</v>
      </c>
      <c r="G37" s="1" t="s">
        <v>44</v>
      </c>
      <c r="H37" s="1">
        <v>2021</v>
      </c>
      <c r="I37" s="1">
        <v>62630.77</v>
      </c>
      <c r="J37" s="1">
        <v>64725.06</v>
      </c>
      <c r="K37" s="1">
        <v>22390.751</v>
      </c>
      <c r="L37" s="1">
        <v>33.6</v>
      </c>
      <c r="M37" s="1">
        <v>3.5939999999999999</v>
      </c>
      <c r="N37" s="1">
        <v>6.665</v>
      </c>
      <c r="O37" s="1">
        <v>5.3673400000000004</v>
      </c>
      <c r="P37" s="1">
        <v>75.665539999999993</v>
      </c>
      <c r="Q37" s="1">
        <v>29.403510000000001</v>
      </c>
      <c r="R37" s="1">
        <v>3.9099999400000001</v>
      </c>
      <c r="S37" s="1">
        <v>3.06666667</v>
      </c>
      <c r="T37" s="1">
        <v>83196078</v>
      </c>
      <c r="U37" s="1">
        <v>10.016403</v>
      </c>
      <c r="V37" s="1">
        <v>11.04501</v>
      </c>
      <c r="W37" s="1">
        <v>11.0779</v>
      </c>
      <c r="X37" s="1">
        <v>18.236709999999999</v>
      </c>
    </row>
    <row r="38" spans="1:24" x14ac:dyDescent="0.2">
      <c r="A38" t="s">
        <v>179</v>
      </c>
      <c r="B38">
        <v>0.45472620000000002</v>
      </c>
      <c r="C38" t="s">
        <v>145</v>
      </c>
      <c r="F38" s="1">
        <v>35</v>
      </c>
      <c r="G38" s="1" t="s">
        <v>44</v>
      </c>
      <c r="H38" s="1">
        <v>2022</v>
      </c>
      <c r="I38" s="1">
        <v>63777.93</v>
      </c>
      <c r="J38" s="1">
        <v>64736.47</v>
      </c>
      <c r="K38" s="1">
        <v>23858.403999999999</v>
      </c>
      <c r="L38" s="1">
        <v>33.700000000000003</v>
      </c>
      <c r="M38" s="1">
        <v>3.137</v>
      </c>
      <c r="N38" s="1">
        <v>6.0490000000000004</v>
      </c>
      <c r="O38" s="1">
        <v>5.23916</v>
      </c>
      <c r="P38" s="1">
        <v>77.365700000000004</v>
      </c>
      <c r="Q38" s="1">
        <v>29.57574</v>
      </c>
      <c r="R38" s="1">
        <v>1.80925812</v>
      </c>
      <c r="S38" s="1">
        <v>6.8725743899999996</v>
      </c>
      <c r="T38" s="1">
        <v>83177813</v>
      </c>
      <c r="U38" s="1">
        <v>10.079891999999999</v>
      </c>
      <c r="V38" s="1">
        <v>11.06316</v>
      </c>
      <c r="W38" s="1">
        <v>11.07808</v>
      </c>
      <c r="X38" s="1">
        <v>18.23649</v>
      </c>
    </row>
    <row r="39" spans="1:24" x14ac:dyDescent="0.2">
      <c r="A39" t="s">
        <v>180</v>
      </c>
      <c r="B39">
        <v>0.32946639999999999</v>
      </c>
      <c r="C39" t="s">
        <v>145</v>
      </c>
      <c r="F39" s="1">
        <v>36</v>
      </c>
      <c r="G39" s="1" t="s">
        <v>45</v>
      </c>
      <c r="H39" s="1">
        <v>2018</v>
      </c>
      <c r="I39" s="1">
        <v>65870.83</v>
      </c>
      <c r="J39" s="1">
        <v>65977.23</v>
      </c>
      <c r="K39" s="1">
        <v>27134.813999999998</v>
      </c>
      <c r="L39" s="1">
        <v>28.2</v>
      </c>
      <c r="M39" s="1">
        <v>5.1310000000000002</v>
      </c>
      <c r="N39" s="1">
        <v>10.52</v>
      </c>
      <c r="O39" s="1">
        <v>7.3274800000000004</v>
      </c>
      <c r="P39" s="1">
        <v>81.140550000000005</v>
      </c>
      <c r="Q39" s="1">
        <v>32.358840000000001</v>
      </c>
      <c r="R39" s="1">
        <v>1.8600074900000001</v>
      </c>
      <c r="S39" s="1">
        <v>0.81360946999999995</v>
      </c>
      <c r="T39" s="1">
        <v>5793636</v>
      </c>
      <c r="U39" s="1">
        <v>10.208572999999999</v>
      </c>
      <c r="V39" s="1">
        <v>11.09545</v>
      </c>
      <c r="W39" s="1">
        <v>11.097060000000001</v>
      </c>
      <c r="X39" s="1">
        <v>15.57227</v>
      </c>
    </row>
    <row r="40" spans="1:24" x14ac:dyDescent="0.2">
      <c r="A40" t="s">
        <v>181</v>
      </c>
      <c r="B40">
        <v>0.29969499999999999</v>
      </c>
      <c r="C40" t="s">
        <v>145</v>
      </c>
      <c r="F40" s="1">
        <v>37</v>
      </c>
      <c r="G40" s="1" t="s">
        <v>45</v>
      </c>
      <c r="H40" s="1">
        <v>2019</v>
      </c>
      <c r="I40" s="1">
        <v>66758.63</v>
      </c>
      <c r="J40" s="1">
        <v>66954.97</v>
      </c>
      <c r="K40" s="1">
        <v>27516.411</v>
      </c>
      <c r="L40" s="1">
        <v>27.7</v>
      </c>
      <c r="M40" s="1">
        <v>5.0179999999999998</v>
      </c>
      <c r="N40" s="1">
        <v>10.041</v>
      </c>
      <c r="O40" s="1">
        <v>7.2758599999999998</v>
      </c>
      <c r="P40" s="1">
        <v>81.694590000000005</v>
      </c>
      <c r="Q40" s="1">
        <v>31.522590000000001</v>
      </c>
      <c r="R40" s="1">
        <v>1.7114009400000001</v>
      </c>
      <c r="S40" s="1">
        <v>0.75813156999999998</v>
      </c>
      <c r="T40" s="1">
        <v>5814422</v>
      </c>
      <c r="U40" s="1">
        <v>10.222538</v>
      </c>
      <c r="V40" s="1">
        <v>11.108840000000001</v>
      </c>
      <c r="W40" s="1">
        <v>11.11178</v>
      </c>
      <c r="X40" s="1">
        <v>15.575850000000001</v>
      </c>
    </row>
    <row r="41" spans="1:24" x14ac:dyDescent="0.2">
      <c r="A41" t="s">
        <v>182</v>
      </c>
      <c r="B41">
        <v>0.32315440000000001</v>
      </c>
      <c r="C41" t="s">
        <v>145</v>
      </c>
      <c r="F41" s="1">
        <v>38</v>
      </c>
      <c r="G41" s="1" t="s">
        <v>45</v>
      </c>
      <c r="H41" s="1">
        <v>2020</v>
      </c>
      <c r="I41" s="1">
        <v>65379.31</v>
      </c>
      <c r="J41" s="1">
        <v>66622.41</v>
      </c>
      <c r="K41" s="1">
        <v>27086.754000000001</v>
      </c>
      <c r="L41" s="1">
        <v>27.5</v>
      </c>
      <c r="M41" s="1">
        <v>5.6440000000000001</v>
      </c>
      <c r="N41" s="1">
        <v>11.634</v>
      </c>
      <c r="O41" s="1">
        <v>7.3857499999999998</v>
      </c>
      <c r="P41" s="1">
        <v>82.664330000000007</v>
      </c>
      <c r="Q41" s="1">
        <v>33.090499999999999</v>
      </c>
      <c r="R41" s="1">
        <v>-1.7801060200000001</v>
      </c>
      <c r="S41" s="1">
        <v>0.42071196999999999</v>
      </c>
      <c r="T41" s="1">
        <v>5831404</v>
      </c>
      <c r="U41" s="1">
        <v>10.206799999999999</v>
      </c>
      <c r="V41" s="1">
        <v>11.087960000000001</v>
      </c>
      <c r="W41" s="1">
        <v>11.1068</v>
      </c>
      <c r="X41" s="1">
        <v>15.57877</v>
      </c>
    </row>
    <row r="42" spans="1:24" x14ac:dyDescent="0.2">
      <c r="A42" t="s">
        <v>183</v>
      </c>
      <c r="B42">
        <v>0.39882980000000001</v>
      </c>
      <c r="C42" t="s">
        <v>145</v>
      </c>
      <c r="F42" s="1">
        <v>39</v>
      </c>
      <c r="G42" s="1" t="s">
        <v>45</v>
      </c>
      <c r="H42" s="1">
        <v>2021</v>
      </c>
      <c r="I42" s="1">
        <v>69328</v>
      </c>
      <c r="J42" s="1">
        <v>72080.350000000006</v>
      </c>
      <c r="K42" s="1">
        <v>28484.311000000002</v>
      </c>
      <c r="L42" s="1">
        <v>28.3</v>
      </c>
      <c r="M42" s="1">
        <v>5.0650000000000004</v>
      </c>
      <c r="N42" s="1">
        <v>10.8</v>
      </c>
      <c r="O42" s="1">
        <v>6.9591599999999998</v>
      </c>
      <c r="P42" s="1">
        <v>83.982290000000006</v>
      </c>
      <c r="Q42" s="1">
        <v>32.722529999999999</v>
      </c>
      <c r="R42" s="1">
        <v>6.5002544599999998</v>
      </c>
      <c r="S42" s="1">
        <v>1.85304544</v>
      </c>
      <c r="T42" s="1">
        <v>5856733</v>
      </c>
      <c r="U42" s="1">
        <v>10.257109</v>
      </c>
      <c r="V42" s="1">
        <v>11.146599999999999</v>
      </c>
      <c r="W42" s="1">
        <v>11.18554</v>
      </c>
      <c r="X42" s="1">
        <v>15.5831</v>
      </c>
    </row>
    <row r="43" spans="1:24" x14ac:dyDescent="0.2">
      <c r="A43" t="s">
        <v>184</v>
      </c>
      <c r="B43">
        <v>0.2212296</v>
      </c>
      <c r="C43" t="s">
        <v>145</v>
      </c>
      <c r="F43" s="1">
        <v>40</v>
      </c>
      <c r="G43" s="1" t="s">
        <v>45</v>
      </c>
      <c r="H43" s="1">
        <v>2022</v>
      </c>
      <c r="I43" s="1">
        <v>69089.47</v>
      </c>
      <c r="J43" s="1">
        <v>73107.460000000006</v>
      </c>
      <c r="K43" s="1">
        <v>27643.241000000002</v>
      </c>
      <c r="L43" s="1">
        <v>29.3</v>
      </c>
      <c r="M43" s="1">
        <v>4.4340000000000002</v>
      </c>
      <c r="N43" s="1">
        <v>10.532999999999999</v>
      </c>
      <c r="O43" s="1">
        <v>6.3558599999999998</v>
      </c>
      <c r="P43" s="1">
        <v>84.586609999999993</v>
      </c>
      <c r="Q43" s="1">
        <v>33.080820000000003</v>
      </c>
      <c r="R43" s="1">
        <v>0.44383261000000002</v>
      </c>
      <c r="S43" s="1">
        <v>7.6965669999999999</v>
      </c>
      <c r="T43" s="1">
        <v>5903037</v>
      </c>
      <c r="U43" s="1">
        <v>10.227137000000001</v>
      </c>
      <c r="V43" s="1">
        <v>11.14316</v>
      </c>
      <c r="W43" s="1">
        <v>11.19969</v>
      </c>
      <c r="X43" s="1">
        <v>15.59098</v>
      </c>
    </row>
    <row r="44" spans="1:24" x14ac:dyDescent="0.2">
      <c r="A44" t="s">
        <v>185</v>
      </c>
      <c r="B44">
        <v>0.33777590000000002</v>
      </c>
      <c r="C44" t="s">
        <v>145</v>
      </c>
      <c r="F44" s="1">
        <v>41</v>
      </c>
      <c r="G44" s="1" t="s">
        <v>46</v>
      </c>
      <c r="H44" s="1">
        <v>2018</v>
      </c>
      <c r="I44" s="1">
        <v>40849.85</v>
      </c>
      <c r="J44" s="1">
        <v>40900.050000000003</v>
      </c>
      <c r="K44" s="1">
        <v>10280.734</v>
      </c>
      <c r="L44" s="1">
        <v>30.3</v>
      </c>
      <c r="M44" s="1">
        <v>5.4119999999999999</v>
      </c>
      <c r="N44" s="1">
        <v>12.076000000000001</v>
      </c>
      <c r="O44" s="1">
        <v>5.1396300000000004</v>
      </c>
      <c r="P44" s="1">
        <v>72.065960000000004</v>
      </c>
      <c r="Q44" s="3" t="s">
        <v>26</v>
      </c>
      <c r="R44" s="1">
        <v>3.6996975600000002</v>
      </c>
      <c r="S44" s="1">
        <v>3.4363268800000002</v>
      </c>
      <c r="T44" s="1">
        <v>1321977</v>
      </c>
      <c r="U44" s="1">
        <v>9.2380270000000007</v>
      </c>
      <c r="V44" s="1">
        <v>10.617660000000001</v>
      </c>
      <c r="W44" s="1">
        <v>10.61889</v>
      </c>
      <c r="X44" s="1">
        <v>14.09464</v>
      </c>
    </row>
    <row r="45" spans="1:24" x14ac:dyDescent="0.2">
      <c r="A45" t="s">
        <v>186</v>
      </c>
      <c r="B45">
        <v>0.2651579</v>
      </c>
      <c r="C45" t="s">
        <v>145</v>
      </c>
      <c r="F45" s="1">
        <v>42</v>
      </c>
      <c r="G45" s="1" t="s">
        <v>46</v>
      </c>
      <c r="H45" s="1">
        <v>2019</v>
      </c>
      <c r="I45" s="1">
        <v>42215.03</v>
      </c>
      <c r="J45" s="1">
        <v>42487.71</v>
      </c>
      <c r="K45" s="1">
        <v>10680.366</v>
      </c>
      <c r="L45" s="1">
        <v>30.8</v>
      </c>
      <c r="M45" s="1">
        <v>4.5140000000000002</v>
      </c>
      <c r="N45" s="1">
        <v>11.622999999999999</v>
      </c>
      <c r="O45" s="1">
        <v>5.1641500000000002</v>
      </c>
      <c r="P45" s="1">
        <v>72.706029999999998</v>
      </c>
      <c r="Q45" s="3" t="s">
        <v>26</v>
      </c>
      <c r="R45" s="1">
        <v>3.7266494300000002</v>
      </c>
      <c r="S45" s="1">
        <v>2.2772593099999998</v>
      </c>
      <c r="T45" s="1">
        <v>1326898</v>
      </c>
      <c r="U45" s="1">
        <v>9.2761619999999994</v>
      </c>
      <c r="V45" s="1">
        <v>10.65053</v>
      </c>
      <c r="W45" s="1">
        <v>10.656969999999999</v>
      </c>
      <c r="X45" s="1">
        <v>14.09835</v>
      </c>
    </row>
    <row r="46" spans="1:24" x14ac:dyDescent="0.2">
      <c r="A46" t="s">
        <v>187</v>
      </c>
      <c r="B46">
        <v>0.4023293</v>
      </c>
      <c r="C46" t="s">
        <v>145</v>
      </c>
      <c r="F46" s="1">
        <v>43</v>
      </c>
      <c r="G46" s="1" t="s">
        <v>46</v>
      </c>
      <c r="H46" s="1">
        <v>2020</v>
      </c>
      <c r="I46" s="1">
        <v>40916.720000000001</v>
      </c>
      <c r="J46" s="1">
        <v>40348.92</v>
      </c>
      <c r="K46" s="1">
        <v>10570.107</v>
      </c>
      <c r="L46" s="1">
        <v>30.7</v>
      </c>
      <c r="M46" s="1">
        <v>6.9560000000000004</v>
      </c>
      <c r="N46" s="1">
        <v>18.417000000000002</v>
      </c>
      <c r="O46" s="1">
        <v>5.4417999999999997</v>
      </c>
      <c r="P46" s="1">
        <v>72.044359999999998</v>
      </c>
      <c r="Q46" s="1">
        <v>30.846509999999999</v>
      </c>
      <c r="R46" s="1">
        <v>-2.88380751</v>
      </c>
      <c r="S46" s="1">
        <v>-0.44453110000000001</v>
      </c>
      <c r="T46" s="1">
        <v>1329522</v>
      </c>
      <c r="U46" s="1">
        <v>9.2657849999999993</v>
      </c>
      <c r="V46" s="1">
        <v>10.619289999999999</v>
      </c>
      <c r="W46" s="1">
        <v>10.605320000000001</v>
      </c>
      <c r="X46" s="1">
        <v>14.10033</v>
      </c>
    </row>
    <row r="47" spans="1:24" x14ac:dyDescent="0.2">
      <c r="A47" t="s">
        <v>188</v>
      </c>
      <c r="B47">
        <v>0.46560299999999999</v>
      </c>
      <c r="C47" t="s">
        <v>145</v>
      </c>
      <c r="F47" s="1">
        <v>44</v>
      </c>
      <c r="G47" s="1" t="s">
        <v>46</v>
      </c>
      <c r="H47" s="1">
        <v>2021</v>
      </c>
      <c r="I47" s="1">
        <v>44247.42</v>
      </c>
      <c r="J47" s="1">
        <v>43219.48</v>
      </c>
      <c r="K47" s="1">
        <v>11316.462</v>
      </c>
      <c r="L47" s="1">
        <v>31.8</v>
      </c>
      <c r="M47" s="1">
        <v>6.1779999999999999</v>
      </c>
      <c r="N47" s="1">
        <v>16.622</v>
      </c>
      <c r="O47" s="1">
        <v>5.2151500000000004</v>
      </c>
      <c r="P47" s="1">
        <v>73.150210000000001</v>
      </c>
      <c r="Q47" s="1">
        <v>31.869230000000002</v>
      </c>
      <c r="R47" s="1">
        <v>8.2548804499999999</v>
      </c>
      <c r="S47" s="1">
        <v>4.6531667399999996</v>
      </c>
      <c r="T47" s="1">
        <v>1330932</v>
      </c>
      <c r="U47" s="1">
        <v>9.3340139999999998</v>
      </c>
      <c r="V47" s="1">
        <v>10.69755</v>
      </c>
      <c r="W47" s="1">
        <v>10.674049999999999</v>
      </c>
      <c r="X47" s="1">
        <v>14.10139</v>
      </c>
    </row>
    <row r="48" spans="1:24" x14ac:dyDescent="0.2">
      <c r="A48" t="s">
        <v>189</v>
      </c>
      <c r="B48">
        <v>0.47937269999999998</v>
      </c>
      <c r="C48" t="s">
        <v>145</v>
      </c>
      <c r="F48" s="1">
        <v>45</v>
      </c>
      <c r="G48" s="1" t="s">
        <v>46</v>
      </c>
      <c r="H48" s="1">
        <v>2022</v>
      </c>
      <c r="I48" s="1">
        <v>43124.62</v>
      </c>
      <c r="J48" s="1">
        <v>42807.81</v>
      </c>
      <c r="K48" s="1">
        <v>11491.341</v>
      </c>
      <c r="L48" s="1">
        <v>32.299999999999997</v>
      </c>
      <c r="M48" s="1">
        <v>5.5709999999999997</v>
      </c>
      <c r="N48" s="1">
        <v>18.391999999999999</v>
      </c>
      <c r="O48" s="1">
        <v>5.2073400000000003</v>
      </c>
      <c r="P48" s="1">
        <v>71.425190000000001</v>
      </c>
      <c r="Q48" s="1">
        <v>32.660170000000001</v>
      </c>
      <c r="R48" s="1">
        <v>-1.22616967</v>
      </c>
      <c r="S48" s="1">
        <v>19.398263409999998</v>
      </c>
      <c r="T48" s="1">
        <v>1348840</v>
      </c>
      <c r="U48" s="1">
        <v>9.3493490000000001</v>
      </c>
      <c r="V48" s="1">
        <v>10.671849999999999</v>
      </c>
      <c r="W48" s="1">
        <v>10.664479999999999</v>
      </c>
      <c r="X48" s="1">
        <v>14.11476</v>
      </c>
    </row>
    <row r="49" spans="1:24" x14ac:dyDescent="0.2">
      <c r="A49" t="s">
        <v>190</v>
      </c>
      <c r="B49">
        <v>0.5120074</v>
      </c>
      <c r="C49" t="s">
        <v>145</v>
      </c>
      <c r="F49" s="1">
        <v>46</v>
      </c>
      <c r="G49" s="1" t="s">
        <v>47</v>
      </c>
      <c r="H49" s="1">
        <v>2018</v>
      </c>
      <c r="I49" s="1">
        <v>46325.21</v>
      </c>
      <c r="J49" s="1">
        <v>46178.99</v>
      </c>
      <c r="K49" s="1">
        <v>16196.923000000001</v>
      </c>
      <c r="L49" s="1">
        <v>34.700000000000003</v>
      </c>
      <c r="M49" s="1">
        <v>15.255000000000001</v>
      </c>
      <c r="N49" s="1">
        <v>34.362000000000002</v>
      </c>
      <c r="O49" s="1">
        <v>4.1504500000000002</v>
      </c>
      <c r="P49" s="1">
        <v>92.519490000000005</v>
      </c>
      <c r="Q49" s="1">
        <v>21.936340000000001</v>
      </c>
      <c r="R49" s="1">
        <v>2.3954112400000001</v>
      </c>
      <c r="S49" s="1">
        <v>1.67498137</v>
      </c>
      <c r="T49" s="1">
        <v>46782011</v>
      </c>
      <c r="U49" s="1">
        <v>9.692577</v>
      </c>
      <c r="V49" s="1">
        <v>10.74344</v>
      </c>
      <c r="W49" s="1">
        <v>10.74028</v>
      </c>
      <c r="X49" s="1">
        <v>17.661010000000001</v>
      </c>
    </row>
    <row r="50" spans="1:24" x14ac:dyDescent="0.2">
      <c r="A50" t="s">
        <v>191</v>
      </c>
      <c r="B50">
        <v>0.2315468</v>
      </c>
      <c r="C50" t="s">
        <v>145</v>
      </c>
      <c r="F50" s="1">
        <v>47</v>
      </c>
      <c r="G50" s="1" t="s">
        <v>47</v>
      </c>
      <c r="H50" s="1">
        <v>2019</v>
      </c>
      <c r="I50" s="1">
        <v>46896.42</v>
      </c>
      <c r="J50" s="1">
        <v>46746.7</v>
      </c>
      <c r="K50" s="1">
        <v>16264.824000000001</v>
      </c>
      <c r="L50" s="1">
        <v>34.299999999999997</v>
      </c>
      <c r="M50" s="1">
        <v>14.103999999999999</v>
      </c>
      <c r="N50" s="1">
        <v>32.555</v>
      </c>
      <c r="O50" s="1">
        <v>4.2025600000000001</v>
      </c>
      <c r="P50" s="1">
        <v>91.53877</v>
      </c>
      <c r="Q50" s="1">
        <v>23.075230000000001</v>
      </c>
      <c r="R50" s="1">
        <v>1.9611785100000001</v>
      </c>
      <c r="S50" s="1">
        <v>0.69951898999999995</v>
      </c>
      <c r="T50" s="1">
        <v>47118501</v>
      </c>
      <c r="U50" s="1">
        <v>9.6967599999999994</v>
      </c>
      <c r="V50" s="1">
        <v>10.755699999999999</v>
      </c>
      <c r="W50" s="1">
        <v>10.7525</v>
      </c>
      <c r="X50" s="1">
        <v>17.66818</v>
      </c>
    </row>
    <row r="51" spans="1:24" x14ac:dyDescent="0.2">
      <c r="A51" t="s">
        <v>192</v>
      </c>
      <c r="B51">
        <v>0.96218559999999997</v>
      </c>
      <c r="C51" t="s">
        <v>145</v>
      </c>
      <c r="F51" s="1">
        <v>48</v>
      </c>
      <c r="G51" s="1" t="s">
        <v>47</v>
      </c>
      <c r="H51" s="1">
        <v>2020</v>
      </c>
      <c r="I51" s="1">
        <v>41553.449999999997</v>
      </c>
      <c r="J51" s="1">
        <v>41708.83</v>
      </c>
      <c r="K51" s="1">
        <v>14228.678</v>
      </c>
      <c r="L51" s="1">
        <v>34.9</v>
      </c>
      <c r="M51" s="1">
        <v>15.532</v>
      </c>
      <c r="N51" s="1">
        <v>38.311999999999998</v>
      </c>
      <c r="O51" s="1">
        <v>4.8511800000000003</v>
      </c>
      <c r="P51" s="1">
        <v>91.599119999999999</v>
      </c>
      <c r="Q51" s="1">
        <v>23.578009999999999</v>
      </c>
      <c r="R51" s="1">
        <v>-10.94007064</v>
      </c>
      <c r="S51" s="1">
        <v>-0.32275302</v>
      </c>
      <c r="T51" s="1">
        <v>47359424</v>
      </c>
      <c r="U51" s="1">
        <v>9.563015</v>
      </c>
      <c r="V51" s="1">
        <v>10.634740000000001</v>
      </c>
      <c r="W51" s="1">
        <v>10.63847</v>
      </c>
      <c r="X51" s="1">
        <v>17.673279999999998</v>
      </c>
    </row>
    <row r="52" spans="1:24" x14ac:dyDescent="0.2">
      <c r="A52" t="s">
        <v>193</v>
      </c>
      <c r="B52">
        <v>0.76815040000000001</v>
      </c>
      <c r="C52" t="s">
        <v>145</v>
      </c>
      <c r="F52" s="1">
        <v>49</v>
      </c>
      <c r="G52" s="1" t="s">
        <v>47</v>
      </c>
      <c r="H52" s="1">
        <v>2021</v>
      </c>
      <c r="I52" s="1">
        <v>44251.67</v>
      </c>
      <c r="J52" s="1">
        <v>44547.09</v>
      </c>
      <c r="K52" s="1">
        <v>15212.561</v>
      </c>
      <c r="L52" s="1">
        <v>33.9</v>
      </c>
      <c r="M52" s="1">
        <v>14.914</v>
      </c>
      <c r="N52" s="1">
        <v>34.999000000000002</v>
      </c>
      <c r="O52" s="1">
        <v>4.8131700000000004</v>
      </c>
      <c r="P52" s="1">
        <v>95.376900000000006</v>
      </c>
      <c r="Q52" s="1">
        <v>24.902370000000001</v>
      </c>
      <c r="R52" s="1">
        <v>6.6831442000000001</v>
      </c>
      <c r="S52" s="1">
        <v>3.0931351199999999</v>
      </c>
      <c r="T52" s="1">
        <v>47443821</v>
      </c>
      <c r="U52" s="1">
        <v>9.6298770000000005</v>
      </c>
      <c r="V52" s="1">
        <v>10.697649999999999</v>
      </c>
      <c r="W52" s="1">
        <v>10.7043</v>
      </c>
      <c r="X52" s="1">
        <v>17.675059999999998</v>
      </c>
    </row>
    <row r="53" spans="1:24" x14ac:dyDescent="0.2">
      <c r="A53" t="s">
        <v>194</v>
      </c>
      <c r="B53">
        <v>0.63871310000000003</v>
      </c>
      <c r="C53" t="s">
        <v>145</v>
      </c>
      <c r="F53" s="1">
        <v>50</v>
      </c>
      <c r="G53" s="1" t="s">
        <v>47</v>
      </c>
      <c r="H53" s="1">
        <v>2022</v>
      </c>
      <c r="I53" s="1">
        <v>46733.48</v>
      </c>
      <c r="J53" s="1">
        <v>45931.32</v>
      </c>
      <c r="K53" s="1">
        <v>15844.995000000001</v>
      </c>
      <c r="L53" s="1">
        <v>33.6</v>
      </c>
      <c r="M53" s="1">
        <v>13.032999999999999</v>
      </c>
      <c r="N53" s="1">
        <v>29.713000000000001</v>
      </c>
      <c r="O53" s="1">
        <v>4.5855399999999999</v>
      </c>
      <c r="P53" s="1">
        <v>95.027159999999995</v>
      </c>
      <c r="Q53" s="1">
        <v>24.153420000000001</v>
      </c>
      <c r="R53" s="1">
        <v>6.3703171200000002</v>
      </c>
      <c r="S53" s="1">
        <v>8.3905763400000009</v>
      </c>
      <c r="T53" s="1">
        <v>47786102</v>
      </c>
      <c r="U53" s="1">
        <v>9.6706090000000007</v>
      </c>
      <c r="V53" s="1">
        <v>10.752219999999999</v>
      </c>
      <c r="W53" s="1">
        <v>10.7349</v>
      </c>
      <c r="X53" s="1">
        <v>17.68225</v>
      </c>
    </row>
    <row r="54" spans="1:24" x14ac:dyDescent="0.2">
      <c r="A54" t="s">
        <v>195</v>
      </c>
      <c r="B54">
        <v>0.53757379999999999</v>
      </c>
      <c r="C54" t="s">
        <v>145</v>
      </c>
      <c r="F54" s="1">
        <v>51</v>
      </c>
      <c r="G54" s="1" t="s">
        <v>48</v>
      </c>
      <c r="H54" s="1">
        <v>2018</v>
      </c>
      <c r="I54" s="1">
        <v>56226.34</v>
      </c>
      <c r="J54" s="1">
        <v>56202.59</v>
      </c>
      <c r="K54" s="1">
        <v>23706.917000000001</v>
      </c>
      <c r="L54" s="1">
        <v>27.3</v>
      </c>
      <c r="M54" s="1">
        <v>7.3609999999999998</v>
      </c>
      <c r="N54" s="1">
        <v>16.957999999999998</v>
      </c>
      <c r="O54" s="1">
        <v>6.3177199999999996</v>
      </c>
      <c r="P54" s="1">
        <v>92.385000000000005</v>
      </c>
      <c r="Q54" s="1">
        <v>28.08474</v>
      </c>
      <c r="R54" s="1">
        <v>1.1929776000000001</v>
      </c>
      <c r="S54" s="1">
        <v>1.08382098</v>
      </c>
      <c r="T54" s="1">
        <v>5515525</v>
      </c>
      <c r="U54" s="1">
        <v>10.073522000000001</v>
      </c>
      <c r="V54" s="1">
        <v>10.937139999999999</v>
      </c>
      <c r="W54" s="1">
        <v>10.936719999999999</v>
      </c>
      <c r="X54" s="1">
        <v>15.52308</v>
      </c>
    </row>
    <row r="55" spans="1:24" x14ac:dyDescent="0.2">
      <c r="A55" t="s">
        <v>196</v>
      </c>
      <c r="B55">
        <v>0.47635450000000001</v>
      </c>
      <c r="C55" t="s">
        <v>145</v>
      </c>
      <c r="F55" s="1">
        <v>52</v>
      </c>
      <c r="G55" s="1" t="s">
        <v>48</v>
      </c>
      <c r="H55" s="1">
        <v>2019</v>
      </c>
      <c r="I55" s="1">
        <v>56922.49</v>
      </c>
      <c r="J55" s="1">
        <v>56731.91</v>
      </c>
      <c r="K55" s="1">
        <v>23778.466</v>
      </c>
      <c r="L55" s="1">
        <v>27.7</v>
      </c>
      <c r="M55" s="1">
        <v>6.6950000000000003</v>
      </c>
      <c r="N55" s="1">
        <v>17.128</v>
      </c>
      <c r="O55" s="1">
        <v>6.4530000000000003</v>
      </c>
      <c r="P55" s="1">
        <v>94.589119999999994</v>
      </c>
      <c r="Q55" s="1">
        <v>25.935089999999999</v>
      </c>
      <c r="R55" s="1">
        <v>1.34973846</v>
      </c>
      <c r="S55" s="1">
        <v>1.02409393</v>
      </c>
      <c r="T55" s="1">
        <v>5521606</v>
      </c>
      <c r="U55" s="1">
        <v>10.076536000000001</v>
      </c>
      <c r="V55" s="1">
        <v>10.949450000000001</v>
      </c>
      <c r="W55" s="1">
        <v>10.94609</v>
      </c>
      <c r="X55" s="1">
        <v>15.524179999999999</v>
      </c>
    </row>
    <row r="56" spans="1:24" x14ac:dyDescent="0.2">
      <c r="A56" t="s">
        <v>197</v>
      </c>
      <c r="B56">
        <v>0.46524480000000001</v>
      </c>
      <c r="C56" t="s">
        <v>145</v>
      </c>
      <c r="F56" s="1">
        <v>53</v>
      </c>
      <c r="G56" s="1" t="s">
        <v>48</v>
      </c>
      <c r="H56" s="1">
        <v>2020</v>
      </c>
      <c r="I56" s="1">
        <v>55424.86</v>
      </c>
      <c r="J56" s="1">
        <v>56180.42</v>
      </c>
      <c r="K56" s="1">
        <v>22931.093000000001</v>
      </c>
      <c r="L56" s="1">
        <v>27.1</v>
      </c>
      <c r="M56" s="1">
        <v>7.7590000000000003</v>
      </c>
      <c r="N56" s="1">
        <v>21.193000000000001</v>
      </c>
      <c r="O56" s="1">
        <v>6.6812800000000001</v>
      </c>
      <c r="P56" s="1">
        <v>96.472629999999995</v>
      </c>
      <c r="Q56" s="1">
        <v>30.285969999999999</v>
      </c>
      <c r="R56" s="1">
        <v>-2.4910360599999999</v>
      </c>
      <c r="S56" s="1">
        <v>0.29055456000000002</v>
      </c>
      <c r="T56" s="1">
        <v>5529543</v>
      </c>
      <c r="U56" s="1">
        <v>10.040248999999999</v>
      </c>
      <c r="V56" s="1">
        <v>10.922779999999999</v>
      </c>
      <c r="W56" s="1">
        <v>10.93632</v>
      </c>
      <c r="X56" s="1">
        <v>15.52562</v>
      </c>
    </row>
    <row r="57" spans="1:24" x14ac:dyDescent="0.2">
      <c r="A57" t="s">
        <v>198</v>
      </c>
      <c r="B57">
        <v>0.53700000000000003</v>
      </c>
      <c r="C57" t="s">
        <v>199</v>
      </c>
      <c r="F57" s="1">
        <v>54</v>
      </c>
      <c r="G57" s="1" t="s">
        <v>48</v>
      </c>
      <c r="H57" s="1">
        <v>2021</v>
      </c>
      <c r="I57" s="1">
        <v>56790.38</v>
      </c>
      <c r="J57" s="1">
        <v>57709.02</v>
      </c>
      <c r="K57" s="1">
        <v>23616.073</v>
      </c>
      <c r="L57" s="1">
        <v>27.7</v>
      </c>
      <c r="M57" s="1">
        <v>7.617</v>
      </c>
      <c r="N57" s="1">
        <v>17.058</v>
      </c>
      <c r="O57" s="1">
        <v>6.5881999999999996</v>
      </c>
      <c r="P57" s="1">
        <v>100.86807</v>
      </c>
      <c r="Q57" s="1">
        <v>27.59057</v>
      </c>
      <c r="R57" s="1">
        <v>2.6763464099999998</v>
      </c>
      <c r="S57" s="1">
        <v>2.1945743200000001</v>
      </c>
      <c r="T57" s="1">
        <v>5541017</v>
      </c>
      <c r="U57" s="1">
        <v>10.069682999999999</v>
      </c>
      <c r="V57" s="1">
        <v>10.94712</v>
      </c>
      <c r="W57" s="1">
        <v>10.96317</v>
      </c>
      <c r="X57" s="1">
        <v>15.52769</v>
      </c>
    </row>
    <row r="58" spans="1:24" x14ac:dyDescent="0.2">
      <c r="A58" t="s">
        <v>200</v>
      </c>
      <c r="B58">
        <v>0.70412430000000004</v>
      </c>
      <c r="C58" t="s">
        <v>145</v>
      </c>
      <c r="F58" s="1">
        <v>55</v>
      </c>
      <c r="G58" s="1" t="s">
        <v>48</v>
      </c>
      <c r="H58" s="1">
        <v>2022</v>
      </c>
      <c r="I58" s="1">
        <v>57068.31</v>
      </c>
      <c r="J58" s="1">
        <v>57497.29</v>
      </c>
      <c r="K58" s="1">
        <v>23754.425999999999</v>
      </c>
      <c r="L58" s="1">
        <v>27.9</v>
      </c>
      <c r="M58" s="1">
        <v>6.7190000000000003</v>
      </c>
      <c r="N58" s="1">
        <v>14.138</v>
      </c>
      <c r="O58" s="1">
        <v>6.3757799999999998</v>
      </c>
      <c r="P58" s="1">
        <v>104.94422</v>
      </c>
      <c r="Q58" s="1">
        <v>28.86382</v>
      </c>
      <c r="R58" s="1">
        <v>0.76304190999999999</v>
      </c>
      <c r="S58" s="1">
        <v>7.12350773</v>
      </c>
      <c r="T58" s="1">
        <v>5556106</v>
      </c>
      <c r="U58" s="1">
        <v>10.075524</v>
      </c>
      <c r="V58" s="1">
        <v>10.952</v>
      </c>
      <c r="W58" s="1">
        <v>10.959490000000001</v>
      </c>
      <c r="X58" s="1">
        <v>15.53041</v>
      </c>
    </row>
    <row r="59" spans="1:24" x14ac:dyDescent="0.2">
      <c r="A59" t="s">
        <v>201</v>
      </c>
      <c r="B59">
        <v>0.74152549999999995</v>
      </c>
      <c r="C59" t="s">
        <v>145</v>
      </c>
      <c r="F59" s="1">
        <v>56</v>
      </c>
      <c r="G59" s="1" t="s">
        <v>49</v>
      </c>
      <c r="H59" s="1">
        <v>2018</v>
      </c>
      <c r="I59" s="1">
        <v>52560.95</v>
      </c>
      <c r="J59" s="1">
        <v>53528.63</v>
      </c>
      <c r="K59" s="1">
        <v>20609.998</v>
      </c>
      <c r="L59" s="1">
        <v>32.4</v>
      </c>
      <c r="M59" s="1">
        <v>9.0180000000000007</v>
      </c>
      <c r="N59" s="1">
        <v>20.952999999999999</v>
      </c>
      <c r="O59" s="1">
        <v>5.4254100000000003</v>
      </c>
      <c r="P59" s="1">
        <v>67.543520000000001</v>
      </c>
      <c r="Q59" s="1">
        <v>19.223009999999999</v>
      </c>
      <c r="R59" s="1">
        <v>1.64590872</v>
      </c>
      <c r="S59" s="1">
        <v>1.8508150800000001</v>
      </c>
      <c r="T59" s="1">
        <v>67158348</v>
      </c>
      <c r="U59" s="1">
        <v>9.9335319999999996</v>
      </c>
      <c r="V59" s="1">
        <v>10.869730000000001</v>
      </c>
      <c r="W59" s="1">
        <v>10.887969999999999</v>
      </c>
      <c r="X59" s="1">
        <v>18.022559999999999</v>
      </c>
    </row>
    <row r="60" spans="1:24" x14ac:dyDescent="0.2">
      <c r="A60" t="s">
        <v>202</v>
      </c>
      <c r="B60">
        <v>0.30399999999999999</v>
      </c>
      <c r="C60" t="s">
        <v>203</v>
      </c>
      <c r="F60" s="1">
        <v>57</v>
      </c>
      <c r="G60" s="1" t="s">
        <v>49</v>
      </c>
      <c r="H60" s="1">
        <v>2019</v>
      </c>
      <c r="I60" s="1">
        <v>53448.55</v>
      </c>
      <c r="J60" s="1">
        <v>54965.95</v>
      </c>
      <c r="K60" s="1">
        <v>20885.814999999999</v>
      </c>
      <c r="L60" s="1">
        <v>31.2</v>
      </c>
      <c r="M60" s="1">
        <v>8.4149999999999991</v>
      </c>
      <c r="N60" s="1">
        <v>19.928999999999998</v>
      </c>
      <c r="O60" s="1">
        <v>5.3663800000000004</v>
      </c>
      <c r="P60" s="1">
        <v>67.733130000000003</v>
      </c>
      <c r="Q60" s="1">
        <v>19.70054</v>
      </c>
      <c r="R60" s="1">
        <v>2.0274464600000002</v>
      </c>
      <c r="S60" s="1">
        <v>1.10825492</v>
      </c>
      <c r="T60" s="1">
        <v>67382061</v>
      </c>
      <c r="U60" s="1">
        <v>9.9468259999999997</v>
      </c>
      <c r="V60" s="1">
        <v>10.886469999999999</v>
      </c>
      <c r="W60" s="1">
        <v>10.91447</v>
      </c>
      <c r="X60" s="1">
        <v>18.02589</v>
      </c>
    </row>
    <row r="61" spans="1:24" x14ac:dyDescent="0.2">
      <c r="A61" t="s">
        <v>204</v>
      </c>
      <c r="B61">
        <v>0.16009709999999999</v>
      </c>
      <c r="C61" t="s">
        <v>145</v>
      </c>
      <c r="F61" s="1">
        <v>58</v>
      </c>
      <c r="G61" s="1" t="s">
        <v>49</v>
      </c>
      <c r="H61" s="1">
        <v>2020</v>
      </c>
      <c r="I61" s="1">
        <v>49311.33</v>
      </c>
      <c r="J61" s="1">
        <v>50445.25</v>
      </c>
      <c r="K61" s="1">
        <v>19474.41</v>
      </c>
      <c r="L61" s="1">
        <v>30.7</v>
      </c>
      <c r="M61" s="1">
        <v>8.0090000000000003</v>
      </c>
      <c r="N61" s="1">
        <v>20.398</v>
      </c>
      <c r="O61" s="1">
        <v>5.6587100000000001</v>
      </c>
      <c r="P61" s="1">
        <v>68.870940000000004</v>
      </c>
      <c r="Q61" s="1">
        <v>20.978770000000001</v>
      </c>
      <c r="R61" s="1">
        <v>-7.4406458999999998</v>
      </c>
      <c r="S61" s="1">
        <v>0.47649884999999997</v>
      </c>
      <c r="T61" s="1">
        <v>67601110</v>
      </c>
      <c r="U61" s="1">
        <v>9.8768569999999993</v>
      </c>
      <c r="V61" s="1">
        <v>10.805910000000001</v>
      </c>
      <c r="W61" s="1">
        <v>10.82864</v>
      </c>
      <c r="X61" s="1">
        <v>18.029129999999999</v>
      </c>
    </row>
    <row r="62" spans="1:24" x14ac:dyDescent="0.2">
      <c r="A62" t="s">
        <v>205</v>
      </c>
      <c r="B62">
        <v>0.436</v>
      </c>
      <c r="C62" t="s">
        <v>199</v>
      </c>
      <c r="F62" s="1">
        <v>59</v>
      </c>
      <c r="G62" s="1" t="s">
        <v>49</v>
      </c>
      <c r="H62" s="1">
        <v>2021</v>
      </c>
      <c r="I62" s="1">
        <v>52517.34</v>
      </c>
      <c r="J62" s="1">
        <v>54159.91</v>
      </c>
      <c r="K62" s="1">
        <v>20424.578000000001</v>
      </c>
      <c r="L62" s="1">
        <v>31.5</v>
      </c>
      <c r="M62" s="1">
        <v>7.8710000000000004</v>
      </c>
      <c r="N62" s="1">
        <v>19.251999999999999</v>
      </c>
      <c r="O62" s="1">
        <v>5.41744</v>
      </c>
      <c r="P62" s="1">
        <v>69.939790000000002</v>
      </c>
      <c r="Q62" s="1">
        <v>22.93507</v>
      </c>
      <c r="R62" s="1">
        <v>6.88233783</v>
      </c>
      <c r="S62" s="1">
        <v>1.6423314099999999</v>
      </c>
      <c r="T62" s="1">
        <v>67842811</v>
      </c>
      <c r="U62" s="1">
        <v>9.9244939999999993</v>
      </c>
      <c r="V62" s="1">
        <v>10.8689</v>
      </c>
      <c r="W62" s="1">
        <v>10.899699999999999</v>
      </c>
      <c r="X62" s="1">
        <v>18.032699999999998</v>
      </c>
    </row>
    <row r="63" spans="1:24" x14ac:dyDescent="0.2">
      <c r="A63" t="s">
        <v>206</v>
      </c>
      <c r="B63">
        <v>0.29620000000000002</v>
      </c>
      <c r="C63" t="s">
        <v>207</v>
      </c>
      <c r="F63" s="1">
        <v>60</v>
      </c>
      <c r="G63" s="1" t="s">
        <v>49</v>
      </c>
      <c r="H63" s="1">
        <v>2022</v>
      </c>
      <c r="I63" s="1">
        <v>53673.81</v>
      </c>
      <c r="J63" s="1">
        <v>54557.3</v>
      </c>
      <c r="K63" s="1">
        <v>20996.606</v>
      </c>
      <c r="L63" s="1">
        <v>31.2</v>
      </c>
      <c r="M63" s="1">
        <v>7.3029999999999999</v>
      </c>
      <c r="N63" s="1">
        <v>17.856000000000002</v>
      </c>
      <c r="O63" s="1">
        <v>5.3243499999999999</v>
      </c>
      <c r="P63" s="1">
        <v>71.510729999999995</v>
      </c>
      <c r="Q63" s="1">
        <v>23.58888</v>
      </c>
      <c r="R63" s="1">
        <v>2.7167626399999998</v>
      </c>
      <c r="S63" s="1">
        <v>5.22236748</v>
      </c>
      <c r="T63" s="1">
        <v>68184457</v>
      </c>
      <c r="U63" s="1">
        <v>9.9521160000000002</v>
      </c>
      <c r="V63" s="1">
        <v>10.89068</v>
      </c>
      <c r="W63" s="1">
        <v>10.90701</v>
      </c>
      <c r="X63" s="1">
        <v>18.03773</v>
      </c>
    </row>
    <row r="64" spans="1:24" x14ac:dyDescent="0.2">
      <c r="A64" t="s">
        <v>208</v>
      </c>
      <c r="B64">
        <v>0.438</v>
      </c>
      <c r="C64" t="s">
        <v>209</v>
      </c>
      <c r="F64" s="1">
        <v>61</v>
      </c>
      <c r="G64" s="1" t="s">
        <v>50</v>
      </c>
      <c r="H64" s="1">
        <v>2018</v>
      </c>
      <c r="I64" s="1">
        <v>32722.33</v>
      </c>
      <c r="J64" s="1">
        <v>32569.79</v>
      </c>
      <c r="K64" s="1">
        <v>12990.215</v>
      </c>
      <c r="L64" s="1">
        <v>32.9</v>
      </c>
      <c r="M64" s="1">
        <v>19.178999999999998</v>
      </c>
      <c r="N64" s="1">
        <v>40.011000000000003</v>
      </c>
      <c r="O64" s="1">
        <v>3.57626</v>
      </c>
      <c r="P64" s="1">
        <v>140.95032</v>
      </c>
      <c r="Q64" s="1">
        <v>24.172640000000001</v>
      </c>
      <c r="R64" s="1">
        <v>2.0646720799999998</v>
      </c>
      <c r="S64" s="1">
        <v>0.62562141000000004</v>
      </c>
      <c r="T64" s="1">
        <v>10732882</v>
      </c>
      <c r="U64" s="1">
        <v>9.4719519999999999</v>
      </c>
      <c r="V64" s="1">
        <v>10.395810000000001</v>
      </c>
      <c r="W64" s="1">
        <v>10.39114</v>
      </c>
      <c r="X64" s="1">
        <v>16.18882</v>
      </c>
    </row>
    <row r="65" spans="1:24" x14ac:dyDescent="0.2">
      <c r="A65" t="s">
        <v>210</v>
      </c>
      <c r="B65">
        <v>0.59744520000000001</v>
      </c>
      <c r="C65" t="s">
        <v>145</v>
      </c>
      <c r="F65" s="1">
        <v>62</v>
      </c>
      <c r="G65" s="1" t="s">
        <v>50</v>
      </c>
      <c r="H65" s="1">
        <v>2019</v>
      </c>
      <c r="I65" s="1">
        <v>33502.75</v>
      </c>
      <c r="J65" s="1">
        <v>33391.11</v>
      </c>
      <c r="K65" s="1">
        <v>13343.849</v>
      </c>
      <c r="L65" s="1">
        <v>33.1</v>
      </c>
      <c r="M65" s="1">
        <v>17.045000000000002</v>
      </c>
      <c r="N65" s="1">
        <v>34.753999999999998</v>
      </c>
      <c r="O65" s="1">
        <v>3.5506199999999999</v>
      </c>
      <c r="P65" s="1">
        <v>143.96271999999999</v>
      </c>
      <c r="Q65" s="1">
        <v>24.40344</v>
      </c>
      <c r="R65" s="1">
        <v>2.27718065</v>
      </c>
      <c r="S65" s="1">
        <v>0.25300751999999999</v>
      </c>
      <c r="T65" s="1">
        <v>10721582</v>
      </c>
      <c r="U65" s="1">
        <v>9.4988109999999999</v>
      </c>
      <c r="V65" s="1">
        <v>10.41938</v>
      </c>
      <c r="W65" s="1">
        <v>10.416040000000001</v>
      </c>
      <c r="X65" s="1">
        <v>16.18777</v>
      </c>
    </row>
    <row r="66" spans="1:24" x14ac:dyDescent="0.2">
      <c r="A66" t="s">
        <v>211</v>
      </c>
      <c r="B66">
        <v>0.69894699999999998</v>
      </c>
      <c r="C66" t="s">
        <v>145</v>
      </c>
      <c r="F66" s="1">
        <v>63</v>
      </c>
      <c r="G66" s="1" t="s">
        <v>50</v>
      </c>
      <c r="H66" s="1">
        <v>2020</v>
      </c>
      <c r="I66" s="1">
        <v>30487.11</v>
      </c>
      <c r="J66" s="1">
        <v>30615.23</v>
      </c>
      <c r="K66" s="1">
        <v>12543.862999999999</v>
      </c>
      <c r="L66" s="1">
        <v>33.6</v>
      </c>
      <c r="M66" s="1">
        <v>15.898999999999999</v>
      </c>
      <c r="N66" s="1">
        <v>33.74</v>
      </c>
      <c r="O66" s="3" t="s">
        <v>26</v>
      </c>
      <c r="P66" s="1">
        <v>143.69334000000001</v>
      </c>
      <c r="Q66" s="1">
        <v>26.04354</v>
      </c>
      <c r="R66" s="1">
        <v>-9.1962314999999997</v>
      </c>
      <c r="S66" s="1">
        <v>-1.24798356</v>
      </c>
      <c r="T66" s="1">
        <v>10698599</v>
      </c>
      <c r="U66" s="1">
        <v>9.4369870000000002</v>
      </c>
      <c r="V66" s="1">
        <v>10.325060000000001</v>
      </c>
      <c r="W66" s="1">
        <v>10.32925</v>
      </c>
      <c r="X66" s="1">
        <v>16.18562</v>
      </c>
    </row>
    <row r="67" spans="1:24" x14ac:dyDescent="0.2">
      <c r="A67" t="s">
        <v>212</v>
      </c>
      <c r="B67">
        <v>0.432</v>
      </c>
      <c r="C67" t="s">
        <v>213</v>
      </c>
      <c r="F67" s="1">
        <v>64</v>
      </c>
      <c r="G67" s="1" t="s">
        <v>50</v>
      </c>
      <c r="H67" s="1">
        <v>2021</v>
      </c>
      <c r="I67" s="1">
        <v>33528.230000000003</v>
      </c>
      <c r="J67" s="1">
        <v>33288.92</v>
      </c>
      <c r="K67" s="1">
        <v>13342.574000000001</v>
      </c>
      <c r="L67" s="1">
        <v>32.9</v>
      </c>
      <c r="M67" s="1">
        <v>14.656000000000001</v>
      </c>
      <c r="N67" s="1">
        <v>35.39</v>
      </c>
      <c r="O67" s="3" t="s">
        <v>26</v>
      </c>
      <c r="P67" s="1">
        <v>150.60548</v>
      </c>
      <c r="Q67" s="1">
        <v>28.17586</v>
      </c>
      <c r="R67" s="1">
        <v>8.6544978599999993</v>
      </c>
      <c r="S67" s="1">
        <v>1.2238250100000001</v>
      </c>
      <c r="T67" s="1">
        <v>10570130</v>
      </c>
      <c r="U67" s="1">
        <v>9.4987150000000007</v>
      </c>
      <c r="V67" s="1">
        <v>10.42014</v>
      </c>
      <c r="W67" s="1">
        <v>10.412979999999999</v>
      </c>
      <c r="X67" s="1">
        <v>16.173539999999999</v>
      </c>
    </row>
    <row r="68" spans="1:24" x14ac:dyDescent="0.2">
      <c r="A68" t="s">
        <v>214</v>
      </c>
      <c r="B68">
        <v>0.35605949999999997</v>
      </c>
      <c r="C68" t="s">
        <v>145</v>
      </c>
      <c r="F68" s="1">
        <v>65</v>
      </c>
      <c r="G68" s="12" t="s">
        <v>50</v>
      </c>
      <c r="H68" s="12">
        <v>2022</v>
      </c>
      <c r="I68" s="12">
        <v>35828.18</v>
      </c>
      <c r="J68" s="12">
        <v>35348.379999999997</v>
      </c>
      <c r="K68" s="12">
        <v>14761.687</v>
      </c>
      <c r="L68" s="12">
        <v>33.4</v>
      </c>
      <c r="M68" s="12">
        <v>12.426</v>
      </c>
      <c r="N68" s="12">
        <v>31.29</v>
      </c>
      <c r="O68" s="12">
        <v>3.37548</v>
      </c>
      <c r="P68" s="12">
        <v>166.38955999999999</v>
      </c>
      <c r="Q68" s="12">
        <v>28.93045</v>
      </c>
      <c r="R68" s="12">
        <v>5.5219858100000003</v>
      </c>
      <c r="S68" s="12">
        <v>9.6452598100000007</v>
      </c>
      <c r="T68" s="12">
        <v>10437805</v>
      </c>
      <c r="U68" s="12">
        <v>9.5997900000000005</v>
      </c>
      <c r="V68" s="12">
        <v>10.48649</v>
      </c>
      <c r="W68" s="12">
        <v>10.47301</v>
      </c>
      <c r="X68" s="12">
        <v>16.16094</v>
      </c>
    </row>
    <row r="69" spans="1:24" x14ac:dyDescent="0.2">
      <c r="A69" t="s">
        <v>215</v>
      </c>
      <c r="B69">
        <v>0.4016885</v>
      </c>
      <c r="C69" t="s">
        <v>145</v>
      </c>
      <c r="F69" s="1">
        <v>66</v>
      </c>
      <c r="G69" s="1" t="s">
        <v>51</v>
      </c>
      <c r="H69" s="1">
        <v>2018</v>
      </c>
      <c r="I69" s="1">
        <v>33729.550000000003</v>
      </c>
      <c r="J69" s="1">
        <v>33858.660000000003</v>
      </c>
      <c r="K69" s="1">
        <v>8139.0339999999997</v>
      </c>
      <c r="L69" s="1">
        <v>29.7</v>
      </c>
      <c r="M69" s="1">
        <v>8.3219999999999992</v>
      </c>
      <c r="N69" s="1">
        <v>23.509</v>
      </c>
      <c r="O69" s="1">
        <v>3.9243299999999999</v>
      </c>
      <c r="P69" s="1">
        <v>72.862539999999996</v>
      </c>
      <c r="Q69" s="1">
        <v>17.9102</v>
      </c>
      <c r="R69" s="1">
        <v>2.9110714600000001</v>
      </c>
      <c r="S69" s="1">
        <v>1.5001250100000001</v>
      </c>
      <c r="T69" s="1">
        <v>3988775</v>
      </c>
      <c r="U69" s="1">
        <v>9.0044269999999997</v>
      </c>
      <c r="V69" s="1">
        <v>10.426130000000001</v>
      </c>
      <c r="W69" s="1">
        <v>10.42995</v>
      </c>
      <c r="X69" s="1">
        <v>15.19899</v>
      </c>
    </row>
    <row r="70" spans="1:24" x14ac:dyDescent="0.2">
      <c r="A70" t="s">
        <v>216</v>
      </c>
      <c r="B70">
        <v>0.56293360000000003</v>
      </c>
      <c r="C70" t="s">
        <v>145</v>
      </c>
      <c r="F70" s="1">
        <v>67</v>
      </c>
      <c r="G70" s="1" t="s">
        <v>51</v>
      </c>
      <c r="H70" s="1">
        <v>2019</v>
      </c>
      <c r="I70" s="1">
        <v>35122.800000000003</v>
      </c>
      <c r="J70" s="1">
        <v>35613.5</v>
      </c>
      <c r="K70" s="1">
        <v>8555.68</v>
      </c>
      <c r="L70" s="1">
        <v>28.9</v>
      </c>
      <c r="M70" s="1">
        <v>6.5510000000000002</v>
      </c>
      <c r="N70" s="1">
        <v>16.71</v>
      </c>
      <c r="O70" s="1">
        <v>3.94556</v>
      </c>
      <c r="P70" s="1">
        <v>74.050120000000007</v>
      </c>
      <c r="Q70" s="1">
        <v>18.036809999999999</v>
      </c>
      <c r="R70" s="1">
        <v>3.1024728499999998</v>
      </c>
      <c r="S70" s="1">
        <v>0.77182035000000004</v>
      </c>
      <c r="T70" s="1">
        <v>3949390</v>
      </c>
      <c r="U70" s="1">
        <v>9.0543510000000005</v>
      </c>
      <c r="V70" s="1">
        <v>10.466609999999999</v>
      </c>
      <c r="W70" s="1">
        <v>10.48048</v>
      </c>
      <c r="X70" s="1">
        <v>15.189069999999999</v>
      </c>
    </row>
    <row r="71" spans="1:24" x14ac:dyDescent="0.2">
      <c r="A71" t="s">
        <v>217</v>
      </c>
      <c r="B71">
        <v>0.33215620000000001</v>
      </c>
      <c r="C71" t="s">
        <v>145</v>
      </c>
      <c r="F71" s="1">
        <v>68</v>
      </c>
      <c r="G71" s="1" t="s">
        <v>51</v>
      </c>
      <c r="H71" s="1">
        <v>2020</v>
      </c>
      <c r="I71" s="1">
        <v>32493.4</v>
      </c>
      <c r="J71" s="1">
        <v>33254.699999999997</v>
      </c>
      <c r="K71" s="1">
        <v>8186.1790000000001</v>
      </c>
      <c r="L71" s="1">
        <v>29.5</v>
      </c>
      <c r="M71" s="1">
        <v>7.3890000000000002</v>
      </c>
      <c r="N71" s="1">
        <v>20.672999999999998</v>
      </c>
      <c r="O71" s="1">
        <v>4.40855</v>
      </c>
      <c r="P71" s="1">
        <v>74.738039999999998</v>
      </c>
      <c r="Q71" s="1">
        <v>18.826640000000001</v>
      </c>
      <c r="R71" s="1">
        <v>-8.3104699499999999</v>
      </c>
      <c r="S71" s="1">
        <v>0.15481137</v>
      </c>
      <c r="T71" s="1">
        <v>3914206</v>
      </c>
      <c r="U71" s="1">
        <v>9.0102019999999996</v>
      </c>
      <c r="V71" s="1">
        <v>10.38879</v>
      </c>
      <c r="W71" s="1">
        <v>10.411949999999999</v>
      </c>
      <c r="X71" s="1">
        <v>15.180120000000001</v>
      </c>
    </row>
    <row r="72" spans="1:24" x14ac:dyDescent="0.2">
      <c r="A72" t="s">
        <v>218</v>
      </c>
      <c r="B72">
        <v>0.26</v>
      </c>
      <c r="C72" t="s">
        <v>219</v>
      </c>
      <c r="F72" s="1">
        <v>69</v>
      </c>
      <c r="G72" s="1" t="s">
        <v>51</v>
      </c>
      <c r="H72" s="1">
        <v>2021</v>
      </c>
      <c r="I72" s="1">
        <v>36930.080000000002</v>
      </c>
      <c r="J72" s="1">
        <v>36691.35</v>
      </c>
      <c r="K72" s="1">
        <v>9148.4359999999997</v>
      </c>
      <c r="L72" s="1">
        <v>28.9</v>
      </c>
      <c r="M72" s="1">
        <v>7.4829999999999997</v>
      </c>
      <c r="N72" s="1">
        <v>21.542000000000002</v>
      </c>
      <c r="O72" s="1">
        <v>4.0916600000000001</v>
      </c>
      <c r="P72" s="1">
        <v>78.006789999999995</v>
      </c>
      <c r="Q72" s="1">
        <v>19.298690000000001</v>
      </c>
      <c r="R72" s="1">
        <v>12.63127413</v>
      </c>
      <c r="S72" s="1">
        <v>2.5545070000000001</v>
      </c>
      <c r="T72" s="1">
        <v>3878981</v>
      </c>
      <c r="U72" s="1">
        <v>9.1213379999999997</v>
      </c>
      <c r="V72" s="1">
        <v>10.516780000000001</v>
      </c>
      <c r="W72" s="1">
        <v>10.510300000000001</v>
      </c>
      <c r="X72" s="1">
        <v>15.17108</v>
      </c>
    </row>
    <row r="73" spans="1:24" x14ac:dyDescent="0.2">
      <c r="A73" t="s">
        <v>220</v>
      </c>
      <c r="B73">
        <v>0.18328739999999999</v>
      </c>
      <c r="C73" t="s">
        <v>145</v>
      </c>
      <c r="F73" s="1">
        <v>70</v>
      </c>
      <c r="G73" s="1" t="s">
        <v>51</v>
      </c>
      <c r="H73" s="1">
        <v>2022</v>
      </c>
      <c r="I73" s="1">
        <v>39863.910000000003</v>
      </c>
      <c r="J73" s="1">
        <v>38503.54</v>
      </c>
      <c r="K73" s="1">
        <v>9837.9509999999991</v>
      </c>
      <c r="L73" s="1">
        <v>30</v>
      </c>
      <c r="M73" s="1">
        <v>6.8109999999999999</v>
      </c>
      <c r="N73" s="1">
        <v>17.744</v>
      </c>
      <c r="O73" s="3" t="s">
        <v>26</v>
      </c>
      <c r="P73" s="1">
        <v>80.76267</v>
      </c>
      <c r="Q73" s="1">
        <v>19.69295</v>
      </c>
      <c r="R73" s="1">
        <v>7.29479115</v>
      </c>
      <c r="S73" s="1">
        <v>10.78058068</v>
      </c>
      <c r="T73" s="1">
        <v>3855641</v>
      </c>
      <c r="U73" s="1">
        <v>9.1940030000000004</v>
      </c>
      <c r="V73" s="1">
        <v>10.59323</v>
      </c>
      <c r="W73" s="1">
        <v>10.55851</v>
      </c>
      <c r="X73" s="1">
        <v>15.165050000000001</v>
      </c>
    </row>
    <row r="74" spans="1:24" x14ac:dyDescent="0.2">
      <c r="A74" t="s">
        <v>221</v>
      </c>
      <c r="B74">
        <v>0.45502559999999997</v>
      </c>
      <c r="C74" t="s">
        <v>145</v>
      </c>
      <c r="F74" s="1">
        <v>71</v>
      </c>
      <c r="G74" s="1" t="s">
        <v>52</v>
      </c>
      <c r="H74" s="1">
        <v>2018</v>
      </c>
      <c r="I74" s="1">
        <v>35798.04</v>
      </c>
      <c r="J74" s="1">
        <v>34695.29</v>
      </c>
      <c r="K74" s="1">
        <v>7325.1890000000003</v>
      </c>
      <c r="L74" s="3" t="s">
        <v>26</v>
      </c>
      <c r="M74" s="1">
        <v>3.6669999999999998</v>
      </c>
      <c r="N74" s="1">
        <v>10.115</v>
      </c>
      <c r="O74" s="1">
        <v>4.6056800000000004</v>
      </c>
      <c r="P74" s="1">
        <v>52.562939999999998</v>
      </c>
      <c r="Q74" s="1">
        <v>21.831050000000001</v>
      </c>
      <c r="R74" s="1">
        <v>5.6061381399999997</v>
      </c>
      <c r="S74" s="1">
        <v>2.8502479300000001</v>
      </c>
      <c r="T74" s="1">
        <v>9706964</v>
      </c>
      <c r="U74" s="1">
        <v>8.8990740000000006</v>
      </c>
      <c r="V74" s="1">
        <v>10.48565</v>
      </c>
      <c r="W74" s="1">
        <v>10.454359999999999</v>
      </c>
      <c r="X74" s="1">
        <v>16.088349999999998</v>
      </c>
    </row>
    <row r="75" spans="1:24" x14ac:dyDescent="0.2">
      <c r="A75" t="s">
        <v>222</v>
      </c>
      <c r="B75">
        <v>0.2494575</v>
      </c>
      <c r="C75" t="s">
        <v>145</v>
      </c>
      <c r="F75" s="1">
        <v>72</v>
      </c>
      <c r="G75" s="1" t="s">
        <v>52</v>
      </c>
      <c r="H75" s="1">
        <v>2019</v>
      </c>
      <c r="I75" s="1">
        <v>37662.68</v>
      </c>
      <c r="J75" s="1">
        <v>37071</v>
      </c>
      <c r="K75" s="1">
        <v>7714.4759999999997</v>
      </c>
      <c r="L75" s="3" t="s">
        <v>26</v>
      </c>
      <c r="M75" s="1">
        <v>3.411</v>
      </c>
      <c r="N75" s="1">
        <v>11.472</v>
      </c>
      <c r="O75" s="1">
        <v>4.2014100000000001</v>
      </c>
      <c r="P75" s="1">
        <v>54.212290000000003</v>
      </c>
      <c r="Q75" s="1">
        <v>22.632619999999999</v>
      </c>
      <c r="R75" s="1">
        <v>5.0771849500000004</v>
      </c>
      <c r="S75" s="1">
        <v>3.3385863499999999</v>
      </c>
      <c r="T75" s="1">
        <v>9694824</v>
      </c>
      <c r="U75" s="1">
        <v>8.9508539999999996</v>
      </c>
      <c r="V75" s="1">
        <v>10.53642</v>
      </c>
      <c r="W75" s="1">
        <v>10.52059</v>
      </c>
      <c r="X75" s="1">
        <v>16.0871</v>
      </c>
    </row>
    <row r="76" spans="1:24" x14ac:dyDescent="0.2">
      <c r="A76" t="s">
        <v>223</v>
      </c>
      <c r="B76">
        <v>0.13658600000000001</v>
      </c>
      <c r="C76" t="s">
        <v>145</v>
      </c>
      <c r="F76" s="1">
        <v>73</v>
      </c>
      <c r="G76" s="1" t="s">
        <v>52</v>
      </c>
      <c r="H76" s="1">
        <v>2020</v>
      </c>
      <c r="I76" s="1">
        <v>36119.519999999997</v>
      </c>
      <c r="J76" s="1">
        <v>36206.949999999997</v>
      </c>
      <c r="K76" s="1">
        <v>7746.7610000000004</v>
      </c>
      <c r="L76" s="3" t="s">
        <v>26</v>
      </c>
      <c r="M76" s="1">
        <v>4.2480000000000002</v>
      </c>
      <c r="N76" s="1">
        <v>12.882</v>
      </c>
      <c r="O76" s="1">
        <v>4.1226500000000001</v>
      </c>
      <c r="P76" s="1">
        <v>56.60718</v>
      </c>
      <c r="Q76" s="1">
        <v>24.08249</v>
      </c>
      <c r="R76" s="1">
        <v>-4.3387254000000004</v>
      </c>
      <c r="S76" s="1">
        <v>3.3267438600000001</v>
      </c>
      <c r="T76" s="1">
        <v>9670419</v>
      </c>
      <c r="U76" s="1">
        <v>8.9550300000000007</v>
      </c>
      <c r="V76" s="1">
        <v>10.494590000000001</v>
      </c>
      <c r="W76" s="1">
        <v>10.49701</v>
      </c>
      <c r="X76" s="1">
        <v>16.084579999999999</v>
      </c>
    </row>
    <row r="77" spans="1:24" x14ac:dyDescent="0.2">
      <c r="A77" t="s">
        <v>224</v>
      </c>
      <c r="B77">
        <v>0.51948919999999998</v>
      </c>
      <c r="C77" t="s">
        <v>145</v>
      </c>
      <c r="F77" s="1">
        <v>74</v>
      </c>
      <c r="G77" s="1" t="s">
        <v>52</v>
      </c>
      <c r="H77" s="1">
        <v>2021</v>
      </c>
      <c r="I77" s="1">
        <v>38887.19</v>
      </c>
      <c r="J77" s="1">
        <v>37736.1</v>
      </c>
      <c r="K77" s="1">
        <v>8185.25</v>
      </c>
      <c r="L77" s="3" t="s">
        <v>26</v>
      </c>
      <c r="M77" s="1">
        <v>4.0209999999999999</v>
      </c>
      <c r="N77" s="1">
        <v>13.548999999999999</v>
      </c>
      <c r="O77" s="1">
        <v>4.6540800000000004</v>
      </c>
      <c r="P77" s="1">
        <v>58.65361</v>
      </c>
      <c r="Q77" s="1">
        <v>25.826889999999999</v>
      </c>
      <c r="R77" s="1">
        <v>7.2229158099999999</v>
      </c>
      <c r="S77" s="1">
        <v>5.1109653399999999</v>
      </c>
      <c r="T77" s="1">
        <v>9630932</v>
      </c>
      <c r="U77" s="1">
        <v>9.0100890000000007</v>
      </c>
      <c r="V77" s="1">
        <v>10.56842</v>
      </c>
      <c r="W77" s="1">
        <v>10.53837</v>
      </c>
      <c r="X77" s="1">
        <v>16.080490000000001</v>
      </c>
    </row>
    <row r="78" spans="1:24" x14ac:dyDescent="0.2">
      <c r="A78" t="s">
        <v>225</v>
      </c>
      <c r="B78">
        <v>0.22739880000000001</v>
      </c>
      <c r="C78" t="s">
        <v>145</v>
      </c>
      <c r="F78" s="1">
        <v>75</v>
      </c>
      <c r="G78" s="1" t="s">
        <v>52</v>
      </c>
      <c r="H78" s="1">
        <v>2022</v>
      </c>
      <c r="I78" s="1">
        <v>40610.97</v>
      </c>
      <c r="J78" s="1">
        <v>37668.800000000003</v>
      </c>
      <c r="K78" s="1">
        <v>8749.4079999999994</v>
      </c>
      <c r="L78" s="3" t="s">
        <v>26</v>
      </c>
      <c r="M78" s="1">
        <v>3.5830000000000002</v>
      </c>
      <c r="N78" s="1">
        <v>10.541</v>
      </c>
      <c r="O78" s="1">
        <v>3.8012000000000001</v>
      </c>
      <c r="P78" s="1">
        <v>60.274679999999996</v>
      </c>
      <c r="Q78" s="1">
        <v>24.664719999999999</v>
      </c>
      <c r="R78" s="1">
        <v>4.15238058</v>
      </c>
      <c r="S78" s="1">
        <v>14.608143950000001</v>
      </c>
      <c r="T78" s="1">
        <v>9605074</v>
      </c>
      <c r="U78" s="1">
        <v>9.0767410000000002</v>
      </c>
      <c r="V78" s="1">
        <v>10.611789999999999</v>
      </c>
      <c r="W78" s="1">
        <v>10.53659</v>
      </c>
      <c r="X78" s="1">
        <v>16.0778</v>
      </c>
    </row>
    <row r="79" spans="1:24" x14ac:dyDescent="0.2">
      <c r="A79" t="s">
        <v>226</v>
      </c>
      <c r="B79">
        <v>0.88841619999999999</v>
      </c>
      <c r="C79" t="s">
        <v>145</v>
      </c>
      <c r="F79" s="1">
        <v>76</v>
      </c>
      <c r="G79" s="1" t="s">
        <v>246</v>
      </c>
      <c r="H79" s="1">
        <v>2018</v>
      </c>
      <c r="I79" s="1">
        <v>93115.839999999997</v>
      </c>
      <c r="J79" s="1">
        <v>72387.960000000006</v>
      </c>
      <c r="K79" s="1">
        <v>22241.173999999999</v>
      </c>
      <c r="L79" s="1">
        <v>30.6</v>
      </c>
      <c r="M79" s="1">
        <v>5.7409999999999997</v>
      </c>
      <c r="N79" s="1">
        <v>13.756</v>
      </c>
      <c r="O79" s="1">
        <v>3.30348</v>
      </c>
      <c r="P79" s="1">
        <v>76.760469999999998</v>
      </c>
      <c r="Q79" s="1">
        <v>35.153120000000001</v>
      </c>
      <c r="R79" s="1">
        <v>7.6886593699999999</v>
      </c>
      <c r="S79" s="1">
        <v>0.47113071000000001</v>
      </c>
      <c r="T79" s="1">
        <v>4898022</v>
      </c>
      <c r="U79" s="1">
        <v>10.009701</v>
      </c>
      <c r="V79" s="1">
        <v>11.441599999999999</v>
      </c>
      <c r="W79" s="1">
        <v>11.1898</v>
      </c>
      <c r="X79" s="1">
        <v>15.404339999999999</v>
      </c>
    </row>
    <row r="80" spans="1:24" x14ac:dyDescent="0.2">
      <c r="A80" t="s">
        <v>227</v>
      </c>
      <c r="B80">
        <v>0.27875349999999999</v>
      </c>
      <c r="C80" t="s">
        <v>145</v>
      </c>
      <c r="F80" s="1">
        <v>77</v>
      </c>
      <c r="G80" s="1" t="s">
        <v>246</v>
      </c>
      <c r="H80" s="1">
        <v>2019</v>
      </c>
      <c r="I80" s="1">
        <v>96205.8</v>
      </c>
      <c r="J80" s="1">
        <v>74731.740000000005</v>
      </c>
      <c r="K80" s="1">
        <v>22493.42</v>
      </c>
      <c r="L80" s="1">
        <v>30.3</v>
      </c>
      <c r="M80" s="1">
        <v>4.95</v>
      </c>
      <c r="N80" s="1">
        <v>12.457000000000001</v>
      </c>
      <c r="O80" s="1">
        <v>3.2298399999999998</v>
      </c>
      <c r="P80" s="1">
        <v>74.444580000000002</v>
      </c>
      <c r="Q80" s="1">
        <v>35.465699999999998</v>
      </c>
      <c r="R80" s="1">
        <v>4.9728800399999997</v>
      </c>
      <c r="S80" s="1">
        <v>0.93784296</v>
      </c>
      <c r="T80" s="1">
        <v>4976456</v>
      </c>
      <c r="U80" s="1">
        <v>10.020977999999999</v>
      </c>
      <c r="V80" s="1">
        <v>11.47424</v>
      </c>
      <c r="W80" s="1">
        <v>11.22166</v>
      </c>
      <c r="X80" s="1">
        <v>15.42023</v>
      </c>
    </row>
    <row r="81" spans="1:24" x14ac:dyDescent="0.2">
      <c r="A81" t="s">
        <v>228</v>
      </c>
      <c r="B81">
        <v>0.38644440000000002</v>
      </c>
      <c r="C81" t="s">
        <v>145</v>
      </c>
      <c r="F81" s="1">
        <v>78</v>
      </c>
      <c r="G81" s="1" t="s">
        <v>246</v>
      </c>
      <c r="H81" s="1">
        <v>2020</v>
      </c>
      <c r="I81" s="1">
        <v>101793.45</v>
      </c>
      <c r="J81" s="1">
        <v>75899.360000000001</v>
      </c>
      <c r="K81" s="1">
        <v>19947.806</v>
      </c>
      <c r="L81" s="1">
        <v>29.2</v>
      </c>
      <c r="M81" s="1">
        <v>5.6230000000000002</v>
      </c>
      <c r="N81" s="1">
        <v>15.263</v>
      </c>
      <c r="O81" s="1">
        <v>3.19164</v>
      </c>
      <c r="P81" s="1">
        <v>74.196200000000005</v>
      </c>
      <c r="Q81" s="1">
        <v>37.218710000000002</v>
      </c>
      <c r="R81" s="1">
        <v>7.1536950600000004</v>
      </c>
      <c r="S81" s="1">
        <v>-0.32618364999999999</v>
      </c>
      <c r="T81" s="1">
        <v>5039747</v>
      </c>
      <c r="U81" s="1">
        <v>9.900874</v>
      </c>
      <c r="V81" s="1">
        <v>11.5307</v>
      </c>
      <c r="W81" s="1">
        <v>11.237159999999999</v>
      </c>
      <c r="X81" s="1">
        <v>15.432869999999999</v>
      </c>
    </row>
    <row r="82" spans="1:24" x14ac:dyDescent="0.2">
      <c r="A82" t="s">
        <v>229</v>
      </c>
      <c r="B82">
        <v>0.59072570000000002</v>
      </c>
      <c r="C82" t="s">
        <v>145</v>
      </c>
      <c r="F82" s="1">
        <v>79</v>
      </c>
      <c r="G82" s="1" t="s">
        <v>246</v>
      </c>
      <c r="H82" s="1">
        <v>2021</v>
      </c>
      <c r="I82" s="1">
        <v>116702.86</v>
      </c>
      <c r="J82" s="1">
        <v>83261.02</v>
      </c>
      <c r="K82" s="1">
        <v>21436.248</v>
      </c>
      <c r="L82" s="1">
        <v>29.4</v>
      </c>
      <c r="M82" s="1">
        <v>6.3570000000000002</v>
      </c>
      <c r="N82" s="1">
        <v>15.612</v>
      </c>
      <c r="O82" s="1">
        <v>2.90462</v>
      </c>
      <c r="P82" s="1">
        <v>78.461330000000004</v>
      </c>
      <c r="Q82" s="1">
        <v>38.491480000000003</v>
      </c>
      <c r="R82" s="1">
        <v>16.25818812</v>
      </c>
      <c r="S82" s="1">
        <v>2.3403411300000001</v>
      </c>
      <c r="T82" s="1">
        <v>5110585</v>
      </c>
      <c r="U82" s="1">
        <v>9.9728390000000005</v>
      </c>
      <c r="V82" s="1">
        <v>11.667389999999999</v>
      </c>
      <c r="W82" s="1">
        <v>11.329739999999999</v>
      </c>
      <c r="X82" s="1">
        <v>15.446820000000001</v>
      </c>
    </row>
    <row r="83" spans="1:24" x14ac:dyDescent="0.2">
      <c r="A83" t="s">
        <v>230</v>
      </c>
      <c r="B83">
        <v>0.50249659999999996</v>
      </c>
      <c r="C83" t="s">
        <v>145</v>
      </c>
      <c r="F83" s="1">
        <v>80</v>
      </c>
      <c r="G83" s="1" t="s">
        <v>246</v>
      </c>
      <c r="H83" s="1">
        <v>2022</v>
      </c>
      <c r="I83" s="1">
        <v>123007.48</v>
      </c>
      <c r="J83" s="1">
        <v>84645.85</v>
      </c>
      <c r="K83" s="1">
        <v>23286.668000000001</v>
      </c>
      <c r="L83" s="1">
        <v>29.9</v>
      </c>
      <c r="M83" s="1">
        <v>4.4649999999999999</v>
      </c>
      <c r="N83" s="1">
        <v>9.3889999999999993</v>
      </c>
      <c r="O83" s="3" t="s">
        <v>26</v>
      </c>
      <c r="P83" s="1">
        <v>77.593339999999998</v>
      </c>
      <c r="Q83" s="1">
        <v>38.427819999999997</v>
      </c>
      <c r="R83" s="1">
        <v>7.5111388799999999</v>
      </c>
      <c r="S83" s="1">
        <v>7.8294573600000001</v>
      </c>
      <c r="T83" s="1">
        <v>5212836</v>
      </c>
      <c r="U83" s="1">
        <v>10.055636</v>
      </c>
      <c r="V83" s="1">
        <v>11.72</v>
      </c>
      <c r="W83" s="1">
        <v>11.34623</v>
      </c>
      <c r="X83" s="1">
        <v>15.46663</v>
      </c>
    </row>
    <row r="84" spans="1:24" x14ac:dyDescent="0.2">
      <c r="A84" t="s">
        <v>231</v>
      </c>
      <c r="B84">
        <v>0.42899999999999999</v>
      </c>
      <c r="C84" t="s">
        <v>232</v>
      </c>
      <c r="F84" s="1">
        <v>81</v>
      </c>
      <c r="G84" s="1" t="s">
        <v>247</v>
      </c>
      <c r="H84" s="1">
        <v>2018</v>
      </c>
      <c r="I84" s="1">
        <v>66703.02</v>
      </c>
      <c r="J84" s="1">
        <v>66741.600000000006</v>
      </c>
      <c r="K84" s="1">
        <v>28868.249</v>
      </c>
      <c r="L84" s="1">
        <v>26.6</v>
      </c>
      <c r="M84" s="1">
        <v>2.7040000000000002</v>
      </c>
      <c r="N84" s="1">
        <v>5.9020000000000001</v>
      </c>
      <c r="O84" s="1">
        <v>7.56351</v>
      </c>
      <c r="P84" s="1">
        <v>69.340230000000005</v>
      </c>
      <c r="Q84" s="1">
        <v>39.038800000000002</v>
      </c>
      <c r="R84" s="1">
        <v>4.6607703599999999</v>
      </c>
      <c r="S84" s="1">
        <v>2.6829176800000001</v>
      </c>
      <c r="T84" s="1">
        <v>352721</v>
      </c>
      <c r="U84" s="1">
        <v>10.270498</v>
      </c>
      <c r="V84" s="1">
        <v>11.10801</v>
      </c>
      <c r="W84" s="1">
        <v>11.10858</v>
      </c>
      <c r="X84" s="1">
        <v>12.773429999999999</v>
      </c>
    </row>
    <row r="85" spans="1:24" x14ac:dyDescent="0.2">
      <c r="A85" t="s">
        <v>233</v>
      </c>
      <c r="B85">
        <v>0.61388419999999999</v>
      </c>
      <c r="C85" t="s">
        <v>145</v>
      </c>
      <c r="F85" s="1">
        <v>82</v>
      </c>
      <c r="G85" s="1" t="s">
        <v>247</v>
      </c>
      <c r="H85" s="1">
        <v>2019</v>
      </c>
      <c r="I85" s="1">
        <v>65994.990000000005</v>
      </c>
      <c r="J85" s="1">
        <v>66859.960000000006</v>
      </c>
      <c r="K85" s="1">
        <v>28487.599999999999</v>
      </c>
      <c r="L85" s="1">
        <v>26.8</v>
      </c>
      <c r="M85" s="1">
        <v>3.5070000000000001</v>
      </c>
      <c r="N85" s="1">
        <v>8.4489999999999998</v>
      </c>
      <c r="O85" s="1">
        <v>7.6013000000000002</v>
      </c>
      <c r="P85" s="1">
        <v>70.609350000000006</v>
      </c>
      <c r="Q85" s="1">
        <v>36.142879999999998</v>
      </c>
      <c r="R85" s="1">
        <v>1.1382122699999999</v>
      </c>
      <c r="S85" s="1">
        <v>3.0139717899999998</v>
      </c>
      <c r="T85" s="1">
        <v>360563</v>
      </c>
      <c r="U85" s="1">
        <v>10.257224000000001</v>
      </c>
      <c r="V85" s="1">
        <v>11.097329999999999</v>
      </c>
      <c r="W85" s="1">
        <v>11.11036</v>
      </c>
      <c r="X85" s="1">
        <v>12.79542</v>
      </c>
    </row>
    <row r="86" spans="1:24" x14ac:dyDescent="0.2">
      <c r="A86" t="s">
        <v>234</v>
      </c>
      <c r="B86">
        <v>0.34356310000000001</v>
      </c>
      <c r="C86" t="s">
        <v>145</v>
      </c>
      <c r="F86" s="1">
        <v>83</v>
      </c>
      <c r="G86" s="1" t="s">
        <v>247</v>
      </c>
      <c r="H86" s="1">
        <v>2020</v>
      </c>
      <c r="I86" s="1">
        <v>60617.14</v>
      </c>
      <c r="J86" s="1">
        <v>61565.760000000002</v>
      </c>
      <c r="K86" s="1">
        <v>27340.707999999999</v>
      </c>
      <c r="L86" s="3" t="s">
        <v>26</v>
      </c>
      <c r="M86" s="1">
        <v>5.4779999999999998</v>
      </c>
      <c r="N86" s="1">
        <v>9.8719999999999999</v>
      </c>
      <c r="O86" s="1">
        <v>8.5838099999999997</v>
      </c>
      <c r="P86" s="1">
        <v>74.590609999999998</v>
      </c>
      <c r="Q86" s="1">
        <v>36.618310000000001</v>
      </c>
      <c r="R86" s="1">
        <v>-6.6458781</v>
      </c>
      <c r="S86" s="1">
        <v>2.8479240199999998</v>
      </c>
      <c r="T86" s="1">
        <v>366463</v>
      </c>
      <c r="U86" s="1">
        <v>10.216132</v>
      </c>
      <c r="V86" s="1">
        <v>11.01233</v>
      </c>
      <c r="W86" s="1">
        <v>11.02786</v>
      </c>
      <c r="X86" s="1">
        <v>12.81165</v>
      </c>
    </row>
    <row r="87" spans="1:24" x14ac:dyDescent="0.2">
      <c r="A87" t="s">
        <v>235</v>
      </c>
      <c r="B87">
        <v>0.41082659999999999</v>
      </c>
      <c r="C87" t="s">
        <v>145</v>
      </c>
      <c r="F87" s="1">
        <v>84</v>
      </c>
      <c r="G87" s="1" t="s">
        <v>247</v>
      </c>
      <c r="H87" s="1">
        <v>2021</v>
      </c>
      <c r="I87" s="1">
        <v>62720.79</v>
      </c>
      <c r="J87" s="1">
        <v>62656.7</v>
      </c>
      <c r="K87" s="1">
        <v>29086.627</v>
      </c>
      <c r="L87" s="3" t="s">
        <v>26</v>
      </c>
      <c r="M87" s="1">
        <v>6.0289999999999999</v>
      </c>
      <c r="N87" s="1">
        <v>11.831</v>
      </c>
      <c r="O87" s="1">
        <v>8.2265800000000002</v>
      </c>
      <c r="P87" s="1">
        <v>86.523210000000006</v>
      </c>
      <c r="Q87" s="3" t="s">
        <v>26</v>
      </c>
      <c r="R87" s="1">
        <v>5.1805719100000003</v>
      </c>
      <c r="S87" s="1">
        <v>4.4442396999999998</v>
      </c>
      <c r="T87" s="1">
        <v>372520</v>
      </c>
      <c r="U87" s="1">
        <v>10.278034</v>
      </c>
      <c r="V87" s="1">
        <v>11.04645</v>
      </c>
      <c r="W87" s="1">
        <v>11.04543</v>
      </c>
      <c r="X87" s="1">
        <v>12.828049999999999</v>
      </c>
    </row>
    <row r="88" spans="1:24" x14ac:dyDescent="0.2">
      <c r="A88" t="s">
        <v>236</v>
      </c>
      <c r="B88">
        <v>0.76196909999999995</v>
      </c>
      <c r="C88" t="s">
        <v>145</v>
      </c>
      <c r="F88" s="1">
        <v>85</v>
      </c>
      <c r="G88" s="1" t="s">
        <v>247</v>
      </c>
      <c r="H88" s="1">
        <v>2022</v>
      </c>
      <c r="I88" s="1">
        <v>66581.240000000005</v>
      </c>
      <c r="J88" s="1">
        <v>66570.86</v>
      </c>
      <c r="K88" s="1">
        <v>30522.993999999999</v>
      </c>
      <c r="L88" s="3" t="s">
        <v>26</v>
      </c>
      <c r="M88" s="1">
        <v>3.7890000000000001</v>
      </c>
      <c r="N88" s="1">
        <v>8.4209999999999994</v>
      </c>
      <c r="O88" s="1">
        <v>7.3079799999999997</v>
      </c>
      <c r="P88" s="1">
        <v>84.985240000000005</v>
      </c>
      <c r="Q88" s="1">
        <v>34.237960000000001</v>
      </c>
      <c r="R88" s="1">
        <v>8.8572989799999995</v>
      </c>
      <c r="S88" s="1">
        <v>8.3087551200000007</v>
      </c>
      <c r="T88" s="1">
        <v>382003</v>
      </c>
      <c r="U88" s="1">
        <v>10.326236</v>
      </c>
      <c r="V88" s="1">
        <v>11.10618</v>
      </c>
      <c r="W88" s="1">
        <v>11.106019999999999</v>
      </c>
      <c r="X88" s="1">
        <v>12.85318</v>
      </c>
    </row>
    <row r="89" spans="1:24" x14ac:dyDescent="0.2">
      <c r="A89" t="s">
        <v>237</v>
      </c>
      <c r="B89">
        <v>0.70496840000000005</v>
      </c>
      <c r="C89" t="s">
        <v>145</v>
      </c>
      <c r="F89" s="1">
        <v>86</v>
      </c>
      <c r="G89" s="1" t="s">
        <v>53</v>
      </c>
      <c r="H89" s="1">
        <v>2018</v>
      </c>
      <c r="I89" s="1">
        <v>49355.88</v>
      </c>
      <c r="J89" s="1">
        <v>49980.41</v>
      </c>
      <c r="K89" s="1">
        <v>19178.692999999999</v>
      </c>
      <c r="L89" s="1">
        <v>35.200000000000003</v>
      </c>
      <c r="M89" s="1">
        <v>10.538</v>
      </c>
      <c r="N89" s="1">
        <v>32.185000000000002</v>
      </c>
      <c r="O89" s="1">
        <v>4.2409400000000002</v>
      </c>
      <c r="P89" s="1">
        <v>64.47533</v>
      </c>
      <c r="Q89" s="1">
        <v>16.179269999999999</v>
      </c>
      <c r="R89" s="1">
        <v>0.82664671000000001</v>
      </c>
      <c r="S89" s="1">
        <v>1.13748764</v>
      </c>
      <c r="T89" s="1">
        <v>59877221</v>
      </c>
      <c r="U89" s="1">
        <v>9.8615549999999992</v>
      </c>
      <c r="V89" s="1">
        <v>10.80681</v>
      </c>
      <c r="W89" s="1">
        <v>10.81939</v>
      </c>
      <c r="X89" s="1">
        <v>17.907810000000001</v>
      </c>
    </row>
    <row r="90" spans="1:24" x14ac:dyDescent="0.2">
      <c r="F90" s="1">
        <v>87</v>
      </c>
      <c r="G90" s="1" t="s">
        <v>53</v>
      </c>
      <c r="H90" s="1">
        <v>2019</v>
      </c>
      <c r="I90" s="1">
        <v>49690.63</v>
      </c>
      <c r="J90" s="1">
        <v>50267.29</v>
      </c>
      <c r="K90" s="1">
        <v>19222.304</v>
      </c>
      <c r="L90" s="1">
        <v>34.6</v>
      </c>
      <c r="M90" s="1">
        <v>9.8840000000000003</v>
      </c>
      <c r="N90" s="1">
        <v>29.102</v>
      </c>
      <c r="O90" s="1">
        <v>4.07843</v>
      </c>
      <c r="P90" s="1">
        <v>65.689509999999999</v>
      </c>
      <c r="Q90" s="1">
        <v>16.45919</v>
      </c>
      <c r="R90" s="1">
        <v>0.42916252999999999</v>
      </c>
      <c r="S90" s="1">
        <v>0.61124694000000002</v>
      </c>
      <c r="T90" s="1">
        <v>59729081</v>
      </c>
      <c r="U90" s="1">
        <v>9.8638270000000006</v>
      </c>
      <c r="V90" s="1">
        <v>10.81357</v>
      </c>
      <c r="W90" s="1">
        <v>10.82511</v>
      </c>
      <c r="X90" s="1">
        <v>17.905329999999999</v>
      </c>
    </row>
    <row r="91" spans="1:24" x14ac:dyDescent="0.2">
      <c r="F91" s="1">
        <v>88</v>
      </c>
      <c r="G91" s="1" t="s">
        <v>53</v>
      </c>
      <c r="H91" s="1">
        <v>2020</v>
      </c>
      <c r="I91" s="1">
        <v>45505.07</v>
      </c>
      <c r="J91" s="1">
        <v>46658.36</v>
      </c>
      <c r="K91" s="1">
        <v>17271.436000000002</v>
      </c>
      <c r="L91" s="1">
        <v>35.200000000000003</v>
      </c>
      <c r="M91" s="1">
        <v>9.1920000000000002</v>
      </c>
      <c r="N91" s="1">
        <v>29.629000000000001</v>
      </c>
      <c r="O91" s="1">
        <v>4.4180400000000004</v>
      </c>
      <c r="P91" s="1">
        <v>68.723110000000005</v>
      </c>
      <c r="Q91" s="1">
        <v>16.54598</v>
      </c>
      <c r="R91" s="1">
        <v>-8.8682212200000006</v>
      </c>
      <c r="S91" s="1">
        <v>-0.13770757</v>
      </c>
      <c r="T91" s="1">
        <v>59438851</v>
      </c>
      <c r="U91" s="1">
        <v>9.7568090000000005</v>
      </c>
      <c r="V91" s="1">
        <v>10.725580000000001</v>
      </c>
      <c r="W91" s="1">
        <v>10.75061</v>
      </c>
      <c r="X91" s="1">
        <v>17.900459999999999</v>
      </c>
    </row>
    <row r="92" spans="1:24" x14ac:dyDescent="0.2">
      <c r="F92" s="1">
        <v>89</v>
      </c>
      <c r="G92" s="1" t="s">
        <v>53</v>
      </c>
      <c r="H92" s="1">
        <v>2021</v>
      </c>
      <c r="I92" s="1">
        <v>49825.39</v>
      </c>
      <c r="J92" s="1">
        <v>50378.03</v>
      </c>
      <c r="K92" s="1">
        <v>18372.739000000001</v>
      </c>
      <c r="L92" s="1">
        <v>34.799999999999997</v>
      </c>
      <c r="M92" s="1">
        <v>9.4969999999999999</v>
      </c>
      <c r="N92" s="1">
        <v>29.664999999999999</v>
      </c>
      <c r="O92" s="1">
        <v>4.1711900000000002</v>
      </c>
      <c r="P92" s="1">
        <v>71.274519999999995</v>
      </c>
      <c r="Q92" s="1">
        <v>16.29552</v>
      </c>
      <c r="R92" s="1">
        <v>8.9310621099999992</v>
      </c>
      <c r="S92" s="1">
        <v>1.87378326</v>
      </c>
      <c r="T92" s="1">
        <v>59133173</v>
      </c>
      <c r="U92" s="1">
        <v>9.8186230000000005</v>
      </c>
      <c r="V92" s="1">
        <v>10.816280000000001</v>
      </c>
      <c r="W92" s="1">
        <v>10.827310000000001</v>
      </c>
      <c r="X92" s="1">
        <v>17.895299999999999</v>
      </c>
    </row>
    <row r="93" spans="1:24" x14ac:dyDescent="0.2">
      <c r="F93" s="1">
        <v>90</v>
      </c>
      <c r="G93" s="1" t="s">
        <v>53</v>
      </c>
      <c r="H93" s="1">
        <v>2022</v>
      </c>
      <c r="I93" s="1">
        <v>52333.33</v>
      </c>
      <c r="J93" s="1">
        <v>51198.58</v>
      </c>
      <c r="K93" s="1">
        <v>19380.042000000001</v>
      </c>
      <c r="L93" s="1">
        <v>33.700000000000003</v>
      </c>
      <c r="M93" s="1">
        <v>8.0690000000000008</v>
      </c>
      <c r="N93" s="1">
        <v>23.704000000000001</v>
      </c>
      <c r="O93" s="1">
        <v>4.0677599999999998</v>
      </c>
      <c r="P93" s="1">
        <v>73.896209999999996</v>
      </c>
      <c r="Q93" s="1">
        <v>16.490169999999999</v>
      </c>
      <c r="R93" s="1">
        <v>4.8211766999999996</v>
      </c>
      <c r="S93" s="1">
        <v>8.2012899099999998</v>
      </c>
      <c r="T93" s="1">
        <v>59013667</v>
      </c>
      <c r="U93" s="1">
        <v>9.8719990000000006</v>
      </c>
      <c r="V93" s="1">
        <v>10.86539</v>
      </c>
      <c r="W93" s="1">
        <v>10.84347</v>
      </c>
      <c r="X93" s="1">
        <v>17.893280000000001</v>
      </c>
    </row>
    <row r="94" spans="1:24" x14ac:dyDescent="0.2">
      <c r="F94" s="1">
        <v>91</v>
      </c>
      <c r="G94" s="1" t="s">
        <v>248</v>
      </c>
      <c r="H94" s="1">
        <v>2018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1">
        <v>38.300269999999998</v>
      </c>
      <c r="Q94" s="3" t="s">
        <v>26</v>
      </c>
      <c r="R94" s="3" t="s">
        <v>26</v>
      </c>
      <c r="S94" s="3" t="s">
        <v>26</v>
      </c>
      <c r="T94" s="1">
        <v>38246</v>
      </c>
      <c r="U94" s="3" t="s">
        <v>26</v>
      </c>
      <c r="V94" s="3" t="s">
        <v>26</v>
      </c>
      <c r="W94" s="3" t="s">
        <v>26</v>
      </c>
      <c r="X94" s="1">
        <v>10.55179</v>
      </c>
    </row>
    <row r="95" spans="1:24" x14ac:dyDescent="0.2">
      <c r="F95" s="1">
        <v>92</v>
      </c>
      <c r="G95" s="1" t="s">
        <v>248</v>
      </c>
      <c r="H95" s="1">
        <v>2019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1">
        <v>41.165840000000003</v>
      </c>
      <c r="Q95" s="3" t="s">
        <v>26</v>
      </c>
      <c r="R95" s="3" t="s">
        <v>26</v>
      </c>
      <c r="S95" s="3" t="s">
        <v>26</v>
      </c>
      <c r="T95" s="1">
        <v>38563</v>
      </c>
      <c r="U95" s="3" t="s">
        <v>26</v>
      </c>
      <c r="V95" s="3" t="s">
        <v>26</v>
      </c>
      <c r="W95" s="3" t="s">
        <v>26</v>
      </c>
      <c r="X95" s="1">
        <v>10.56005</v>
      </c>
    </row>
    <row r="96" spans="1:24" x14ac:dyDescent="0.2">
      <c r="F96" s="1">
        <v>93</v>
      </c>
      <c r="G96" s="1" t="s">
        <v>248</v>
      </c>
      <c r="H96" s="1">
        <v>2020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1">
        <v>42.598610000000001</v>
      </c>
      <c r="Q96" s="3" t="s">
        <v>26</v>
      </c>
      <c r="R96" s="3" t="s">
        <v>26</v>
      </c>
      <c r="S96" s="3" t="s">
        <v>26</v>
      </c>
      <c r="T96" s="1">
        <v>38901</v>
      </c>
      <c r="U96" s="3" t="s">
        <v>26</v>
      </c>
      <c r="V96" s="3" t="s">
        <v>26</v>
      </c>
      <c r="W96" s="3" t="s">
        <v>26</v>
      </c>
      <c r="X96" s="1">
        <v>10.56878</v>
      </c>
    </row>
    <row r="97" spans="6:24" x14ac:dyDescent="0.2">
      <c r="F97" s="1">
        <v>94</v>
      </c>
      <c r="G97" s="1" t="s">
        <v>248</v>
      </c>
      <c r="H97" s="1">
        <v>2021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1">
        <v>46.01896</v>
      </c>
      <c r="Q97" s="3" t="s">
        <v>26</v>
      </c>
      <c r="R97" s="3" t="s">
        <v>26</v>
      </c>
      <c r="S97" s="3" t="s">
        <v>26</v>
      </c>
      <c r="T97" s="1">
        <v>39182</v>
      </c>
      <c r="U97" s="3" t="s">
        <v>26</v>
      </c>
      <c r="V97" s="3" t="s">
        <v>26</v>
      </c>
      <c r="W97" s="3" t="s">
        <v>26</v>
      </c>
      <c r="X97" s="1">
        <v>10.57597</v>
      </c>
    </row>
    <row r="98" spans="6:24" x14ac:dyDescent="0.2">
      <c r="F98" s="1">
        <v>95</v>
      </c>
      <c r="G98" s="1" t="s">
        <v>248</v>
      </c>
      <c r="H98" s="1">
        <v>2022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T98" s="1">
        <v>39493</v>
      </c>
      <c r="U98" s="3" t="s">
        <v>26</v>
      </c>
      <c r="V98" s="3" t="s">
        <v>26</v>
      </c>
      <c r="W98" s="3" t="s">
        <v>26</v>
      </c>
      <c r="X98" s="1">
        <v>10.583880000000001</v>
      </c>
    </row>
    <row r="99" spans="6:24" x14ac:dyDescent="0.2">
      <c r="F99" s="1">
        <v>96</v>
      </c>
      <c r="G99" s="1" t="s">
        <v>54</v>
      </c>
      <c r="H99" s="1">
        <v>2018</v>
      </c>
      <c r="I99" s="1">
        <v>41035.4</v>
      </c>
      <c r="J99" s="1">
        <v>40970.79</v>
      </c>
      <c r="K99" s="1">
        <v>10006.189</v>
      </c>
      <c r="L99" s="1">
        <v>35.700000000000003</v>
      </c>
      <c r="M99" s="1">
        <v>6.1470000000000002</v>
      </c>
      <c r="N99" s="1">
        <v>11.117000000000001</v>
      </c>
      <c r="O99" s="1">
        <v>3.8562799999999999</v>
      </c>
      <c r="P99" s="1">
        <v>77.357770000000002</v>
      </c>
      <c r="Q99" s="1">
        <v>35.951689999999999</v>
      </c>
      <c r="R99" s="1">
        <v>4.9183678000000004</v>
      </c>
      <c r="S99" s="1">
        <v>2.69792779</v>
      </c>
      <c r="T99" s="1">
        <v>2819200</v>
      </c>
      <c r="U99" s="1">
        <v>9.2109590000000008</v>
      </c>
      <c r="V99" s="1">
        <v>10.62219</v>
      </c>
      <c r="W99" s="1">
        <v>10.620609999999999</v>
      </c>
      <c r="X99" s="1">
        <v>14.85196</v>
      </c>
    </row>
    <row r="100" spans="6:24" x14ac:dyDescent="0.2">
      <c r="F100" s="1">
        <v>97</v>
      </c>
      <c r="G100" s="1" t="s">
        <v>54</v>
      </c>
      <c r="H100" s="1">
        <v>2019</v>
      </c>
      <c r="I100" s="1">
        <v>43078.71</v>
      </c>
      <c r="J100" s="1">
        <v>43233.96</v>
      </c>
      <c r="K100" s="1">
        <v>10317.959000000001</v>
      </c>
      <c r="L100" s="1">
        <v>35.299999999999997</v>
      </c>
      <c r="M100" s="1">
        <v>6.2549999999999999</v>
      </c>
      <c r="N100" s="1">
        <v>11.85</v>
      </c>
      <c r="O100" s="1">
        <v>3.9415499999999999</v>
      </c>
      <c r="P100" s="1">
        <v>75.094229999999996</v>
      </c>
      <c r="Q100" s="1">
        <v>37.327370000000002</v>
      </c>
      <c r="R100" s="1">
        <v>4.67735184</v>
      </c>
      <c r="S100" s="1">
        <v>2.3345093800000001</v>
      </c>
      <c r="T100" s="1">
        <v>2811089</v>
      </c>
      <c r="U100" s="1">
        <v>9.2416409999999996</v>
      </c>
      <c r="V100" s="1">
        <v>10.670780000000001</v>
      </c>
      <c r="W100" s="1">
        <v>10.674379999999999</v>
      </c>
      <c r="X100" s="1">
        <v>14.849080000000001</v>
      </c>
    </row>
    <row r="101" spans="6:24" x14ac:dyDescent="0.2">
      <c r="F101" s="1">
        <v>98</v>
      </c>
      <c r="G101" s="1" t="s">
        <v>54</v>
      </c>
      <c r="H101" s="1">
        <v>2020</v>
      </c>
      <c r="I101" s="1">
        <v>43108.2</v>
      </c>
      <c r="J101" s="1">
        <v>43761.65</v>
      </c>
      <c r="K101" s="1">
        <v>9992.1280000000006</v>
      </c>
      <c r="L101" s="1">
        <v>36</v>
      </c>
      <c r="M101" s="1">
        <v>8.4870000000000001</v>
      </c>
      <c r="N101" s="1">
        <v>19.556000000000001</v>
      </c>
      <c r="O101" s="1">
        <v>4.4734800000000003</v>
      </c>
      <c r="P101" s="1">
        <v>73.589290000000005</v>
      </c>
      <c r="Q101" s="1">
        <v>38.103459999999998</v>
      </c>
      <c r="R101" s="1">
        <v>4.2815829999999999E-2</v>
      </c>
      <c r="S101" s="1">
        <v>1.1998944499999999</v>
      </c>
      <c r="T101" s="1">
        <v>2810369</v>
      </c>
      <c r="U101" s="1">
        <v>9.2095529999999997</v>
      </c>
      <c r="V101" s="1">
        <v>10.671469999999999</v>
      </c>
      <c r="W101" s="1">
        <v>10.68651</v>
      </c>
      <c r="X101" s="1">
        <v>14.84883</v>
      </c>
    </row>
    <row r="102" spans="6:24" x14ac:dyDescent="0.2">
      <c r="F102" s="1">
        <v>99</v>
      </c>
      <c r="G102" s="1" t="s">
        <v>54</v>
      </c>
      <c r="H102" s="1">
        <v>2021</v>
      </c>
      <c r="I102" s="1">
        <v>45897.37</v>
      </c>
      <c r="J102" s="1">
        <v>44359.16</v>
      </c>
      <c r="K102" s="1">
        <v>10805.290999999999</v>
      </c>
      <c r="L102" s="1">
        <v>36.700000000000003</v>
      </c>
      <c r="M102" s="1">
        <v>7.1120000000000001</v>
      </c>
      <c r="N102" s="1">
        <v>14.304</v>
      </c>
      <c r="O102" s="1">
        <v>4.2397799999999997</v>
      </c>
      <c r="P102" s="1">
        <v>75.031469999999999</v>
      </c>
      <c r="Q102" s="1">
        <v>36.247309999999999</v>
      </c>
      <c r="R102" s="1">
        <v>6.3948177299999998</v>
      </c>
      <c r="S102" s="1">
        <v>4.68354421</v>
      </c>
      <c r="T102" s="1">
        <v>2808380</v>
      </c>
      <c r="U102" s="1">
        <v>9.2877910000000004</v>
      </c>
      <c r="V102" s="1">
        <v>10.734159999999999</v>
      </c>
      <c r="W102" s="1">
        <v>10.70007</v>
      </c>
      <c r="X102" s="1">
        <v>14.84812</v>
      </c>
    </row>
    <row r="103" spans="6:24" x14ac:dyDescent="0.2">
      <c r="F103" s="1">
        <v>100</v>
      </c>
      <c r="G103" s="1" t="s">
        <v>54</v>
      </c>
      <c r="H103" s="1">
        <v>2022</v>
      </c>
      <c r="I103" s="1">
        <v>46642.59</v>
      </c>
      <c r="J103" s="1">
        <v>42158.68</v>
      </c>
      <c r="K103" s="1">
        <v>10914.933000000001</v>
      </c>
      <c r="L103" s="1">
        <v>36.6</v>
      </c>
      <c r="M103" s="1">
        <v>5.9550000000000001</v>
      </c>
      <c r="N103" s="1">
        <v>11.872999999999999</v>
      </c>
      <c r="O103" s="1">
        <v>4.2528499999999996</v>
      </c>
      <c r="P103" s="1">
        <v>76.915459999999996</v>
      </c>
      <c r="Q103" s="1">
        <v>41.414949999999997</v>
      </c>
      <c r="R103" s="1">
        <v>2.4653201299999998</v>
      </c>
      <c r="S103" s="1">
        <v>19.705046150000001</v>
      </c>
      <c r="T103" s="1">
        <v>2831639</v>
      </c>
      <c r="U103" s="1">
        <v>9.2978869999999993</v>
      </c>
      <c r="V103" s="1">
        <v>10.75027</v>
      </c>
      <c r="W103" s="1">
        <v>10.6492</v>
      </c>
      <c r="X103" s="1">
        <v>14.85637</v>
      </c>
    </row>
    <row r="104" spans="6:24" x14ac:dyDescent="0.2">
      <c r="F104" s="1">
        <v>101</v>
      </c>
      <c r="G104" s="1" t="s">
        <v>55</v>
      </c>
      <c r="H104" s="1">
        <v>2018</v>
      </c>
      <c r="I104" s="1">
        <v>131733.88</v>
      </c>
      <c r="J104" s="1">
        <v>90495.52</v>
      </c>
      <c r="K104" s="1">
        <v>35261.944000000003</v>
      </c>
      <c r="L104" s="1">
        <v>35.4</v>
      </c>
      <c r="M104" s="1">
        <v>5.5890000000000004</v>
      </c>
      <c r="N104" s="1">
        <v>14.18</v>
      </c>
      <c r="O104" s="1">
        <v>3.6577199999999999</v>
      </c>
      <c r="P104" s="1">
        <v>19.39152</v>
      </c>
      <c r="Q104" s="1">
        <v>35.301870000000001</v>
      </c>
      <c r="R104" s="1">
        <v>1.6112989099999999</v>
      </c>
      <c r="S104" s="1">
        <v>1.5281952400000001</v>
      </c>
      <c r="T104" s="1">
        <v>607950</v>
      </c>
      <c r="U104" s="1">
        <v>10.470560000000001</v>
      </c>
      <c r="V104" s="1">
        <v>11.788539999999999</v>
      </c>
      <c r="W104" s="1">
        <v>11.41306</v>
      </c>
      <c r="X104" s="1">
        <v>13.31785</v>
      </c>
    </row>
    <row r="105" spans="6:24" x14ac:dyDescent="0.2">
      <c r="F105" s="1">
        <v>102</v>
      </c>
      <c r="G105" s="1" t="s">
        <v>55</v>
      </c>
      <c r="H105" s="1">
        <v>2019</v>
      </c>
      <c r="I105" s="1">
        <v>132724.75</v>
      </c>
      <c r="J105" s="1">
        <v>86258.7</v>
      </c>
      <c r="K105" s="1">
        <v>35338.423000000003</v>
      </c>
      <c r="L105" s="1">
        <v>34.200000000000003</v>
      </c>
      <c r="M105" s="1">
        <v>5.5919999999999996</v>
      </c>
      <c r="N105" s="1">
        <v>16.975000000000001</v>
      </c>
      <c r="O105" s="1">
        <v>3.73705</v>
      </c>
      <c r="P105" s="1">
        <v>19.39695</v>
      </c>
      <c r="Q105" s="1">
        <v>37.12565</v>
      </c>
      <c r="R105" s="1">
        <v>2.7493209200000002</v>
      </c>
      <c r="S105" s="1">
        <v>1.74332076</v>
      </c>
      <c r="T105" s="1">
        <v>620001</v>
      </c>
      <c r="U105" s="1">
        <v>10.472726</v>
      </c>
      <c r="V105" s="1">
        <v>11.79603</v>
      </c>
      <c r="W105" s="1">
        <v>11.36511</v>
      </c>
      <c r="X105" s="1">
        <v>13.337479999999999</v>
      </c>
    </row>
    <row r="106" spans="6:24" x14ac:dyDescent="0.2">
      <c r="F106" s="1">
        <v>103</v>
      </c>
      <c r="G106" s="1" t="s">
        <v>55</v>
      </c>
      <c r="H106" s="1">
        <v>2020</v>
      </c>
      <c r="I106" s="1">
        <v>129865.63</v>
      </c>
      <c r="J106" s="1">
        <v>86955.66</v>
      </c>
      <c r="K106" s="1">
        <v>32087.448</v>
      </c>
      <c r="L106" s="1">
        <v>33.4</v>
      </c>
      <c r="M106" s="1">
        <v>6.766</v>
      </c>
      <c r="N106" s="1">
        <v>23.181999999999999</v>
      </c>
      <c r="O106" s="1">
        <v>3.8549899999999999</v>
      </c>
      <c r="P106" s="1">
        <v>19.961390000000002</v>
      </c>
      <c r="Q106" s="1">
        <v>37.11871</v>
      </c>
      <c r="R106" s="1">
        <v>-0.51005162999999998</v>
      </c>
      <c r="S106" s="1">
        <v>0.8199573</v>
      </c>
      <c r="T106" s="1">
        <v>630419</v>
      </c>
      <c r="U106" s="1">
        <v>10.37622</v>
      </c>
      <c r="V106" s="1">
        <v>11.77426</v>
      </c>
      <c r="W106" s="1">
        <v>11.373150000000001</v>
      </c>
      <c r="X106" s="1">
        <v>13.354139999999999</v>
      </c>
    </row>
    <row r="107" spans="6:24" x14ac:dyDescent="0.2">
      <c r="F107" s="1">
        <v>104</v>
      </c>
      <c r="G107" s="1" t="s">
        <v>55</v>
      </c>
      <c r="H107" s="1">
        <v>2021</v>
      </c>
      <c r="I107" s="1">
        <v>136772.44</v>
      </c>
      <c r="J107" s="1">
        <v>92640.93</v>
      </c>
      <c r="K107" s="1">
        <v>35213.406999999999</v>
      </c>
      <c r="L107" s="1">
        <v>32.700000000000003</v>
      </c>
      <c r="M107" s="1">
        <v>5.5709999999999997</v>
      </c>
      <c r="N107" s="1">
        <v>18.666</v>
      </c>
      <c r="O107" s="1">
        <v>3.6853199999999999</v>
      </c>
      <c r="P107" s="1">
        <v>20.73415</v>
      </c>
      <c r="Q107" s="1">
        <v>41.580889999999997</v>
      </c>
      <c r="R107" s="1">
        <v>6.9297327099999997</v>
      </c>
      <c r="S107" s="1">
        <v>2.52692009</v>
      </c>
      <c r="T107" s="1">
        <v>640064</v>
      </c>
      <c r="U107" s="1">
        <v>10.469182</v>
      </c>
      <c r="V107" s="1">
        <v>11.82607</v>
      </c>
      <c r="W107" s="1">
        <v>11.436489999999999</v>
      </c>
      <c r="X107" s="1">
        <v>13.36932</v>
      </c>
    </row>
    <row r="108" spans="6:24" x14ac:dyDescent="0.2">
      <c r="F108" s="1">
        <v>105</v>
      </c>
      <c r="G108" s="1" t="s">
        <v>55</v>
      </c>
      <c r="H108" s="1">
        <v>2022</v>
      </c>
      <c r="I108" s="1">
        <v>132570.82999999999</v>
      </c>
      <c r="J108" s="1">
        <v>85215.75</v>
      </c>
      <c r="K108" s="1">
        <v>36788.245999999999</v>
      </c>
      <c r="L108" s="1">
        <v>34.1</v>
      </c>
      <c r="M108" s="1">
        <v>4.5880000000000001</v>
      </c>
      <c r="N108" s="1">
        <v>17.599</v>
      </c>
      <c r="O108" s="1">
        <v>3.7445200000000001</v>
      </c>
      <c r="P108" s="1">
        <v>21.032599999999999</v>
      </c>
      <c r="Q108" s="1">
        <v>42.035130000000002</v>
      </c>
      <c r="R108" s="1">
        <v>-1.09741256</v>
      </c>
      <c r="S108" s="1">
        <v>6.33600808</v>
      </c>
      <c r="T108" s="1">
        <v>653103</v>
      </c>
      <c r="U108" s="1">
        <v>10.512934</v>
      </c>
      <c r="V108" s="1">
        <v>11.79487</v>
      </c>
      <c r="W108" s="1">
        <v>11.35294</v>
      </c>
      <c r="X108" s="1">
        <v>13.38949</v>
      </c>
    </row>
    <row r="109" spans="6:24" x14ac:dyDescent="0.2">
      <c r="F109" s="1">
        <v>106</v>
      </c>
      <c r="G109" s="1" t="s">
        <v>56</v>
      </c>
      <c r="H109" s="1">
        <v>2018</v>
      </c>
      <c r="I109" s="1">
        <v>34729.71</v>
      </c>
      <c r="J109" s="1">
        <v>33514.89</v>
      </c>
      <c r="K109" s="1">
        <v>8905.6749999999993</v>
      </c>
      <c r="L109" s="1">
        <v>35.1</v>
      </c>
      <c r="M109" s="1">
        <v>7.4119999999999999</v>
      </c>
      <c r="N109" s="1">
        <v>12.192</v>
      </c>
      <c r="O109" s="1">
        <v>4.3943099999999999</v>
      </c>
      <c r="P109" s="1">
        <v>93.024479999999997</v>
      </c>
      <c r="Q109" s="1">
        <v>30.028279999999999</v>
      </c>
      <c r="R109" s="1">
        <v>4.3097128600000003</v>
      </c>
      <c r="S109" s="1">
        <v>2.5344542400000001</v>
      </c>
      <c r="T109" s="1">
        <v>1927174</v>
      </c>
      <c r="U109" s="1">
        <v>9.0944439999999993</v>
      </c>
      <c r="V109" s="1">
        <v>10.455349999999999</v>
      </c>
      <c r="W109" s="1">
        <v>10.419750000000001</v>
      </c>
      <c r="X109" s="1">
        <v>14.47157</v>
      </c>
    </row>
    <row r="110" spans="6:24" x14ac:dyDescent="0.2">
      <c r="F110" s="1">
        <v>107</v>
      </c>
      <c r="G110" s="1" t="s">
        <v>56</v>
      </c>
      <c r="H110" s="1">
        <v>2019</v>
      </c>
      <c r="I110" s="1">
        <v>35208.19</v>
      </c>
      <c r="J110" s="1">
        <v>34715.339999999997</v>
      </c>
      <c r="K110" s="1">
        <v>8957.5400000000009</v>
      </c>
      <c r="L110" s="1">
        <v>34.5</v>
      </c>
      <c r="M110" s="1">
        <v>6.3120000000000003</v>
      </c>
      <c r="N110" s="1">
        <v>12.414999999999999</v>
      </c>
      <c r="O110" s="1">
        <v>4.5867500000000003</v>
      </c>
      <c r="P110" s="1">
        <v>94.864530000000002</v>
      </c>
      <c r="Q110" s="1">
        <v>30.935310000000001</v>
      </c>
      <c r="R110" s="1">
        <v>0.67537276999999996</v>
      </c>
      <c r="S110" s="1">
        <v>2.8114091999999999</v>
      </c>
      <c r="T110" s="1">
        <v>1913822</v>
      </c>
      <c r="U110" s="1">
        <v>9.1002510000000001</v>
      </c>
      <c r="V110" s="1">
        <v>10.46903</v>
      </c>
      <c r="W110" s="1">
        <v>10.454940000000001</v>
      </c>
      <c r="X110" s="1">
        <v>14.46461</v>
      </c>
    </row>
    <row r="111" spans="6:24" x14ac:dyDescent="0.2">
      <c r="F111" s="1">
        <v>108</v>
      </c>
      <c r="G111" s="1" t="s">
        <v>56</v>
      </c>
      <c r="H111" s="1">
        <v>2020</v>
      </c>
      <c r="I111" s="1">
        <v>34225.9</v>
      </c>
      <c r="J111" s="1">
        <v>34635.74</v>
      </c>
      <c r="K111" s="1">
        <v>8589.3809999999994</v>
      </c>
      <c r="L111" s="1">
        <v>35.700000000000003</v>
      </c>
      <c r="M111" s="1">
        <v>8.0980000000000008</v>
      </c>
      <c r="N111" s="1">
        <v>14.868</v>
      </c>
      <c r="O111" s="1">
        <v>4.9974999999999996</v>
      </c>
      <c r="P111" s="1">
        <v>94.510829999999999</v>
      </c>
      <c r="Q111" s="3" t="s">
        <v>26</v>
      </c>
      <c r="R111" s="1">
        <v>-3.4692275100000001</v>
      </c>
      <c r="S111" s="1">
        <v>0.21906490000000001</v>
      </c>
      <c r="T111" s="1">
        <v>1900449</v>
      </c>
      <c r="U111" s="1">
        <v>9.0582820000000002</v>
      </c>
      <c r="V111" s="1">
        <v>10.44074</v>
      </c>
      <c r="W111" s="1">
        <v>10.452640000000001</v>
      </c>
      <c r="X111" s="1">
        <v>14.457599999999999</v>
      </c>
    </row>
    <row r="112" spans="6:24" x14ac:dyDescent="0.2">
      <c r="F112" s="1">
        <v>109</v>
      </c>
      <c r="G112" s="1" t="s">
        <v>56</v>
      </c>
      <c r="H112" s="1">
        <v>2021</v>
      </c>
      <c r="I112" s="1">
        <v>36912.01</v>
      </c>
      <c r="J112" s="1">
        <v>36220.94</v>
      </c>
      <c r="K112" s="1">
        <v>9359.5840000000007</v>
      </c>
      <c r="L112" s="1">
        <v>34.299999999999997</v>
      </c>
      <c r="M112" s="1">
        <v>7.5129999999999999</v>
      </c>
      <c r="N112" s="1">
        <v>14.785</v>
      </c>
      <c r="O112" s="1">
        <v>4.7677500000000004</v>
      </c>
      <c r="P112" s="1">
        <v>93.483930000000001</v>
      </c>
      <c r="Q112" s="1">
        <v>32.199480000000001</v>
      </c>
      <c r="R112" s="1">
        <v>6.9425417300000003</v>
      </c>
      <c r="S112" s="1">
        <v>3.2758293699999999</v>
      </c>
      <c r="T112" s="1">
        <v>1884490</v>
      </c>
      <c r="U112" s="1">
        <v>9.1441560000000006</v>
      </c>
      <c r="V112" s="1">
        <v>10.51629</v>
      </c>
      <c r="W112" s="1">
        <v>10.497389999999999</v>
      </c>
      <c r="X112" s="1">
        <v>14.449170000000001</v>
      </c>
    </row>
    <row r="113" spans="6:24" x14ac:dyDescent="0.2">
      <c r="F113" s="1">
        <v>110</v>
      </c>
      <c r="G113" s="1" t="s">
        <v>56</v>
      </c>
      <c r="H113" s="1">
        <v>2022</v>
      </c>
      <c r="I113" s="1">
        <v>37718.71</v>
      </c>
      <c r="J113" s="1">
        <v>36189.57</v>
      </c>
      <c r="K113" s="1">
        <v>9860.4269999999997</v>
      </c>
      <c r="L113" s="1">
        <v>33.700000000000003</v>
      </c>
      <c r="M113" s="1">
        <v>6.8150000000000004</v>
      </c>
      <c r="N113" s="1">
        <v>15.27</v>
      </c>
      <c r="O113" s="1">
        <v>4.3196700000000003</v>
      </c>
      <c r="P113" s="1">
        <v>91.330370000000002</v>
      </c>
      <c r="Q113" s="1">
        <v>32.57349</v>
      </c>
      <c r="R113" s="1">
        <v>1.9085341899999999</v>
      </c>
      <c r="S113" s="1">
        <v>17.31028302</v>
      </c>
      <c r="T113" s="1">
        <v>1879383</v>
      </c>
      <c r="U113" s="1">
        <v>9.1962849999999996</v>
      </c>
      <c r="V113" s="1">
        <v>10.53791</v>
      </c>
      <c r="W113" s="1">
        <v>10.49653</v>
      </c>
      <c r="X113" s="1">
        <v>14.44645</v>
      </c>
    </row>
    <row r="114" spans="6:24" x14ac:dyDescent="0.2">
      <c r="F114" s="1">
        <v>111</v>
      </c>
      <c r="G114" s="1" t="s">
        <v>57</v>
      </c>
      <c r="H114" s="1">
        <v>2018</v>
      </c>
      <c r="I114" s="1">
        <v>53419</v>
      </c>
      <c r="J114" s="1">
        <v>48505.4</v>
      </c>
      <c r="K114" s="1">
        <v>13979.8</v>
      </c>
      <c r="L114" s="1">
        <v>28.7</v>
      </c>
      <c r="M114" s="1">
        <v>3.956</v>
      </c>
      <c r="N114" s="1">
        <v>9.3550000000000004</v>
      </c>
      <c r="O114" s="3" t="s">
        <v>26</v>
      </c>
      <c r="P114" s="1">
        <v>57.840760000000003</v>
      </c>
      <c r="Q114" s="1">
        <v>18.424990000000001</v>
      </c>
      <c r="R114" s="1">
        <v>7.18921426</v>
      </c>
      <c r="S114" s="1">
        <v>1.1578236200000001</v>
      </c>
      <c r="T114" s="1">
        <v>483903</v>
      </c>
      <c r="U114" s="1">
        <v>9.5453690000000009</v>
      </c>
      <c r="V114" s="1">
        <v>10.88592</v>
      </c>
      <c r="W114" s="1">
        <v>10.789429999999999</v>
      </c>
      <c r="X114" s="1">
        <v>13.089639999999999</v>
      </c>
    </row>
    <row r="115" spans="6:24" x14ac:dyDescent="0.2">
      <c r="F115" s="1">
        <v>112</v>
      </c>
      <c r="G115" s="1" t="s">
        <v>57</v>
      </c>
      <c r="H115" s="1">
        <v>2019</v>
      </c>
      <c r="I115" s="1">
        <v>53393.42</v>
      </c>
      <c r="J115" s="1">
        <v>48373.24</v>
      </c>
      <c r="K115" s="1">
        <v>14185.019</v>
      </c>
      <c r="L115" s="1">
        <v>31</v>
      </c>
      <c r="M115" s="1">
        <v>4.08</v>
      </c>
      <c r="N115" s="1">
        <v>10.07</v>
      </c>
      <c r="O115" s="1">
        <v>4.7994199999999996</v>
      </c>
      <c r="P115" s="1">
        <v>58.498510000000003</v>
      </c>
      <c r="Q115" s="1">
        <v>21.981750000000002</v>
      </c>
      <c r="R115" s="1">
        <v>4.0850557299999997</v>
      </c>
      <c r="S115" s="1">
        <v>1.64206002</v>
      </c>
      <c r="T115" s="1">
        <v>503912</v>
      </c>
      <c r="U115" s="1">
        <v>9.5599419999999995</v>
      </c>
      <c r="V115" s="1">
        <v>10.885439999999999</v>
      </c>
      <c r="W115" s="1">
        <v>10.7867</v>
      </c>
      <c r="X115" s="1">
        <v>13.13016</v>
      </c>
    </row>
    <row r="116" spans="6:24" x14ac:dyDescent="0.2">
      <c r="F116" s="1">
        <v>113</v>
      </c>
      <c r="G116" s="1" t="s">
        <v>57</v>
      </c>
      <c r="H116" s="1">
        <v>2020</v>
      </c>
      <c r="I116" s="1">
        <v>50389.7</v>
      </c>
      <c r="J116" s="1">
        <v>42780.11</v>
      </c>
      <c r="K116" s="1">
        <v>12434.343999999999</v>
      </c>
      <c r="L116" s="1">
        <v>31.4</v>
      </c>
      <c r="M116" s="1">
        <v>4.8559999999999999</v>
      </c>
      <c r="N116" s="1">
        <v>11.536</v>
      </c>
      <c r="O116" s="3" t="s">
        <v>26</v>
      </c>
      <c r="P116" s="1">
        <v>61.476709999999997</v>
      </c>
      <c r="Q116" s="1">
        <v>21.841010000000001</v>
      </c>
      <c r="R116" s="1">
        <v>-3.45728233</v>
      </c>
      <c r="S116" s="1">
        <v>0.63854496000000005</v>
      </c>
      <c r="T116" s="1">
        <v>515490</v>
      </c>
      <c r="U116" s="1">
        <v>9.4282179999999993</v>
      </c>
      <c r="V116" s="1">
        <v>10.827540000000001</v>
      </c>
      <c r="W116" s="1">
        <v>10.663830000000001</v>
      </c>
      <c r="X116" s="1">
        <v>13.15287</v>
      </c>
    </row>
    <row r="117" spans="6:24" x14ac:dyDescent="0.2">
      <c r="F117" s="1">
        <v>114</v>
      </c>
      <c r="G117" s="1" t="s">
        <v>57</v>
      </c>
      <c r="H117" s="1">
        <v>2021</v>
      </c>
      <c r="I117" s="1">
        <v>56824</v>
      </c>
      <c r="J117" s="1">
        <v>49504.1</v>
      </c>
      <c r="K117" s="1">
        <v>13696.066000000001</v>
      </c>
      <c r="L117" s="1">
        <v>31.6</v>
      </c>
      <c r="M117" s="1">
        <v>3.754</v>
      </c>
      <c r="N117" s="1">
        <v>9.8710000000000004</v>
      </c>
      <c r="O117" s="1">
        <v>4.92964</v>
      </c>
      <c r="P117" s="1">
        <v>70.231350000000006</v>
      </c>
      <c r="Q117" s="1">
        <v>24.323869999999999</v>
      </c>
      <c r="R117" s="1">
        <v>13.35098189</v>
      </c>
      <c r="S117" s="1">
        <v>1.49789218</v>
      </c>
      <c r="T117" s="1">
        <v>518150</v>
      </c>
      <c r="U117" s="1">
        <v>9.5248640000000009</v>
      </c>
      <c r="V117" s="1">
        <v>10.947710000000001</v>
      </c>
      <c r="W117" s="1">
        <v>10.809810000000001</v>
      </c>
      <c r="X117" s="1">
        <v>13.15802</v>
      </c>
    </row>
    <row r="118" spans="6:24" x14ac:dyDescent="0.2">
      <c r="F118" s="1">
        <v>115</v>
      </c>
      <c r="G118" s="1" t="s">
        <v>57</v>
      </c>
      <c r="H118" s="1">
        <v>2022</v>
      </c>
      <c r="I118" s="1">
        <v>56874.43</v>
      </c>
      <c r="J118" s="1">
        <v>51989.56</v>
      </c>
      <c r="K118" s="1">
        <v>14635.873</v>
      </c>
      <c r="L118" s="1">
        <v>34.6</v>
      </c>
      <c r="M118" s="1">
        <v>3.4710000000000001</v>
      </c>
      <c r="N118" s="1">
        <v>9.0640000000000001</v>
      </c>
      <c r="O118" s="1">
        <v>4.71258</v>
      </c>
      <c r="P118" s="1">
        <v>74.590130000000002</v>
      </c>
      <c r="Q118" s="1">
        <v>24.440539999999999</v>
      </c>
      <c r="R118" s="1">
        <v>2.59276777</v>
      </c>
      <c r="S118" s="1">
        <v>6.15375622</v>
      </c>
      <c r="T118" s="1">
        <v>531113</v>
      </c>
      <c r="U118" s="1">
        <v>9.5912310000000005</v>
      </c>
      <c r="V118" s="1">
        <v>10.948600000000001</v>
      </c>
      <c r="W118" s="1">
        <v>10.8588</v>
      </c>
      <c r="X118" s="1">
        <v>13.182729999999999</v>
      </c>
    </row>
    <row r="119" spans="6:24" x14ac:dyDescent="0.2">
      <c r="F119" s="1">
        <v>116</v>
      </c>
      <c r="G119" s="1" t="s">
        <v>249</v>
      </c>
      <c r="H119" s="1">
        <v>2018</v>
      </c>
      <c r="I119" s="1">
        <v>66758.25</v>
      </c>
      <c r="J119" s="1">
        <v>66751.8</v>
      </c>
      <c r="K119" s="1">
        <v>21637.006000000001</v>
      </c>
      <c r="L119" s="1">
        <v>28.1</v>
      </c>
      <c r="M119" s="1">
        <v>3.8319999999999999</v>
      </c>
      <c r="N119" s="1">
        <v>7.0460000000000003</v>
      </c>
      <c r="O119" s="1">
        <v>5.2672299999999996</v>
      </c>
      <c r="P119" s="1">
        <v>83.652469999999994</v>
      </c>
      <c r="Q119" s="1">
        <v>31.093209999999999</v>
      </c>
      <c r="R119" s="1">
        <v>2.2587315800000001</v>
      </c>
      <c r="S119" s="1">
        <v>1.70349795</v>
      </c>
      <c r="T119" s="1">
        <v>17231624</v>
      </c>
      <c r="U119" s="1">
        <v>9.9821600000000004</v>
      </c>
      <c r="V119" s="1">
        <v>11.108829999999999</v>
      </c>
      <c r="W119" s="1">
        <v>11.108739999999999</v>
      </c>
      <c r="X119" s="1">
        <v>16.66226</v>
      </c>
    </row>
    <row r="120" spans="6:24" x14ac:dyDescent="0.2">
      <c r="F120" s="1">
        <v>117</v>
      </c>
      <c r="G120" s="1" t="s">
        <v>249</v>
      </c>
      <c r="H120" s="1">
        <v>2019</v>
      </c>
      <c r="I120" s="1">
        <v>67847.88</v>
      </c>
      <c r="J120" s="1">
        <v>66956.17</v>
      </c>
      <c r="K120" s="1">
        <v>21719.878000000001</v>
      </c>
      <c r="L120" s="1">
        <v>29.2</v>
      </c>
      <c r="M120" s="1">
        <v>3.379</v>
      </c>
      <c r="N120" s="1">
        <v>6.6059999999999999</v>
      </c>
      <c r="O120" s="1">
        <v>5.0559399999999997</v>
      </c>
      <c r="P120" s="3" t="s">
        <v>26</v>
      </c>
      <c r="Q120" s="1">
        <v>34.284849999999999</v>
      </c>
      <c r="R120" s="1">
        <v>2.30016161</v>
      </c>
      <c r="S120" s="1">
        <v>2.6336990999999998</v>
      </c>
      <c r="T120" s="1">
        <v>17344874</v>
      </c>
      <c r="U120" s="1">
        <v>9.9859829999999992</v>
      </c>
      <c r="V120" s="1">
        <v>11.125019999999999</v>
      </c>
      <c r="W120" s="1">
        <v>11.111789999999999</v>
      </c>
      <c r="X120" s="1">
        <v>16.668810000000001</v>
      </c>
    </row>
    <row r="121" spans="6:24" x14ac:dyDescent="0.2">
      <c r="F121" s="1">
        <v>118</v>
      </c>
      <c r="G121" s="1" t="s">
        <v>249</v>
      </c>
      <c r="H121" s="1">
        <v>2020</v>
      </c>
      <c r="I121" s="1">
        <v>64862.19</v>
      </c>
      <c r="J121" s="1">
        <v>63543.35</v>
      </c>
      <c r="K121" s="1">
        <v>20275.037</v>
      </c>
      <c r="L121" s="1">
        <v>26</v>
      </c>
      <c r="M121" s="1">
        <v>3.82</v>
      </c>
      <c r="N121" s="1">
        <v>8.8789999999999996</v>
      </c>
      <c r="O121" s="1">
        <v>5.2914000000000003</v>
      </c>
      <c r="P121" s="1">
        <v>85.33708</v>
      </c>
      <c r="Q121" s="1">
        <v>34.773629999999997</v>
      </c>
      <c r="R121" s="1">
        <v>-3.8679971399999999</v>
      </c>
      <c r="S121" s="1">
        <v>1.2724603800000001</v>
      </c>
      <c r="T121" s="1">
        <v>17441500</v>
      </c>
      <c r="U121" s="1">
        <v>9.9171460000000007</v>
      </c>
      <c r="V121" s="1">
        <v>11.080019999999999</v>
      </c>
      <c r="W121" s="1">
        <v>11.059480000000001</v>
      </c>
      <c r="X121" s="1">
        <v>16.67436</v>
      </c>
    </row>
    <row r="122" spans="6:24" x14ac:dyDescent="0.2">
      <c r="F122" s="1">
        <v>119</v>
      </c>
      <c r="G122" s="1" t="s">
        <v>249</v>
      </c>
      <c r="H122" s="1">
        <v>2021</v>
      </c>
      <c r="I122" s="1">
        <v>68573.56</v>
      </c>
      <c r="J122" s="1">
        <v>69673.759999999995</v>
      </c>
      <c r="K122" s="1">
        <v>21067.991000000002</v>
      </c>
      <c r="L122" s="1">
        <v>25.7</v>
      </c>
      <c r="M122" s="1">
        <v>4.2089999999999996</v>
      </c>
      <c r="N122" s="1">
        <v>9.3350000000000009</v>
      </c>
      <c r="O122" s="1">
        <v>5.37662</v>
      </c>
      <c r="P122" s="1">
        <v>89.389859999999999</v>
      </c>
      <c r="Q122" s="1">
        <v>35.42915</v>
      </c>
      <c r="R122" s="1">
        <v>6.2768359399999998</v>
      </c>
      <c r="S122" s="1">
        <v>2.67572009</v>
      </c>
      <c r="T122" s="1">
        <v>17533044</v>
      </c>
      <c r="U122" s="1">
        <v>9.9555100000000003</v>
      </c>
      <c r="V122" s="1">
        <v>11.13566</v>
      </c>
      <c r="W122" s="1">
        <v>11.151579999999999</v>
      </c>
      <c r="X122" s="1">
        <v>16.679600000000001</v>
      </c>
    </row>
    <row r="123" spans="6:24" x14ac:dyDescent="0.2">
      <c r="F123" s="1">
        <v>120</v>
      </c>
      <c r="G123" s="1" t="s">
        <v>249</v>
      </c>
      <c r="H123" s="1">
        <v>2022</v>
      </c>
      <c r="I123" s="1">
        <v>71324.039999999994</v>
      </c>
      <c r="J123" s="1">
        <v>69771.94</v>
      </c>
      <c r="K123" s="1">
        <v>22315.882000000001</v>
      </c>
      <c r="L123" s="3" t="s">
        <v>26</v>
      </c>
      <c r="M123" s="1">
        <v>3.5259999999999998</v>
      </c>
      <c r="N123" s="1">
        <v>7.6470000000000002</v>
      </c>
      <c r="O123" s="1">
        <v>5.1791799999999997</v>
      </c>
      <c r="P123" s="3" t="s">
        <v>26</v>
      </c>
      <c r="Q123" s="1">
        <v>36.393920000000001</v>
      </c>
      <c r="R123" s="1">
        <v>5.0072345299999999</v>
      </c>
      <c r="S123" s="1">
        <v>10.001207880000001</v>
      </c>
      <c r="T123" s="1">
        <v>17700982</v>
      </c>
      <c r="U123" s="1">
        <v>10.013054</v>
      </c>
      <c r="V123" s="1">
        <v>11.174989999999999</v>
      </c>
      <c r="W123" s="1">
        <v>11.152990000000001</v>
      </c>
      <c r="X123" s="1">
        <v>16.689129999999999</v>
      </c>
    </row>
    <row r="124" spans="6:24" x14ac:dyDescent="0.2">
      <c r="F124" s="1">
        <v>121</v>
      </c>
      <c r="G124" s="1" t="s">
        <v>250</v>
      </c>
      <c r="H124" s="1">
        <v>2018</v>
      </c>
      <c r="I124" s="1">
        <v>90064.07</v>
      </c>
      <c r="J124" s="1">
        <v>86902.09</v>
      </c>
      <c r="K124" s="1">
        <v>36797.845999999998</v>
      </c>
      <c r="L124" s="1">
        <v>27.6</v>
      </c>
      <c r="M124" s="1">
        <v>3.8010000000000002</v>
      </c>
      <c r="N124" s="1">
        <v>9.5990000000000002</v>
      </c>
      <c r="O124" s="1">
        <v>7.5956400000000004</v>
      </c>
      <c r="P124" s="1">
        <v>85.388350000000003</v>
      </c>
      <c r="Q124" s="1">
        <v>30.447929999999999</v>
      </c>
      <c r="R124" s="1">
        <v>1.11039124</v>
      </c>
      <c r="S124" s="1">
        <v>2.7648313500000001</v>
      </c>
      <c r="T124" s="1">
        <v>5311916</v>
      </c>
      <c r="U124" s="1">
        <v>10.513195</v>
      </c>
      <c r="V124" s="1">
        <v>11.40828</v>
      </c>
      <c r="W124" s="1">
        <v>11.372540000000001</v>
      </c>
      <c r="X124" s="1">
        <v>15.48546</v>
      </c>
    </row>
    <row r="125" spans="6:24" x14ac:dyDescent="0.2">
      <c r="F125" s="1">
        <v>122</v>
      </c>
      <c r="G125" s="1" t="s">
        <v>250</v>
      </c>
      <c r="H125" s="1">
        <v>2019</v>
      </c>
      <c r="I125" s="1">
        <v>90772.9</v>
      </c>
      <c r="J125" s="1">
        <v>83710.100000000006</v>
      </c>
      <c r="K125" s="1">
        <v>37244.629999999997</v>
      </c>
      <c r="L125" s="1">
        <v>27.7</v>
      </c>
      <c r="M125" s="1">
        <v>3.6840000000000002</v>
      </c>
      <c r="N125" s="1">
        <v>9.8130000000000006</v>
      </c>
      <c r="O125" s="1">
        <v>7.8645500000000004</v>
      </c>
      <c r="P125" s="1">
        <v>85.763379999999998</v>
      </c>
      <c r="Q125" s="1">
        <v>29.289929999999998</v>
      </c>
      <c r="R125" s="1">
        <v>1.46970782</v>
      </c>
      <c r="S125" s="1">
        <v>2.16773003</v>
      </c>
      <c r="T125" s="1">
        <v>5347896</v>
      </c>
      <c r="U125" s="1">
        <v>10.525263000000001</v>
      </c>
      <c r="V125" s="1">
        <v>11.416119999999999</v>
      </c>
      <c r="W125" s="1">
        <v>11.33511</v>
      </c>
      <c r="X125" s="1">
        <v>15.49221</v>
      </c>
    </row>
    <row r="126" spans="6:24" x14ac:dyDescent="0.2">
      <c r="F126" s="1">
        <v>123</v>
      </c>
      <c r="G126" s="1" t="s">
        <v>250</v>
      </c>
      <c r="H126" s="1">
        <v>2020</v>
      </c>
      <c r="I126" s="1">
        <v>89012.27</v>
      </c>
      <c r="J126" s="1">
        <v>78158.149999999994</v>
      </c>
      <c r="K126" s="1">
        <v>35422.78</v>
      </c>
      <c r="L126" s="1">
        <v>28.4</v>
      </c>
      <c r="M126" s="1">
        <v>4.4240000000000004</v>
      </c>
      <c r="N126" s="1">
        <v>11.215</v>
      </c>
      <c r="O126" s="1">
        <v>8.3728099999999994</v>
      </c>
      <c r="P126" s="1">
        <v>87.168530000000004</v>
      </c>
      <c r="Q126" s="3" t="s">
        <v>26</v>
      </c>
      <c r="R126" s="1">
        <v>-1.36055723</v>
      </c>
      <c r="S126" s="1">
        <v>1.28658491</v>
      </c>
      <c r="T126" s="1">
        <v>5379475</v>
      </c>
      <c r="U126" s="1">
        <v>10.475110000000001</v>
      </c>
      <c r="V126" s="1">
        <v>11.39653</v>
      </c>
      <c r="W126" s="1">
        <v>11.266489999999999</v>
      </c>
      <c r="X126" s="1">
        <v>15.498100000000001</v>
      </c>
    </row>
    <row r="127" spans="6:24" x14ac:dyDescent="0.2">
      <c r="F127" s="1">
        <v>124</v>
      </c>
      <c r="G127" s="1" t="s">
        <v>250</v>
      </c>
      <c r="H127" s="1">
        <v>2021</v>
      </c>
      <c r="I127" s="1">
        <v>92205.77</v>
      </c>
      <c r="J127" s="1">
        <v>90522.06</v>
      </c>
      <c r="K127" s="1">
        <v>37374.93</v>
      </c>
      <c r="L127" s="1">
        <v>29.1</v>
      </c>
      <c r="M127" s="1">
        <v>4.359</v>
      </c>
      <c r="N127" s="1">
        <v>12.848000000000001</v>
      </c>
      <c r="O127" s="1">
        <v>6.9602199999999996</v>
      </c>
      <c r="P127" s="1">
        <v>93.924300000000002</v>
      </c>
      <c r="Q127" s="1">
        <v>33.593130000000002</v>
      </c>
      <c r="R127" s="1">
        <v>4.1431468899999997</v>
      </c>
      <c r="S127" s="1">
        <v>3.4838805499999999</v>
      </c>
      <c r="T127" s="1">
        <v>5408320</v>
      </c>
      <c r="U127" s="1">
        <v>10.528755</v>
      </c>
      <c r="V127" s="1">
        <v>11.43178</v>
      </c>
      <c r="W127" s="1">
        <v>11.413349999999999</v>
      </c>
      <c r="X127" s="1">
        <v>15.503450000000001</v>
      </c>
    </row>
    <row r="128" spans="6:24" x14ac:dyDescent="0.2">
      <c r="F128" s="1">
        <v>125</v>
      </c>
      <c r="G128" s="1" t="s">
        <v>250</v>
      </c>
      <c r="H128" s="1">
        <v>2022</v>
      </c>
      <c r="I128" s="1">
        <v>95109.82</v>
      </c>
      <c r="J128" s="1">
        <v>113022.03</v>
      </c>
      <c r="K128" s="1">
        <v>39717.631000000001</v>
      </c>
      <c r="L128" s="1">
        <v>26.9</v>
      </c>
      <c r="M128" s="1">
        <v>3.2309999999999999</v>
      </c>
      <c r="N128" s="1">
        <v>9.9079999999999995</v>
      </c>
      <c r="O128" s="1">
        <v>5.4323399999999999</v>
      </c>
      <c r="P128" s="1">
        <v>97.641980000000004</v>
      </c>
      <c r="Q128" s="1">
        <v>31.672550000000001</v>
      </c>
      <c r="R128" s="1">
        <v>4.0803977099999997</v>
      </c>
      <c r="S128" s="1">
        <v>5.7641231800000003</v>
      </c>
      <c r="T128" s="1">
        <v>5457127</v>
      </c>
      <c r="U128" s="1">
        <v>10.589549999999999</v>
      </c>
      <c r="V128" s="1">
        <v>11.46279</v>
      </c>
      <c r="W128" s="1">
        <v>11.635339999999999</v>
      </c>
      <c r="X128" s="1">
        <v>15.51243</v>
      </c>
    </row>
    <row r="129" spans="6:24" x14ac:dyDescent="0.2">
      <c r="F129" s="1">
        <v>126</v>
      </c>
      <c r="G129" s="1" t="s">
        <v>58</v>
      </c>
      <c r="H129" s="1">
        <v>2018</v>
      </c>
      <c r="I129" s="1">
        <v>36500.410000000003</v>
      </c>
      <c r="J129" s="1">
        <v>34573.910000000003</v>
      </c>
      <c r="K129" s="1">
        <v>8640.9089999999997</v>
      </c>
      <c r="L129" s="1">
        <v>30.2</v>
      </c>
      <c r="M129" s="1">
        <v>3.835</v>
      </c>
      <c r="N129" s="1">
        <v>11.686</v>
      </c>
      <c r="O129" s="1">
        <v>4.55985</v>
      </c>
      <c r="P129" s="1">
        <v>71.021739999999994</v>
      </c>
      <c r="Q129" s="1">
        <v>26.532910000000001</v>
      </c>
      <c r="R129" s="1">
        <v>6.2458584699999999</v>
      </c>
      <c r="S129" s="1">
        <v>1.8129515700000001</v>
      </c>
      <c r="T129" s="1">
        <v>37974750</v>
      </c>
      <c r="U129" s="1">
        <v>9.0642630000000004</v>
      </c>
      <c r="V129" s="1">
        <v>10.50508</v>
      </c>
      <c r="W129" s="1">
        <v>10.450850000000001</v>
      </c>
      <c r="X129" s="1">
        <v>17.45243</v>
      </c>
    </row>
    <row r="130" spans="6:24" x14ac:dyDescent="0.2">
      <c r="F130" s="1">
        <v>127</v>
      </c>
      <c r="G130" s="1" t="s">
        <v>58</v>
      </c>
      <c r="H130" s="1">
        <v>2019</v>
      </c>
      <c r="I130" s="1">
        <v>38181.620000000003</v>
      </c>
      <c r="J130" s="1">
        <v>36429.019999999997</v>
      </c>
      <c r="K130" s="1">
        <v>8923.4330000000009</v>
      </c>
      <c r="L130" s="1">
        <v>28.8</v>
      </c>
      <c r="M130" s="1">
        <v>3.2669999999999999</v>
      </c>
      <c r="N130" s="1">
        <v>9.8350000000000009</v>
      </c>
      <c r="O130" s="1">
        <v>4.62737</v>
      </c>
      <c r="P130" s="1">
        <v>70.906499999999994</v>
      </c>
      <c r="Q130" s="1">
        <v>27.331389999999999</v>
      </c>
      <c r="R130" s="1">
        <v>4.58045817</v>
      </c>
      <c r="S130" s="1">
        <v>2.22747881</v>
      </c>
      <c r="T130" s="1">
        <v>37965475</v>
      </c>
      <c r="U130" s="1">
        <v>9.0964360000000006</v>
      </c>
      <c r="V130" s="1">
        <v>10.55011</v>
      </c>
      <c r="W130" s="1">
        <v>10.503119999999999</v>
      </c>
      <c r="X130" s="1">
        <v>17.452190000000002</v>
      </c>
    </row>
    <row r="131" spans="6:24" x14ac:dyDescent="0.2">
      <c r="F131" s="1">
        <v>128</v>
      </c>
      <c r="G131" s="1" t="s">
        <v>58</v>
      </c>
      <c r="H131" s="1">
        <v>2020</v>
      </c>
      <c r="I131" s="1">
        <v>37852.800000000003</v>
      </c>
      <c r="J131" s="1">
        <v>36753.21</v>
      </c>
      <c r="K131" s="1">
        <v>8738.2970000000005</v>
      </c>
      <c r="L131" s="1">
        <v>28.5</v>
      </c>
      <c r="M131" s="1">
        <v>3.1549999999999998</v>
      </c>
      <c r="N131" s="1">
        <v>10.836</v>
      </c>
      <c r="O131" s="1">
        <v>4.8008199999999999</v>
      </c>
      <c r="P131" s="1">
        <v>70.973039999999997</v>
      </c>
      <c r="Q131" s="1">
        <v>28.01268</v>
      </c>
      <c r="R131" s="1">
        <v>-2.0355688199999999</v>
      </c>
      <c r="S131" s="1">
        <v>3.3744697299999999</v>
      </c>
      <c r="T131" s="1">
        <v>37515748</v>
      </c>
      <c r="U131" s="1">
        <v>9.0754710000000003</v>
      </c>
      <c r="V131" s="1">
        <v>10.541460000000001</v>
      </c>
      <c r="W131" s="1">
        <v>10.511979999999999</v>
      </c>
      <c r="X131" s="1">
        <v>17.440270000000002</v>
      </c>
    </row>
    <row r="132" spans="6:24" x14ac:dyDescent="0.2">
      <c r="F132" s="1">
        <v>129</v>
      </c>
      <c r="G132" s="1" t="s">
        <v>58</v>
      </c>
      <c r="H132" s="1">
        <v>2021</v>
      </c>
      <c r="I132" s="1">
        <v>41059.58</v>
      </c>
      <c r="J132" s="1">
        <v>39255.300000000003</v>
      </c>
      <c r="K132" s="1">
        <v>9414.0709999999999</v>
      </c>
      <c r="L132" s="1">
        <v>28.5</v>
      </c>
      <c r="M132" s="1">
        <v>3.2679999999999998</v>
      </c>
      <c r="N132" s="1">
        <v>11.817</v>
      </c>
      <c r="O132" s="1">
        <v>4.6199899999999996</v>
      </c>
      <c r="P132" s="1">
        <v>72.206059999999994</v>
      </c>
      <c r="Q132" s="1">
        <v>27.72372</v>
      </c>
      <c r="R132" s="1">
        <v>6.9271826599999997</v>
      </c>
      <c r="S132" s="1">
        <v>5.0550270499999996</v>
      </c>
      <c r="T132" s="1">
        <v>36981559</v>
      </c>
      <c r="U132" s="1">
        <v>9.1499609999999993</v>
      </c>
      <c r="V132" s="1">
        <v>10.622780000000001</v>
      </c>
      <c r="W132" s="1">
        <v>10.57784</v>
      </c>
      <c r="X132" s="1">
        <v>17.425930000000001</v>
      </c>
    </row>
    <row r="133" spans="6:24" x14ac:dyDescent="0.2">
      <c r="F133" s="1">
        <v>130</v>
      </c>
      <c r="G133" s="1" t="s">
        <v>58</v>
      </c>
      <c r="H133" s="1">
        <v>2022</v>
      </c>
      <c r="I133" s="1">
        <v>43405.02</v>
      </c>
      <c r="J133" s="1">
        <v>40906.879999999997</v>
      </c>
      <c r="K133" s="1">
        <v>9942.0849999999991</v>
      </c>
      <c r="L133" s="1">
        <v>28.9</v>
      </c>
      <c r="M133" s="1">
        <v>2.8109999999999999</v>
      </c>
      <c r="N133" s="1">
        <v>10.56</v>
      </c>
      <c r="O133" s="1">
        <v>4.3137299999999996</v>
      </c>
      <c r="P133" s="1">
        <v>75.291110000000003</v>
      </c>
      <c r="Q133" s="3" t="s">
        <v>26</v>
      </c>
      <c r="R133" s="1">
        <v>5.25545697</v>
      </c>
      <c r="S133" s="1">
        <v>14.42945076</v>
      </c>
      <c r="T133" s="1">
        <v>36821749</v>
      </c>
      <c r="U133" s="1">
        <v>9.2045320000000004</v>
      </c>
      <c r="V133" s="1">
        <v>10.678330000000001</v>
      </c>
      <c r="W133" s="1">
        <v>10.61905</v>
      </c>
      <c r="X133" s="1">
        <v>17.421600000000002</v>
      </c>
    </row>
    <row r="134" spans="6:24" x14ac:dyDescent="0.2">
      <c r="F134" s="1">
        <v>131</v>
      </c>
      <c r="G134" s="1" t="s">
        <v>59</v>
      </c>
      <c r="H134" s="1">
        <v>2018</v>
      </c>
      <c r="I134" s="1">
        <v>39123.620000000003</v>
      </c>
      <c r="J134" s="1">
        <v>38003.120000000003</v>
      </c>
      <c r="K134" s="1">
        <v>13539.273999999999</v>
      </c>
      <c r="L134" s="1">
        <v>33.5</v>
      </c>
      <c r="M134" s="1">
        <v>6.9660000000000002</v>
      </c>
      <c r="N134" s="1">
        <v>20.234999999999999</v>
      </c>
      <c r="O134" s="1">
        <v>4.6794000000000002</v>
      </c>
      <c r="P134" s="1">
        <v>65.112740000000002</v>
      </c>
      <c r="Q134" s="1">
        <v>18.654029999999999</v>
      </c>
      <c r="R134" s="1">
        <v>2.9462834299999998</v>
      </c>
      <c r="S134" s="1">
        <v>0.99371567999999999</v>
      </c>
      <c r="T134" s="1">
        <v>10283822</v>
      </c>
      <c r="U134" s="1">
        <v>9.5133500000000009</v>
      </c>
      <c r="V134" s="1">
        <v>10.574479999999999</v>
      </c>
      <c r="W134" s="1">
        <v>10.54542</v>
      </c>
      <c r="X134" s="1">
        <v>16.146080000000001</v>
      </c>
    </row>
    <row r="135" spans="6:24" x14ac:dyDescent="0.2">
      <c r="F135" s="1">
        <v>132</v>
      </c>
      <c r="G135" s="1" t="s">
        <v>59</v>
      </c>
      <c r="H135" s="1">
        <v>2019</v>
      </c>
      <c r="I135" s="1">
        <v>40188.29</v>
      </c>
      <c r="J135" s="1">
        <v>39176.1</v>
      </c>
      <c r="K135" s="1">
        <v>14004.49</v>
      </c>
      <c r="L135" s="1">
        <v>32.799999999999997</v>
      </c>
      <c r="M135" s="1">
        <v>6.4219999999999997</v>
      </c>
      <c r="N135" s="1">
        <v>18.326000000000001</v>
      </c>
      <c r="O135" s="1">
        <v>4.6275199999999996</v>
      </c>
      <c r="P135" s="1">
        <v>66.092060000000004</v>
      </c>
      <c r="Q135" s="1">
        <v>20.723769999999998</v>
      </c>
      <c r="R135" s="1">
        <v>2.74568433</v>
      </c>
      <c r="S135" s="1">
        <v>0.33817840999999998</v>
      </c>
      <c r="T135" s="1">
        <v>10286263</v>
      </c>
      <c r="U135" s="1">
        <v>9.5471330000000005</v>
      </c>
      <c r="V135" s="1">
        <v>10.601330000000001</v>
      </c>
      <c r="W135" s="1">
        <v>10.57582</v>
      </c>
      <c r="X135" s="1">
        <v>16.146319999999999</v>
      </c>
    </row>
    <row r="136" spans="6:24" x14ac:dyDescent="0.2">
      <c r="F136" s="1">
        <v>133</v>
      </c>
      <c r="G136" s="1" t="s">
        <v>59</v>
      </c>
      <c r="H136" s="1">
        <v>2020</v>
      </c>
      <c r="I136" s="1">
        <v>36852.230000000003</v>
      </c>
      <c r="J136" s="1">
        <v>36526.97</v>
      </c>
      <c r="K136" s="1">
        <v>13044.27</v>
      </c>
      <c r="L136" s="1">
        <v>34.700000000000003</v>
      </c>
      <c r="M136" s="1">
        <v>6.85</v>
      </c>
      <c r="N136" s="1">
        <v>22.46</v>
      </c>
      <c r="O136" s="1">
        <v>4.8640800000000004</v>
      </c>
      <c r="P136" s="1">
        <v>68.156890000000004</v>
      </c>
      <c r="Q136" s="1">
        <v>22.5077</v>
      </c>
      <c r="R136" s="1">
        <v>-8.20463159</v>
      </c>
      <c r="S136" s="1">
        <v>-1.2438329999999999E-2</v>
      </c>
      <c r="T136" s="1">
        <v>10297081</v>
      </c>
      <c r="U136" s="1">
        <v>9.4761039999999994</v>
      </c>
      <c r="V136" s="1">
        <v>10.514670000000001</v>
      </c>
      <c r="W136" s="1">
        <v>10.50581</v>
      </c>
      <c r="X136" s="1">
        <v>16.147369999999999</v>
      </c>
    </row>
    <row r="137" spans="6:24" x14ac:dyDescent="0.2">
      <c r="F137" s="1">
        <v>134</v>
      </c>
      <c r="G137" s="1" t="s">
        <v>59</v>
      </c>
      <c r="H137" s="1">
        <v>2021</v>
      </c>
      <c r="I137" s="1">
        <v>38657.67</v>
      </c>
      <c r="J137" s="1">
        <v>38273.519999999997</v>
      </c>
      <c r="K137" s="1">
        <v>13597.257</v>
      </c>
      <c r="L137" s="1">
        <v>34.6</v>
      </c>
      <c r="M137" s="1">
        <v>6.7119999999999997</v>
      </c>
      <c r="N137" s="1">
        <v>23.423999999999999</v>
      </c>
      <c r="O137" s="1">
        <v>4.7734199999999998</v>
      </c>
      <c r="P137" s="1">
        <v>72.512240000000006</v>
      </c>
      <c r="Q137" s="1">
        <v>20.642880000000002</v>
      </c>
      <c r="R137" s="1">
        <v>5.5587567199999999</v>
      </c>
      <c r="S137" s="1">
        <v>1.26565719</v>
      </c>
      <c r="T137" s="1">
        <v>10361831</v>
      </c>
      <c r="U137" s="1">
        <v>9.5176230000000004</v>
      </c>
      <c r="V137" s="1">
        <v>10.5625</v>
      </c>
      <c r="W137" s="1">
        <v>10.55251</v>
      </c>
      <c r="X137" s="1">
        <v>16.153639999999999</v>
      </c>
    </row>
    <row r="138" spans="6:24" x14ac:dyDescent="0.2">
      <c r="F138" s="1">
        <v>135</v>
      </c>
      <c r="G138" s="1" t="s">
        <v>59</v>
      </c>
      <c r="H138" s="1">
        <v>2022</v>
      </c>
      <c r="I138" s="1">
        <v>41070.86</v>
      </c>
      <c r="J138" s="1">
        <v>39620.199999999997</v>
      </c>
      <c r="K138" s="1">
        <v>14255.677</v>
      </c>
      <c r="L138" s="1">
        <v>36.299999999999997</v>
      </c>
      <c r="M138" s="1">
        <v>6.1379999999999999</v>
      </c>
      <c r="N138" s="1">
        <v>19.183</v>
      </c>
      <c r="O138" s="1">
        <v>4.5516100000000002</v>
      </c>
      <c r="P138" s="1">
        <v>75.071479999999994</v>
      </c>
      <c r="Q138" s="1">
        <v>23.122389999999999</v>
      </c>
      <c r="R138" s="1">
        <v>6.9858413800000001</v>
      </c>
      <c r="S138" s="1">
        <v>7.8326912399999999</v>
      </c>
      <c r="T138" s="1">
        <v>10434332</v>
      </c>
      <c r="U138" s="1">
        <v>9.5649110000000004</v>
      </c>
      <c r="V138" s="1">
        <v>10.623049999999999</v>
      </c>
      <c r="W138" s="1">
        <v>10.58709</v>
      </c>
      <c r="X138" s="1">
        <v>16.160609999999998</v>
      </c>
    </row>
    <row r="139" spans="6:24" x14ac:dyDescent="0.2">
      <c r="F139" s="1">
        <v>136</v>
      </c>
      <c r="G139" s="1" t="s">
        <v>60</v>
      </c>
      <c r="H139" s="1">
        <v>2018</v>
      </c>
      <c r="I139" s="1">
        <v>34828.9</v>
      </c>
      <c r="J139" s="1">
        <v>32729.96</v>
      </c>
      <c r="K139" s="1">
        <v>7255.3909999999996</v>
      </c>
      <c r="L139" s="1">
        <v>35.799999999999997</v>
      </c>
      <c r="M139" s="1">
        <v>4.1870000000000003</v>
      </c>
      <c r="N139" s="1">
        <v>16.606999999999999</v>
      </c>
      <c r="O139" s="1">
        <v>3.3170999999999999</v>
      </c>
      <c r="P139" s="1">
        <v>51.994349999999997</v>
      </c>
      <c r="Q139" s="1">
        <v>14.50985</v>
      </c>
      <c r="R139" s="1">
        <v>5.3945222800000003</v>
      </c>
      <c r="S139" s="1">
        <v>4.6254844300000002</v>
      </c>
      <c r="T139" s="1">
        <v>19473970</v>
      </c>
      <c r="U139" s="1">
        <v>8.8895</v>
      </c>
      <c r="V139" s="1">
        <v>10.4582</v>
      </c>
      <c r="W139" s="1">
        <v>10.396050000000001</v>
      </c>
      <c r="X139" s="1">
        <v>16.784590000000001</v>
      </c>
    </row>
    <row r="140" spans="6:24" x14ac:dyDescent="0.2">
      <c r="F140" s="1">
        <v>137</v>
      </c>
      <c r="G140" s="1" t="s">
        <v>60</v>
      </c>
      <c r="H140" s="1">
        <v>2019</v>
      </c>
      <c r="I140" s="1">
        <v>36399.47</v>
      </c>
      <c r="J140" s="1">
        <v>34946.53</v>
      </c>
      <c r="K140" s="1">
        <v>7522.3069999999998</v>
      </c>
      <c r="L140" s="1">
        <v>34.799999999999997</v>
      </c>
      <c r="M140" s="1">
        <v>3.9119999999999999</v>
      </c>
      <c r="N140" s="1">
        <v>17.143000000000001</v>
      </c>
      <c r="O140" s="1">
        <v>3.5576099999999999</v>
      </c>
      <c r="P140" s="1">
        <v>52.44397</v>
      </c>
      <c r="Q140" s="1">
        <v>14.786020000000001</v>
      </c>
      <c r="R140" s="1">
        <v>3.96028958</v>
      </c>
      <c r="S140" s="1">
        <v>3.8278543300000001</v>
      </c>
      <c r="T140" s="1">
        <v>19371648</v>
      </c>
      <c r="U140" s="1">
        <v>8.9256279999999997</v>
      </c>
      <c r="V140" s="1">
        <v>10.50231</v>
      </c>
      <c r="W140" s="1">
        <v>10.46157</v>
      </c>
      <c r="X140" s="1">
        <v>16.779319999999998</v>
      </c>
    </row>
    <row r="141" spans="6:24" x14ac:dyDescent="0.2">
      <c r="F141" s="1">
        <v>138</v>
      </c>
      <c r="G141" s="1" t="s">
        <v>60</v>
      </c>
      <c r="H141" s="1">
        <v>2020</v>
      </c>
      <c r="I141" s="1">
        <v>35283.61</v>
      </c>
      <c r="J141" s="1">
        <v>34328.68</v>
      </c>
      <c r="K141" s="1">
        <v>7289.8010000000004</v>
      </c>
      <c r="L141" s="1">
        <v>34.6</v>
      </c>
      <c r="M141" s="1">
        <v>5.0350000000000001</v>
      </c>
      <c r="N141" s="1">
        <v>17.584</v>
      </c>
      <c r="O141" s="1">
        <v>3.5796899999999998</v>
      </c>
      <c r="P141" s="1">
        <v>53.491109999999999</v>
      </c>
      <c r="Q141" s="1">
        <v>15.137560000000001</v>
      </c>
      <c r="R141" s="1">
        <v>-3.5980254600000001</v>
      </c>
      <c r="S141" s="1">
        <v>2.63107311</v>
      </c>
      <c r="T141" s="1">
        <v>19265250</v>
      </c>
      <c r="U141" s="1">
        <v>8.8942320000000006</v>
      </c>
      <c r="V141" s="1">
        <v>10.471170000000001</v>
      </c>
      <c r="W141" s="1">
        <v>10.44374</v>
      </c>
      <c r="X141" s="1">
        <v>16.773810000000001</v>
      </c>
    </row>
    <row r="142" spans="6:24" x14ac:dyDescent="0.2">
      <c r="F142" s="1">
        <v>139</v>
      </c>
      <c r="G142" s="1" t="s">
        <v>60</v>
      </c>
      <c r="H142" s="1">
        <v>2021</v>
      </c>
      <c r="I142" s="1">
        <v>37534</v>
      </c>
      <c r="J142" s="1">
        <v>36871.269999999997</v>
      </c>
      <c r="K142" s="1">
        <v>7856.5810000000001</v>
      </c>
      <c r="L142" s="1">
        <v>33.9</v>
      </c>
      <c r="M142" s="1">
        <v>5.59</v>
      </c>
      <c r="N142" s="1">
        <v>21.149000000000001</v>
      </c>
      <c r="O142" s="1">
        <v>3.3156300000000001</v>
      </c>
      <c r="P142" s="1">
        <v>55.265610000000002</v>
      </c>
      <c r="Q142" s="1">
        <v>13.977130000000001</v>
      </c>
      <c r="R142" s="1">
        <v>5.5873507299999998</v>
      </c>
      <c r="S142" s="1">
        <v>5.05232876</v>
      </c>
      <c r="T142" s="1">
        <v>19122059</v>
      </c>
      <c r="U142" s="1">
        <v>8.9691069999999993</v>
      </c>
      <c r="V142" s="1">
        <v>10.532999999999999</v>
      </c>
      <c r="W142" s="1">
        <v>10.51519</v>
      </c>
      <c r="X142" s="1">
        <v>16.766349999999999</v>
      </c>
    </row>
    <row r="143" spans="6:24" x14ac:dyDescent="0.2">
      <c r="F143" s="1">
        <v>140</v>
      </c>
      <c r="G143" s="1" t="s">
        <v>60</v>
      </c>
      <c r="H143" s="1">
        <v>2022</v>
      </c>
      <c r="I143" s="1">
        <v>39256.83</v>
      </c>
      <c r="J143" s="1">
        <v>38174.339999999997</v>
      </c>
      <c r="K143" s="1">
        <v>8315.9349999999995</v>
      </c>
      <c r="L143" s="1">
        <v>32.299999999999997</v>
      </c>
      <c r="M143" s="1">
        <v>5.6139999999999999</v>
      </c>
      <c r="N143" s="1">
        <v>22.873999999999999</v>
      </c>
      <c r="O143" s="1">
        <v>3.2788200000000001</v>
      </c>
      <c r="P143" s="1">
        <v>58.239040000000003</v>
      </c>
      <c r="Q143" s="1">
        <v>15.283469999999999</v>
      </c>
      <c r="R143" s="1">
        <v>4.1877130500000002</v>
      </c>
      <c r="S143" s="1">
        <v>13.79548874</v>
      </c>
      <c r="T143" s="1">
        <v>19048502</v>
      </c>
      <c r="U143" s="1">
        <v>9.0259289999999996</v>
      </c>
      <c r="V143" s="1">
        <v>10.57788</v>
      </c>
      <c r="W143" s="1">
        <v>10.54992</v>
      </c>
      <c r="X143" s="1">
        <v>16.762499999999999</v>
      </c>
    </row>
    <row r="144" spans="6:24" x14ac:dyDescent="0.2">
      <c r="F144" s="1">
        <v>141</v>
      </c>
      <c r="G144" s="1" t="s">
        <v>61</v>
      </c>
      <c r="H144" s="1">
        <v>2018</v>
      </c>
      <c r="I144" s="1">
        <v>60124.57</v>
      </c>
      <c r="J144" s="1">
        <v>60986.48</v>
      </c>
      <c r="K144" s="1">
        <v>24753.987000000001</v>
      </c>
      <c r="L144" s="1">
        <v>30</v>
      </c>
      <c r="M144" s="1">
        <v>6.3650000000000002</v>
      </c>
      <c r="N144" s="1">
        <v>17.398</v>
      </c>
      <c r="O144" s="1">
        <v>7.6982600000000003</v>
      </c>
      <c r="P144" s="1">
        <v>73.408379999999994</v>
      </c>
      <c r="Q144" s="1">
        <v>30.992460000000001</v>
      </c>
      <c r="R144" s="1">
        <v>1.77025535</v>
      </c>
      <c r="S144" s="1">
        <v>1.9535353</v>
      </c>
      <c r="T144" s="1">
        <v>10175214</v>
      </c>
      <c r="U144" s="1">
        <v>10.116742</v>
      </c>
      <c r="V144" s="1">
        <v>11.00417</v>
      </c>
      <c r="W144" s="1">
        <v>11.018409999999999</v>
      </c>
      <c r="X144" s="1">
        <v>16.135470000000002</v>
      </c>
    </row>
    <row r="145" spans="6:24" x14ac:dyDescent="0.2">
      <c r="F145" s="1">
        <v>142</v>
      </c>
      <c r="G145" s="1" t="s">
        <v>61</v>
      </c>
      <c r="H145" s="1">
        <v>2019</v>
      </c>
      <c r="I145" s="1">
        <v>61070.52</v>
      </c>
      <c r="J145" s="1">
        <v>62701.55</v>
      </c>
      <c r="K145" s="1">
        <v>24696.852999999999</v>
      </c>
      <c r="L145" s="1">
        <v>29.3</v>
      </c>
      <c r="M145" s="1">
        <v>6.8330000000000002</v>
      </c>
      <c r="N145" s="1">
        <v>20.091999999999999</v>
      </c>
      <c r="O145" s="1">
        <v>7.6630700000000003</v>
      </c>
      <c r="P145" s="1">
        <v>75.114850000000004</v>
      </c>
      <c r="Q145" s="1">
        <v>25.07959</v>
      </c>
      <c r="R145" s="1">
        <v>2.6082301299999999</v>
      </c>
      <c r="S145" s="1">
        <v>1.78415097</v>
      </c>
      <c r="T145" s="1">
        <v>10278887</v>
      </c>
      <c r="U145" s="1">
        <v>10.114431</v>
      </c>
      <c r="V145" s="1">
        <v>11.019780000000001</v>
      </c>
      <c r="W145" s="1">
        <v>11.046139999999999</v>
      </c>
      <c r="X145" s="1">
        <v>16.145600000000002</v>
      </c>
    </row>
    <row r="146" spans="6:24" x14ac:dyDescent="0.2">
      <c r="F146" s="1">
        <v>143</v>
      </c>
      <c r="G146" s="1" t="s">
        <v>61</v>
      </c>
      <c r="H146" s="1">
        <v>2020</v>
      </c>
      <c r="I146" s="1">
        <v>59458.28</v>
      </c>
      <c r="J146" s="1">
        <v>61442.33</v>
      </c>
      <c r="K146" s="1">
        <v>23784.02</v>
      </c>
      <c r="L146" s="1">
        <v>28.9</v>
      </c>
      <c r="M146" s="1">
        <v>8.2910000000000004</v>
      </c>
      <c r="N146" s="1">
        <v>23.890999999999998</v>
      </c>
      <c r="O146" s="1">
        <v>7.9533300000000002</v>
      </c>
      <c r="P146" s="1">
        <v>79.119640000000004</v>
      </c>
      <c r="Q146" s="1">
        <v>32.541040000000002</v>
      </c>
      <c r="R146" s="1">
        <v>-1.93379704</v>
      </c>
      <c r="S146" s="1">
        <v>0.49736732</v>
      </c>
      <c r="T146" s="1">
        <v>10353442</v>
      </c>
      <c r="U146" s="1">
        <v>10.076769000000001</v>
      </c>
      <c r="V146" s="1">
        <v>10.993029999999999</v>
      </c>
      <c r="W146" s="1">
        <v>11.02585</v>
      </c>
      <c r="X146" s="1">
        <v>16.152830000000002</v>
      </c>
    </row>
    <row r="147" spans="6:24" x14ac:dyDescent="0.2">
      <c r="F147" s="1">
        <v>144</v>
      </c>
      <c r="G147" s="1" t="s">
        <v>61</v>
      </c>
      <c r="H147" s="1">
        <v>2021</v>
      </c>
      <c r="I147" s="1">
        <v>62190.85</v>
      </c>
      <c r="J147" s="1">
        <v>64541.82</v>
      </c>
      <c r="K147" s="1">
        <v>24978.055</v>
      </c>
      <c r="L147" s="1">
        <v>29.8</v>
      </c>
      <c r="M147" s="1">
        <v>8.8030000000000008</v>
      </c>
      <c r="N147" s="1">
        <v>24.555</v>
      </c>
      <c r="O147" s="1">
        <v>7.6022400000000001</v>
      </c>
      <c r="P147" s="1">
        <v>85.942620000000005</v>
      </c>
      <c r="Q147" s="1">
        <v>32.615139999999997</v>
      </c>
      <c r="R147" s="1">
        <v>5.2258642999999996</v>
      </c>
      <c r="S147" s="1">
        <v>2.1631973599999998</v>
      </c>
      <c r="T147" s="1">
        <v>10415811</v>
      </c>
      <c r="U147" s="1">
        <v>10.125753</v>
      </c>
      <c r="V147" s="1">
        <v>11.03796</v>
      </c>
      <c r="W147" s="1">
        <v>11.07507</v>
      </c>
      <c r="X147" s="1">
        <v>16.158840000000001</v>
      </c>
    </row>
    <row r="148" spans="6:24" x14ac:dyDescent="0.2">
      <c r="F148" s="1">
        <v>145</v>
      </c>
      <c r="G148" s="1" t="s">
        <v>61</v>
      </c>
      <c r="H148" s="1">
        <v>2022</v>
      </c>
      <c r="I148" s="1">
        <v>62544.5</v>
      </c>
      <c r="J148" s="1">
        <v>64526.92</v>
      </c>
      <c r="K148" s="1">
        <v>25497.685000000001</v>
      </c>
      <c r="L148" s="1">
        <v>31.6</v>
      </c>
      <c r="M148" s="1">
        <v>7.4169999999999998</v>
      </c>
      <c r="N148" s="1">
        <v>21.597000000000001</v>
      </c>
      <c r="O148" s="1">
        <v>7.3190999999999997</v>
      </c>
      <c r="P148" s="1">
        <v>83.89761</v>
      </c>
      <c r="Q148" s="1">
        <v>33.664149999999999</v>
      </c>
      <c r="R148" s="1">
        <v>1.2554361999999999</v>
      </c>
      <c r="S148" s="1">
        <v>8.3692909899999997</v>
      </c>
      <c r="T148" s="1">
        <v>10486941</v>
      </c>
      <c r="U148" s="1">
        <v>10.146343</v>
      </c>
      <c r="V148" s="1">
        <v>11.04363</v>
      </c>
      <c r="W148" s="1">
        <v>11.07484</v>
      </c>
      <c r="X148" s="1">
        <v>16.16564</v>
      </c>
    </row>
    <row r="149" spans="6:24" x14ac:dyDescent="0.2">
      <c r="F149" s="1">
        <v>146</v>
      </c>
      <c r="G149" s="1" t="s">
        <v>62</v>
      </c>
      <c r="H149" s="1">
        <v>2018</v>
      </c>
      <c r="I149" s="1">
        <v>43369.22</v>
      </c>
      <c r="J149" s="1">
        <v>43346.98</v>
      </c>
      <c r="K149" s="1">
        <v>12149.656999999999</v>
      </c>
      <c r="L149" s="1">
        <v>24.6</v>
      </c>
      <c r="M149" s="1">
        <v>5.1079999999999997</v>
      </c>
      <c r="N149" s="1">
        <v>8.8170000000000002</v>
      </c>
      <c r="O149" s="1">
        <v>4.9794900000000002</v>
      </c>
      <c r="P149" s="1">
        <v>77.301599999999993</v>
      </c>
      <c r="Q149" s="1">
        <v>20.72784</v>
      </c>
      <c r="R149" s="1">
        <v>4.3790834700000003</v>
      </c>
      <c r="S149" s="1">
        <v>1.7386086199999999</v>
      </c>
      <c r="T149" s="1">
        <v>2073894</v>
      </c>
      <c r="U149" s="1">
        <v>9.4050560000000001</v>
      </c>
      <c r="V149" s="1">
        <v>10.67751</v>
      </c>
      <c r="W149" s="1">
        <v>10.67699</v>
      </c>
      <c r="X149" s="1">
        <v>14.54494</v>
      </c>
    </row>
    <row r="150" spans="6:24" x14ac:dyDescent="0.2">
      <c r="F150" s="1">
        <v>147</v>
      </c>
      <c r="G150" s="1" t="s">
        <v>62</v>
      </c>
      <c r="H150" s="1">
        <v>2019</v>
      </c>
      <c r="I150" s="1">
        <v>44577.94</v>
      </c>
      <c r="J150" s="1">
        <v>44623.67</v>
      </c>
      <c r="K150" s="1">
        <v>12728.828</v>
      </c>
      <c r="L150" s="1">
        <v>24.4</v>
      </c>
      <c r="M150" s="1">
        <v>4.4459999999999997</v>
      </c>
      <c r="N150" s="1">
        <v>8.1359999999999992</v>
      </c>
      <c r="O150" s="1">
        <v>4.9347899999999996</v>
      </c>
      <c r="P150" s="1">
        <v>76.472009999999997</v>
      </c>
      <c r="Q150" s="1">
        <v>21.5091</v>
      </c>
      <c r="R150" s="1">
        <v>3.50525332</v>
      </c>
      <c r="S150" s="1">
        <v>1.6305226100000001</v>
      </c>
      <c r="T150" s="1">
        <v>2088385</v>
      </c>
      <c r="U150" s="1">
        <v>9.4516249999999999</v>
      </c>
      <c r="V150" s="1">
        <v>10.70499</v>
      </c>
      <c r="W150" s="1">
        <v>10.706020000000001</v>
      </c>
      <c r="X150" s="1">
        <v>14.5519</v>
      </c>
    </row>
    <row r="151" spans="6:24" x14ac:dyDescent="0.2">
      <c r="F151" s="1">
        <v>148</v>
      </c>
      <c r="G151" s="1" t="s">
        <v>62</v>
      </c>
      <c r="H151" s="1">
        <v>2020</v>
      </c>
      <c r="I151" s="1">
        <v>42471.519999999997</v>
      </c>
      <c r="J151" s="1">
        <v>43087.71</v>
      </c>
      <c r="K151" s="1">
        <v>11866.303</v>
      </c>
      <c r="L151" s="1">
        <v>24</v>
      </c>
      <c r="M151" s="1">
        <v>4.9710000000000001</v>
      </c>
      <c r="N151" s="1">
        <v>14.179</v>
      </c>
      <c r="O151" s="1">
        <v>5.4190100000000001</v>
      </c>
      <c r="P151" s="1">
        <v>75.816680000000005</v>
      </c>
      <c r="Q151" s="1">
        <v>23.754629999999999</v>
      </c>
      <c r="R151" s="1">
        <v>-4.0850009500000004</v>
      </c>
      <c r="S151" s="1">
        <v>-5.4856820000000001E-2</v>
      </c>
      <c r="T151" s="1">
        <v>2102419</v>
      </c>
      <c r="U151" s="1">
        <v>9.3814580000000003</v>
      </c>
      <c r="V151" s="1">
        <v>10.65659</v>
      </c>
      <c r="W151" s="1">
        <v>10.67099</v>
      </c>
      <c r="X151" s="1">
        <v>14.5586</v>
      </c>
    </row>
    <row r="152" spans="6:24" x14ac:dyDescent="0.2">
      <c r="F152" s="1">
        <v>149</v>
      </c>
      <c r="G152" s="1" t="s">
        <v>62</v>
      </c>
      <c r="H152" s="1">
        <v>2021</v>
      </c>
      <c r="I152" s="1">
        <v>45922.66</v>
      </c>
      <c r="J152" s="1">
        <v>45510.27</v>
      </c>
      <c r="K152" s="1">
        <v>13167.083000000001</v>
      </c>
      <c r="L152" s="1">
        <v>24.3</v>
      </c>
      <c r="M152" s="1">
        <v>4.7439999999999998</v>
      </c>
      <c r="N152" s="1">
        <v>12.846</v>
      </c>
      <c r="O152" s="1">
        <v>5.3916700000000004</v>
      </c>
      <c r="P152" s="1">
        <v>82.240039999999993</v>
      </c>
      <c r="Q152" s="1">
        <v>26.59441</v>
      </c>
      <c r="R152" s="1">
        <v>8.4168645800000004</v>
      </c>
      <c r="S152" s="1">
        <v>1.9170650600000001</v>
      </c>
      <c r="T152" s="1">
        <v>2108079</v>
      </c>
      <c r="U152" s="1">
        <v>9.4854749999999992</v>
      </c>
      <c r="V152" s="1">
        <v>10.73471</v>
      </c>
      <c r="W152" s="1">
        <v>10.72569</v>
      </c>
      <c r="X152" s="1">
        <v>14.56129</v>
      </c>
    </row>
    <row r="153" spans="6:24" x14ac:dyDescent="0.2">
      <c r="F153" s="1">
        <v>150</v>
      </c>
      <c r="G153" s="1" t="s">
        <v>62</v>
      </c>
      <c r="H153" s="1">
        <v>2022</v>
      </c>
      <c r="I153" s="1">
        <v>47058.89</v>
      </c>
      <c r="J153" s="1">
        <v>45105.07</v>
      </c>
      <c r="K153" s="1">
        <v>13659.495000000001</v>
      </c>
      <c r="L153" s="1">
        <v>24.3</v>
      </c>
      <c r="M153" s="1">
        <v>4.0110000000000001</v>
      </c>
      <c r="N153" s="1">
        <v>10.14</v>
      </c>
      <c r="O153" s="1">
        <v>5.2806499999999996</v>
      </c>
      <c r="P153" s="1">
        <v>82.392259999999993</v>
      </c>
      <c r="Q153" s="1">
        <v>26.089320000000001</v>
      </c>
      <c r="R153" s="1">
        <v>2.6685055599999998</v>
      </c>
      <c r="S153" s="1">
        <v>8.8336988699999992</v>
      </c>
      <c r="T153" s="1">
        <v>2112076</v>
      </c>
      <c r="U153" s="1">
        <v>9.5221900000000002</v>
      </c>
      <c r="V153" s="1">
        <v>10.75916</v>
      </c>
      <c r="W153" s="1">
        <v>10.716749999999999</v>
      </c>
      <c r="X153" s="1">
        <v>14.563179999999999</v>
      </c>
    </row>
    <row r="154" spans="6:24" x14ac:dyDescent="0.2">
      <c r="F154" s="1">
        <v>151</v>
      </c>
      <c r="G154" s="1" t="s">
        <v>63</v>
      </c>
      <c r="H154" s="1">
        <v>2018</v>
      </c>
      <c r="I154" s="1">
        <v>36415.79</v>
      </c>
      <c r="J154" s="1">
        <v>36323.300000000003</v>
      </c>
      <c r="K154" s="1">
        <v>9969.2260000000006</v>
      </c>
      <c r="L154" s="1">
        <v>25</v>
      </c>
      <c r="M154" s="1">
        <v>6.5439999999999996</v>
      </c>
      <c r="N154" s="1">
        <v>14.971</v>
      </c>
      <c r="O154" s="1">
        <v>3.9353500000000001</v>
      </c>
      <c r="P154" s="1">
        <v>47.813830000000003</v>
      </c>
      <c r="Q154" s="1">
        <v>21.89076</v>
      </c>
      <c r="R154" s="1">
        <v>4.0621198200000004</v>
      </c>
      <c r="S154" s="1">
        <v>2.5140371300000002</v>
      </c>
      <c r="T154" s="1">
        <v>5446771</v>
      </c>
      <c r="U154" s="1">
        <v>9.2072579999999995</v>
      </c>
      <c r="V154" s="1">
        <v>10.50276</v>
      </c>
      <c r="W154" s="1">
        <v>10.500209999999999</v>
      </c>
      <c r="X154" s="1">
        <v>15.510529999999999</v>
      </c>
    </row>
    <row r="155" spans="6:24" x14ac:dyDescent="0.2">
      <c r="F155" s="1">
        <v>152</v>
      </c>
      <c r="G155" s="1" t="s">
        <v>63</v>
      </c>
      <c r="H155" s="1">
        <v>2019</v>
      </c>
      <c r="I155" s="1">
        <v>37194.21</v>
      </c>
      <c r="J155" s="1">
        <v>36710.22</v>
      </c>
      <c r="K155" s="1">
        <v>10235.223</v>
      </c>
      <c r="L155" s="1">
        <v>23.2</v>
      </c>
      <c r="M155" s="1">
        <v>5.7610000000000001</v>
      </c>
      <c r="N155" s="1">
        <v>16.12</v>
      </c>
      <c r="O155" s="1">
        <v>4.2678000000000003</v>
      </c>
      <c r="P155" s="1">
        <v>48.190240000000003</v>
      </c>
      <c r="Q155" s="1">
        <v>22.85792</v>
      </c>
      <c r="R155" s="1">
        <v>2.2758991000000002</v>
      </c>
      <c r="S155" s="1">
        <v>2.6645613300000002</v>
      </c>
      <c r="T155" s="1">
        <v>5454147</v>
      </c>
      <c r="U155" s="1">
        <v>9.2335899999999995</v>
      </c>
      <c r="V155" s="1">
        <v>10.523910000000001</v>
      </c>
      <c r="W155" s="1">
        <v>10.510809999999999</v>
      </c>
      <c r="X155" s="1">
        <v>15.511889999999999</v>
      </c>
    </row>
    <row r="156" spans="6:24" x14ac:dyDescent="0.2">
      <c r="F156" s="1">
        <v>153</v>
      </c>
      <c r="G156" s="1" t="s">
        <v>63</v>
      </c>
      <c r="H156" s="1">
        <v>2020</v>
      </c>
      <c r="I156" s="1">
        <v>36201.49</v>
      </c>
      <c r="J156" s="1">
        <v>36150.480000000003</v>
      </c>
      <c r="K156" s="1">
        <v>10268.727000000001</v>
      </c>
      <c r="L156" s="1">
        <v>24.2</v>
      </c>
      <c r="M156" s="1">
        <v>6.7190000000000003</v>
      </c>
      <c r="N156" s="1">
        <v>19.437999999999999</v>
      </c>
      <c r="O156" s="1">
        <v>4.7202900000000003</v>
      </c>
      <c r="P156" s="1">
        <v>48.378999999999998</v>
      </c>
      <c r="Q156" s="1">
        <v>23.62049</v>
      </c>
      <c r="R156" s="1">
        <v>-2.5855124200000001</v>
      </c>
      <c r="S156" s="1">
        <v>1.9369412699999999</v>
      </c>
      <c r="T156" s="1">
        <v>5458827</v>
      </c>
      <c r="U156" s="1">
        <v>9.2368579999999998</v>
      </c>
      <c r="V156" s="1">
        <v>10.49686</v>
      </c>
      <c r="W156" s="1">
        <v>10.49545</v>
      </c>
      <c r="X156" s="1">
        <v>15.512740000000001</v>
      </c>
    </row>
    <row r="157" spans="6:24" x14ac:dyDescent="0.2">
      <c r="F157" s="1">
        <v>154</v>
      </c>
      <c r="G157" s="1" t="s">
        <v>63</v>
      </c>
      <c r="H157" s="1">
        <v>2021</v>
      </c>
      <c r="I157" s="1">
        <v>38330.300000000003</v>
      </c>
      <c r="J157" s="1">
        <v>37222.79</v>
      </c>
      <c r="K157" s="1">
        <v>10606.225</v>
      </c>
      <c r="L157" s="1">
        <v>24.1</v>
      </c>
      <c r="M157" s="1">
        <v>6.8940000000000001</v>
      </c>
      <c r="N157" s="1">
        <v>21.210999999999999</v>
      </c>
      <c r="O157" s="1">
        <v>4.71767</v>
      </c>
      <c r="P157" s="1">
        <v>50.734250000000003</v>
      </c>
      <c r="Q157" s="1">
        <v>24.514430000000001</v>
      </c>
      <c r="R157" s="1">
        <v>5.6558588099999998</v>
      </c>
      <c r="S157" s="1">
        <v>3.1496062999999999</v>
      </c>
      <c r="T157" s="1">
        <v>5447247</v>
      </c>
      <c r="U157" s="1">
        <v>9.2691960000000009</v>
      </c>
      <c r="V157" s="1">
        <v>10.554</v>
      </c>
      <c r="W157" s="1">
        <v>10.52468</v>
      </c>
      <c r="X157" s="1">
        <v>15.510619999999999</v>
      </c>
    </row>
    <row r="158" spans="6:24" x14ac:dyDescent="0.2">
      <c r="F158" s="1">
        <v>155</v>
      </c>
      <c r="G158" s="1" t="s">
        <v>63</v>
      </c>
      <c r="H158" s="1">
        <v>2022</v>
      </c>
      <c r="I158" s="1">
        <v>38648.99</v>
      </c>
      <c r="J158" s="1">
        <v>36061.360000000001</v>
      </c>
      <c r="K158" s="1">
        <v>11160.532999999999</v>
      </c>
      <c r="L158" s="1">
        <v>24.1</v>
      </c>
      <c r="M158" s="1">
        <v>6.1429999999999998</v>
      </c>
      <c r="N158" s="1">
        <v>19.923999999999999</v>
      </c>
      <c r="O158" s="1">
        <v>4.6568899999999998</v>
      </c>
      <c r="P158" s="1">
        <v>52.495910000000002</v>
      </c>
      <c r="Q158" s="1">
        <v>25.772680000000001</v>
      </c>
      <c r="R158" s="1">
        <v>0.54459162999999999</v>
      </c>
      <c r="S158" s="1">
        <v>12.77414636</v>
      </c>
      <c r="T158" s="1">
        <v>5431752</v>
      </c>
      <c r="U158" s="1">
        <v>9.3201389999999993</v>
      </c>
      <c r="V158" s="1">
        <v>10.562279999999999</v>
      </c>
      <c r="W158" s="1">
        <v>10.492979999999999</v>
      </c>
      <c r="X158" s="1">
        <v>15.507770000000001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28E3-0468-1B4D-86D8-B1869CD0B88F}">
  <dimension ref="A1:S92"/>
  <sheetViews>
    <sheetView tabSelected="1" workbookViewId="0">
      <selection activeCell="J15" sqref="J15"/>
    </sheetView>
  </sheetViews>
  <sheetFormatPr baseColWidth="10" defaultRowHeight="16" x14ac:dyDescent="0.2"/>
  <cols>
    <col min="9" max="9" width="15" customWidth="1"/>
    <col min="10" max="10" width="28.5" bestFit="1" customWidth="1"/>
  </cols>
  <sheetData>
    <row r="1" spans="1:13" x14ac:dyDescent="0.2">
      <c r="A1" t="s">
        <v>83</v>
      </c>
      <c r="E1" t="s">
        <v>96</v>
      </c>
    </row>
    <row r="2" spans="1:13" ht="17" thickBot="1" x14ac:dyDescent="0.25">
      <c r="A2" t="s">
        <v>84</v>
      </c>
    </row>
    <row r="3" spans="1:13" x14ac:dyDescent="0.2">
      <c r="E3" s="6" t="s">
        <v>97</v>
      </c>
      <c r="F3" s="6"/>
    </row>
    <row r="4" spans="1:13" x14ac:dyDescent="0.2">
      <c r="A4" t="s">
        <v>85</v>
      </c>
      <c r="E4" t="s">
        <v>98</v>
      </c>
      <c r="F4">
        <v>0.12297490045371044</v>
      </c>
    </row>
    <row r="5" spans="1:13" x14ac:dyDescent="0.2">
      <c r="A5" t="s">
        <v>86</v>
      </c>
      <c r="E5" t="s">
        <v>99</v>
      </c>
      <c r="F5">
        <v>1.5122826141599993E-2</v>
      </c>
    </row>
    <row r="6" spans="1:13" x14ac:dyDescent="0.2">
      <c r="E6" t="s">
        <v>100</v>
      </c>
      <c r="F6">
        <v>-2.769792054789566E-2</v>
      </c>
    </row>
    <row r="7" spans="1:13" x14ac:dyDescent="0.2">
      <c r="A7" t="s">
        <v>87</v>
      </c>
      <c r="E7" t="s">
        <v>101</v>
      </c>
      <c r="F7">
        <v>1.0137543689414601</v>
      </c>
    </row>
    <row r="8" spans="1:13" ht="17" thickBot="1" x14ac:dyDescent="0.25">
      <c r="A8" t="s">
        <v>88</v>
      </c>
      <c r="E8" s="4" t="s">
        <v>102</v>
      </c>
      <c r="F8" s="4">
        <v>25</v>
      </c>
    </row>
    <row r="9" spans="1:13" x14ac:dyDescent="0.2">
      <c r="A9" t="s">
        <v>89</v>
      </c>
    </row>
    <row r="10" spans="1:13" ht="17" thickBot="1" x14ac:dyDescent="0.25">
      <c r="A10" s="7">
        <v>2.986E-17</v>
      </c>
      <c r="B10" s="7">
        <v>0.123</v>
      </c>
      <c r="E10" t="s">
        <v>103</v>
      </c>
    </row>
    <row r="11" spans="1:13" x14ac:dyDescent="0.2">
      <c r="E11" s="5"/>
      <c r="F11" s="5" t="s">
        <v>108</v>
      </c>
      <c r="G11" s="5" t="s">
        <v>109</v>
      </c>
      <c r="H11" s="5" t="s">
        <v>110</v>
      </c>
      <c r="I11" s="5" t="s">
        <v>111</v>
      </c>
      <c r="J11" s="5" t="s">
        <v>112</v>
      </c>
    </row>
    <row r="12" spans="1:13" x14ac:dyDescent="0.2">
      <c r="A12" s="2" t="s">
        <v>90</v>
      </c>
      <c r="B12" s="2" t="s">
        <v>0</v>
      </c>
      <c r="E12" t="s">
        <v>104</v>
      </c>
      <c r="F12">
        <v>1</v>
      </c>
      <c r="G12">
        <v>0.36294782739840059</v>
      </c>
      <c r="H12">
        <v>0.36294782739840059</v>
      </c>
      <c r="I12">
        <v>0.3531658672666203</v>
      </c>
      <c r="J12">
        <v>0.55812737876759488</v>
      </c>
    </row>
    <row r="13" spans="1:13" x14ac:dyDescent="0.2">
      <c r="A13">
        <v>1.0545188407017565</v>
      </c>
      <c r="B13">
        <v>0.48692417414573197</v>
      </c>
      <c r="E13" t="s">
        <v>105</v>
      </c>
      <c r="F13">
        <v>23</v>
      </c>
      <c r="G13">
        <v>23.637052172601649</v>
      </c>
      <c r="H13">
        <v>1.0276979205478978</v>
      </c>
    </row>
    <row r="14" spans="1:13" ht="17" thickBot="1" x14ac:dyDescent="0.25">
      <c r="A14">
        <v>0.92239407819103547</v>
      </c>
      <c r="B14">
        <v>1.5013884784869935</v>
      </c>
      <c r="E14" s="4" t="s">
        <v>106</v>
      </c>
      <c r="F14" s="4">
        <v>24</v>
      </c>
      <c r="G14" s="4">
        <v>24.00000000000005</v>
      </c>
      <c r="H14" s="4"/>
      <c r="I14" s="4"/>
      <c r="J14" s="4"/>
    </row>
    <row r="15" spans="1:13" ht="17" thickBot="1" x14ac:dyDescent="0.25">
      <c r="A15">
        <v>-0.88279063311610406</v>
      </c>
      <c r="B15">
        <v>-0.30179434329889776</v>
      </c>
    </row>
    <row r="16" spans="1:13" x14ac:dyDescent="0.2">
      <c r="A16">
        <v>0.16260538817271686</v>
      </c>
      <c r="B16">
        <v>-5.6950271847963911E-2</v>
      </c>
      <c r="E16" s="5"/>
      <c r="F16" s="5" t="s">
        <v>87</v>
      </c>
      <c r="G16" s="5" t="s">
        <v>101</v>
      </c>
      <c r="H16" s="5" t="s">
        <v>113</v>
      </c>
      <c r="I16" s="5" t="s">
        <v>114</v>
      </c>
      <c r="J16" s="5" t="s">
        <v>115</v>
      </c>
      <c r="K16" s="5" t="s">
        <v>116</v>
      </c>
      <c r="L16" s="5" t="s">
        <v>117</v>
      </c>
      <c r="M16" s="5" t="s">
        <v>118</v>
      </c>
    </row>
    <row r="17" spans="1:13" x14ac:dyDescent="0.2">
      <c r="A17">
        <v>-0.22241164398668867</v>
      </c>
      <c r="B17">
        <v>-0.50310854809282046</v>
      </c>
      <c r="E17" t="s">
        <v>107</v>
      </c>
      <c r="F17" s="7">
        <v>3.1578981347846499E-16</v>
      </c>
      <c r="G17">
        <v>0.20275087378829201</v>
      </c>
      <c r="H17">
        <v>1.5575262763513698E-15</v>
      </c>
      <c r="I17">
        <v>1</v>
      </c>
      <c r="J17">
        <v>-0.41942213808126205</v>
      </c>
      <c r="K17">
        <v>0.41942213808126266</v>
      </c>
      <c r="L17">
        <v>-0.41942213808126205</v>
      </c>
      <c r="M17">
        <v>0.41942213808126266</v>
      </c>
    </row>
    <row r="18" spans="1:13" ht="17" thickBot="1" x14ac:dyDescent="0.25">
      <c r="A18">
        <v>0.90213068732330803</v>
      </c>
      <c r="B18">
        <v>0.44798602271135179</v>
      </c>
      <c r="E18" s="4" t="s">
        <v>0</v>
      </c>
      <c r="F18" s="8">
        <v>0.12297490045370929</v>
      </c>
      <c r="G18" s="4">
        <v>0.20693174403531148</v>
      </c>
      <c r="H18" s="4">
        <v>0.59427760118198425</v>
      </c>
      <c r="I18" s="4">
        <v>0.55812737876759888</v>
      </c>
      <c r="J18" s="4">
        <v>-0.30509602668222446</v>
      </c>
      <c r="K18" s="4">
        <v>0.55104582758964304</v>
      </c>
      <c r="L18" s="4">
        <v>-0.30509602668222446</v>
      </c>
      <c r="M18" s="4">
        <v>0.55104582758964304</v>
      </c>
    </row>
    <row r="19" spans="1:13" x14ac:dyDescent="0.2">
      <c r="A19">
        <v>0.10506778284772371</v>
      </c>
      <c r="B19">
        <v>1.5824038079128164</v>
      </c>
    </row>
    <row r="20" spans="1:13" x14ac:dyDescent="0.2">
      <c r="A20">
        <v>-0.72740916406312162</v>
      </c>
      <c r="B20">
        <v>0.41566116023699851</v>
      </c>
    </row>
    <row r="21" spans="1:13" x14ac:dyDescent="0.2">
      <c r="A21">
        <v>1.0886010862345874</v>
      </c>
      <c r="B21">
        <v>-0.21600444273449898</v>
      </c>
    </row>
    <row r="22" spans="1:13" x14ac:dyDescent="0.2">
      <c r="A22">
        <v>-1.0643180896181597</v>
      </c>
      <c r="B22">
        <v>1.6026398626107774</v>
      </c>
    </row>
    <row r="23" spans="1:13" x14ac:dyDescent="0.2">
      <c r="A23">
        <v>0.96383682150917405</v>
      </c>
      <c r="B23">
        <v>0.53452766426352571</v>
      </c>
    </row>
    <row r="24" spans="1:13" x14ac:dyDescent="0.2">
      <c r="A24">
        <v>1.3139624150811078</v>
      </c>
      <c r="B24">
        <v>-1.4452634963396611</v>
      </c>
    </row>
    <row r="25" spans="1:13" x14ac:dyDescent="0.2">
      <c r="A25">
        <v>-1.1783692032772592</v>
      </c>
      <c r="B25">
        <v>-0.71772044144077585</v>
      </c>
    </row>
    <row r="26" spans="1:13" x14ac:dyDescent="0.2">
      <c r="A26">
        <v>0.92344520903397276</v>
      </c>
      <c r="B26">
        <v>-1.0127889378047208</v>
      </c>
    </row>
    <row r="27" spans="1:13" x14ac:dyDescent="0.2">
      <c r="A27">
        <v>0.43970206794117039</v>
      </c>
      <c r="B27">
        <v>-0.74199964361353066</v>
      </c>
    </row>
    <row r="28" spans="1:13" x14ac:dyDescent="0.2">
      <c r="A28">
        <v>-2.4330540171150239</v>
      </c>
      <c r="B28">
        <v>-0.55397296871164214</v>
      </c>
    </row>
    <row r="29" spans="1:13" x14ac:dyDescent="0.2">
      <c r="A29">
        <v>0.9559148397293078</v>
      </c>
      <c r="B29">
        <v>-1.0703682340035379</v>
      </c>
    </row>
    <row r="30" spans="1:13" x14ac:dyDescent="0.2">
      <c r="A30">
        <v>-0.92043967648832026</v>
      </c>
      <c r="B30">
        <v>-0.48609278924789828</v>
      </c>
    </row>
    <row r="31" spans="1:13" x14ac:dyDescent="0.2">
      <c r="A31">
        <v>0.99298675592291341</v>
      </c>
      <c r="B31">
        <v>-8.6948800725011974E-2</v>
      </c>
    </row>
    <row r="32" spans="1:13" x14ac:dyDescent="0.2">
      <c r="A32">
        <v>-0.86506629808311564</v>
      </c>
      <c r="B32">
        <v>-0.49212703447409828</v>
      </c>
    </row>
    <row r="33" spans="1:10" x14ac:dyDescent="0.2">
      <c r="A33">
        <v>0.28286198588203704</v>
      </c>
      <c r="B33">
        <v>-0.25047278289021269</v>
      </c>
    </row>
    <row r="34" spans="1:10" x14ac:dyDescent="0.2">
      <c r="A34">
        <v>-1.6627111897556566</v>
      </c>
      <c r="B34">
        <v>-1.543457123202358</v>
      </c>
    </row>
    <row r="35" spans="1:10" x14ac:dyDescent="0.2">
      <c r="A35">
        <v>0.25894629122714657</v>
      </c>
      <c r="B35">
        <v>2.5609267661088038</v>
      </c>
    </row>
    <row r="36" spans="1:10" x14ac:dyDescent="0.2">
      <c r="A36">
        <v>-0.27234878812053087</v>
      </c>
      <c r="B36">
        <v>0.49013431133677338</v>
      </c>
    </row>
    <row r="37" spans="1:10" x14ac:dyDescent="0.2">
      <c r="A37">
        <v>-0.13805554617396867</v>
      </c>
      <c r="B37">
        <v>-0.14352238938612941</v>
      </c>
    </row>
    <row r="39" spans="1:10" x14ac:dyDescent="0.2">
      <c r="A39" t="s">
        <v>119</v>
      </c>
      <c r="B39" t="s">
        <v>120</v>
      </c>
      <c r="C39" t="s">
        <v>121</v>
      </c>
      <c r="D39" t="s">
        <v>0</v>
      </c>
      <c r="E39" t="s">
        <v>1</v>
      </c>
      <c r="F39" t="s">
        <v>2</v>
      </c>
      <c r="I39" t="s">
        <v>123</v>
      </c>
    </row>
    <row r="40" spans="1:10" x14ac:dyDescent="0.2">
      <c r="A40">
        <v>1.0545188407017565</v>
      </c>
      <c r="B40">
        <v>0.86075010948544939</v>
      </c>
      <c r="C40">
        <v>0.86075010948544939</v>
      </c>
      <c r="D40">
        <v>0.48692417414573197</v>
      </c>
      <c r="E40">
        <v>0.75923604729668759</v>
      </c>
      <c r="F40">
        <v>-0.14292763558619759</v>
      </c>
    </row>
    <row r="41" spans="1:10" x14ac:dyDescent="0.2">
      <c r="A41">
        <v>0.92239407819103547</v>
      </c>
      <c r="B41">
        <v>0.68147438156596285</v>
      </c>
      <c r="C41">
        <v>0.68147438156596285</v>
      </c>
      <c r="D41">
        <v>1.5013884784869935</v>
      </c>
      <c r="E41">
        <v>0.25127953044397505</v>
      </c>
      <c r="F41">
        <v>-1.3395310963078488</v>
      </c>
      <c r="I41" t="s">
        <v>85</v>
      </c>
    </row>
    <row r="42" spans="1:10" x14ac:dyDescent="0.2">
      <c r="A42">
        <v>-0.88279063311610406</v>
      </c>
      <c r="B42">
        <v>-0.62525327945514209</v>
      </c>
      <c r="C42">
        <v>-0.62525327945514209</v>
      </c>
      <c r="D42">
        <v>-0.30179434329889776</v>
      </c>
      <c r="E42">
        <v>0.27432013615389628</v>
      </c>
      <c r="F42">
        <v>1.7982290895844821</v>
      </c>
      <c r="I42" t="s">
        <v>86</v>
      </c>
    </row>
    <row r="43" spans="1:10" x14ac:dyDescent="0.2">
      <c r="A43">
        <v>0.16260538817271686</v>
      </c>
      <c r="B43">
        <v>0.47754694739803549</v>
      </c>
      <c r="C43">
        <v>0.47754694739803549</v>
      </c>
      <c r="D43">
        <v>-5.6950271847963911E-2</v>
      </c>
      <c r="E43">
        <v>2.0842232016845612</v>
      </c>
      <c r="F43">
        <v>1.6619492510022933E-2</v>
      </c>
    </row>
    <row r="44" spans="1:10" x14ac:dyDescent="0.2">
      <c r="A44">
        <v>-0.22241164398668867</v>
      </c>
      <c r="B44">
        <v>-1.2663464020948744E-2</v>
      </c>
      <c r="C44">
        <v>-1.2663464020948744E-2</v>
      </c>
      <c r="D44">
        <v>-0.50310854809282046</v>
      </c>
      <c r="E44">
        <v>-0.20654936472621416</v>
      </c>
      <c r="F44">
        <v>-1.4724870363880322</v>
      </c>
      <c r="I44" t="s">
        <v>87</v>
      </c>
    </row>
    <row r="45" spans="1:10" x14ac:dyDescent="0.2">
      <c r="A45">
        <v>0.90213068732330803</v>
      </c>
      <c r="B45">
        <v>0.69007528103495197</v>
      </c>
      <c r="C45">
        <v>0.69007528103495197</v>
      </c>
      <c r="D45">
        <v>0.44798602271135179</v>
      </c>
      <c r="E45">
        <v>-0.61012599437171922</v>
      </c>
      <c r="F45">
        <v>0.60162562886283089</v>
      </c>
      <c r="I45" t="s">
        <v>88</v>
      </c>
    </row>
    <row r="46" spans="1:10" x14ac:dyDescent="0.2">
      <c r="A46">
        <v>0.10506778284772371</v>
      </c>
      <c r="B46">
        <v>-0.47071523983923863</v>
      </c>
      <c r="C46">
        <v>-0.47071523983923863</v>
      </c>
      <c r="D46">
        <v>1.5824038079128164</v>
      </c>
      <c r="E46">
        <v>-1.1410510658295943</v>
      </c>
      <c r="F46">
        <v>-0.56838664384278414</v>
      </c>
      <c r="I46" t="s">
        <v>122</v>
      </c>
      <c r="J46" s="9">
        <v>0.2051</v>
      </c>
    </row>
    <row r="47" spans="1:10" x14ac:dyDescent="0.2">
      <c r="A47">
        <v>-0.72740916406312162</v>
      </c>
      <c r="B47">
        <v>-0.17246481769120711</v>
      </c>
      <c r="C47">
        <v>-0.17246481769120711</v>
      </c>
      <c r="D47">
        <v>0.41566116023699851</v>
      </c>
      <c r="E47">
        <v>-1.7904062232236193</v>
      </c>
      <c r="F47">
        <v>0.22934899663831571</v>
      </c>
      <c r="I47" s="10">
        <v>-2.473E-16</v>
      </c>
    </row>
    <row r="48" spans="1:10" x14ac:dyDescent="0.2">
      <c r="A48">
        <v>1.0886010862345874</v>
      </c>
      <c r="B48">
        <v>1.0977714305379451</v>
      </c>
      <c r="C48">
        <v>1.0977714305379451</v>
      </c>
      <c r="D48">
        <v>-0.21600444273449898</v>
      </c>
      <c r="E48">
        <v>1.1633728713654325</v>
      </c>
      <c r="F48">
        <v>0.57503444084679389</v>
      </c>
      <c r="I48" t="s">
        <v>96</v>
      </c>
    </row>
    <row r="49" spans="1:17" ht="17" thickBot="1" x14ac:dyDescent="0.25">
      <c r="A49">
        <v>-1.0643180896181597</v>
      </c>
      <c r="B49">
        <v>-1.740174955617378</v>
      </c>
      <c r="C49">
        <v>-1.740174955617378</v>
      </c>
      <c r="D49">
        <v>1.6026398626107774</v>
      </c>
      <c r="E49">
        <v>-1.0169313533937869</v>
      </c>
      <c r="F49">
        <v>-0.94066327606729838</v>
      </c>
    </row>
    <row r="50" spans="1:17" x14ac:dyDescent="0.2">
      <c r="A50">
        <v>0.96383682150917405</v>
      </c>
      <c r="B50">
        <v>0.80607809420350318</v>
      </c>
      <c r="C50">
        <v>0.80607809420350318</v>
      </c>
      <c r="D50">
        <v>0.53452766426352571</v>
      </c>
      <c r="E50">
        <v>-0.25725658369289206</v>
      </c>
      <c r="F50">
        <v>-6.3154071538087331E-2</v>
      </c>
      <c r="I50" s="6" t="s">
        <v>97</v>
      </c>
      <c r="J50" s="6"/>
    </row>
    <row r="51" spans="1:17" x14ac:dyDescent="0.2">
      <c r="A51">
        <v>1.3139624150811078</v>
      </c>
      <c r="B51">
        <v>1.3991618814203879</v>
      </c>
      <c r="C51">
        <v>1.3991618814203879</v>
      </c>
      <c r="D51">
        <v>-1.4452634963396611</v>
      </c>
      <c r="E51">
        <v>0.83351206528523869</v>
      </c>
      <c r="F51">
        <v>0.52185206481471968</v>
      </c>
      <c r="I51" t="s">
        <v>98</v>
      </c>
      <c r="J51">
        <v>0.20508516510980468</v>
      </c>
    </row>
    <row r="52" spans="1:17" x14ac:dyDescent="0.2">
      <c r="A52">
        <v>-1.1783692032772592</v>
      </c>
      <c r="B52">
        <v>-0.84378711167461629</v>
      </c>
      <c r="C52">
        <v>-0.84378711167461629</v>
      </c>
      <c r="D52">
        <v>-0.71772044144077585</v>
      </c>
      <c r="E52">
        <v>1.522840615677332</v>
      </c>
      <c r="F52">
        <v>-0.38224832773052747</v>
      </c>
      <c r="I52" t="s">
        <v>99</v>
      </c>
      <c r="J52">
        <v>4.2059924948115848E-2</v>
      </c>
    </row>
    <row r="53" spans="1:17" x14ac:dyDescent="0.2">
      <c r="A53">
        <v>0.92344520903397276</v>
      </c>
      <c r="B53">
        <v>1.0186288774631724</v>
      </c>
      <c r="C53">
        <v>1.0186288774631724</v>
      </c>
      <c r="D53">
        <v>-1.0127889378047208</v>
      </c>
      <c r="E53">
        <v>0.30096178064570522</v>
      </c>
      <c r="I53" t="s">
        <v>100</v>
      </c>
      <c r="J53">
        <v>4.1035646759914599E-4</v>
      </c>
    </row>
    <row r="54" spans="1:17" x14ac:dyDescent="0.2">
      <c r="A54">
        <v>0.43970206794117039</v>
      </c>
      <c r="B54">
        <v>0.38774778289881451</v>
      </c>
      <c r="C54">
        <v>0.38774778289881451</v>
      </c>
      <c r="D54">
        <v>-0.74199964361353066</v>
      </c>
      <c r="E54">
        <v>0.56101303732960917</v>
      </c>
      <c r="F54">
        <v>0.60162562886283089</v>
      </c>
      <c r="I54" t="s">
        <v>101</v>
      </c>
      <c r="J54">
        <v>0.99979480071282611</v>
      </c>
    </row>
    <row r="55" spans="1:17" ht="17" thickBot="1" x14ac:dyDescent="0.25">
      <c r="A55">
        <v>-2.4330540171150239</v>
      </c>
      <c r="B55">
        <v>-2.8301627337731716</v>
      </c>
      <c r="C55">
        <v>-2.8301627337731716</v>
      </c>
      <c r="D55">
        <v>-0.55397296871164214</v>
      </c>
      <c r="E55">
        <v>-0.35502620003596363</v>
      </c>
      <c r="F55">
        <v>1.3727700813278947</v>
      </c>
      <c r="I55" s="4" t="s">
        <v>102</v>
      </c>
      <c r="J55" s="4">
        <v>25</v>
      </c>
    </row>
    <row r="56" spans="1:17" x14ac:dyDescent="0.2">
      <c r="A56">
        <v>0.9559148397293078</v>
      </c>
      <c r="B56">
        <v>0.66220497237246634</v>
      </c>
      <c r="C56">
        <v>0.66220497237246634</v>
      </c>
      <c r="D56">
        <v>-1.0703682340035379</v>
      </c>
      <c r="E56">
        <v>-1.7403409706571418</v>
      </c>
      <c r="F56">
        <v>0.7079903809269773</v>
      </c>
    </row>
    <row r="57" spans="1:17" ht="17" thickBot="1" x14ac:dyDescent="0.25">
      <c r="A57">
        <v>-0.92043967648832026</v>
      </c>
      <c r="B57">
        <v>-0.42414798736344878</v>
      </c>
      <c r="C57">
        <v>-0.42414798736344878</v>
      </c>
      <c r="D57">
        <v>-0.48609278924789828</v>
      </c>
      <c r="E57">
        <v>-0.57152398314037844</v>
      </c>
      <c r="F57">
        <v>0.60162562886283089</v>
      </c>
      <c r="I57" t="s">
        <v>103</v>
      </c>
    </row>
    <row r="58" spans="1:17" x14ac:dyDescent="0.2">
      <c r="A58">
        <v>0.99298675592291341</v>
      </c>
      <c r="B58">
        <v>0.99688731581215584</v>
      </c>
      <c r="C58">
        <v>0.99688731581215584</v>
      </c>
      <c r="D58">
        <v>-8.6948800725011974E-2</v>
      </c>
      <c r="E58">
        <v>-0.3054700878719227</v>
      </c>
      <c r="F58">
        <v>0.84094632100716071</v>
      </c>
      <c r="I58" s="5"/>
      <c r="J58" s="5" t="s">
        <v>108</v>
      </c>
      <c r="K58" s="5" t="s">
        <v>109</v>
      </c>
      <c r="L58" s="5" t="s">
        <v>110</v>
      </c>
      <c r="M58" s="5" t="s">
        <v>111</v>
      </c>
      <c r="N58" s="5" t="s">
        <v>112</v>
      </c>
    </row>
    <row r="59" spans="1:17" x14ac:dyDescent="0.2">
      <c r="A59">
        <v>-0.86506629808311564</v>
      </c>
      <c r="B59">
        <v>-0.39665258740093196</v>
      </c>
      <c r="C59">
        <v>-0.39665258740093196</v>
      </c>
      <c r="D59">
        <v>-0.49212703447409828</v>
      </c>
      <c r="E59">
        <v>0.72987636917030452</v>
      </c>
      <c r="F59">
        <v>-0.67475139590693145</v>
      </c>
      <c r="I59" t="s">
        <v>104</v>
      </c>
      <c r="J59">
        <v>1</v>
      </c>
      <c r="K59">
        <v>1.0094381987547791</v>
      </c>
      <c r="L59">
        <v>1.0094381987547791</v>
      </c>
      <c r="M59">
        <v>1.0098525982998146</v>
      </c>
      <c r="N59">
        <v>0.32539410245497258</v>
      </c>
    </row>
    <row r="60" spans="1:17" x14ac:dyDescent="0.2">
      <c r="A60">
        <v>0.28286198588203704</v>
      </c>
      <c r="B60">
        <v>0.41074293148433816</v>
      </c>
      <c r="C60">
        <v>0.41074293148433816</v>
      </c>
      <c r="D60">
        <v>-0.25047278289021269</v>
      </c>
      <c r="E60">
        <v>1.4027101936591486</v>
      </c>
      <c r="F60">
        <v>1.2929965172797835</v>
      </c>
      <c r="I60" t="s">
        <v>105</v>
      </c>
      <c r="J60">
        <v>23</v>
      </c>
      <c r="K60">
        <v>22.990561801245192</v>
      </c>
      <c r="L60">
        <v>0.99958964353239965</v>
      </c>
    </row>
    <row r="61" spans="1:17" ht="17" thickBot="1" x14ac:dyDescent="0.25">
      <c r="A61">
        <v>-1.6627111897556566</v>
      </c>
      <c r="B61">
        <v>-1.5861622371738857</v>
      </c>
      <c r="C61">
        <v>-1.5861622371738857</v>
      </c>
      <c r="D61">
        <v>-1.543457123202358</v>
      </c>
      <c r="E61">
        <v>0.31470028932837252</v>
      </c>
      <c r="F61">
        <v>0.22934899663831571</v>
      </c>
      <c r="I61" s="4" t="s">
        <v>106</v>
      </c>
      <c r="J61" s="4">
        <v>24</v>
      </c>
      <c r="K61" s="4">
        <v>23.999999999999972</v>
      </c>
      <c r="L61" s="4"/>
      <c r="M61" s="4"/>
      <c r="N61" s="4"/>
    </row>
    <row r="62" spans="1:17" ht="17" thickBot="1" x14ac:dyDescent="0.25">
      <c r="A62">
        <v>0.25894629122714657</v>
      </c>
      <c r="B62">
        <v>-3.1884606525526986E-2</v>
      </c>
      <c r="C62">
        <v>-3.1884606525526986E-2</v>
      </c>
      <c r="D62">
        <v>2.5609267661088038</v>
      </c>
      <c r="E62">
        <v>-0.82547127086790029</v>
      </c>
      <c r="F62">
        <v>4.3210680526060002E-2</v>
      </c>
    </row>
    <row r="63" spans="1:17" x14ac:dyDescent="0.2">
      <c r="A63">
        <v>-0.27234878812053087</v>
      </c>
      <c r="B63">
        <v>-0.47697150070794331</v>
      </c>
      <c r="C63">
        <v>-0.47697150070794331</v>
      </c>
      <c r="D63">
        <v>0.49013431133677338</v>
      </c>
      <c r="E63">
        <v>-0.27602058888639597</v>
      </c>
      <c r="F63">
        <v>-1.8979460446446188</v>
      </c>
      <c r="I63" s="5"/>
      <c r="J63" s="5" t="s">
        <v>87</v>
      </c>
      <c r="K63" s="5" t="s">
        <v>101</v>
      </c>
      <c r="L63" s="5" t="s">
        <v>113</v>
      </c>
      <c r="M63" s="5" t="s">
        <v>114</v>
      </c>
      <c r="N63" s="5" t="s">
        <v>115</v>
      </c>
      <c r="O63" s="5" t="s">
        <v>116</v>
      </c>
      <c r="P63" s="5" t="s">
        <v>117</v>
      </c>
      <c r="Q63" s="5" t="s">
        <v>118</v>
      </c>
    </row>
    <row r="64" spans="1:17" x14ac:dyDescent="0.2">
      <c r="A64">
        <v>-0.13805554617396867</v>
      </c>
      <c r="B64">
        <v>0.12197051556624142</v>
      </c>
      <c r="C64">
        <v>0.12197051556624142</v>
      </c>
      <c r="D64">
        <v>-0.14352238938612941</v>
      </c>
      <c r="E64">
        <v>-1.1018724513427371</v>
      </c>
      <c r="F64">
        <v>-1.9511284206766919</v>
      </c>
      <c r="I64" t="s">
        <v>107</v>
      </c>
      <c r="J64" s="11">
        <v>-5.5958622347829439E-16</v>
      </c>
      <c r="K64">
        <v>0.19995896014256523</v>
      </c>
      <c r="L64">
        <v>-2.7985053686982811E-15</v>
      </c>
      <c r="M64">
        <v>1</v>
      </c>
      <c r="N64">
        <v>-0.41364662467039742</v>
      </c>
      <c r="O64">
        <v>0.41364662467039631</v>
      </c>
      <c r="P64">
        <v>-0.41364662467039742</v>
      </c>
      <c r="Q64">
        <v>0.41364662467039631</v>
      </c>
    </row>
    <row r="65" spans="1:17" ht="17" thickBot="1" x14ac:dyDescent="0.25">
      <c r="I65" s="4" t="s">
        <v>1</v>
      </c>
      <c r="J65" s="4">
        <v>0.20508516510980374</v>
      </c>
      <c r="K65" s="4">
        <v>0.2040822591028349</v>
      </c>
      <c r="L65" s="4">
        <v>1.0049142243494251</v>
      </c>
      <c r="M65" s="4">
        <v>0.32539410245497447</v>
      </c>
      <c r="N65" s="4">
        <v>-0.21709115333478793</v>
      </c>
      <c r="O65" s="4">
        <v>0.62726148355439537</v>
      </c>
      <c r="P65" s="4">
        <v>-0.21709115333478793</v>
      </c>
      <c r="Q65" s="4">
        <v>0.62726148355439537</v>
      </c>
    </row>
    <row r="67" spans="1:17" x14ac:dyDescent="0.2">
      <c r="I67" t="s">
        <v>124</v>
      </c>
    </row>
    <row r="68" spans="1:17" x14ac:dyDescent="0.2">
      <c r="A68" t="s">
        <v>119</v>
      </c>
      <c r="B68" t="s">
        <v>2</v>
      </c>
      <c r="I68" t="s">
        <v>125</v>
      </c>
      <c r="J68" t="s">
        <v>126</v>
      </c>
      <c r="K68" t="s">
        <v>96</v>
      </c>
    </row>
    <row r="69" spans="1:17" ht="17" thickBot="1" x14ac:dyDescent="0.25">
      <c r="A69">
        <v>1.0545188407017565</v>
      </c>
      <c r="B69">
        <v>-0.14292763558619759</v>
      </c>
      <c r="I69" t="s">
        <v>127</v>
      </c>
    </row>
    <row r="70" spans="1:17" x14ac:dyDescent="0.2">
      <c r="A70">
        <v>0.92239407819103547</v>
      </c>
      <c r="B70">
        <v>-1.3395310963078488</v>
      </c>
      <c r="I70" t="s">
        <v>128</v>
      </c>
      <c r="K70" s="6" t="s">
        <v>97</v>
      </c>
      <c r="L70" s="6"/>
    </row>
    <row r="71" spans="1:17" x14ac:dyDescent="0.2">
      <c r="A71">
        <v>-0.88279063311610406</v>
      </c>
      <c r="B71">
        <v>1.7982290895844821</v>
      </c>
      <c r="I71" t="s">
        <v>129</v>
      </c>
      <c r="K71" t="s">
        <v>98</v>
      </c>
      <c r="L71">
        <v>1.634378066039922E-2</v>
      </c>
    </row>
    <row r="72" spans="1:17" x14ac:dyDescent="0.2">
      <c r="A72">
        <v>0.16260538817271686</v>
      </c>
      <c r="B72">
        <v>1.6619492510022933E-2</v>
      </c>
      <c r="I72" t="s">
        <v>130</v>
      </c>
      <c r="K72" t="s">
        <v>99</v>
      </c>
      <c r="L72">
        <v>2.6711916627523952E-4</v>
      </c>
    </row>
    <row r="73" spans="1:17" x14ac:dyDescent="0.2">
      <c r="A73">
        <v>-0.22241164398668867</v>
      </c>
      <c r="B73">
        <v>-1.4724870363880322</v>
      </c>
      <c r="I73">
        <v>-0.21299999999999999</v>
      </c>
      <c r="K73" t="s">
        <v>100</v>
      </c>
      <c r="L73">
        <v>-4.5175284507984977E-2</v>
      </c>
    </row>
    <row r="74" spans="1:17" x14ac:dyDescent="0.2">
      <c r="A74">
        <v>0.90213068732330803</v>
      </c>
      <c r="B74">
        <v>0.60162562886283089</v>
      </c>
      <c r="I74" t="s">
        <v>131</v>
      </c>
      <c r="K74" t="s">
        <v>101</v>
      </c>
      <c r="L74">
        <v>1.0248180341637934</v>
      </c>
    </row>
    <row r="75" spans="1:17" ht="17" thickBot="1" x14ac:dyDescent="0.25">
      <c r="A75">
        <v>0.10506778284772371</v>
      </c>
      <c r="B75">
        <v>-0.56838664384278414</v>
      </c>
      <c r="I75" t="s">
        <v>132</v>
      </c>
      <c r="K75" s="4" t="s">
        <v>102</v>
      </c>
      <c r="L75" s="4">
        <v>24</v>
      </c>
    </row>
    <row r="76" spans="1:17" x14ac:dyDescent="0.2">
      <c r="A76">
        <v>-0.72740916406312162</v>
      </c>
      <c r="B76">
        <v>0.22934899663831571</v>
      </c>
      <c r="I76">
        <v>-0.20899999999999999</v>
      </c>
    </row>
    <row r="77" spans="1:17" ht="17" thickBot="1" x14ac:dyDescent="0.25">
      <c r="A77">
        <v>1.0886010862345874</v>
      </c>
      <c r="B77">
        <v>0.57503444084679389</v>
      </c>
      <c r="I77" t="s">
        <v>131</v>
      </c>
      <c r="K77" t="s">
        <v>103</v>
      </c>
    </row>
    <row r="78" spans="1:17" x14ac:dyDescent="0.2">
      <c r="A78">
        <v>-1.0643180896181597</v>
      </c>
      <c r="B78">
        <v>-0.94066327606729838</v>
      </c>
      <c r="I78" t="s">
        <v>129</v>
      </c>
      <c r="K78" s="5"/>
      <c r="L78" s="5" t="s">
        <v>108</v>
      </c>
      <c r="M78" s="5" t="s">
        <v>109</v>
      </c>
      <c r="N78" s="5" t="s">
        <v>110</v>
      </c>
      <c r="O78" s="5" t="s">
        <v>111</v>
      </c>
      <c r="P78" s="5" t="s">
        <v>112</v>
      </c>
    </row>
    <row r="79" spans="1:17" x14ac:dyDescent="0.2">
      <c r="A79">
        <v>0.96383682150917405</v>
      </c>
      <c r="B79">
        <v>-6.3154071538087331E-2</v>
      </c>
      <c r="I79" t="s">
        <v>133</v>
      </c>
      <c r="K79" t="s">
        <v>104</v>
      </c>
      <c r="L79">
        <v>1</v>
      </c>
      <c r="M79">
        <v>6.1735827503888174E-3</v>
      </c>
      <c r="N79">
        <v>6.1735827503888174E-3</v>
      </c>
      <c r="O79">
        <v>5.8781918357576433E-3</v>
      </c>
      <c r="P79">
        <v>0.93957956189529912</v>
      </c>
    </row>
    <row r="80" spans="1:17" x14ac:dyDescent="0.2">
      <c r="A80">
        <v>1.3139624150811078</v>
      </c>
      <c r="B80">
        <v>0.52185206481471968</v>
      </c>
      <c r="I80" t="s">
        <v>134</v>
      </c>
      <c r="K80" t="s">
        <v>105</v>
      </c>
      <c r="L80">
        <v>22</v>
      </c>
      <c r="M80">
        <v>23.105544069241528</v>
      </c>
      <c r="N80">
        <v>1.0502520031473421</v>
      </c>
    </row>
    <row r="81" spans="1:19" ht="17" thickBot="1" x14ac:dyDescent="0.25">
      <c r="A81">
        <v>-1.1783692032772592</v>
      </c>
      <c r="B81">
        <v>-0.38224832773052747</v>
      </c>
      <c r="I81" t="s">
        <v>135</v>
      </c>
      <c r="K81" s="4" t="s">
        <v>106</v>
      </c>
      <c r="L81" s="4">
        <v>23</v>
      </c>
      <c r="M81" s="4">
        <v>23.111717651991917</v>
      </c>
      <c r="N81" s="4"/>
      <c r="O81" s="4"/>
      <c r="P81" s="4"/>
    </row>
    <row r="82" spans="1:19" ht="17" thickBot="1" x14ac:dyDescent="0.25">
      <c r="A82">
        <v>0.43970206794117039</v>
      </c>
      <c r="B82">
        <v>0.60162562886283089</v>
      </c>
      <c r="I82" t="s">
        <v>136</v>
      </c>
    </row>
    <row r="83" spans="1:19" x14ac:dyDescent="0.2">
      <c r="A83">
        <v>-2.4330540171150239</v>
      </c>
      <c r="B83">
        <v>1.3727700813278947</v>
      </c>
      <c r="I83" t="s">
        <v>137</v>
      </c>
      <c r="K83" s="5"/>
      <c r="L83" s="5" t="s">
        <v>87</v>
      </c>
      <c r="M83" s="5" t="s">
        <v>101</v>
      </c>
      <c r="N83" s="5" t="s">
        <v>113</v>
      </c>
      <c r="O83" s="5" t="s">
        <v>114</v>
      </c>
      <c r="P83" s="5" t="s">
        <v>115</v>
      </c>
      <c r="Q83" s="5" t="s">
        <v>116</v>
      </c>
      <c r="R83" s="5" t="s">
        <v>117</v>
      </c>
      <c r="S83" s="5" t="s">
        <v>118</v>
      </c>
    </row>
    <row r="84" spans="1:19" x14ac:dyDescent="0.2">
      <c r="A84">
        <v>0.9559148397293078</v>
      </c>
      <c r="B84">
        <v>0.7079903809269773</v>
      </c>
      <c r="I84" t="s">
        <v>124</v>
      </c>
      <c r="K84" t="s">
        <v>107</v>
      </c>
      <c r="L84">
        <v>-3.8476883709748458E-2</v>
      </c>
      <c r="M84">
        <v>0.20919010524195278</v>
      </c>
      <c r="N84">
        <v>-0.18393261796606225</v>
      </c>
      <c r="O84">
        <v>0.85575111873656151</v>
      </c>
      <c r="P84">
        <v>-0.47231060904304312</v>
      </c>
      <c r="Q84">
        <v>0.39535684162354617</v>
      </c>
      <c r="R84">
        <v>-0.47231060904304312</v>
      </c>
      <c r="S84">
        <v>0.39535684162354617</v>
      </c>
    </row>
    <row r="85" spans="1:19" ht="17" thickBot="1" x14ac:dyDescent="0.25">
      <c r="A85">
        <v>-0.92043967648832026</v>
      </c>
      <c r="B85">
        <v>0.60162562886283089</v>
      </c>
      <c r="I85" t="s">
        <v>138</v>
      </c>
      <c r="J85" t="s">
        <v>139</v>
      </c>
      <c r="K85" s="4" t="s">
        <v>2</v>
      </c>
      <c r="L85" s="4">
        <v>-1.6383425811514366E-2</v>
      </c>
      <c r="M85" s="4">
        <v>0.21368933190878744</v>
      </c>
      <c r="N85" s="4">
        <v>-7.6669366997261124E-2</v>
      </c>
      <c r="O85" s="4">
        <v>0.93957956189528335</v>
      </c>
      <c r="P85" s="4">
        <v>-0.45954797615555304</v>
      </c>
      <c r="Q85" s="4">
        <v>0.42678112453252431</v>
      </c>
      <c r="R85" s="4">
        <v>-0.45954797615555304</v>
      </c>
      <c r="S85" s="4">
        <v>0.42678112453252431</v>
      </c>
    </row>
    <row r="86" spans="1:19" x14ac:dyDescent="0.2">
      <c r="A86">
        <v>0.99298675592291341</v>
      </c>
      <c r="B86">
        <v>0.84094632100716071</v>
      </c>
    </row>
    <row r="87" spans="1:19" x14ac:dyDescent="0.2">
      <c r="A87">
        <v>-0.86506629808311564</v>
      </c>
      <c r="B87">
        <v>-0.67475139590693145</v>
      </c>
    </row>
    <row r="88" spans="1:19" x14ac:dyDescent="0.2">
      <c r="A88">
        <v>0.28286198588203704</v>
      </c>
      <c r="B88">
        <v>1.2929965172797835</v>
      </c>
    </row>
    <row r="89" spans="1:19" x14ac:dyDescent="0.2">
      <c r="A89">
        <v>-1.6627111897556566</v>
      </c>
      <c r="B89">
        <v>0.22934899663831571</v>
      </c>
    </row>
    <row r="90" spans="1:19" x14ac:dyDescent="0.2">
      <c r="A90">
        <v>0.25894629122714657</v>
      </c>
      <c r="B90">
        <v>4.3210680526060002E-2</v>
      </c>
    </row>
    <row r="91" spans="1:19" x14ac:dyDescent="0.2">
      <c r="A91">
        <v>-0.27234878812053087</v>
      </c>
      <c r="B91">
        <v>-1.8979460446446188</v>
      </c>
    </row>
    <row r="92" spans="1:19" x14ac:dyDescent="0.2">
      <c r="A92">
        <v>-0.13805554617396867</v>
      </c>
      <c r="B92">
        <v>-1.9511284206766919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1901-7C8E-ED44-BCC1-8F4F8548A9E3}">
  <dimension ref="A1:F35"/>
  <sheetViews>
    <sheetView workbookViewId="0">
      <selection activeCell="F11" sqref="F11"/>
    </sheetView>
  </sheetViews>
  <sheetFormatPr baseColWidth="10" defaultRowHeight="16" x14ac:dyDescent="0.2"/>
  <sheetData>
    <row r="1" spans="1:6" x14ac:dyDescent="0.2">
      <c r="A1" t="s">
        <v>64</v>
      </c>
      <c r="E1" t="s">
        <v>76</v>
      </c>
      <c r="F1" t="s">
        <v>70</v>
      </c>
    </row>
    <row r="2" spans="1:6" x14ac:dyDescent="0.2">
      <c r="A2" t="s">
        <v>65</v>
      </c>
      <c r="F2" t="s">
        <v>71</v>
      </c>
    </row>
    <row r="3" spans="1:6" x14ac:dyDescent="0.2">
      <c r="A3" t="s">
        <v>66</v>
      </c>
      <c r="F3" t="s">
        <v>72</v>
      </c>
    </row>
    <row r="4" spans="1:6" x14ac:dyDescent="0.2">
      <c r="A4" t="s">
        <v>67</v>
      </c>
      <c r="F4" t="s">
        <v>73</v>
      </c>
    </row>
    <row r="5" spans="1:6" x14ac:dyDescent="0.2">
      <c r="A5" t="s">
        <v>68</v>
      </c>
      <c r="F5" t="s">
        <v>74</v>
      </c>
    </row>
    <row r="6" spans="1:6" x14ac:dyDescent="0.2">
      <c r="A6" t="s">
        <v>92</v>
      </c>
      <c r="F6" t="s">
        <v>75</v>
      </c>
    </row>
    <row r="8" spans="1:6" x14ac:dyDescent="0.2">
      <c r="F8" t="s">
        <v>77</v>
      </c>
    </row>
    <row r="9" spans="1:6" x14ac:dyDescent="0.2">
      <c r="F9" t="s">
        <v>78</v>
      </c>
    </row>
    <row r="10" spans="1:6" x14ac:dyDescent="0.2">
      <c r="A10" s="2" t="s">
        <v>69</v>
      </c>
      <c r="B10" s="2" t="str">
        <f>A2</f>
        <v>[1] 0.04</v>
      </c>
      <c r="C10" s="2" t="str">
        <f>A4</f>
        <v>[1] 0.075</v>
      </c>
      <c r="D10" s="2" t="str">
        <f>A6</f>
        <v>[1]  0.14</v>
      </c>
      <c r="F10" t="s">
        <v>79</v>
      </c>
    </row>
    <row r="11" spans="1:6" x14ac:dyDescent="0.2">
      <c r="A11" s="1" t="s">
        <v>13</v>
      </c>
      <c r="B11" s="1">
        <v>-0.63119309999999995</v>
      </c>
      <c r="C11" s="1">
        <v>-0.56023579999999995</v>
      </c>
      <c r="D11" s="1">
        <v>-0.46965170000000001</v>
      </c>
      <c r="F11" t="s">
        <v>80</v>
      </c>
    </row>
    <row r="12" spans="1:6" x14ac:dyDescent="0.2">
      <c r="A12" s="1" t="s">
        <v>14</v>
      </c>
      <c r="B12" s="1">
        <v>-0.71818850000000001</v>
      </c>
      <c r="C12" s="1">
        <v>-0.64009269999999996</v>
      </c>
      <c r="D12" s="1">
        <v>-0.53927250000000004</v>
      </c>
    </row>
    <row r="13" spans="1:6" x14ac:dyDescent="0.2">
      <c r="A13" s="1" t="s">
        <v>15</v>
      </c>
      <c r="B13" s="1">
        <v>-1.9067829999999999</v>
      </c>
      <c r="C13" s="1">
        <v>-1.2221637999999999</v>
      </c>
      <c r="D13" s="1">
        <v>-0.80816279999999996</v>
      </c>
      <c r="F13" t="s">
        <v>81</v>
      </c>
    </row>
    <row r="14" spans="1:6" x14ac:dyDescent="0.2">
      <c r="A14" s="1" t="s">
        <v>17</v>
      </c>
      <c r="B14" s="1">
        <v>-1.218459</v>
      </c>
      <c r="C14" s="1">
        <v>-0.73093050000000004</v>
      </c>
      <c r="D14" s="1">
        <v>-0.4555112</v>
      </c>
      <c r="F14" t="s">
        <v>82</v>
      </c>
    </row>
    <row r="15" spans="1:6" x14ac:dyDescent="0.2">
      <c r="A15" s="1" t="s">
        <v>18</v>
      </c>
      <c r="B15" s="1">
        <v>-1.4719671999999999</v>
      </c>
      <c r="C15" s="1">
        <v>-0.94929070000000004</v>
      </c>
      <c r="D15" s="1">
        <v>-0.61912610000000001</v>
      </c>
    </row>
    <row r="16" spans="1:6" x14ac:dyDescent="0.2">
      <c r="A16" s="1" t="s">
        <v>23</v>
      </c>
      <c r="B16" s="1">
        <v>-0.73153060000000003</v>
      </c>
      <c r="C16" s="1">
        <v>-0.63626150000000004</v>
      </c>
      <c r="D16" s="1">
        <v>-0.52089390000000002</v>
      </c>
    </row>
    <row r="17" spans="1:4" x14ac:dyDescent="0.2">
      <c r="A17" s="1" t="s">
        <v>19</v>
      </c>
      <c r="B17" s="1">
        <v>-1.2563437</v>
      </c>
      <c r="C17" s="1">
        <v>-1.1533260999999999</v>
      </c>
      <c r="D17" s="1">
        <v>-1.0095158</v>
      </c>
    </row>
    <row r="18" spans="1:4" x14ac:dyDescent="0.2">
      <c r="A18" s="1" t="s">
        <v>20</v>
      </c>
      <c r="B18" s="1">
        <v>-1.8044746</v>
      </c>
      <c r="C18" s="1">
        <v>-1.0204728999999999</v>
      </c>
      <c r="D18" s="1">
        <v>-0.61524100000000004</v>
      </c>
    </row>
    <row r="19" spans="1:4" x14ac:dyDescent="0.2">
      <c r="A19" s="1" t="s">
        <v>37</v>
      </c>
      <c r="B19" s="1">
        <v>-0.60875219999999997</v>
      </c>
      <c r="C19" s="1">
        <v>-0.45465660000000002</v>
      </c>
      <c r="D19" s="1">
        <v>-0.32389620000000002</v>
      </c>
    </row>
    <row r="20" spans="1:4" x14ac:dyDescent="0.2">
      <c r="A20" s="1" t="s">
        <v>21</v>
      </c>
      <c r="B20" s="1">
        <v>-2.0263068</v>
      </c>
      <c r="C20" s="1">
        <v>-1.7187965000000001</v>
      </c>
      <c r="D20" s="1">
        <v>-1.3692607000000001</v>
      </c>
    </row>
    <row r="21" spans="1:4" x14ac:dyDescent="0.2">
      <c r="A21" s="1" t="s">
        <v>22</v>
      </c>
      <c r="B21" s="1">
        <v>-0.69090119999999999</v>
      </c>
      <c r="C21" s="1">
        <v>-0.58458900000000003</v>
      </c>
      <c r="D21" s="1">
        <v>-0.4644025</v>
      </c>
    </row>
    <row r="22" spans="1:4" x14ac:dyDescent="0.2">
      <c r="A22" s="1" t="s">
        <v>24</v>
      </c>
      <c r="B22" s="1">
        <v>-0.46036670000000002</v>
      </c>
      <c r="C22" s="1">
        <v>-0.32040469999999999</v>
      </c>
      <c r="D22" s="1">
        <v>-0.21466250000000001</v>
      </c>
    </row>
    <row r="23" spans="1:4" x14ac:dyDescent="0.2">
      <c r="A23" s="1" t="s">
        <v>16</v>
      </c>
      <c r="B23" s="1">
        <v>-2.1014018999999999</v>
      </c>
      <c r="C23" s="1">
        <v>-1.3195079000000001</v>
      </c>
      <c r="D23" s="1">
        <v>-0.84928130000000002</v>
      </c>
    </row>
    <row r="24" spans="1:4" x14ac:dyDescent="0.2">
      <c r="A24" s="1" t="s">
        <v>25</v>
      </c>
      <c r="B24" s="1">
        <v>-0.71749640000000003</v>
      </c>
      <c r="C24" s="1">
        <v>-0.48991000000000001</v>
      </c>
      <c r="D24" s="1">
        <v>-0.32525140000000002</v>
      </c>
    </row>
    <row r="25" spans="1:4" x14ac:dyDescent="0.2">
      <c r="A25" s="1" t="s">
        <v>27</v>
      </c>
      <c r="B25" s="1">
        <v>-1.0360092000000001</v>
      </c>
      <c r="C25" s="1">
        <v>-0.77093080000000003</v>
      </c>
      <c r="D25" s="1">
        <v>-0.54769959999999995</v>
      </c>
    </row>
    <row r="26" spans="1:4" x14ac:dyDescent="0.2">
      <c r="A26" s="1" t="s">
        <v>29</v>
      </c>
      <c r="B26" s="1">
        <v>-2.9275286999999999</v>
      </c>
      <c r="C26" s="1">
        <v>-2.2043225999999998</v>
      </c>
      <c r="D26" s="1">
        <v>-1.5797129999999999</v>
      </c>
    </row>
    <row r="27" spans="1:4" x14ac:dyDescent="0.2">
      <c r="A27" s="1" t="s">
        <v>30</v>
      </c>
      <c r="B27" s="1">
        <v>-0.69611730000000005</v>
      </c>
      <c r="C27" s="1">
        <v>-0.64867609999999998</v>
      </c>
      <c r="D27" s="1">
        <v>-0.57963849999999995</v>
      </c>
    </row>
    <row r="28" spans="1:4" x14ac:dyDescent="0.2">
      <c r="A28" s="1" t="s">
        <v>28</v>
      </c>
      <c r="B28" s="1">
        <v>-1.9315724000000001</v>
      </c>
      <c r="C28" s="1">
        <v>-1.1325831</v>
      </c>
      <c r="D28" s="1">
        <v>-0.70642870000000002</v>
      </c>
    </row>
    <row r="29" spans="1:4" x14ac:dyDescent="0.2">
      <c r="A29" s="1" t="s">
        <v>31</v>
      </c>
      <c r="B29" s="1">
        <v>-0.67170790000000002</v>
      </c>
      <c r="C29" s="1">
        <v>-0.4995946</v>
      </c>
      <c r="D29" s="1">
        <v>-0.35479949999999999</v>
      </c>
    </row>
    <row r="30" spans="1:4" x14ac:dyDescent="0.2">
      <c r="A30" s="1" t="s">
        <v>32</v>
      </c>
      <c r="B30" s="1">
        <v>-1.8951127000000001</v>
      </c>
      <c r="C30" s="1">
        <v>-1.1203354999999999</v>
      </c>
      <c r="D30" s="1">
        <v>-0.70153350000000003</v>
      </c>
    </row>
    <row r="31" spans="1:4" x14ac:dyDescent="0.2">
      <c r="A31" s="1" t="s">
        <v>33</v>
      </c>
      <c r="B31" s="1">
        <v>-1.139278</v>
      </c>
      <c r="C31" s="1">
        <v>-0.76068780000000003</v>
      </c>
      <c r="D31" s="1">
        <v>-0.50526110000000002</v>
      </c>
    </row>
    <row r="32" spans="1:4" x14ac:dyDescent="0.2">
      <c r="A32" s="1" t="s">
        <v>34</v>
      </c>
      <c r="B32" s="1">
        <v>-2.420309</v>
      </c>
      <c r="C32" s="1">
        <v>-1.6501927999999999</v>
      </c>
      <c r="D32" s="1">
        <v>-1.1079519</v>
      </c>
    </row>
    <row r="33" spans="1:4" x14ac:dyDescent="0.2">
      <c r="A33" s="1" t="s">
        <v>38</v>
      </c>
      <c r="B33" s="1">
        <v>-1.1550248999999999</v>
      </c>
      <c r="C33" s="1">
        <v>-0.95785260000000005</v>
      </c>
      <c r="D33" s="1">
        <v>-0.74569289999999999</v>
      </c>
    </row>
    <row r="34" spans="1:4" x14ac:dyDescent="0.2">
      <c r="A34" s="1" t="s">
        <v>36</v>
      </c>
      <c r="B34" s="1">
        <v>-1.5048474999999999</v>
      </c>
      <c r="C34" s="1">
        <v>-1.1561129000000001</v>
      </c>
      <c r="D34" s="1">
        <v>-0.84150069999999999</v>
      </c>
    </row>
    <row r="35" spans="1:4" x14ac:dyDescent="0.2">
      <c r="A35" s="1" t="s">
        <v>35</v>
      </c>
      <c r="B35" s="1">
        <v>-1.4164243000000001</v>
      </c>
      <c r="C35" s="1">
        <v>-0.88931910000000003</v>
      </c>
      <c r="D35" s="1">
        <v>-0.57139379999999995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covariates_matrix</vt:lpstr>
      <vt:lpstr>WB_PULL_CHECK</vt:lpstr>
      <vt:lpstr>regressions_check </vt:lpstr>
      <vt:lpstr>elasticities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2026-08-30T09:36:13Z</dcterms:created>
  <dcterms:modified xsi:type="dcterms:W3CDTF">2026-08-30T15:52:45Z</dcterms:modified>
</cp:coreProperties>
</file>