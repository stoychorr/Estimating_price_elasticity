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oycho/Documents/GitHub/Estimating_price_elasticity/Statistical_documentation_in_R/main_results/Checks/1. THE_BASELINE_DIDs/"/>
    </mc:Choice>
  </mc:AlternateContent>
  <xr:revisionPtr revIDLastSave="0" documentId="13_ncr:1_{3C033D53-EDAA-0546-946B-49271718278C}" xr6:coauthVersionLast="47" xr6:coauthVersionMax="47" xr10:uidLastSave="{00000000-0000-0000-0000-000000000000}"/>
  <bookViews>
    <workbookView xWindow="1160" yWindow="500" windowWidth="28800" windowHeight="15940" xr2:uid="{B510827F-1490-4970-81AB-82C0C8925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3" i="1"/>
  <c r="J3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" i="1"/>
</calcChain>
</file>

<file path=xl/sharedStrings.xml><?xml version="1.0" encoding="utf-8"?>
<sst xmlns="http://schemas.openxmlformats.org/spreadsheetml/2006/main" count="92" uniqueCount="92">
  <si>
    <t>variable</t>
  </si>
  <si>
    <t>coef_Stata</t>
  </si>
  <si>
    <t>post_c2</t>
  </si>
  <si>
    <t>post_c3</t>
  </si>
  <si>
    <t>post_c6</t>
  </si>
  <si>
    <t>post_c8</t>
  </si>
  <si>
    <t>post_c9</t>
  </si>
  <si>
    <t>post_c10</t>
  </si>
  <si>
    <t>post_c11</t>
  </si>
  <si>
    <t>post_c13</t>
  </si>
  <si>
    <t>post_c14</t>
  </si>
  <si>
    <t>post_c15</t>
  </si>
  <si>
    <t>post_c16</t>
  </si>
  <si>
    <t>post_c17</t>
  </si>
  <si>
    <t>post_c18</t>
  </si>
  <si>
    <t>post_c23</t>
  </si>
  <si>
    <t>post_c25</t>
  </si>
  <si>
    <t>post_c27</t>
  </si>
  <si>
    <t>post_c28</t>
  </si>
  <si>
    <t>post_c30</t>
  </si>
  <si>
    <t>post_c33</t>
  </si>
  <si>
    <t>post_c36</t>
  </si>
  <si>
    <t>post_c37</t>
  </si>
  <si>
    <t>post_c39</t>
  </si>
  <si>
    <t>post_c41</t>
  </si>
  <si>
    <t>post_c42</t>
  </si>
  <si>
    <t>post_c43</t>
  </si>
  <si>
    <t>post_c44</t>
  </si>
  <si>
    <t>interaction_meaning</t>
  </si>
  <si>
    <t>Austria × Post</t>
  </si>
  <si>
    <t>Belgium × Post</t>
  </si>
  <si>
    <t>Bulgaria × Post</t>
  </si>
  <si>
    <t>Croatia × Post</t>
  </si>
  <si>
    <t>Cyprus (European Union) × Post</t>
  </si>
  <si>
    <t>Czech Republic × Post</t>
  </si>
  <si>
    <t>Denmark × Post</t>
  </si>
  <si>
    <t>Estonia × Post</t>
  </si>
  <si>
    <t>Finland × Post</t>
  </si>
  <si>
    <t>France × Post</t>
  </si>
  <si>
    <t>Germany × Post</t>
  </si>
  <si>
    <t>Greece × Post</t>
  </si>
  <si>
    <t>Hungary × Post</t>
  </si>
  <si>
    <t>Italy × Post</t>
  </si>
  <si>
    <t>Latvia × Post</t>
  </si>
  <si>
    <t>Lithuania × Post</t>
  </si>
  <si>
    <t>Luxembourg × Post</t>
  </si>
  <si>
    <t>Malta × Post</t>
  </si>
  <si>
    <t>Netherlands × Post</t>
  </si>
  <si>
    <t>Poland × Post</t>
  </si>
  <si>
    <t>Portugal × Post</t>
  </si>
  <si>
    <t>Romania × Post</t>
  </si>
  <si>
    <t>Slovakia × Post</t>
  </si>
  <si>
    <t>Slovenia × Post</t>
  </si>
  <si>
    <t>Spain × Post</t>
  </si>
  <si>
    <t>Sweden × Post</t>
  </si>
  <si>
    <t>Estimate</t>
  </si>
  <si>
    <t>Std. Error</t>
  </si>
  <si>
    <t>treated_factor::Austria:Post</t>
  </si>
  <si>
    <t>treated_factor::Belgium:Post</t>
  </si>
  <si>
    <t>treated_factor::Bulgaria:Post</t>
  </si>
  <si>
    <t>treated_factor::Croatia:Post</t>
  </si>
  <si>
    <t>treated_factor::Cyprus (European Union):Post</t>
  </si>
  <si>
    <t>treated_factor::Czech Republic:Post</t>
  </si>
  <si>
    <t>treated_factor::Denmark:Post</t>
  </si>
  <si>
    <t>treated_factor::Estonia:Post</t>
  </si>
  <si>
    <t>treated_factor::Finland:Post</t>
  </si>
  <si>
    <t>treated_factor::France:Post</t>
  </si>
  <si>
    <t>treated_factor::Germany:Post</t>
  </si>
  <si>
    <t>treated_factor::Greece:Post</t>
  </si>
  <si>
    <t>treated_factor::Hungary:Post</t>
  </si>
  <si>
    <t>treated_factor::Italy:Post</t>
  </si>
  <si>
    <t>treated_factor::Latvia:Post</t>
  </si>
  <si>
    <t>treated_factor::Lithuania:Post</t>
  </si>
  <si>
    <t>treated_factor::Luxembourg:Post</t>
  </si>
  <si>
    <t>treated_factor::Malta:Post</t>
  </si>
  <si>
    <t>treated_factor::Netherlands:Post</t>
  </si>
  <si>
    <t>treated_factor::Poland:Post</t>
  </si>
  <si>
    <t>treated_factor::Portugal:Post</t>
  </si>
  <si>
    <t>treated_factor::Romania:Post</t>
  </si>
  <si>
    <t>treated_factor::Slovakia:Post</t>
  </si>
  <si>
    <t>treated_factor::Slovenia:Post</t>
  </si>
  <si>
    <t>treated_factor::Spain:Post</t>
  </si>
  <si>
    <t>treated_factor::Sweden:Post</t>
  </si>
  <si>
    <t>COEF_R</t>
  </si>
  <si>
    <t>RESULTS FROM STATA</t>
  </si>
  <si>
    <t>RESULTS FROM R</t>
  </si>
  <si>
    <t>SE_DK_XTSCC</t>
  </si>
  <si>
    <t>DIFF_COEF</t>
  </si>
  <si>
    <t>DIFF_SES</t>
  </si>
  <si>
    <t>Magnitite</t>
  </si>
  <si>
    <t>se_cluster</t>
  </si>
  <si>
    <t>Coefficient equality is the primary replication criterion. Standard errors are compared as an inference sensitivity check. The R and Stata Driscoll-Kraay implementations are not expected to match exactly because they may use different lag, kernel, and finite-sample correction conventions. The comparison shows that the standard errors are similar in magnitude and that the substantive inference is stable across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</si>
</sst>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5" borderId="1" xfId="0" applyFill="1" applyBorder="1" applyAlignment="1">
      <alignment wrapText="1"/>
    </xf>
    <xf numFmtId="2" fontId="0" fillId="5" borderId="1" xfId="0" applyNumberFormat="1" applyFill="1" applyBorder="1" applyAlignment="1">
      <alignment wrapText="1"/>
    </xf>
    <xf numFmtId="0" fontId="0" fillId="6" borderId="1" xfId="0" applyFill="1" applyBorder="1" applyAlignment="1">
      <alignment wrapText="1"/>
    </xf>
    <xf numFmtId="2" fontId="0" fillId="6" borderId="1" xfId="0" applyNumberFormat="1" applyFill="1" applyBorder="1" applyAlignment="1">
      <alignment wrapText="1"/>
    </xf>
    <xf numFmtId="164" fontId="0" fillId="6" borderId="1" xfId="0" applyNumberFormat="1" applyFill="1" applyBorder="1" applyAlignment="1">
      <alignment wrapText="1"/>
    </xf>
    <xf numFmtId="9" fontId="0" fillId="6" borderId="1" xfId="1" applyFont="1" applyFill="1" applyBorder="1" applyAlignment="1">
      <alignment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0620-BB33-4621-894B-1B511963FF80}">
  <dimension ref="A1:K30"/>
  <sheetViews>
    <sheetView tabSelected="1" zoomScale="89" zoomScaleNormal="80" workbookViewId="0">
      <selection sqref="A1:K30"/>
    </sheetView>
  </sheetViews>
  <sheetFormatPr baseColWidth="10" defaultColWidth="8.83203125" defaultRowHeight="15" x14ac:dyDescent="0.2"/>
  <cols>
    <col min="2" max="2" width="14.1640625" customWidth="1"/>
    <col min="3" max="3" width="9.33203125" style="1" customWidth="1"/>
    <col min="4" max="5" width="7.1640625" style="1" customWidth="1"/>
    <col min="6" max="6" width="22.6640625" customWidth="1"/>
    <col min="7" max="7" width="7.5" customWidth="1"/>
    <col min="8" max="8" width="8.1640625" customWidth="1"/>
    <col min="9" max="9" width="8" customWidth="1"/>
    <col min="10" max="10" width="9.1640625" customWidth="1"/>
    <col min="11" max="11" width="5.33203125" customWidth="1"/>
    <col min="12" max="12" width="5.83203125" customWidth="1"/>
  </cols>
  <sheetData>
    <row r="1" spans="1:11" x14ac:dyDescent="0.2">
      <c r="A1" s="5" t="s">
        <v>84</v>
      </c>
      <c r="B1" s="5"/>
      <c r="C1" s="5"/>
      <c r="D1" s="5"/>
      <c r="E1" s="5"/>
      <c r="F1" s="6" t="s">
        <v>85</v>
      </c>
      <c r="G1" s="7"/>
      <c r="H1" s="7"/>
      <c r="I1" s="7"/>
      <c r="J1" s="7"/>
      <c r="K1" s="8"/>
    </row>
    <row r="2" spans="1:11" x14ac:dyDescent="0.2">
      <c r="A2" s="3" t="s">
        <v>0</v>
      </c>
      <c r="B2" s="3" t="s">
        <v>28</v>
      </c>
      <c r="C2" s="4" t="s">
        <v>1</v>
      </c>
      <c r="D2" s="4" t="s">
        <v>86</v>
      </c>
      <c r="E2" s="4" t="s">
        <v>90</v>
      </c>
      <c r="F2" s="2" t="s">
        <v>55</v>
      </c>
      <c r="G2" s="2" t="s">
        <v>83</v>
      </c>
      <c r="H2" s="2" t="s">
        <v>56</v>
      </c>
      <c r="I2" s="2" t="s">
        <v>88</v>
      </c>
      <c r="J2" s="2" t="s">
        <v>89</v>
      </c>
      <c r="K2" s="2" t="s">
        <v>87</v>
      </c>
    </row>
    <row r="3" spans="1:11" ht="16" x14ac:dyDescent="0.2">
      <c r="A3" s="11" t="s">
        <v>2</v>
      </c>
      <c r="B3" s="11" t="s">
        <v>29</v>
      </c>
      <c r="C3" s="12">
        <v>-0.54853430000000003</v>
      </c>
      <c r="D3" s="12">
        <v>4.9772799999999999E-2</v>
      </c>
      <c r="E3" s="12">
        <v>6.234E-2</v>
      </c>
      <c r="F3" s="13" t="s">
        <v>57</v>
      </c>
      <c r="G3" s="14">
        <v>-0.54853399999999997</v>
      </c>
      <c r="H3" s="15">
        <v>5.3467000000000001E-2</v>
      </c>
      <c r="I3" s="15">
        <f>H3-D3</f>
        <v>3.6942000000000016E-3</v>
      </c>
      <c r="J3" s="16">
        <f>I3/H3</f>
        <v>6.9093085454579484E-2</v>
      </c>
      <c r="K3" s="14">
        <f>C3-G3</f>
        <v>-3.0000000006413785E-7</v>
      </c>
    </row>
    <row r="4" spans="1:11" ht="32" x14ac:dyDescent="0.2">
      <c r="A4" s="11" t="s">
        <v>3</v>
      </c>
      <c r="B4" s="11" t="s">
        <v>30</v>
      </c>
      <c r="C4" s="12">
        <v>-0.6026572</v>
      </c>
      <c r="D4" s="12">
        <v>6.5593100000000001E-2</v>
      </c>
      <c r="E4" s="12">
        <v>6.234E-2</v>
      </c>
      <c r="F4" s="13" t="s">
        <v>58</v>
      </c>
      <c r="G4" s="14">
        <v>-0.602657</v>
      </c>
      <c r="H4" s="15">
        <v>6.6890000000000005E-2</v>
      </c>
      <c r="I4" s="15">
        <f t="shared" ref="I4:I28" si="0">H4-D4</f>
        <v>1.2969000000000036E-3</v>
      </c>
      <c r="J4" s="16">
        <f t="shared" ref="J4:J28" si="1">I4/H4</f>
        <v>1.9388548362984055E-2</v>
      </c>
      <c r="K4" s="14">
        <f t="shared" ref="K4:K28" si="2">C4-G4</f>
        <v>-2.0000000000575113E-7</v>
      </c>
    </row>
    <row r="5" spans="1:11" ht="32" x14ac:dyDescent="0.2">
      <c r="A5" s="11" t="s">
        <v>4</v>
      </c>
      <c r="B5" s="11" t="s">
        <v>31</v>
      </c>
      <c r="C5" s="12">
        <v>-1.887146</v>
      </c>
      <c r="D5" s="12">
        <v>0.12838720000000001</v>
      </c>
      <c r="E5" s="12">
        <v>6.234E-2</v>
      </c>
      <c r="F5" s="13" t="s">
        <v>59</v>
      </c>
      <c r="G5" s="14">
        <v>-1.887146</v>
      </c>
      <c r="H5" s="15">
        <v>0.132273</v>
      </c>
      <c r="I5" s="15">
        <f t="shared" si="0"/>
        <v>3.8857999999999948E-3</v>
      </c>
      <c r="J5" s="16">
        <f t="shared" si="1"/>
        <v>2.9377121559199495E-2</v>
      </c>
      <c r="K5" s="14">
        <f t="shared" si="2"/>
        <v>0</v>
      </c>
    </row>
    <row r="6" spans="1:11" ht="16" x14ac:dyDescent="0.2">
      <c r="A6" s="11" t="s">
        <v>5</v>
      </c>
      <c r="B6" s="11" t="s">
        <v>32</v>
      </c>
      <c r="C6" s="12">
        <v>-1.6547449999999999</v>
      </c>
      <c r="D6" s="12">
        <v>9.9235100000000007E-2</v>
      </c>
      <c r="E6" s="12">
        <v>6.234E-2</v>
      </c>
      <c r="F6" s="13" t="s">
        <v>60</v>
      </c>
      <c r="G6" s="14">
        <v>-1.6547449999999999</v>
      </c>
      <c r="H6" s="15">
        <v>0.109941</v>
      </c>
      <c r="I6" s="15">
        <f t="shared" si="0"/>
        <v>1.070589999999999E-2</v>
      </c>
      <c r="J6" s="16">
        <f t="shared" si="1"/>
        <v>9.7378593973130964E-2</v>
      </c>
      <c r="K6" s="14">
        <f t="shared" si="2"/>
        <v>0</v>
      </c>
    </row>
    <row r="7" spans="1:11" ht="32" x14ac:dyDescent="0.2">
      <c r="A7" s="11" t="s">
        <v>6</v>
      </c>
      <c r="B7" s="11" t="s">
        <v>33</v>
      </c>
      <c r="C7" s="12">
        <v>-0.90216280000000004</v>
      </c>
      <c r="D7" s="12">
        <v>6.6403199999999996E-2</v>
      </c>
      <c r="E7" s="12">
        <v>6.234E-2</v>
      </c>
      <c r="F7" s="13" t="s">
        <v>61</v>
      </c>
      <c r="G7" s="14">
        <v>-0.90216300000000005</v>
      </c>
      <c r="H7" s="15">
        <v>6.8075999999999998E-2</v>
      </c>
      <c r="I7" s="15">
        <f t="shared" si="0"/>
        <v>1.6728000000000021E-3</v>
      </c>
      <c r="J7" s="16">
        <f t="shared" si="1"/>
        <v>2.4572536576767175E-2</v>
      </c>
      <c r="K7" s="14">
        <f t="shared" si="2"/>
        <v>2.0000000000575113E-7</v>
      </c>
    </row>
    <row r="8" spans="1:11" ht="32" x14ac:dyDescent="0.2">
      <c r="A8" s="11" t="s">
        <v>7</v>
      </c>
      <c r="B8" s="11" t="s">
        <v>34</v>
      </c>
      <c r="C8" s="12">
        <v>-1.1372009999999999</v>
      </c>
      <c r="D8" s="12">
        <v>4.44605E-2</v>
      </c>
      <c r="E8" s="12">
        <v>6.234E-2</v>
      </c>
      <c r="F8" s="13" t="s">
        <v>62</v>
      </c>
      <c r="G8" s="14">
        <v>-1.1372009999999999</v>
      </c>
      <c r="H8" s="15">
        <v>5.6221E-2</v>
      </c>
      <c r="I8" s="15">
        <f t="shared" si="0"/>
        <v>1.17605E-2</v>
      </c>
      <c r="J8" s="16">
        <f t="shared" si="1"/>
        <v>0.20918340122018464</v>
      </c>
      <c r="K8" s="14">
        <f t="shared" si="2"/>
        <v>0</v>
      </c>
    </row>
    <row r="9" spans="1:11" ht="32" x14ac:dyDescent="0.2">
      <c r="A9" s="11" t="s">
        <v>8</v>
      </c>
      <c r="B9" s="11" t="s">
        <v>35</v>
      </c>
      <c r="C9" s="12">
        <v>-1.0465040000000001</v>
      </c>
      <c r="D9" s="12">
        <v>0.10304290000000001</v>
      </c>
      <c r="E9" s="12">
        <v>6.234E-2</v>
      </c>
      <c r="F9" s="13" t="s">
        <v>63</v>
      </c>
      <c r="G9" s="14">
        <v>-1.046503</v>
      </c>
      <c r="H9" s="15">
        <v>0.110554</v>
      </c>
      <c r="I9" s="15">
        <f t="shared" si="0"/>
        <v>7.5110999999999928E-3</v>
      </c>
      <c r="J9" s="16">
        <f t="shared" si="1"/>
        <v>6.7940553937442277E-2</v>
      </c>
      <c r="K9" s="14">
        <f t="shared" si="2"/>
        <v>-1.000000000139778E-6</v>
      </c>
    </row>
    <row r="10" spans="1:11" ht="16" x14ac:dyDescent="0.2">
      <c r="A10" s="11" t="s">
        <v>9</v>
      </c>
      <c r="B10" s="11" t="s">
        <v>36</v>
      </c>
      <c r="C10" s="12">
        <v>-1.4474450000000001</v>
      </c>
      <c r="D10" s="12">
        <v>0.1137049</v>
      </c>
      <c r="E10" s="12">
        <v>6.234E-2</v>
      </c>
      <c r="F10" s="13" t="s">
        <v>64</v>
      </c>
      <c r="G10" s="14">
        <v>-1.4474450000000001</v>
      </c>
      <c r="H10" s="15">
        <v>0.118991</v>
      </c>
      <c r="I10" s="15">
        <f t="shared" si="0"/>
        <v>5.2861000000000019E-3</v>
      </c>
      <c r="J10" s="16">
        <f t="shared" si="1"/>
        <v>4.4424368229529984E-2</v>
      </c>
      <c r="K10" s="14">
        <f t="shared" si="2"/>
        <v>0</v>
      </c>
    </row>
    <row r="11" spans="1:11" ht="16" x14ac:dyDescent="0.2">
      <c r="A11" s="11" t="s">
        <v>10</v>
      </c>
      <c r="B11" s="11" t="s">
        <v>37</v>
      </c>
      <c r="C11" s="12">
        <v>-1.7563470000000001</v>
      </c>
      <c r="D11" s="12">
        <v>0.20637140000000001</v>
      </c>
      <c r="E11" s="12">
        <v>6.234E-2</v>
      </c>
      <c r="F11" s="13" t="s">
        <v>65</v>
      </c>
      <c r="G11" s="14">
        <v>-1.7563470000000001</v>
      </c>
      <c r="H11" s="15">
        <v>0.20804500000000001</v>
      </c>
      <c r="I11" s="15">
        <f t="shared" si="0"/>
        <v>1.6735999999999973E-3</v>
      </c>
      <c r="J11" s="16">
        <f t="shared" si="1"/>
        <v>8.0444134682400303E-3</v>
      </c>
      <c r="K11" s="14">
        <f t="shared" si="2"/>
        <v>0</v>
      </c>
    </row>
    <row r="12" spans="1:11" ht="16" x14ac:dyDescent="0.2">
      <c r="A12" s="11" t="s">
        <v>11</v>
      </c>
      <c r="B12" s="11" t="s">
        <v>38</v>
      </c>
      <c r="C12" s="12">
        <v>-0.59710549999999996</v>
      </c>
      <c r="D12" s="12">
        <v>5.75909E-2</v>
      </c>
      <c r="E12" s="12">
        <v>6.234E-2</v>
      </c>
      <c r="F12" s="13" t="s">
        <v>66</v>
      </c>
      <c r="G12" s="14">
        <v>-0.59710600000000003</v>
      </c>
      <c r="H12" s="15">
        <v>6.2239999999999997E-2</v>
      </c>
      <c r="I12" s="15">
        <f t="shared" si="0"/>
        <v>4.6490999999999963E-3</v>
      </c>
      <c r="J12" s="16">
        <f t="shared" si="1"/>
        <v>7.4696336760925394E-2</v>
      </c>
      <c r="K12" s="14">
        <f t="shared" si="2"/>
        <v>5.0000000006988898E-7</v>
      </c>
    </row>
    <row r="13" spans="1:11" ht="32" x14ac:dyDescent="0.2">
      <c r="A13" s="11" t="s">
        <v>12</v>
      </c>
      <c r="B13" s="11" t="s">
        <v>39</v>
      </c>
      <c r="C13" s="12">
        <v>-0.68150029999999995</v>
      </c>
      <c r="D13" s="12">
        <v>7.3239100000000001E-2</v>
      </c>
      <c r="E13" s="12">
        <v>6.234E-2</v>
      </c>
      <c r="F13" s="13" t="s">
        <v>67</v>
      </c>
      <c r="G13" s="14">
        <v>-0.68149999999999999</v>
      </c>
      <c r="H13" s="15">
        <v>7.2887999999999994E-2</v>
      </c>
      <c r="I13" s="15">
        <f t="shared" si="0"/>
        <v>-3.5110000000000696E-4</v>
      </c>
      <c r="J13" s="16">
        <f t="shared" si="1"/>
        <v>-4.8169794753595511E-3</v>
      </c>
      <c r="K13" s="14">
        <f t="shared" si="2"/>
        <v>-2.9999999995311555E-7</v>
      </c>
    </row>
    <row r="14" spans="1:11" ht="16" x14ac:dyDescent="0.2">
      <c r="A14" s="11" t="s">
        <v>13</v>
      </c>
      <c r="B14" s="11" t="s">
        <v>40</v>
      </c>
      <c r="C14" s="12">
        <v>-0.86574960000000001</v>
      </c>
      <c r="D14" s="12">
        <v>7.7053099999999999E-2</v>
      </c>
      <c r="E14" s="12">
        <v>6.234E-2</v>
      </c>
      <c r="F14" s="13" t="s">
        <v>68</v>
      </c>
      <c r="G14" s="14">
        <v>-0.86575000000000002</v>
      </c>
      <c r="H14" s="15">
        <v>7.8845999999999999E-2</v>
      </c>
      <c r="I14" s="15">
        <f t="shared" si="0"/>
        <v>1.7929E-3</v>
      </c>
      <c r="J14" s="16">
        <f t="shared" si="1"/>
        <v>2.2739263881490501E-2</v>
      </c>
      <c r="K14" s="14">
        <f t="shared" si="2"/>
        <v>4.0000000001150227E-7</v>
      </c>
    </row>
    <row r="15" spans="1:11" ht="32" x14ac:dyDescent="0.2">
      <c r="A15" s="11" t="s">
        <v>14</v>
      </c>
      <c r="B15" s="11" t="s">
        <v>41</v>
      </c>
      <c r="C15" s="12">
        <v>-1.114468</v>
      </c>
      <c r="D15" s="12">
        <v>6.3397999999999996E-2</v>
      </c>
      <c r="E15" s="12">
        <v>6.234E-2</v>
      </c>
      <c r="F15" s="13" t="s">
        <v>69</v>
      </c>
      <c r="G15" s="14">
        <v>-1.114468</v>
      </c>
      <c r="H15" s="15">
        <v>7.7838000000000004E-2</v>
      </c>
      <c r="I15" s="15">
        <f t="shared" si="0"/>
        <v>1.4440000000000008E-2</v>
      </c>
      <c r="J15" s="16">
        <f t="shared" si="1"/>
        <v>0.18551350240242565</v>
      </c>
      <c r="K15" s="14">
        <f t="shared" si="2"/>
        <v>0</v>
      </c>
    </row>
    <row r="16" spans="1:11" ht="16" x14ac:dyDescent="0.2">
      <c r="A16" s="11" t="s">
        <v>15</v>
      </c>
      <c r="B16" s="11" t="s">
        <v>42</v>
      </c>
      <c r="C16" s="12">
        <v>-0.92503659999999999</v>
      </c>
      <c r="D16" s="12">
        <v>0.1105341</v>
      </c>
      <c r="E16" s="12">
        <v>6.234E-2</v>
      </c>
      <c r="F16" s="13" t="s">
        <v>70</v>
      </c>
      <c r="G16" s="14">
        <v>-0.925037</v>
      </c>
      <c r="H16" s="15">
        <v>0.113259</v>
      </c>
      <c r="I16" s="15">
        <f t="shared" si="0"/>
        <v>2.7249000000000023E-3</v>
      </c>
      <c r="J16" s="16">
        <f t="shared" si="1"/>
        <v>2.4059015177601801E-2</v>
      </c>
      <c r="K16" s="14">
        <f t="shared" si="2"/>
        <v>4.0000000001150227E-7</v>
      </c>
    </row>
    <row r="17" spans="1:11" ht="16" x14ac:dyDescent="0.2">
      <c r="A17" s="11" t="s">
        <v>16</v>
      </c>
      <c r="B17" s="11" t="s">
        <v>43</v>
      </c>
      <c r="C17" s="12">
        <v>-1.5115160000000001</v>
      </c>
      <c r="D17" s="12">
        <v>0.1099614</v>
      </c>
      <c r="E17" s="12">
        <v>6.234E-2</v>
      </c>
      <c r="F17" s="13" t="s">
        <v>71</v>
      </c>
      <c r="G17" s="14">
        <v>-1.5115160000000001</v>
      </c>
      <c r="H17" s="15">
        <v>0.12818399999999999</v>
      </c>
      <c r="I17" s="15">
        <f t="shared" si="0"/>
        <v>1.8222599999999992E-2</v>
      </c>
      <c r="J17" s="16">
        <f t="shared" si="1"/>
        <v>0.14215970791986512</v>
      </c>
      <c r="K17" s="14">
        <f t="shared" si="2"/>
        <v>0</v>
      </c>
    </row>
    <row r="18" spans="1:11" ht="32" x14ac:dyDescent="0.2">
      <c r="A18" s="11" t="s">
        <v>17</v>
      </c>
      <c r="B18" s="11" t="s">
        <v>44</v>
      </c>
      <c r="C18" s="12">
        <v>-2.1731129999999999</v>
      </c>
      <c r="D18" s="12">
        <v>0.24952079999999999</v>
      </c>
      <c r="E18" s="12">
        <v>6.234E-2</v>
      </c>
      <c r="F18" s="13" t="s">
        <v>72</v>
      </c>
      <c r="G18" s="14">
        <v>-2.1731129999999999</v>
      </c>
      <c r="H18" s="15">
        <v>0.28010200000000002</v>
      </c>
      <c r="I18" s="15">
        <f t="shared" si="0"/>
        <v>3.0581200000000031E-2</v>
      </c>
      <c r="J18" s="16">
        <f t="shared" si="1"/>
        <v>0.10917879915173768</v>
      </c>
      <c r="K18" s="14">
        <f t="shared" si="2"/>
        <v>0</v>
      </c>
    </row>
    <row r="19" spans="1:11" ht="32" x14ac:dyDescent="0.2">
      <c r="A19" s="11" t="s">
        <v>18</v>
      </c>
      <c r="B19" s="11" t="s">
        <v>45</v>
      </c>
      <c r="C19" s="12">
        <v>-0.49289509999999997</v>
      </c>
      <c r="D19" s="12">
        <v>4.0854099999999997E-2</v>
      </c>
      <c r="E19" s="12">
        <v>6.234E-2</v>
      </c>
      <c r="F19" s="13" t="s">
        <v>73</v>
      </c>
      <c r="G19" s="14">
        <v>-0.49289500000000003</v>
      </c>
      <c r="H19" s="15">
        <v>4.7435999999999999E-2</v>
      </c>
      <c r="I19" s="15">
        <f t="shared" si="0"/>
        <v>6.5819000000000016E-3</v>
      </c>
      <c r="J19" s="16">
        <f t="shared" si="1"/>
        <v>0.1387532675605026</v>
      </c>
      <c r="K19" s="14">
        <f t="shared" si="2"/>
        <v>-9.9999999947364415E-8</v>
      </c>
    </row>
    <row r="20" spans="1:11" ht="16" x14ac:dyDescent="0.2">
      <c r="A20" s="11" t="s">
        <v>19</v>
      </c>
      <c r="B20" s="11" t="s">
        <v>46</v>
      </c>
      <c r="C20" s="12">
        <v>-0.36167899999999997</v>
      </c>
      <c r="D20" s="12">
        <v>4.0752400000000001E-2</v>
      </c>
      <c r="E20" s="12">
        <v>6.234E-2</v>
      </c>
      <c r="F20" s="13" t="s">
        <v>74</v>
      </c>
      <c r="G20" s="14">
        <v>-0.36167899999999997</v>
      </c>
      <c r="H20" s="15">
        <v>4.5338999999999997E-2</v>
      </c>
      <c r="I20" s="15">
        <f t="shared" si="0"/>
        <v>4.5865999999999962E-3</v>
      </c>
      <c r="J20" s="16">
        <f t="shared" si="1"/>
        <v>0.10116235470566172</v>
      </c>
      <c r="K20" s="14">
        <f t="shared" si="2"/>
        <v>0</v>
      </c>
    </row>
    <row r="21" spans="1:11" ht="32" x14ac:dyDescent="0.2">
      <c r="A21" s="11" t="s">
        <v>20</v>
      </c>
      <c r="B21" s="11" t="s">
        <v>47</v>
      </c>
      <c r="C21" s="12">
        <v>-0.53497240000000001</v>
      </c>
      <c r="D21" s="12">
        <v>1.8088699999999999E-2</v>
      </c>
      <c r="E21" s="12">
        <v>6.234E-2</v>
      </c>
      <c r="F21" s="13" t="s">
        <v>75</v>
      </c>
      <c r="G21" s="14">
        <v>-0.534972</v>
      </c>
      <c r="H21" s="15">
        <v>2.4205999999999998E-2</v>
      </c>
      <c r="I21" s="15">
        <f t="shared" si="0"/>
        <v>6.1172999999999991E-3</v>
      </c>
      <c r="J21" s="16">
        <f t="shared" si="1"/>
        <v>0.25271833429728163</v>
      </c>
      <c r="K21" s="14">
        <f t="shared" si="2"/>
        <v>-4.0000000001150227E-7</v>
      </c>
    </row>
    <row r="22" spans="1:11" ht="16" x14ac:dyDescent="0.2">
      <c r="A22" s="11" t="s">
        <v>21</v>
      </c>
      <c r="B22" s="11" t="s">
        <v>48</v>
      </c>
      <c r="C22" s="12">
        <v>-1.6682809999999999</v>
      </c>
      <c r="D22" s="12">
        <v>0.13631199999999999</v>
      </c>
      <c r="E22" s="12">
        <v>6.234E-2</v>
      </c>
      <c r="F22" s="13" t="s">
        <v>76</v>
      </c>
      <c r="G22" s="14">
        <v>-1.6682809999999999</v>
      </c>
      <c r="H22" s="15">
        <v>0.15070700000000001</v>
      </c>
      <c r="I22" s="15">
        <f t="shared" si="0"/>
        <v>1.4395000000000019E-2</v>
      </c>
      <c r="J22" s="16">
        <f t="shared" si="1"/>
        <v>9.5516465724883509E-2</v>
      </c>
      <c r="K22" s="14">
        <f t="shared" si="2"/>
        <v>0</v>
      </c>
    </row>
    <row r="23" spans="1:11" ht="32" x14ac:dyDescent="0.2">
      <c r="A23" s="11" t="s">
        <v>22</v>
      </c>
      <c r="B23" s="11" t="s">
        <v>49</v>
      </c>
      <c r="C23" s="12">
        <v>-0.93916900000000003</v>
      </c>
      <c r="D23" s="12">
        <v>0.30396020000000001</v>
      </c>
      <c r="E23" s="12">
        <v>6.234E-2</v>
      </c>
      <c r="F23" s="13" t="s">
        <v>77</v>
      </c>
      <c r="G23" s="14">
        <v>-0.93916900000000003</v>
      </c>
      <c r="H23" s="15">
        <v>0.35342899999999999</v>
      </c>
      <c r="I23" s="15">
        <f t="shared" si="0"/>
        <v>4.9468799999999979E-2</v>
      </c>
      <c r="J23" s="16">
        <f t="shared" si="1"/>
        <v>0.13996814070152699</v>
      </c>
      <c r="K23" s="14">
        <f t="shared" si="2"/>
        <v>0</v>
      </c>
    </row>
    <row r="24" spans="1:11" ht="32" x14ac:dyDescent="0.2">
      <c r="A24" s="11" t="s">
        <v>23</v>
      </c>
      <c r="B24" s="11" t="s">
        <v>50</v>
      </c>
      <c r="C24" s="12">
        <v>-1.711433</v>
      </c>
      <c r="D24" s="12">
        <v>0.1225431</v>
      </c>
      <c r="E24" s="12">
        <v>6.234E-2</v>
      </c>
      <c r="F24" s="13" t="s">
        <v>78</v>
      </c>
      <c r="G24" s="14">
        <v>-1.711433</v>
      </c>
      <c r="H24" s="15">
        <v>0.13749700000000001</v>
      </c>
      <c r="I24" s="15">
        <f t="shared" si="0"/>
        <v>1.4953900000000006E-2</v>
      </c>
      <c r="J24" s="16">
        <f t="shared" si="1"/>
        <v>0.10875800926565675</v>
      </c>
      <c r="K24" s="14">
        <f t="shared" si="2"/>
        <v>0</v>
      </c>
    </row>
    <row r="25" spans="1:11" ht="32" x14ac:dyDescent="0.2">
      <c r="A25" s="11" t="s">
        <v>24</v>
      </c>
      <c r="B25" s="11" t="s">
        <v>51</v>
      </c>
      <c r="C25" s="12">
        <v>-1.5163260000000001</v>
      </c>
      <c r="D25" s="12">
        <v>0.1033347</v>
      </c>
      <c r="E25" s="12">
        <v>6.234E-2</v>
      </c>
      <c r="F25" s="13" t="s">
        <v>79</v>
      </c>
      <c r="G25" s="14">
        <v>-1.5163260000000001</v>
      </c>
      <c r="H25" s="15">
        <v>0.12003</v>
      </c>
      <c r="I25" s="15">
        <f t="shared" si="0"/>
        <v>1.6695299999999996E-2</v>
      </c>
      <c r="J25" s="16">
        <f t="shared" si="1"/>
        <v>0.1390927268182954</v>
      </c>
      <c r="K25" s="14">
        <f t="shared" si="2"/>
        <v>0</v>
      </c>
    </row>
    <row r="26" spans="1:11" ht="32" x14ac:dyDescent="0.2">
      <c r="A26" s="11" t="s">
        <v>25</v>
      </c>
      <c r="B26" s="11" t="s">
        <v>52</v>
      </c>
      <c r="C26" s="12">
        <v>-1.2795540000000001</v>
      </c>
      <c r="D26" s="12">
        <v>0.1182974</v>
      </c>
      <c r="E26" s="12">
        <v>6.234E-2</v>
      </c>
      <c r="F26" s="13" t="s">
        <v>80</v>
      </c>
      <c r="G26" s="14">
        <v>-1.2795540000000001</v>
      </c>
      <c r="H26" s="15">
        <v>0.122303</v>
      </c>
      <c r="I26" s="15">
        <f t="shared" si="0"/>
        <v>4.0055999999999981E-3</v>
      </c>
      <c r="J26" s="16">
        <f t="shared" si="1"/>
        <v>3.2751445181230208E-2</v>
      </c>
      <c r="K26" s="14">
        <f t="shared" si="2"/>
        <v>0</v>
      </c>
    </row>
    <row r="27" spans="1:11" ht="16" x14ac:dyDescent="0.2">
      <c r="A27" s="11" t="s">
        <v>26</v>
      </c>
      <c r="B27" s="11" t="s">
        <v>53</v>
      </c>
      <c r="C27" s="12">
        <v>-0.5077005</v>
      </c>
      <c r="D27" s="12">
        <v>7.00128E-2</v>
      </c>
      <c r="E27" s="12">
        <v>6.234E-2</v>
      </c>
      <c r="F27" s="13" t="s">
        <v>81</v>
      </c>
      <c r="G27" s="14">
        <v>-0.50770099999999996</v>
      </c>
      <c r="H27" s="15">
        <v>8.4070000000000006E-2</v>
      </c>
      <c r="I27" s="15">
        <f t="shared" si="0"/>
        <v>1.4057200000000006E-2</v>
      </c>
      <c r="J27" s="16">
        <f t="shared" si="1"/>
        <v>0.16720827881527303</v>
      </c>
      <c r="K27" s="14">
        <f t="shared" si="2"/>
        <v>4.9999999995886668E-7</v>
      </c>
    </row>
    <row r="28" spans="1:11" ht="16" x14ac:dyDescent="0.2">
      <c r="A28" s="11" t="s">
        <v>27</v>
      </c>
      <c r="B28" s="11" t="s">
        <v>54</v>
      </c>
      <c r="C28" s="12">
        <v>-0.9668485</v>
      </c>
      <c r="D28" s="12">
        <v>0.1391309</v>
      </c>
      <c r="E28" s="12">
        <v>6.234E-2</v>
      </c>
      <c r="F28" s="13" t="s">
        <v>82</v>
      </c>
      <c r="G28" s="14">
        <v>-0.96684899999999996</v>
      </c>
      <c r="H28" s="15">
        <v>0.141018</v>
      </c>
      <c r="I28" s="15">
        <f t="shared" si="0"/>
        <v>1.8871000000000027E-3</v>
      </c>
      <c r="J28" s="16">
        <f t="shared" si="1"/>
        <v>1.3381979605440459E-2</v>
      </c>
      <c r="K28" s="14">
        <f t="shared" si="2"/>
        <v>4.9999999995886668E-7</v>
      </c>
    </row>
    <row r="29" spans="1:11" x14ac:dyDescent="0.2">
      <c r="A29" s="9" t="s">
        <v>91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ht="34.2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</sheetData>
  <mergeCells count="3">
    <mergeCell ref="A1:E1"/>
    <mergeCell ref="F1:K1"/>
    <mergeCell ref="A29:K30"/>
  </mergeCells>
  <conditionalFormatting sqref="J3:J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Microsoft Office User</cp:lastModifiedBy>
  <dcterms:created xsi:type="dcterms:W3CDTF">2026-06-20T19:54:32Z</dcterms:created>
  <dcterms:modified xsi:type="dcterms:W3CDTF">2026-08-29T09:31:28Z</dcterms:modified>
</cp:coreProperties>
</file>