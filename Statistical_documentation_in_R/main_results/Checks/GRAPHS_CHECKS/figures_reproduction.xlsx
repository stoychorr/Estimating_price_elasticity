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oycho/Desktop/"/>
    </mc:Choice>
  </mc:AlternateContent>
  <xr:revisionPtr revIDLastSave="0" documentId="8_{4BE21DB8-41B6-CE4B-A26D-D4B346E48E37}" xr6:coauthVersionLast="47" xr6:coauthVersionMax="47" xr10:uidLastSave="{00000000-0000-0000-0000-000000000000}"/>
  <bookViews>
    <workbookView xWindow="80" yWindow="500" windowWidth="28040" windowHeight="15940" activeTab="2" xr2:uid="{F81169A1-3DA1-C044-8AAB-C794EB65DF27}"/>
  </bookViews>
  <sheets>
    <sheet name="fig5-data" sheetId="1" r:id="rId1"/>
    <sheet name="fig5--reproduces" sheetId="2" r:id="rId2"/>
    <sheet name="fig4--reporduc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0" i="3" l="1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N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R3" i="1"/>
  <c r="E6" i="2"/>
  <c r="F6" i="2"/>
  <c r="E8" i="2"/>
  <c r="F8" i="2"/>
  <c r="E26" i="2"/>
  <c r="F26" i="2"/>
  <c r="E22" i="2"/>
  <c r="F22" i="2"/>
  <c r="E11" i="2"/>
  <c r="F11" i="2"/>
  <c r="E17" i="2"/>
  <c r="F17" i="2"/>
  <c r="E15" i="2"/>
  <c r="F15" i="2"/>
  <c r="E19" i="2"/>
  <c r="F19" i="2"/>
  <c r="E25" i="2"/>
  <c r="F25" i="2"/>
  <c r="E7" i="2"/>
  <c r="F7" i="2"/>
  <c r="E9" i="2"/>
  <c r="F9" i="2"/>
  <c r="E10" i="2"/>
  <c r="F10" i="2"/>
  <c r="E16" i="2"/>
  <c r="F16" i="2"/>
  <c r="E12" i="2"/>
  <c r="F12" i="2"/>
  <c r="E20" i="2"/>
  <c r="F20" i="2"/>
  <c r="E27" i="2"/>
  <c r="F27" i="2"/>
  <c r="E3" i="2"/>
  <c r="F3" i="2"/>
  <c r="E2" i="2"/>
  <c r="F2" i="2"/>
  <c r="E5" i="2"/>
  <c r="F5" i="2"/>
  <c r="E23" i="2"/>
  <c r="F23" i="2"/>
  <c r="E13" i="2"/>
  <c r="F13" i="2"/>
  <c r="E24" i="2"/>
  <c r="F24" i="2"/>
  <c r="E21" i="2"/>
  <c r="F21" i="2"/>
  <c r="E18" i="2"/>
  <c r="F18" i="2"/>
  <c r="E4" i="2"/>
  <c r="F4" i="2"/>
  <c r="E14" i="2"/>
  <c r="F14" i="2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3" i="1"/>
  <c r="C38" i="1"/>
  <c r="C36" i="1"/>
  <c r="C37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</calcChain>
</file>

<file path=xl/sharedStrings.xml><?xml version="1.0" encoding="utf-8"?>
<sst xmlns="http://schemas.openxmlformats.org/spreadsheetml/2006/main" count="574" uniqueCount="112">
  <si>
    <t>Estimate</t>
  </si>
  <si>
    <t>&lt;dbl&gt;</t>
  </si>
  <si>
    <t>Std. Error</t>
  </si>
  <si>
    <t>t value</t>
  </si>
  <si>
    <t>Pr(&gt;|t|)</t>
  </si>
  <si>
    <t>&lt;chr&gt;</t>
  </si>
  <si>
    <t>&lt;fctr&gt;</t>
  </si>
  <si>
    <t>treated_factor::Austria:Post</t>
  </si>
  <si>
    <t>***</t>
  </si>
  <si>
    <t>treated_factor::Belgium:Post</t>
  </si>
  <si>
    <t>treated_factor::Bulgaria:Post</t>
  </si>
  <si>
    <t>treated_factor::Croatia:Post</t>
  </si>
  <si>
    <t>treated_factor::Cyprus (European Union):Post</t>
  </si>
  <si>
    <t>treated_factor::Czech Republic:Post</t>
  </si>
  <si>
    <t>treated_factor::Denmark:Post</t>
  </si>
  <si>
    <t>treated_factor::Estonia:Post</t>
  </si>
  <si>
    <t>treated_factor::Finland:Post</t>
  </si>
  <si>
    <t>treated_factor::France:Post</t>
  </si>
  <si>
    <t>treated_factor::Germany:Post</t>
  </si>
  <si>
    <t>treated_factor::Greece:Post</t>
  </si>
  <si>
    <t>treated_factor::Hungary:Post</t>
  </si>
  <si>
    <t>treated_factor::Italy:Post</t>
  </si>
  <si>
    <t>treated_factor::Latvia:Post</t>
  </si>
  <si>
    <t>treated_factor::Lithuania:Post</t>
  </si>
  <si>
    <t>treated_factor::Luxembourg:Post</t>
  </si>
  <si>
    <t>treated_factor::Malta:Post</t>
  </si>
  <si>
    <t>treated_factor::Netherlands:Post</t>
  </si>
  <si>
    <t>treated_factor::Poland:Post</t>
  </si>
  <si>
    <t>treated_factor::Portugal:Post</t>
  </si>
  <si>
    <t>*</t>
  </si>
  <si>
    <t>treated_factor::Romania:Post</t>
  </si>
  <si>
    <t>treated_factor::Slovakia:Post</t>
  </si>
  <si>
    <t>treated_factor::Slovenia:Post</t>
  </si>
  <si>
    <t>treated_factor::Spain:Post</t>
  </si>
  <si>
    <t>treated_factor::Sweden:Post</t>
  </si>
  <si>
    <t>signed log</t>
  </si>
  <si>
    <t>exp elasticity</t>
  </si>
  <si>
    <t>Zimbabwe</t>
  </si>
  <si>
    <t>Uganda</t>
  </si>
  <si>
    <t>Turkey</t>
  </si>
  <si>
    <t>Switzerland</t>
  </si>
  <si>
    <t>Sweden</t>
  </si>
  <si>
    <t>Spain</t>
  </si>
  <si>
    <t>Slovenia</t>
  </si>
  <si>
    <t>Slovakia</t>
  </si>
  <si>
    <t>Romania</t>
  </si>
  <si>
    <t>Qatar</t>
  </si>
  <si>
    <t>Portugal</t>
  </si>
  <si>
    <t>Poland</t>
  </si>
  <si>
    <t>Norway</t>
  </si>
  <si>
    <t>Netherlands</t>
  </si>
  <si>
    <t>Mexico</t>
  </si>
  <si>
    <t>Mauritius</t>
  </si>
  <si>
    <t>Malta</t>
  </si>
  <si>
    <t>Malaysia</t>
  </si>
  <si>
    <t>Luxembourg</t>
  </si>
  <si>
    <t>Lithuania</t>
  </si>
  <si>
    <t>Lebanon</t>
  </si>
  <si>
    <t>Latvia</t>
  </si>
  <si>
    <t>Italy</t>
  </si>
  <si>
    <t>Israel</t>
  </si>
  <si>
    <t>Ireland</t>
  </si>
  <si>
    <t>Indonesia</t>
  </si>
  <si>
    <t>Hungary</t>
  </si>
  <si>
    <t>Greece</t>
  </si>
  <si>
    <t>Germany</t>
  </si>
  <si>
    <t>France</t>
  </si>
  <si>
    <t>Finland</t>
  </si>
  <si>
    <t>Estonia</t>
  </si>
  <si>
    <t>Egypt</t>
  </si>
  <si>
    <t>Denmark</t>
  </si>
  <si>
    <t>Croatia</t>
  </si>
  <si>
    <t>China</t>
  </si>
  <si>
    <t>Bulgaria</t>
  </si>
  <si>
    <t>Botswana</t>
  </si>
  <si>
    <t>Belgium</t>
  </si>
  <si>
    <t>Austria</t>
  </si>
  <si>
    <t>Australia</t>
  </si>
  <si>
    <t>change</t>
  </si>
  <si>
    <t>Czech Republic</t>
  </si>
  <si>
    <t>Cyprus (European Union)</t>
  </si>
  <si>
    <t>Russian Federation</t>
  </si>
  <si>
    <t>New Zealand</t>
  </si>
  <si>
    <t>Tanzania, United Republic of</t>
  </si>
  <si>
    <t>Trinidad and Tobago</t>
  </si>
  <si>
    <t>United Arab Emirates</t>
  </si>
  <si>
    <t>United States of America</t>
  </si>
  <si>
    <t>Brunei Darussalam</t>
  </si>
  <si>
    <t>Iran, Islamic Republic of</t>
  </si>
  <si>
    <t>Korea, Republic of</t>
  </si>
  <si>
    <t>Domicile_named_country</t>
  </si>
  <si>
    <t>Applicants</t>
  </si>
  <si>
    <t>basic fee change</t>
  </si>
  <si>
    <t>treated_factor</t>
  </si>
  <si>
    <t>Post</t>
  </si>
  <si>
    <t>signed_log</t>
  </si>
  <si>
    <t>Mechanical</t>
  </si>
  <si>
    <t>ARC change</t>
  </si>
  <si>
    <t>Country</t>
  </si>
  <si>
    <t>Column1</t>
  </si>
  <si>
    <t>Column2</t>
  </si>
  <si>
    <t>Column3</t>
  </si>
  <si>
    <t>c_log_GDPpc</t>
  </si>
  <si>
    <t>c_log_Pop15_64</t>
  </si>
  <si>
    <t>c_YouthUnempl</t>
  </si>
  <si>
    <t>.</t>
  </si>
  <si>
    <t>**</t>
  </si>
  <si>
    <t>s1</t>
  </si>
  <si>
    <t>s2</t>
  </si>
  <si>
    <t>s3</t>
  </si>
  <si>
    <t>s4</t>
  </si>
  <si>
    <t>note: elasticities wont match with previous tab because N=468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</si>
</sst>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FFFF"/>
      <name val="Lucida Sans"/>
      <family val="2"/>
    </font>
    <font>
      <b/>
      <sz val="12"/>
      <color theme="1"/>
      <name val="Lucida Sans"/>
      <family val="2"/>
    </font>
    <font>
      <sz val="11"/>
      <color theme="1"/>
      <name val="Lucida Sans"/>
      <family val="2"/>
    </font>
    <font>
      <sz val="12"/>
      <color theme="1"/>
      <name val="Lucida Sans"/>
      <family val="2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1" fontId="5" fillId="0" borderId="0" xfId="0" applyNumberFormat="1" applyFont="1"/>
    <xf numFmtId="0" fontId="0" fillId="0" borderId="0" xfId="0" applyFont="1"/>
    <xf numFmtId="0" fontId="1" fillId="0" borderId="0" xfId="0" applyFont="1"/>
    <xf numFmtId="0" fontId="6" fillId="0" borderId="0" xfId="0" applyFont="1"/>
    <xf numFmtId="0" fontId="1" fillId="0" borderId="0" xfId="0" applyFont="1"/>
    <xf numFmtId="0" fontId="5" fillId="2" borderId="0" xfId="0" applyFont="1" applyFill="1"/>
    <xf numFmtId="11" fontId="5" fillId="2" borderId="0" xfId="0" applyNumberFormat="1" applyFont="1" applyFill="1"/>
    <xf numFmtId="0" fontId="0" fillId="2" borderId="0" xfId="0" applyFill="1"/>
    <xf numFmtId="0" fontId="0" fillId="2" borderId="1" xfId="0" applyFill="1" applyBorder="1"/>
    <xf numFmtId="0" fontId="7" fillId="3" borderId="5" xfId="0" applyFont="1" applyFill="1" applyBorder="1"/>
    <xf numFmtId="0" fontId="7" fillId="3" borderId="4" xfId="0" applyFont="1" applyFill="1" applyBorder="1"/>
    <xf numFmtId="0" fontId="7" fillId="3" borderId="3" xfId="0" applyFont="1" applyFill="1" applyBorder="1"/>
    <xf numFmtId="0" fontId="7" fillId="3" borderId="2" xfId="0" applyFont="1" applyFill="1" applyBorder="1"/>
    <xf numFmtId="0" fontId="7" fillId="3" borderId="0" xfId="0" applyFont="1" applyFill="1" applyBorder="1"/>
    <xf numFmtId="0" fontId="7" fillId="3" borderId="0" xfId="0" applyFont="1" applyFill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0000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0" formatCode="General"/>
      <fill>
        <patternFill patternType="solid">
          <fgColor rgb="FF000000"/>
          <bgColor rgb="FFFFFF00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0" formatCode="General"/>
      <fill>
        <patternFill patternType="solid">
          <fgColor rgb="FF000000"/>
          <bgColor rgb="FFFFFF00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000000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0000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000000"/>
          <bgColor rgb="FFFFFF00"/>
        </patternFill>
      </fill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000000"/>
          <bgColor rgb="FFFFFF00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000000"/>
          <bgColor rgb="FFFFFF00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000000"/>
          <bgColor rgb="FFFFFF00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893174480897133E-2"/>
          <c:y val="1.3234987192865953E-2"/>
          <c:w val="0.95311802790894606"/>
          <c:h val="0.86266654017645383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'fig5--reproduces'!$B$1</c:f>
              <c:strCache>
                <c:ptCount val="1"/>
                <c:pt idx="0">
                  <c:v>signed_log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D834CE2-185E-6645-A06A-17CE1D66919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B37-5C41-AF91-4C44873B3CD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7324349-51C5-C547-A0A5-19775F6BA85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B37-5C41-AF91-4C44873B3CD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765B642-A69D-104F-8994-01896DF46E4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B37-5C41-AF91-4C44873B3CD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9235E4A-56FD-8B48-B1EF-E5DBA9400CC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B37-5C41-AF91-4C44873B3CD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6B28DC9-FC1E-F045-A60C-290FEF95909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B37-5C41-AF91-4C44873B3CD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40060D2-BCA2-2F40-B386-B35E09B26F11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B37-5C41-AF91-4C44873B3CD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02B18CA-BDB6-294D-A86C-5ADA56C9764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B37-5C41-AF91-4C44873B3CD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347E458-AE07-B540-AA33-D2CD4A824E1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B37-5C41-AF91-4C44873B3CD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4AA6E86-20D9-694E-9A89-F21A3181B7E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B37-5C41-AF91-4C44873B3CD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BB13C8E-E345-6145-83FC-D76A6AFDA39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B37-5C41-AF91-4C44873B3CD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66A5E04-705D-2A48-878E-E8769E418B9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B37-5C41-AF91-4C44873B3CD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1D42962-FAC2-9E4F-835A-B17C7BC2425A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B37-5C41-AF91-4C44873B3CD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0C0C170-BB58-B746-97D7-3F46E09E35B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B37-5C41-AF91-4C44873B3CD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9A96E81-6EE3-244F-B4FF-A7197B7DF013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B37-5C41-AF91-4C44873B3CD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01E7302-0253-DE40-B6D0-50EDE742ECD0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B37-5C41-AF91-4C44873B3CD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3CBF5C4-A46F-6B44-B1BD-FFF353642AA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B37-5C41-AF91-4C44873B3CD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208159C-CB23-6B41-ABFE-161FC7C847A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B37-5C41-AF91-4C44873B3CD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DFB0F8D-EC4D-334F-9CF6-9CC578C9A96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B37-5C41-AF91-4C44873B3CD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5355FE7-3DE4-084C-A5BE-FF0852C42F6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B37-5C41-AF91-4C44873B3CD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661464E-D9B0-B24C-9CFF-D1011176319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B37-5C41-AF91-4C44873B3CD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63B751F-C41C-E34D-B9E8-03C1F67EC8A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B37-5C41-AF91-4C44873B3CD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21AE0B2-9D13-964D-B9A3-BEDC3058E06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B37-5C41-AF91-4C44873B3CD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85015D4-3D02-6449-ADDB-A802649ED8E0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B37-5C41-AF91-4C44873B3CD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BCEC401-8CF0-AA40-BCDE-40C2F7532C2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B37-5C41-AF91-4C44873B3CD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6508364-A1F9-7C44-9E99-863888F101E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B37-5C41-AF91-4C44873B3CD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7B840F3-F632-334A-87AE-3971A1FA9823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B37-5C41-AF91-4C44873B3C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G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'fig5--reproduces'!$B$2:$B$27</c:f>
              <c:numCache>
                <c:formatCode>General</c:formatCode>
                <c:ptCount val="26"/>
                <c:pt idx="0">
                  <c:v>-0.41311930000000002</c:v>
                </c:pt>
                <c:pt idx="1">
                  <c:v>-0.5630001</c:v>
                </c:pt>
                <c:pt idx="2">
                  <c:v>-0.57991219999999999</c:v>
                </c:pt>
                <c:pt idx="3">
                  <c:v>-0.61106240000000001</c:v>
                </c:pt>
                <c:pt idx="4">
                  <c:v>-0.62655349999999999</c:v>
                </c:pt>
                <c:pt idx="5">
                  <c:v>-0.68203469999999999</c:v>
                </c:pt>
                <c:pt idx="6">
                  <c:v>-0.68837530000000002</c:v>
                </c:pt>
                <c:pt idx="7">
                  <c:v>-0.77843329999999999</c:v>
                </c:pt>
                <c:pt idx="8">
                  <c:v>-0.98889199999999999</c:v>
                </c:pt>
                <c:pt idx="9">
                  <c:v>-1.0304846000000001</c:v>
                </c:pt>
                <c:pt idx="10">
                  <c:v>-1.0566123000000001</c:v>
                </c:pt>
                <c:pt idx="11">
                  <c:v>-1.0727545000000001</c:v>
                </c:pt>
                <c:pt idx="12">
                  <c:v>-1.1043719000000001</c:v>
                </c:pt>
                <c:pt idx="13">
                  <c:v>-1.1953563</c:v>
                </c:pt>
                <c:pt idx="14">
                  <c:v>-1.2729889999999999</c:v>
                </c:pt>
                <c:pt idx="15">
                  <c:v>-1.2989568</c:v>
                </c:pt>
                <c:pt idx="16">
                  <c:v>-1.4615577</c:v>
                </c:pt>
                <c:pt idx="17">
                  <c:v>-1.6533304</c:v>
                </c:pt>
                <c:pt idx="18">
                  <c:v>-1.7265151999999999</c:v>
                </c:pt>
                <c:pt idx="19">
                  <c:v>-1.7320093999999999</c:v>
                </c:pt>
                <c:pt idx="20">
                  <c:v>-1.8901178000000001</c:v>
                </c:pt>
                <c:pt idx="21">
                  <c:v>-1.9055793000000001</c:v>
                </c:pt>
                <c:pt idx="22">
                  <c:v>-1.9548694</c:v>
                </c:pt>
                <c:pt idx="23">
                  <c:v>-2.0061722</c:v>
                </c:pt>
                <c:pt idx="24">
                  <c:v>-2.1555768</c:v>
                </c:pt>
                <c:pt idx="25">
                  <c:v>-2.4822212000000001</c:v>
                </c:pt>
              </c:numCache>
            </c:numRef>
          </c:xVal>
          <c:yVal>
            <c:numRef>
              <c:f>'fig5--reproduces'!$E$2:$E$27</c:f>
              <c:numCache>
                <c:formatCode>General</c:formatCode>
                <c:ptCount val="26"/>
                <c:pt idx="0">
                  <c:v>26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21</c:v>
                </c:pt>
                <c:pt idx="6">
                  <c:v>20</c:v>
                </c:pt>
                <c:pt idx="7">
                  <c:v>19</c:v>
                </c:pt>
                <c:pt idx="8">
                  <c:v>18</c:v>
                </c:pt>
                <c:pt idx="9">
                  <c:v>17</c:v>
                </c:pt>
                <c:pt idx="10">
                  <c:v>16</c:v>
                </c:pt>
                <c:pt idx="11">
                  <c:v>15</c:v>
                </c:pt>
                <c:pt idx="12">
                  <c:v>14</c:v>
                </c:pt>
                <c:pt idx="13">
                  <c:v>13</c:v>
                </c:pt>
                <c:pt idx="14">
                  <c:v>12</c:v>
                </c:pt>
                <c:pt idx="15">
                  <c:v>11</c:v>
                </c:pt>
                <c:pt idx="16">
                  <c:v>10</c:v>
                </c:pt>
                <c:pt idx="17">
                  <c:v>9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'fig5--reproduces'!$A$2:$A$27</c15:f>
                <c15:dlblRangeCache>
                  <c:ptCount val="26"/>
                  <c:pt idx="0">
                    <c:v>Malta</c:v>
                  </c:pt>
                  <c:pt idx="1">
                    <c:v>Luxembourg</c:v>
                  </c:pt>
                  <c:pt idx="2">
                    <c:v>Spain</c:v>
                  </c:pt>
                  <c:pt idx="3">
                    <c:v>Netherlands</c:v>
                  </c:pt>
                  <c:pt idx="4">
                    <c:v>Austria</c:v>
                  </c:pt>
                  <c:pt idx="5">
                    <c:v>France</c:v>
                  </c:pt>
                  <c:pt idx="6">
                    <c:v>Belgium</c:v>
                  </c:pt>
                  <c:pt idx="7">
                    <c:v>Germany</c:v>
                  </c:pt>
                  <c:pt idx="8">
                    <c:v>Greece</c:v>
                  </c:pt>
                  <c:pt idx="9">
                    <c:v>Cyprus (European Union)</c:v>
                  </c:pt>
                  <c:pt idx="10">
                    <c:v>Italy</c:v>
                  </c:pt>
                  <c:pt idx="11">
                    <c:v>Portugal</c:v>
                  </c:pt>
                  <c:pt idx="12">
                    <c:v>Sweden</c:v>
                  </c:pt>
                  <c:pt idx="13">
                    <c:v>Denmark</c:v>
                  </c:pt>
                  <c:pt idx="14">
                    <c:v>Hungary</c:v>
                  </c:pt>
                  <c:pt idx="15">
                    <c:v>Czech Republic</c:v>
                  </c:pt>
                  <c:pt idx="16">
                    <c:v>Slovenia</c:v>
                  </c:pt>
                  <c:pt idx="17">
                    <c:v>Estonia</c:v>
                  </c:pt>
                  <c:pt idx="18">
                    <c:v>Latvia</c:v>
                  </c:pt>
                  <c:pt idx="19">
                    <c:v>Slovakia</c:v>
                  </c:pt>
                  <c:pt idx="20">
                    <c:v>Croatia</c:v>
                  </c:pt>
                  <c:pt idx="21">
                    <c:v>Poland</c:v>
                  </c:pt>
                  <c:pt idx="22">
                    <c:v>Romania</c:v>
                  </c:pt>
                  <c:pt idx="23">
                    <c:v>Finland</c:v>
                  </c:pt>
                  <c:pt idx="24">
                    <c:v>Bulgaria</c:v>
                  </c:pt>
                  <c:pt idx="25">
                    <c:v>Lithuania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B37-5C41-AF91-4C44873B3CD2}"/>
            </c:ext>
          </c:extLst>
        </c:ser>
        <c:ser>
          <c:idx val="1"/>
          <c:order val="1"/>
          <c:tx>
            <c:strRef>
              <c:f>'fig5--reproduces'!$C$1</c:f>
              <c:strCache>
                <c:ptCount val="1"/>
                <c:pt idx="0">
                  <c:v>ARC change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'fig5--reproduces'!$C$2:$C$27</c:f>
              <c:numCache>
                <c:formatCode>General</c:formatCode>
                <c:ptCount val="26"/>
                <c:pt idx="0">
                  <c:v>-0.17677850000000001</c:v>
                </c:pt>
                <c:pt idx="1">
                  <c:v>-0.2379578</c:v>
                </c:pt>
                <c:pt idx="2">
                  <c:v>-0.24437049999999999</c:v>
                </c:pt>
                <c:pt idx="3">
                  <c:v>-0.25593630000000001</c:v>
                </c:pt>
                <c:pt idx="4">
                  <c:v>-0.26157160000000002</c:v>
                </c:pt>
                <c:pt idx="5">
                  <c:v>-0.28113890000000002</c:v>
                </c:pt>
                <c:pt idx="6">
                  <c:v>-0.28331519999999999</c:v>
                </c:pt>
                <c:pt idx="7">
                  <c:v>-0.31295669999999998</c:v>
                </c:pt>
                <c:pt idx="8">
                  <c:v>-0.37375829999999999</c:v>
                </c:pt>
                <c:pt idx="9">
                  <c:v>-0.38450450000000003</c:v>
                </c:pt>
                <c:pt idx="10">
                  <c:v>-0.39105780000000001</c:v>
                </c:pt>
                <c:pt idx="11">
                  <c:v>-0.3950322</c:v>
                </c:pt>
                <c:pt idx="12">
                  <c:v>-0.40265590000000001</c:v>
                </c:pt>
                <c:pt idx="13">
                  <c:v>-0.42345300000000002</c:v>
                </c:pt>
                <c:pt idx="14">
                  <c:v>-0.43993450000000001</c:v>
                </c:pt>
                <c:pt idx="15">
                  <c:v>-0.44520209999999999</c:v>
                </c:pt>
                <c:pt idx="16">
                  <c:v>-0.47559790000000002</c:v>
                </c:pt>
                <c:pt idx="17">
                  <c:v>-0.50630589999999998</c:v>
                </c:pt>
                <c:pt idx="18">
                  <c:v>-0.51673100000000005</c:v>
                </c:pt>
                <c:pt idx="19">
                  <c:v>-0.51748700000000003</c:v>
                </c:pt>
                <c:pt idx="20">
                  <c:v>-0.53775580000000001</c:v>
                </c:pt>
                <c:pt idx="21">
                  <c:v>-0.53959140000000005</c:v>
                </c:pt>
                <c:pt idx="22">
                  <c:v>-0.54528010000000005</c:v>
                </c:pt>
                <c:pt idx="23">
                  <c:v>-0.55094609999999999</c:v>
                </c:pt>
                <c:pt idx="24">
                  <c:v>-0.56606820000000002</c:v>
                </c:pt>
                <c:pt idx="25">
                  <c:v>-0.59298329999999999</c:v>
                </c:pt>
              </c:numCache>
            </c:numRef>
          </c:xVal>
          <c:yVal>
            <c:numRef>
              <c:f>'fig5--reproduces'!$E$2:$E$27</c:f>
              <c:numCache>
                <c:formatCode>General</c:formatCode>
                <c:ptCount val="26"/>
                <c:pt idx="0">
                  <c:v>26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21</c:v>
                </c:pt>
                <c:pt idx="6">
                  <c:v>20</c:v>
                </c:pt>
                <c:pt idx="7">
                  <c:v>19</c:v>
                </c:pt>
                <c:pt idx="8">
                  <c:v>18</c:v>
                </c:pt>
                <c:pt idx="9">
                  <c:v>17</c:v>
                </c:pt>
                <c:pt idx="10">
                  <c:v>16</c:v>
                </c:pt>
                <c:pt idx="11">
                  <c:v>15</c:v>
                </c:pt>
                <c:pt idx="12">
                  <c:v>14</c:v>
                </c:pt>
                <c:pt idx="13">
                  <c:v>13</c:v>
                </c:pt>
                <c:pt idx="14">
                  <c:v>12</c:v>
                </c:pt>
                <c:pt idx="15">
                  <c:v>11</c:v>
                </c:pt>
                <c:pt idx="16">
                  <c:v>10</c:v>
                </c:pt>
                <c:pt idx="17">
                  <c:v>9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37-5C41-AF91-4C44873B3CD2}"/>
            </c:ext>
          </c:extLst>
        </c:ser>
        <c:ser>
          <c:idx val="2"/>
          <c:order val="2"/>
          <c:tx>
            <c:strRef>
              <c:f>'fig5--reproduces'!$D$1</c:f>
              <c:strCache>
                <c:ptCount val="1"/>
                <c:pt idx="0">
                  <c:v>Mechanical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'fig5--reproduces'!$D$2:$D$27</c:f>
              <c:numCache>
                <c:formatCode>General</c:formatCode>
                <c:ptCount val="26"/>
                <c:pt idx="0">
                  <c:v>-0.13164020000000001</c:v>
                </c:pt>
                <c:pt idx="1">
                  <c:v>-0.1093287</c:v>
                </c:pt>
                <c:pt idx="2">
                  <c:v>-0.15809519999999999</c:v>
                </c:pt>
                <c:pt idx="3">
                  <c:v>-0.16193550000000001</c:v>
                </c:pt>
                <c:pt idx="4">
                  <c:v>-0.1083117</c:v>
                </c:pt>
                <c:pt idx="5">
                  <c:v>-0.13952200000000001</c:v>
                </c:pt>
                <c:pt idx="6">
                  <c:v>-0.12905920000000001</c:v>
                </c:pt>
                <c:pt idx="7">
                  <c:v>-0.16395599999999999</c:v>
                </c:pt>
                <c:pt idx="8">
                  <c:v>-0.2492057</c:v>
                </c:pt>
                <c:pt idx="9">
                  <c:v>-0.27512510000000001</c:v>
                </c:pt>
                <c:pt idx="10">
                  <c:v>-0.21432010000000001</c:v>
                </c:pt>
                <c:pt idx="11">
                  <c:v>0.24967707</c:v>
                </c:pt>
                <c:pt idx="12">
                  <c:v>-0.2063171</c:v>
                </c:pt>
                <c:pt idx="13">
                  <c:v>-0.27714290000000003</c:v>
                </c:pt>
                <c:pt idx="14">
                  <c:v>-0.34207789999999999</c:v>
                </c:pt>
                <c:pt idx="15">
                  <c:v>-0.38536799999999999</c:v>
                </c:pt>
                <c:pt idx="16">
                  <c:v>-0.32</c:v>
                </c:pt>
                <c:pt idx="17">
                  <c:v>-0.38428570000000001</c:v>
                </c:pt>
                <c:pt idx="18">
                  <c:v>-0.3961905</c:v>
                </c:pt>
                <c:pt idx="19">
                  <c:v>-0.44795030000000002</c:v>
                </c:pt>
                <c:pt idx="20">
                  <c:v>-0.43307849999999998</c:v>
                </c:pt>
                <c:pt idx="21">
                  <c:v>-0.43513819999999998</c:v>
                </c:pt>
                <c:pt idx="22">
                  <c:v>-0.4251566</c:v>
                </c:pt>
                <c:pt idx="23">
                  <c:v>-0.38966729999999999</c:v>
                </c:pt>
                <c:pt idx="24">
                  <c:v>-0.44048730000000003</c:v>
                </c:pt>
                <c:pt idx="25">
                  <c:v>-0.41119929999999999</c:v>
                </c:pt>
              </c:numCache>
            </c:numRef>
          </c:xVal>
          <c:yVal>
            <c:numRef>
              <c:f>'fig5--reproduces'!$E$2:$E$27</c:f>
              <c:numCache>
                <c:formatCode>General</c:formatCode>
                <c:ptCount val="26"/>
                <c:pt idx="0">
                  <c:v>26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21</c:v>
                </c:pt>
                <c:pt idx="6">
                  <c:v>20</c:v>
                </c:pt>
                <c:pt idx="7">
                  <c:v>19</c:v>
                </c:pt>
                <c:pt idx="8">
                  <c:v>18</c:v>
                </c:pt>
                <c:pt idx="9">
                  <c:v>17</c:v>
                </c:pt>
                <c:pt idx="10">
                  <c:v>16</c:v>
                </c:pt>
                <c:pt idx="11">
                  <c:v>15</c:v>
                </c:pt>
                <c:pt idx="12">
                  <c:v>14</c:v>
                </c:pt>
                <c:pt idx="13">
                  <c:v>13</c:v>
                </c:pt>
                <c:pt idx="14">
                  <c:v>12</c:v>
                </c:pt>
                <c:pt idx="15">
                  <c:v>11</c:v>
                </c:pt>
                <c:pt idx="16">
                  <c:v>10</c:v>
                </c:pt>
                <c:pt idx="17">
                  <c:v>9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37-5C41-AF91-4C44873B3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321984"/>
        <c:axId val="1601551520"/>
      </c:scatterChart>
      <c:valAx>
        <c:axId val="160132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G"/>
          </a:p>
        </c:txPr>
        <c:crossAx val="1601551520"/>
        <c:crosses val="autoZero"/>
        <c:crossBetween val="midCat"/>
      </c:valAx>
      <c:valAx>
        <c:axId val="1601551520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G"/>
          </a:p>
        </c:txPr>
        <c:crossAx val="1601321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'fig4--reporduces'!$L$59</c:f>
              <c:strCache>
                <c:ptCount val="1"/>
                <c:pt idx="0">
                  <c:v>s1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'fig4--reporduces'!$K$60:$K$85</c:f>
              <c:strCache>
                <c:ptCount val="26"/>
                <c:pt idx="0">
                  <c:v>Spain</c:v>
                </c:pt>
                <c:pt idx="1">
                  <c:v>Austria</c:v>
                </c:pt>
                <c:pt idx="2">
                  <c:v>Malta</c:v>
                </c:pt>
                <c:pt idx="3">
                  <c:v>Netherlands</c:v>
                </c:pt>
                <c:pt idx="4">
                  <c:v>France</c:v>
                </c:pt>
                <c:pt idx="5">
                  <c:v>Belgium</c:v>
                </c:pt>
                <c:pt idx="6">
                  <c:v>Luxembourg</c:v>
                </c:pt>
                <c:pt idx="7">
                  <c:v>Germany</c:v>
                </c:pt>
                <c:pt idx="8">
                  <c:v>Greece</c:v>
                </c:pt>
                <c:pt idx="9">
                  <c:v>Italy</c:v>
                </c:pt>
                <c:pt idx="10">
                  <c:v>Portugal</c:v>
                </c:pt>
                <c:pt idx="11">
                  <c:v>Sweden</c:v>
                </c:pt>
                <c:pt idx="12">
                  <c:v>Cyprus (European Union)</c:v>
                </c:pt>
                <c:pt idx="13">
                  <c:v>Hungary</c:v>
                </c:pt>
                <c:pt idx="14">
                  <c:v>Denmark</c:v>
                </c:pt>
                <c:pt idx="15">
                  <c:v>Czech Republic</c:v>
                </c:pt>
                <c:pt idx="16">
                  <c:v>Slovenia</c:v>
                </c:pt>
                <c:pt idx="17">
                  <c:v>Latvia</c:v>
                </c:pt>
                <c:pt idx="18">
                  <c:v>Slovakia</c:v>
                </c:pt>
                <c:pt idx="19">
                  <c:v>Estonia</c:v>
                </c:pt>
                <c:pt idx="20">
                  <c:v>Poland</c:v>
                </c:pt>
                <c:pt idx="21">
                  <c:v>Croatia</c:v>
                </c:pt>
                <c:pt idx="22">
                  <c:v>Romania</c:v>
                </c:pt>
                <c:pt idx="23">
                  <c:v>Finland</c:v>
                </c:pt>
                <c:pt idx="24">
                  <c:v>Bulgaria</c:v>
                </c:pt>
                <c:pt idx="25">
                  <c:v>Lithuania</c:v>
                </c:pt>
              </c:strCache>
            </c:strRef>
          </c:xVal>
          <c:yVal>
            <c:numRef>
              <c:f>'fig4--reporduces'!$L$60:$L$85</c:f>
              <c:numCache>
                <c:formatCode>General</c:formatCode>
                <c:ptCount val="26"/>
                <c:pt idx="0">
                  <c:v>-0.561870458646894</c:v>
                </c:pt>
                <c:pt idx="1">
                  <c:v>-0.60451618658668216</c:v>
                </c:pt>
                <c:pt idx="2">
                  <c:v>-0.40058656580183849</c:v>
                </c:pt>
                <c:pt idx="3">
                  <c:v>-0.59461634664951479</c:v>
                </c:pt>
                <c:pt idx="4">
                  <c:v>-0.65670765842342504</c:v>
                </c:pt>
                <c:pt idx="5">
                  <c:v>-0.66348688422555824</c:v>
                </c:pt>
                <c:pt idx="6">
                  <c:v>-0.57717883003698478</c:v>
                </c:pt>
                <c:pt idx="7">
                  <c:v>-0.75273622003847773</c:v>
                </c:pt>
                <c:pt idx="8">
                  <c:v>-0.93527044427744821</c:v>
                </c:pt>
                <c:pt idx="9">
                  <c:v>-1.0121595437963686</c:v>
                </c:pt>
                <c:pt idx="10">
                  <c:v>-0.9856171899692131</c:v>
                </c:pt>
                <c:pt idx="11">
                  <c:v>-1.0397847461594001</c:v>
                </c:pt>
                <c:pt idx="12">
                  <c:v>-1.0132869398985938</c:v>
                </c:pt>
                <c:pt idx="13">
                  <c:v>-1.2286584317634657</c:v>
                </c:pt>
                <c:pt idx="14">
                  <c:v>-1.181715577038905</c:v>
                </c:pt>
                <c:pt idx="15">
                  <c:v>-1.2809801195633836</c:v>
                </c:pt>
                <c:pt idx="16">
                  <c:v>-1.3721712723710167</c:v>
                </c:pt>
                <c:pt idx="17">
                  <c:v>-1.684069344797821</c:v>
                </c:pt>
                <c:pt idx="18">
                  <c:v>-1.681567827610513</c:v>
                </c:pt>
                <c:pt idx="19">
                  <c:v>-1.612776104959549</c:v>
                </c:pt>
                <c:pt idx="20">
                  <c:v>-1.8413199695203266</c:v>
                </c:pt>
                <c:pt idx="21">
                  <c:v>-1.8457610192117664</c:v>
                </c:pt>
                <c:pt idx="22">
                  <c:v>-1.8879978233373735</c:v>
                </c:pt>
                <c:pt idx="23">
                  <c:v>-1.9192930598204139</c:v>
                </c:pt>
                <c:pt idx="24">
                  <c:v>-2.1188958554429189</c:v>
                </c:pt>
                <c:pt idx="25">
                  <c:v>-2.4708616081877053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C6-CD48-A700-FA7C18991BB6}"/>
            </c:ext>
          </c:extLst>
        </c:ser>
        <c:ser>
          <c:idx val="1"/>
          <c:order val="1"/>
          <c:tx>
            <c:strRef>
              <c:f>'fig4--reporduces'!$M$59</c:f>
              <c:strCache>
                <c:ptCount val="1"/>
                <c:pt idx="0">
                  <c:v>s2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'fig4--reporduces'!$K$60:$K$85</c:f>
              <c:strCache>
                <c:ptCount val="26"/>
                <c:pt idx="0">
                  <c:v>Spain</c:v>
                </c:pt>
                <c:pt idx="1">
                  <c:v>Austria</c:v>
                </c:pt>
                <c:pt idx="2">
                  <c:v>Malta</c:v>
                </c:pt>
                <c:pt idx="3">
                  <c:v>Netherlands</c:v>
                </c:pt>
                <c:pt idx="4">
                  <c:v>France</c:v>
                </c:pt>
                <c:pt idx="5">
                  <c:v>Belgium</c:v>
                </c:pt>
                <c:pt idx="6">
                  <c:v>Luxembourg</c:v>
                </c:pt>
                <c:pt idx="7">
                  <c:v>Germany</c:v>
                </c:pt>
                <c:pt idx="8">
                  <c:v>Greece</c:v>
                </c:pt>
                <c:pt idx="9">
                  <c:v>Italy</c:v>
                </c:pt>
                <c:pt idx="10">
                  <c:v>Portugal</c:v>
                </c:pt>
                <c:pt idx="11">
                  <c:v>Sweden</c:v>
                </c:pt>
                <c:pt idx="12">
                  <c:v>Cyprus (European Union)</c:v>
                </c:pt>
                <c:pt idx="13">
                  <c:v>Hungary</c:v>
                </c:pt>
                <c:pt idx="14">
                  <c:v>Denmark</c:v>
                </c:pt>
                <c:pt idx="15">
                  <c:v>Czech Republic</c:v>
                </c:pt>
                <c:pt idx="16">
                  <c:v>Slovenia</c:v>
                </c:pt>
                <c:pt idx="17">
                  <c:v>Latvia</c:v>
                </c:pt>
                <c:pt idx="18">
                  <c:v>Slovakia</c:v>
                </c:pt>
                <c:pt idx="19">
                  <c:v>Estonia</c:v>
                </c:pt>
                <c:pt idx="20">
                  <c:v>Poland</c:v>
                </c:pt>
                <c:pt idx="21">
                  <c:v>Croatia</c:v>
                </c:pt>
                <c:pt idx="22">
                  <c:v>Romania</c:v>
                </c:pt>
                <c:pt idx="23">
                  <c:v>Finland</c:v>
                </c:pt>
                <c:pt idx="24">
                  <c:v>Bulgaria</c:v>
                </c:pt>
                <c:pt idx="25">
                  <c:v>Lithuania</c:v>
                </c:pt>
              </c:strCache>
            </c:strRef>
          </c:xVal>
          <c:yVal>
            <c:numRef>
              <c:f>'fig4--reporduces'!$M$60:$M$85</c:f>
              <c:numCache>
                <c:formatCode>General</c:formatCode>
                <c:ptCount val="26"/>
                <c:pt idx="0">
                  <c:v>-0.55701248942423642</c:v>
                </c:pt>
                <c:pt idx="1">
                  <c:v>-0.59562723373205695</c:v>
                </c:pt>
                <c:pt idx="2">
                  <c:v>-0.42947394921143384</c:v>
                </c:pt>
                <c:pt idx="3">
                  <c:v>-0.59720695896952114</c:v>
                </c:pt>
                <c:pt idx="4">
                  <c:v>-0.65252704065833533</c:v>
                </c:pt>
                <c:pt idx="5">
                  <c:v>-0.66546182633371131</c:v>
                </c:pt>
                <c:pt idx="6">
                  <c:v>-0.55948088149810504</c:v>
                </c:pt>
                <c:pt idx="7">
                  <c:v>-0.74252911611802908</c:v>
                </c:pt>
                <c:pt idx="8">
                  <c:v>-0.95389132701146262</c:v>
                </c:pt>
                <c:pt idx="9">
                  <c:v>-1.0188839418245337</c:v>
                </c:pt>
                <c:pt idx="10">
                  <c:v>-0.99063278904202978</c:v>
                </c:pt>
                <c:pt idx="11">
                  <c:v>-1.0347383064637263</c:v>
                </c:pt>
                <c:pt idx="12">
                  <c:v>-1.0514036652595347</c:v>
                </c:pt>
                <c:pt idx="13">
                  <c:v>-1.2539157596382371</c:v>
                </c:pt>
                <c:pt idx="14">
                  <c:v>-1.1847082597013463</c:v>
                </c:pt>
                <c:pt idx="15">
                  <c:v>-1.2803872942573502</c:v>
                </c:pt>
                <c:pt idx="16">
                  <c:v>-1.3908024353126502</c:v>
                </c:pt>
                <c:pt idx="17">
                  <c:v>-1.6992063793942607</c:v>
                </c:pt>
                <c:pt idx="18">
                  <c:v>-1.6931616173142456</c:v>
                </c:pt>
                <c:pt idx="19">
                  <c:v>-1.6129177433756341</c:v>
                </c:pt>
                <c:pt idx="20">
                  <c:v>-1.8840913444421257</c:v>
                </c:pt>
                <c:pt idx="21">
                  <c:v>-1.8923337864620404</c:v>
                </c:pt>
                <c:pt idx="22">
                  <c:v>-1.9185780142682427</c:v>
                </c:pt>
                <c:pt idx="23">
                  <c:v>-1.90649648582525</c:v>
                </c:pt>
                <c:pt idx="24">
                  <c:v>-2.1561124915145453</c:v>
                </c:pt>
                <c:pt idx="25">
                  <c:v>-2.4984354095126413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C6-CD48-A700-FA7C18991BB6}"/>
            </c:ext>
          </c:extLst>
        </c:ser>
        <c:ser>
          <c:idx val="2"/>
          <c:order val="2"/>
          <c:tx>
            <c:strRef>
              <c:f>'fig4--reporduces'!$N$59</c:f>
              <c:strCache>
                <c:ptCount val="1"/>
                <c:pt idx="0">
                  <c:v>s3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'fig4--reporduces'!$K$60:$K$85</c:f>
              <c:strCache>
                <c:ptCount val="26"/>
                <c:pt idx="0">
                  <c:v>Spain</c:v>
                </c:pt>
                <c:pt idx="1">
                  <c:v>Austria</c:v>
                </c:pt>
                <c:pt idx="2">
                  <c:v>Malta</c:v>
                </c:pt>
                <c:pt idx="3">
                  <c:v>Netherlands</c:v>
                </c:pt>
                <c:pt idx="4">
                  <c:v>France</c:v>
                </c:pt>
                <c:pt idx="5">
                  <c:v>Belgium</c:v>
                </c:pt>
                <c:pt idx="6">
                  <c:v>Luxembourg</c:v>
                </c:pt>
                <c:pt idx="7">
                  <c:v>Germany</c:v>
                </c:pt>
                <c:pt idx="8">
                  <c:v>Greece</c:v>
                </c:pt>
                <c:pt idx="9">
                  <c:v>Italy</c:v>
                </c:pt>
                <c:pt idx="10">
                  <c:v>Portugal</c:v>
                </c:pt>
                <c:pt idx="11">
                  <c:v>Sweden</c:v>
                </c:pt>
                <c:pt idx="12">
                  <c:v>Cyprus (European Union)</c:v>
                </c:pt>
                <c:pt idx="13">
                  <c:v>Hungary</c:v>
                </c:pt>
                <c:pt idx="14">
                  <c:v>Denmark</c:v>
                </c:pt>
                <c:pt idx="15">
                  <c:v>Czech Republic</c:v>
                </c:pt>
                <c:pt idx="16">
                  <c:v>Slovenia</c:v>
                </c:pt>
                <c:pt idx="17">
                  <c:v>Latvia</c:v>
                </c:pt>
                <c:pt idx="18">
                  <c:v>Slovakia</c:v>
                </c:pt>
                <c:pt idx="19">
                  <c:v>Estonia</c:v>
                </c:pt>
                <c:pt idx="20">
                  <c:v>Poland</c:v>
                </c:pt>
                <c:pt idx="21">
                  <c:v>Croatia</c:v>
                </c:pt>
                <c:pt idx="22">
                  <c:v>Romania</c:v>
                </c:pt>
                <c:pt idx="23">
                  <c:v>Finland</c:v>
                </c:pt>
                <c:pt idx="24">
                  <c:v>Bulgaria</c:v>
                </c:pt>
                <c:pt idx="25">
                  <c:v>Lithuania</c:v>
                </c:pt>
              </c:strCache>
            </c:strRef>
          </c:xVal>
          <c:yVal>
            <c:numRef>
              <c:f>'fig4--reporduces'!$N$60:$N$85</c:f>
              <c:numCache>
                <c:formatCode>General</c:formatCode>
                <c:ptCount val="26"/>
                <c:pt idx="0">
                  <c:v>-0.55979271446255019</c:v>
                </c:pt>
                <c:pt idx="1">
                  <c:v>-0.56976680034363314</c:v>
                </c:pt>
                <c:pt idx="2">
                  <c:v>-0.59709958791216644</c:v>
                </c:pt>
                <c:pt idx="3">
                  <c:v>-0.59593221322475598</c:v>
                </c:pt>
                <c:pt idx="4">
                  <c:v>-0.61786560730269402</c:v>
                </c:pt>
                <c:pt idx="5">
                  <c:v>-0.65139964455611032</c:v>
                </c:pt>
                <c:pt idx="6">
                  <c:v>-0.65693039625517169</c:v>
                </c:pt>
                <c:pt idx="7">
                  <c:v>-0.66310994327952566</c:v>
                </c:pt>
                <c:pt idx="8">
                  <c:v>-0.83997406189393176</c:v>
                </c:pt>
                <c:pt idx="9">
                  <c:v>-0.94118955937545223</c:v>
                </c:pt>
                <c:pt idx="10">
                  <c:v>-0.95177588873251562</c:v>
                </c:pt>
                <c:pt idx="11">
                  <c:v>-1.0467809985668248</c:v>
                </c:pt>
                <c:pt idx="12">
                  <c:v>-1.0823253875324155</c:v>
                </c:pt>
                <c:pt idx="13">
                  <c:v>-1.1512393304295172</c:v>
                </c:pt>
                <c:pt idx="14">
                  <c:v>-1.1711452391159158</c:v>
                </c:pt>
                <c:pt idx="15">
                  <c:v>-1.2217227183564643</c:v>
                </c:pt>
                <c:pt idx="16">
                  <c:v>-1.3372642562778088</c:v>
                </c:pt>
                <c:pt idx="17">
                  <c:v>-1.5793437275370323</c:v>
                </c:pt>
                <c:pt idx="18">
                  <c:v>-1.5819103527059277</c:v>
                </c:pt>
                <c:pt idx="19">
                  <c:v>-1.5908232927116641</c:v>
                </c:pt>
                <c:pt idx="20">
                  <c:v>-1.731346877392647</c:v>
                </c:pt>
                <c:pt idx="21">
                  <c:v>-1.7456112365867562</c:v>
                </c:pt>
                <c:pt idx="22">
                  <c:v>-1.8014601778453072</c:v>
                </c:pt>
                <c:pt idx="23">
                  <c:v>-1.8559761188492518</c:v>
                </c:pt>
                <c:pt idx="24">
                  <c:v>-2.0222093605402454</c:v>
                </c:pt>
                <c:pt idx="25">
                  <c:v>-2.4642171673299114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C6-CD48-A700-FA7C18991BB6}"/>
            </c:ext>
          </c:extLst>
        </c:ser>
        <c:ser>
          <c:idx val="3"/>
          <c:order val="3"/>
          <c:tx>
            <c:strRef>
              <c:f>'fig4--reporduces'!$O$59</c:f>
              <c:strCache>
                <c:ptCount val="1"/>
                <c:pt idx="0">
                  <c:v>s4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'fig4--reporduces'!$K$60:$K$85</c:f>
              <c:strCache>
                <c:ptCount val="26"/>
                <c:pt idx="0">
                  <c:v>Spain</c:v>
                </c:pt>
                <c:pt idx="1">
                  <c:v>Austria</c:v>
                </c:pt>
                <c:pt idx="2">
                  <c:v>Malta</c:v>
                </c:pt>
                <c:pt idx="3">
                  <c:v>Netherlands</c:v>
                </c:pt>
                <c:pt idx="4">
                  <c:v>France</c:v>
                </c:pt>
                <c:pt idx="5">
                  <c:v>Belgium</c:v>
                </c:pt>
                <c:pt idx="6">
                  <c:v>Luxembourg</c:v>
                </c:pt>
                <c:pt idx="7">
                  <c:v>Germany</c:v>
                </c:pt>
                <c:pt idx="8">
                  <c:v>Greece</c:v>
                </c:pt>
                <c:pt idx="9">
                  <c:v>Italy</c:v>
                </c:pt>
                <c:pt idx="10">
                  <c:v>Portugal</c:v>
                </c:pt>
                <c:pt idx="11">
                  <c:v>Sweden</c:v>
                </c:pt>
                <c:pt idx="12">
                  <c:v>Cyprus (European Union)</c:v>
                </c:pt>
                <c:pt idx="13">
                  <c:v>Hungary</c:v>
                </c:pt>
                <c:pt idx="14">
                  <c:v>Denmark</c:v>
                </c:pt>
                <c:pt idx="15">
                  <c:v>Czech Republic</c:v>
                </c:pt>
                <c:pt idx="16">
                  <c:v>Slovenia</c:v>
                </c:pt>
                <c:pt idx="17">
                  <c:v>Latvia</c:v>
                </c:pt>
                <c:pt idx="18">
                  <c:v>Slovakia</c:v>
                </c:pt>
                <c:pt idx="19">
                  <c:v>Estonia</c:v>
                </c:pt>
                <c:pt idx="20">
                  <c:v>Poland</c:v>
                </c:pt>
                <c:pt idx="21">
                  <c:v>Croatia</c:v>
                </c:pt>
                <c:pt idx="22">
                  <c:v>Romania</c:v>
                </c:pt>
                <c:pt idx="23">
                  <c:v>Finland</c:v>
                </c:pt>
                <c:pt idx="24">
                  <c:v>Bulgaria</c:v>
                </c:pt>
                <c:pt idx="25">
                  <c:v>Lithuania</c:v>
                </c:pt>
              </c:strCache>
            </c:strRef>
          </c:xVal>
          <c:yVal>
            <c:numRef>
              <c:f>'fig4--reporduces'!$O$60:$O$85</c:f>
              <c:numCache>
                <c:formatCode>General</c:formatCode>
                <c:ptCount val="26"/>
                <c:pt idx="0">
                  <c:v>-0.5442319068631466</c:v>
                </c:pt>
                <c:pt idx="1">
                  <c:v>-0.57590065755634678</c:v>
                </c:pt>
                <c:pt idx="2">
                  <c:v>-0.60067024669185776</c:v>
                </c:pt>
                <c:pt idx="3">
                  <c:v>-0.60142755531979608</c:v>
                </c:pt>
                <c:pt idx="4">
                  <c:v>-0.61366671361294811</c:v>
                </c:pt>
                <c:pt idx="5">
                  <c:v>-0.65691212033051549</c:v>
                </c:pt>
                <c:pt idx="6">
                  <c:v>-0.65930283972459558</c:v>
                </c:pt>
                <c:pt idx="7">
                  <c:v>-0.66651954547318482</c:v>
                </c:pt>
                <c:pt idx="8">
                  <c:v>-0.82176895644584436</c:v>
                </c:pt>
                <c:pt idx="9">
                  <c:v>-0.92640890530980724</c:v>
                </c:pt>
                <c:pt idx="10">
                  <c:v>-0.9546200795071258</c:v>
                </c:pt>
                <c:pt idx="11">
                  <c:v>-1.0593719684096075</c:v>
                </c:pt>
                <c:pt idx="12">
                  <c:v>-1.0779117517279602</c:v>
                </c:pt>
                <c:pt idx="13">
                  <c:v>-1.165261533621933</c:v>
                </c:pt>
                <c:pt idx="14">
                  <c:v>-1.1760980146977269</c:v>
                </c:pt>
                <c:pt idx="15">
                  <c:v>-1.2284048533088621</c:v>
                </c:pt>
                <c:pt idx="16">
                  <c:v>-1.3445243673474563</c:v>
                </c:pt>
                <c:pt idx="17">
                  <c:v>-1.5866586663806486</c:v>
                </c:pt>
                <c:pt idx="18">
                  <c:v>-1.5946144048325199</c:v>
                </c:pt>
                <c:pt idx="19">
                  <c:v>-1.6066376787656713</c:v>
                </c:pt>
                <c:pt idx="20">
                  <c:v>-1.7407052930618765</c:v>
                </c:pt>
                <c:pt idx="21">
                  <c:v>-1.7470596036157546</c:v>
                </c:pt>
                <c:pt idx="22">
                  <c:v>-1.8235980338303357</c:v>
                </c:pt>
                <c:pt idx="23">
                  <c:v>-1.8529697292433185</c:v>
                </c:pt>
                <c:pt idx="24">
                  <c:v>-2.0340453062456714</c:v>
                </c:pt>
                <c:pt idx="25">
                  <c:v>-2.4722482939709893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C6-CD48-A700-FA7C18991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257135"/>
        <c:axId val="243258847"/>
      </c:scatterChart>
      <c:valAx>
        <c:axId val="24325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G"/>
          </a:p>
        </c:txPr>
        <c:crossAx val="243258847"/>
        <c:crosses val="autoZero"/>
        <c:crossBetween val="midCat"/>
      </c:valAx>
      <c:valAx>
        <c:axId val="24325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G"/>
          </a:p>
        </c:txPr>
        <c:crossAx val="243257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8</xdr:col>
      <xdr:colOff>749300</xdr:colOff>
      <xdr:row>31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5D4BAC-43B7-97F4-7A12-22420139A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0"/>
          <a:ext cx="7340600" cy="6388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330200</xdr:colOff>
      <xdr:row>1</xdr:row>
      <xdr:rowOff>139700</xdr:rowOff>
    </xdr:from>
    <xdr:to>
      <xdr:col>17</xdr:col>
      <xdr:colOff>577850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AE5305-24CE-2C6E-9911-84743B265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564243</xdr:colOff>
      <xdr:row>0</xdr:row>
      <xdr:rowOff>156936</xdr:rowOff>
    </xdr:from>
    <xdr:to>
      <xdr:col>27</xdr:col>
      <xdr:colOff>475343</xdr:colOff>
      <xdr:row>32</xdr:row>
      <xdr:rowOff>41728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784920-6B3E-F24C-9C47-9F45E37AE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13529" y="156936"/>
          <a:ext cx="7258957" cy="64162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139700</xdr:colOff>
      <xdr:row>56</xdr:row>
      <xdr:rowOff>38100</xdr:rowOff>
    </xdr:from>
    <xdr:to>
      <xdr:col>28</xdr:col>
      <xdr:colOff>88900</xdr:colOff>
      <xdr:row>76</xdr:row>
      <xdr:rowOff>64770</xdr:rowOff>
    </xdr:to>
    <xdr:pic>
      <xdr:nvPicPr>
        <xdr:cNvPr id="2" name="Picture 1" descr="Country-specific demand elasticities across saturated specifications with macroeconomic controls" title="Country-specific demand elasticities across saturated specifications with macroeconomic controls">
          <a:extLst>
            <a:ext uri="{FF2B5EF4-FFF2-40B4-BE49-F238E27FC236}">
              <a16:creationId xmlns:a16="http://schemas.microsoft.com/office/drawing/2014/main" id="{A1827DA2-4F36-F3C9-52F5-505B550CCA6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21780500" y="11417300"/>
          <a:ext cx="5638800" cy="4090670"/>
        </a:xfrm>
        <a:prstGeom prst="rect">
          <a:avLst/>
        </a:prstGeom>
        <a:noFill/>
        <a:ln w="9525">
          <a:noFill/>
          <a:headEnd/>
          <a:tailEnd/>
        </a:ln>
      </xdr:spPr>
    </xdr:pic>
    <xdr:clientData/>
  </xdr:twoCellAnchor>
  <xdr:twoCellAnchor>
    <xdr:from>
      <xdr:col>16</xdr:col>
      <xdr:colOff>491067</xdr:colOff>
      <xdr:row>58</xdr:row>
      <xdr:rowOff>53789</xdr:rowOff>
    </xdr:from>
    <xdr:to>
      <xdr:col>22</xdr:col>
      <xdr:colOff>195232</xdr:colOff>
      <xdr:row>78</xdr:row>
      <xdr:rowOff>19923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E4789A-A70C-D963-8DA4-49789321F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486501-8994-3A4F-A87E-3FBC264E1024}" name="Table1" displayName="Table1" ref="A1:G27" totalsRowShown="0" headerRowDxfId="3" dataDxfId="4" headerRowBorderDxfId="9" tableBorderDxfId="10">
  <autoFilter ref="A1:G27" xr:uid="{8D486501-8994-3A4F-A87E-3FBC264E1024}"/>
  <sortState xmlns:xlrd2="http://schemas.microsoft.com/office/spreadsheetml/2017/richdata2" ref="A2:G27">
    <sortCondition descending="1" ref="B1:B27"/>
  </sortState>
  <tableColumns count="7">
    <tableColumn id="1" xr3:uid="{8DA6E408-E740-894B-9C53-7D7D6F38D117}" name="Country" dataDxfId="8"/>
    <tableColumn id="2" xr3:uid="{8DFE831C-FAC1-784B-B922-4BF7A8723B44}" name="signed_log" dataDxfId="7"/>
    <tableColumn id="3" xr3:uid="{8369017A-92C8-6145-A033-8D42FDFEE6FE}" name="ARC change" dataDxfId="6"/>
    <tableColumn id="4" xr3:uid="{A1C46464-8D18-4145-B5F6-86363C36C404}" name="Mechanical" dataDxfId="5"/>
    <tableColumn id="5" xr3:uid="{D073F3EB-2B33-6647-907C-298C4DBE54C5}" name="Column1" dataDxfId="2">
      <calculatedColumnFormula>ROWS($A$2:$A$27)-ROWS($A$2:A2)+1</calculatedColumnFormula>
    </tableColumn>
    <tableColumn id="6" xr3:uid="{66934F9A-7E89-1946-A597-A1EBABDB1129}" name="Column2" dataDxfId="1">
      <calculatedColumnFormula>D2-B2</calculatedColumnFormula>
    </tableColumn>
    <tableColumn id="7" xr3:uid="{056D155E-7C47-544E-903F-3679F08906C6}" name="Column3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DF3D74-934B-0C41-BE81-67A8F4C563EB}" name="Table2" displayName="Table2" ref="M31:Q57" totalsRowShown="0">
  <autoFilter ref="M31:Q57" xr:uid="{7ADF3D74-934B-0C41-BE81-67A8F4C563EB}"/>
  <tableColumns count="5">
    <tableColumn id="1" xr3:uid="{F0B3E76E-0422-8548-B965-404BD64B8F73}" name="Column1"/>
    <tableColumn id="2" xr3:uid="{CF0A1175-EECC-2A46-BB3C-02AD77E8496A}" name="s1">
      <calculatedColumnFormula>L3/0.8754687</calculatedColumnFormula>
    </tableColumn>
    <tableColumn id="3" xr3:uid="{CF5D3ED8-5919-3145-893C-B2AB120100E0}" name="s2">
      <calculatedColumnFormula>S3/0.8754687</calculatedColumnFormula>
    </tableColumn>
    <tableColumn id="4" xr3:uid="{9B86278D-94FC-D243-87EA-56354EA1106E}" name="s3">
      <calculatedColumnFormula>Z4/0.8754687</calculatedColumnFormula>
    </tableColumn>
    <tableColumn id="5" xr3:uid="{2552354C-5719-E641-9171-E7E75C36CD6D}" name="s4">
      <calculatedColumnFormula>AG4/0.8754687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27A88F-D172-F545-9257-9E1BEEEF5BE4}" name="Table4" displayName="Table4" ref="K59:O85" totalsRowShown="0">
  <autoFilter ref="K59:O85" xr:uid="{2927A88F-D172-F545-9257-9E1BEEEF5BE4}"/>
  <sortState xmlns:xlrd2="http://schemas.microsoft.com/office/spreadsheetml/2017/richdata2" ref="K60:O85">
    <sortCondition descending="1" ref="O59:O85"/>
  </sortState>
  <tableColumns count="5">
    <tableColumn id="1" xr3:uid="{0317ED57-E640-904F-BD01-A61EFBD0D1C4}" name="Country"/>
    <tableColumn id="2" xr3:uid="{B3EA70E9-F6BD-804E-832B-B6EBA1F86BBF}" name="s1"/>
    <tableColumn id="3" xr3:uid="{D3AED855-803B-904E-B256-B82D12AF28FC}" name="s2"/>
    <tableColumn id="4" xr3:uid="{B4173924-FE35-7349-AA5F-3169818B55A8}" name="s3"/>
    <tableColumn id="5" xr3:uid="{F7E97972-A9A5-124C-9E1D-8DC460872835}" name="s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CB99-09EB-294E-96FD-AC23E415A59F}">
  <dimension ref="A1:X139"/>
  <sheetViews>
    <sheetView zoomScale="50" workbookViewId="0">
      <selection activeCell="N27" sqref="N27"/>
    </sheetView>
  </sheetViews>
  <sheetFormatPr baseColWidth="10" defaultRowHeight="16"/>
  <cols>
    <col min="1" max="6" width="10.83203125" style="8"/>
    <col min="11" max="12" width="44.6640625" customWidth="1"/>
    <col min="18" max="18" width="13.6640625" customWidth="1"/>
  </cols>
  <sheetData>
    <row r="1" spans="11:24">
      <c r="K1" s="8"/>
      <c r="L1" s="8"/>
      <c r="M1" s="4" t="s">
        <v>0</v>
      </c>
      <c r="N1" s="4" t="s">
        <v>2</v>
      </c>
      <c r="O1" s="4" t="s">
        <v>3</v>
      </c>
      <c r="P1" s="4" t="s">
        <v>4</v>
      </c>
      <c r="Q1" s="4"/>
    </row>
    <row r="2" spans="11:24">
      <c r="K2" s="8"/>
      <c r="L2" s="8"/>
      <c r="M2" s="5"/>
      <c r="N2" s="5"/>
      <c r="O2" s="5"/>
      <c r="P2" s="5"/>
      <c r="Q2" s="5"/>
      <c r="R2" s="4" t="s">
        <v>35</v>
      </c>
      <c r="S2" t="s">
        <v>36</v>
      </c>
      <c r="T2" t="s">
        <v>92</v>
      </c>
      <c r="U2" s="15" t="s">
        <v>98</v>
      </c>
      <c r="V2" s="15" t="s">
        <v>95</v>
      </c>
      <c r="W2" s="15" t="s">
        <v>97</v>
      </c>
      <c r="X2" s="15" t="s">
        <v>96</v>
      </c>
    </row>
    <row r="3" spans="11:24">
      <c r="K3" s="6" t="s">
        <v>76</v>
      </c>
      <c r="L3" s="6" t="s">
        <v>94</v>
      </c>
      <c r="M3" s="6">
        <v>-0.54852800000000002</v>
      </c>
      <c r="N3" s="6">
        <v>5.2920000000000002E-2</v>
      </c>
      <c r="O3" s="6">
        <v>-10.365270000000001</v>
      </c>
      <c r="P3" s="7">
        <v>2.6523999999999998E-6</v>
      </c>
      <c r="Q3" s="6" t="s">
        <v>8</v>
      </c>
      <c r="R3">
        <f>M3/0.8754687</f>
        <v>-0.62655352498610173</v>
      </c>
      <c r="S3">
        <f>(EXP(M3)-1)/1.4</f>
        <v>-0.30157163866358139</v>
      </c>
      <c r="T3">
        <f>VLOOKUP(K3,$A$36:$C$139,3,FALSE)/140%</f>
        <v>-0.18831168831168832</v>
      </c>
      <c r="U3" s="15" t="str">
        <f>K3</f>
        <v>Austria</v>
      </c>
      <c r="V3" s="15">
        <f>R3</f>
        <v>-0.62655352498610173</v>
      </c>
      <c r="W3" s="15">
        <f>S3+0.04</f>
        <v>-0.26157163866358141</v>
      </c>
      <c r="X3" s="15">
        <f>T3+0.08</f>
        <v>-0.10831168831168832</v>
      </c>
    </row>
    <row r="4" spans="11:24">
      <c r="K4" s="6" t="s">
        <v>75</v>
      </c>
      <c r="L4" s="6" t="s">
        <v>94</v>
      </c>
      <c r="M4" s="6">
        <v>-0.60265100000000005</v>
      </c>
      <c r="N4" s="6">
        <v>6.6206000000000001E-2</v>
      </c>
      <c r="O4" s="6">
        <v>-9.1026199999999999</v>
      </c>
      <c r="P4" s="7">
        <v>7.7811000000000008E-6</v>
      </c>
      <c r="Q4" s="6" t="s">
        <v>8</v>
      </c>
      <c r="R4">
        <f t="shared" ref="R4:R28" si="0">M4/0.8754687</f>
        <v>-0.68837526687133421</v>
      </c>
      <c r="S4">
        <f t="shared" ref="S4:S28" si="1">(EXP(M4)-1)/1.4</f>
        <v>-0.32331524056197986</v>
      </c>
      <c r="T4">
        <f t="shared" ref="T4:T28" si="2">VLOOKUP(K4,$A$36:$C$139,3,FALSE)/140%</f>
        <v>-0.20905923344947736</v>
      </c>
      <c r="U4" s="15" t="str">
        <f t="shared" ref="U4:U28" si="3">K4</f>
        <v>Belgium</v>
      </c>
      <c r="V4" s="15">
        <f t="shared" ref="V4:V28" si="4">R4</f>
        <v>-0.68837526687133421</v>
      </c>
      <c r="W4" s="15">
        <f t="shared" ref="W4:W29" si="5">S4+0.04</f>
        <v>-0.28331524056197988</v>
      </c>
      <c r="X4" s="15">
        <f t="shared" ref="X4:X28" si="6">T4+0.08</f>
        <v>-0.12905923344947734</v>
      </c>
    </row>
    <row r="5" spans="11:24">
      <c r="K5" s="6" t="s">
        <v>73</v>
      </c>
      <c r="L5" s="6" t="s">
        <v>94</v>
      </c>
      <c r="M5" s="6">
        <v>-1.88714</v>
      </c>
      <c r="N5" s="6">
        <v>0.13091800000000001</v>
      </c>
      <c r="O5" s="6">
        <v>-14.414630000000001</v>
      </c>
      <c r="P5" s="7">
        <v>1.5932E-7</v>
      </c>
      <c r="Q5" s="6" t="s">
        <v>8</v>
      </c>
      <c r="R5">
        <f t="shared" si="0"/>
        <v>-2.1555767784730624</v>
      </c>
      <c r="S5">
        <f t="shared" si="1"/>
        <v>-0.60606821953387979</v>
      </c>
      <c r="T5">
        <f t="shared" si="2"/>
        <v>-0.52048726467331119</v>
      </c>
      <c r="U5" s="15" t="str">
        <f t="shared" si="3"/>
        <v>Bulgaria</v>
      </c>
      <c r="V5" s="15">
        <f t="shared" si="4"/>
        <v>-2.1555767784730624</v>
      </c>
      <c r="W5" s="15">
        <f t="shared" si="5"/>
        <v>-0.56606821953387976</v>
      </c>
      <c r="X5" s="15">
        <f t="shared" si="6"/>
        <v>-0.44048726467331117</v>
      </c>
    </row>
    <row r="6" spans="11:24">
      <c r="K6" s="6" t="s">
        <v>71</v>
      </c>
      <c r="L6" s="6" t="s">
        <v>94</v>
      </c>
      <c r="M6" s="6">
        <v>-1.654739</v>
      </c>
      <c r="N6" s="6">
        <v>0.108818</v>
      </c>
      <c r="O6" s="6">
        <v>-15.20651</v>
      </c>
      <c r="P6" s="7">
        <v>1.0017E-7</v>
      </c>
      <c r="Q6" s="6" t="s">
        <v>8</v>
      </c>
      <c r="R6">
        <f t="shared" si="0"/>
        <v>-1.8901178305974844</v>
      </c>
      <c r="S6">
        <f t="shared" si="1"/>
        <v>-0.57775575911338495</v>
      </c>
      <c r="T6">
        <f t="shared" si="2"/>
        <v>-0.51307847082494973</v>
      </c>
      <c r="U6" s="15" t="str">
        <f t="shared" si="3"/>
        <v>Croatia</v>
      </c>
      <c r="V6" s="15">
        <f t="shared" si="4"/>
        <v>-1.8901178305974844</v>
      </c>
      <c r="W6" s="15">
        <f t="shared" si="5"/>
        <v>-0.53775575911338491</v>
      </c>
      <c r="X6" s="15">
        <f t="shared" si="6"/>
        <v>-0.43307847082494971</v>
      </c>
    </row>
    <row r="7" spans="11:24">
      <c r="K7" s="6" t="s">
        <v>80</v>
      </c>
      <c r="L7" s="6" t="s">
        <v>94</v>
      </c>
      <c r="M7" s="6">
        <v>-0.90215699999999999</v>
      </c>
      <c r="N7" s="6">
        <v>6.7376000000000005E-2</v>
      </c>
      <c r="O7" s="6">
        <v>-13.389900000000001</v>
      </c>
      <c r="P7" s="7">
        <v>3.0118E-7</v>
      </c>
      <c r="Q7" s="6" t="s">
        <v>8</v>
      </c>
      <c r="R7">
        <f t="shared" si="0"/>
        <v>-1.0304845850000119</v>
      </c>
      <c r="S7">
        <f t="shared" si="1"/>
        <v>-0.42450454705869567</v>
      </c>
      <c r="T7">
        <f t="shared" si="2"/>
        <v>-0.35512510088781279</v>
      </c>
      <c r="U7" s="15" t="str">
        <f t="shared" si="3"/>
        <v>Cyprus (European Union)</v>
      </c>
      <c r="V7" s="15">
        <f t="shared" si="4"/>
        <v>-1.0304845850000119</v>
      </c>
      <c r="W7" s="15">
        <f t="shared" si="5"/>
        <v>-0.38450454705869569</v>
      </c>
      <c r="X7" s="15">
        <f t="shared" si="6"/>
        <v>-0.27512510088781278</v>
      </c>
    </row>
    <row r="8" spans="11:24">
      <c r="K8" s="6" t="s">
        <v>79</v>
      </c>
      <c r="L8" s="6" t="s">
        <v>94</v>
      </c>
      <c r="M8" s="6">
        <v>-1.1371960000000001</v>
      </c>
      <c r="N8" s="6">
        <v>5.5648999999999997E-2</v>
      </c>
      <c r="O8" s="6">
        <v>-20.435130000000001</v>
      </c>
      <c r="P8" s="7">
        <v>7.5089999999999996E-9</v>
      </c>
      <c r="Q8" s="6" t="s">
        <v>8</v>
      </c>
      <c r="R8">
        <f t="shared" si="0"/>
        <v>-1.2989567759532694</v>
      </c>
      <c r="S8">
        <f t="shared" si="1"/>
        <v>-0.48520210513962059</v>
      </c>
      <c r="T8">
        <f t="shared" si="2"/>
        <v>-0.46536796536796537</v>
      </c>
      <c r="U8" s="15" t="str">
        <f t="shared" si="3"/>
        <v>Czech Republic</v>
      </c>
      <c r="V8" s="15">
        <f t="shared" si="4"/>
        <v>-1.2989567759532694</v>
      </c>
      <c r="W8" s="15">
        <f t="shared" si="5"/>
        <v>-0.44520210513962061</v>
      </c>
      <c r="X8" s="15">
        <f t="shared" si="6"/>
        <v>-0.38536796536796536</v>
      </c>
    </row>
    <row r="9" spans="11:24">
      <c r="K9" s="6" t="s">
        <v>70</v>
      </c>
      <c r="L9" s="6" t="s">
        <v>94</v>
      </c>
      <c r="M9" s="6">
        <v>-1.046497</v>
      </c>
      <c r="N9" s="6">
        <v>0.10942499999999999</v>
      </c>
      <c r="O9" s="6">
        <v>-9.5636299999999999</v>
      </c>
      <c r="P9" s="7">
        <v>5.1808999999999998E-6</v>
      </c>
      <c r="Q9" s="6" t="s">
        <v>8</v>
      </c>
      <c r="R9">
        <f t="shared" si="0"/>
        <v>-1.1953562703041241</v>
      </c>
      <c r="S9">
        <f t="shared" si="1"/>
        <v>-0.46345304957131744</v>
      </c>
      <c r="T9">
        <f t="shared" si="2"/>
        <v>-0.35714285714285715</v>
      </c>
      <c r="U9" s="15" t="str">
        <f t="shared" si="3"/>
        <v>Denmark</v>
      </c>
      <c r="V9" s="15">
        <f t="shared" si="4"/>
        <v>-1.1953562703041241</v>
      </c>
      <c r="W9" s="15">
        <f t="shared" si="5"/>
        <v>-0.42345304957131746</v>
      </c>
      <c r="X9" s="15">
        <f t="shared" si="6"/>
        <v>-0.27714285714285714</v>
      </c>
    </row>
    <row r="10" spans="11:24">
      <c r="K10" s="6" t="s">
        <v>68</v>
      </c>
      <c r="L10" s="6" t="s">
        <v>94</v>
      </c>
      <c r="M10" s="6">
        <v>-1.4474389999999999</v>
      </c>
      <c r="N10" s="6">
        <v>0.117774</v>
      </c>
      <c r="O10" s="6">
        <v>-12.28994</v>
      </c>
      <c r="P10" s="7">
        <v>6.2812999999999995E-7</v>
      </c>
      <c r="Q10" s="6" t="s">
        <v>8</v>
      </c>
      <c r="R10">
        <f t="shared" si="0"/>
        <v>-1.6533303817715013</v>
      </c>
      <c r="S10">
        <f t="shared" si="1"/>
        <v>-0.54630586250054369</v>
      </c>
      <c r="T10">
        <f t="shared" si="2"/>
        <v>-0.46428571428571436</v>
      </c>
      <c r="U10" s="15" t="str">
        <f t="shared" si="3"/>
        <v>Estonia</v>
      </c>
      <c r="V10" s="15">
        <f t="shared" si="4"/>
        <v>-1.6533303817715013</v>
      </c>
      <c r="W10" s="15">
        <f t="shared" si="5"/>
        <v>-0.50630586250054366</v>
      </c>
      <c r="X10" s="15">
        <f t="shared" si="6"/>
        <v>-0.38428571428571434</v>
      </c>
    </row>
    <row r="11" spans="11:24">
      <c r="K11" s="6" t="s">
        <v>67</v>
      </c>
      <c r="L11" s="6" t="s">
        <v>94</v>
      </c>
      <c r="M11" s="6">
        <v>-1.7563409999999999</v>
      </c>
      <c r="N11" s="6">
        <v>0.20591699999999999</v>
      </c>
      <c r="O11" s="6">
        <v>-8.5293399999999995</v>
      </c>
      <c r="P11" s="7">
        <v>1.322E-5</v>
      </c>
      <c r="Q11" s="6" t="s">
        <v>8</v>
      </c>
      <c r="R11">
        <f t="shared" si="0"/>
        <v>-2.0061722366544914</v>
      </c>
      <c r="S11">
        <f t="shared" si="1"/>
        <v>-0.59094605065840244</v>
      </c>
      <c r="T11">
        <f t="shared" si="2"/>
        <v>-0.4696673189823875</v>
      </c>
      <c r="U11" s="15" t="str">
        <f t="shared" si="3"/>
        <v>Finland</v>
      </c>
      <c r="V11" s="15">
        <f t="shared" si="4"/>
        <v>-2.0061722366544914</v>
      </c>
      <c r="W11" s="15">
        <f t="shared" si="5"/>
        <v>-0.55094605065840241</v>
      </c>
      <c r="X11" s="15">
        <f t="shared" si="6"/>
        <v>-0.38966731898238749</v>
      </c>
    </row>
    <row r="12" spans="11:24">
      <c r="K12" s="6" t="s">
        <v>66</v>
      </c>
      <c r="L12" s="6" t="s">
        <v>94</v>
      </c>
      <c r="M12" s="6">
        <v>-0.59709999999999996</v>
      </c>
      <c r="N12" s="6">
        <v>6.1605E-2</v>
      </c>
      <c r="O12" s="6">
        <v>-9.69238</v>
      </c>
      <c r="P12" s="7">
        <v>4.6381999999999999E-6</v>
      </c>
      <c r="Q12" s="6" t="s">
        <v>8</v>
      </c>
      <c r="R12">
        <f t="shared" si="0"/>
        <v>-0.68203466326094808</v>
      </c>
      <c r="S12">
        <f t="shared" si="1"/>
        <v>-0.32113892869708927</v>
      </c>
      <c r="T12">
        <f t="shared" si="2"/>
        <v>-0.21952201933404944</v>
      </c>
      <c r="U12" s="15" t="str">
        <f t="shared" si="3"/>
        <v>France</v>
      </c>
      <c r="V12" s="15">
        <f t="shared" si="4"/>
        <v>-0.68203466326094808</v>
      </c>
      <c r="W12" s="15">
        <f t="shared" si="5"/>
        <v>-0.28113892869708929</v>
      </c>
      <c r="X12" s="15">
        <f t="shared" si="6"/>
        <v>-0.13952201933404945</v>
      </c>
    </row>
    <row r="13" spans="11:24">
      <c r="K13" s="6" t="s">
        <v>65</v>
      </c>
      <c r="L13" s="6" t="s">
        <v>94</v>
      </c>
      <c r="M13" s="6">
        <v>-0.68149400000000004</v>
      </c>
      <c r="N13" s="6">
        <v>7.2142999999999999E-2</v>
      </c>
      <c r="O13" s="6">
        <v>-9.4464199999999998</v>
      </c>
      <c r="P13" s="7">
        <v>5.7362999999999996E-6</v>
      </c>
      <c r="Q13" s="6" t="s">
        <v>8</v>
      </c>
      <c r="R13">
        <f t="shared" si="0"/>
        <v>-0.77843331235028734</v>
      </c>
      <c r="S13">
        <f t="shared" si="1"/>
        <v>-0.35295666307770213</v>
      </c>
      <c r="T13">
        <f t="shared" si="2"/>
        <v>-0.24395604395604395</v>
      </c>
      <c r="U13" s="15" t="str">
        <f t="shared" si="3"/>
        <v>Germany</v>
      </c>
      <c r="V13" s="15">
        <f t="shared" si="4"/>
        <v>-0.77843331235028734</v>
      </c>
      <c r="W13" s="15">
        <f t="shared" si="5"/>
        <v>-0.31295666307770215</v>
      </c>
      <c r="X13" s="15">
        <f t="shared" si="6"/>
        <v>-0.16395604395604396</v>
      </c>
    </row>
    <row r="14" spans="11:24">
      <c r="K14" s="6" t="s">
        <v>64</v>
      </c>
      <c r="L14" s="6" t="s">
        <v>94</v>
      </c>
      <c r="M14" s="6">
        <v>-0.86574399999999996</v>
      </c>
      <c r="N14" s="6">
        <v>7.8039999999999998E-2</v>
      </c>
      <c r="O14" s="6">
        <v>-11.09352</v>
      </c>
      <c r="P14" s="7">
        <v>1.4989E-6</v>
      </c>
      <c r="Q14" s="6" t="s">
        <v>8</v>
      </c>
      <c r="R14">
        <f t="shared" si="0"/>
        <v>-0.98889200721853332</v>
      </c>
      <c r="S14">
        <f t="shared" si="1"/>
        <v>-0.41375828087366606</v>
      </c>
      <c r="T14">
        <f t="shared" si="2"/>
        <v>-0.32920567804288736</v>
      </c>
      <c r="U14" s="15" t="str">
        <f t="shared" si="3"/>
        <v>Greece</v>
      </c>
      <c r="V14" s="15">
        <f t="shared" si="4"/>
        <v>-0.98889200721853332</v>
      </c>
      <c r="W14" s="15">
        <f t="shared" si="5"/>
        <v>-0.37375828087366608</v>
      </c>
      <c r="X14" s="15">
        <f t="shared" si="6"/>
        <v>-0.24920567804288735</v>
      </c>
    </row>
    <row r="15" spans="11:24">
      <c r="K15" s="6" t="s">
        <v>63</v>
      </c>
      <c r="L15" s="6" t="s">
        <v>94</v>
      </c>
      <c r="M15" s="6">
        <v>-1.1144620000000001</v>
      </c>
      <c r="N15" s="6">
        <v>7.7044000000000001E-2</v>
      </c>
      <c r="O15" s="6">
        <v>-14.46519</v>
      </c>
      <c r="P15" s="7">
        <v>1.5456999999999999E-7</v>
      </c>
      <c r="Q15" s="6" t="s">
        <v>8</v>
      </c>
      <c r="R15">
        <f t="shared" si="0"/>
        <v>-1.2729889715074909</v>
      </c>
      <c r="S15">
        <f t="shared" si="1"/>
        <v>-0.47993446801092637</v>
      </c>
      <c r="T15">
        <f t="shared" si="2"/>
        <v>-0.42207792207792211</v>
      </c>
      <c r="U15" s="15" t="str">
        <f t="shared" si="3"/>
        <v>Hungary</v>
      </c>
      <c r="V15" s="15">
        <f t="shared" si="4"/>
        <v>-1.2729889715074909</v>
      </c>
      <c r="W15" s="15">
        <f t="shared" si="5"/>
        <v>-0.43993446801092639</v>
      </c>
      <c r="X15" s="15">
        <f t="shared" si="6"/>
        <v>-0.34207792207792209</v>
      </c>
    </row>
    <row r="16" spans="11:24">
      <c r="K16" s="6" t="s">
        <v>59</v>
      </c>
      <c r="L16" s="6" t="s">
        <v>94</v>
      </c>
      <c r="M16" s="6">
        <v>-0.92503100000000005</v>
      </c>
      <c r="N16" s="6">
        <v>0.11210100000000001</v>
      </c>
      <c r="O16" s="6">
        <v>-8.2517700000000005</v>
      </c>
      <c r="P16" s="7">
        <v>1.7266E-5</v>
      </c>
      <c r="Q16" s="6" t="s">
        <v>8</v>
      </c>
      <c r="R16">
        <f t="shared" si="0"/>
        <v>-1.0566123037865318</v>
      </c>
      <c r="S16">
        <f t="shared" si="1"/>
        <v>-0.43105776657747652</v>
      </c>
      <c r="T16">
        <f t="shared" si="2"/>
        <v>-0.29432013769363169</v>
      </c>
      <c r="U16" s="15" t="str">
        <f t="shared" si="3"/>
        <v>Italy</v>
      </c>
      <c r="V16" s="15">
        <f t="shared" si="4"/>
        <v>-1.0566123037865318</v>
      </c>
      <c r="W16" s="15">
        <f t="shared" si="5"/>
        <v>-0.39105776657747654</v>
      </c>
      <c r="X16" s="15">
        <f t="shared" si="6"/>
        <v>-0.21432013769363167</v>
      </c>
    </row>
    <row r="17" spans="11:24">
      <c r="K17" s="6" t="s">
        <v>58</v>
      </c>
      <c r="L17" s="6" t="s">
        <v>94</v>
      </c>
      <c r="M17" s="6">
        <v>-1.5115099999999999</v>
      </c>
      <c r="N17" s="6">
        <v>0.12687399999999999</v>
      </c>
      <c r="O17" s="6">
        <v>-11.913460000000001</v>
      </c>
      <c r="P17" s="7">
        <v>8.1894000000000005E-7</v>
      </c>
      <c r="Q17" s="6" t="s">
        <v>8</v>
      </c>
      <c r="R17">
        <f t="shared" si="0"/>
        <v>-1.7265151798116825</v>
      </c>
      <c r="S17">
        <f t="shared" si="1"/>
        <v>-0.55673096027545432</v>
      </c>
      <c r="T17">
        <f t="shared" si="2"/>
        <v>-0.47619047619047622</v>
      </c>
      <c r="U17" s="15" t="str">
        <f t="shared" si="3"/>
        <v>Latvia</v>
      </c>
      <c r="V17" s="15">
        <f t="shared" si="4"/>
        <v>-1.7265151798116825</v>
      </c>
      <c r="W17" s="15">
        <f t="shared" si="5"/>
        <v>-0.51673096027545429</v>
      </c>
      <c r="X17" s="15">
        <f t="shared" si="6"/>
        <v>-0.3961904761904762</v>
      </c>
    </row>
    <row r="18" spans="11:24">
      <c r="K18" s="12" t="s">
        <v>56</v>
      </c>
      <c r="L18" s="12" t="s">
        <v>94</v>
      </c>
      <c r="M18" s="12">
        <v>-2.1731069999999999</v>
      </c>
      <c r="N18" s="12">
        <v>0.27723700000000001</v>
      </c>
      <c r="O18" s="12">
        <v>-7.8384400000000003</v>
      </c>
      <c r="P18" s="13">
        <v>2.6044E-5</v>
      </c>
      <c r="Q18" s="12" t="s">
        <v>8</v>
      </c>
      <c r="R18" s="14">
        <f t="shared" si="0"/>
        <v>-2.4822212376067814</v>
      </c>
      <c r="S18" s="14">
        <f t="shared" si="1"/>
        <v>-0.63298327315094394</v>
      </c>
      <c r="T18" s="14">
        <f t="shared" si="2"/>
        <v>-0.49119934506753993</v>
      </c>
      <c r="U18" s="15" t="str">
        <f t="shared" si="3"/>
        <v>Lithuania</v>
      </c>
      <c r="V18" s="15">
        <f t="shared" si="4"/>
        <v>-2.4822212376067814</v>
      </c>
      <c r="W18" s="15">
        <f t="shared" si="5"/>
        <v>-0.5929832731509439</v>
      </c>
      <c r="X18" s="15">
        <f t="shared" si="6"/>
        <v>-0.41119934506753991</v>
      </c>
    </row>
    <row r="19" spans="11:24">
      <c r="K19" s="6" t="s">
        <v>55</v>
      </c>
      <c r="L19" s="6" t="s">
        <v>94</v>
      </c>
      <c r="M19" s="6">
        <v>-0.49288900000000002</v>
      </c>
      <c r="N19" s="6">
        <v>4.6949999999999999E-2</v>
      </c>
      <c r="O19" s="6">
        <v>-10.498100000000001</v>
      </c>
      <c r="P19" s="7">
        <v>2.3841000000000002E-6</v>
      </c>
      <c r="Q19" s="6" t="s">
        <v>8</v>
      </c>
      <c r="R19">
        <f t="shared" si="0"/>
        <v>-0.56300013923970105</v>
      </c>
      <c r="S19">
        <f t="shared" si="1"/>
        <v>-0.27795780667166475</v>
      </c>
      <c r="T19">
        <f t="shared" si="2"/>
        <v>-0.18932874354561105</v>
      </c>
      <c r="U19" s="15" t="str">
        <f t="shared" si="3"/>
        <v>Luxembourg</v>
      </c>
      <c r="V19" s="15">
        <f t="shared" si="4"/>
        <v>-0.56300013923970105</v>
      </c>
      <c r="W19" s="15">
        <f t="shared" si="5"/>
        <v>-0.23795780667166475</v>
      </c>
      <c r="X19" s="15">
        <f t="shared" si="6"/>
        <v>-0.10932874354561105</v>
      </c>
    </row>
    <row r="20" spans="11:24">
      <c r="K20" s="6" t="s">
        <v>53</v>
      </c>
      <c r="L20" s="6" t="s">
        <v>94</v>
      </c>
      <c r="M20" s="6">
        <v>-0.36167300000000002</v>
      </c>
      <c r="N20" s="6">
        <v>4.4880999999999997E-2</v>
      </c>
      <c r="O20" s="6">
        <v>-8.0584600000000002</v>
      </c>
      <c r="P20" s="7">
        <v>2.0883E-5</v>
      </c>
      <c r="Q20" s="6" t="s">
        <v>8</v>
      </c>
      <c r="R20">
        <f t="shared" si="0"/>
        <v>-0.41311928113477958</v>
      </c>
      <c r="S20">
        <f t="shared" si="1"/>
        <v>-0.21677850756678441</v>
      </c>
      <c r="T20">
        <f t="shared" si="2"/>
        <v>-0.21164021164021163</v>
      </c>
      <c r="U20" s="15" t="str">
        <f t="shared" si="3"/>
        <v>Malta</v>
      </c>
      <c r="V20" s="15">
        <f t="shared" si="4"/>
        <v>-0.41311928113477958</v>
      </c>
      <c r="W20" s="15">
        <f t="shared" si="5"/>
        <v>-0.1767785075667844</v>
      </c>
      <c r="X20" s="15">
        <f t="shared" si="6"/>
        <v>-0.13164021164021161</v>
      </c>
    </row>
    <row r="21" spans="11:24">
      <c r="K21" s="6" t="s">
        <v>50</v>
      </c>
      <c r="L21" s="6" t="s">
        <v>94</v>
      </c>
      <c r="M21" s="6">
        <v>-0.53496600000000005</v>
      </c>
      <c r="N21" s="6">
        <v>2.3959000000000001E-2</v>
      </c>
      <c r="O21" s="6">
        <v>-22.32837</v>
      </c>
      <c r="P21" s="7">
        <v>3.4306000000000001E-9</v>
      </c>
      <c r="Q21" s="6" t="s">
        <v>8</v>
      </c>
      <c r="R21">
        <f t="shared" si="0"/>
        <v>-0.61106239434944964</v>
      </c>
      <c r="S21">
        <f t="shared" si="1"/>
        <v>-0.29593628340058614</v>
      </c>
      <c r="T21">
        <f t="shared" si="2"/>
        <v>-0.24193548387096775</v>
      </c>
      <c r="U21" s="15" t="str">
        <f t="shared" si="3"/>
        <v>Netherlands</v>
      </c>
      <c r="V21" s="15">
        <f t="shared" si="4"/>
        <v>-0.61106239434944964</v>
      </c>
      <c r="W21" s="15">
        <f t="shared" si="5"/>
        <v>-0.25593628340058616</v>
      </c>
      <c r="X21" s="15">
        <f t="shared" si="6"/>
        <v>-0.16193548387096773</v>
      </c>
    </row>
    <row r="22" spans="11:24">
      <c r="K22" s="6" t="s">
        <v>48</v>
      </c>
      <c r="L22" s="6" t="s">
        <v>94</v>
      </c>
      <c r="M22" s="6">
        <v>-1.668275</v>
      </c>
      <c r="N22" s="6">
        <v>0.149168</v>
      </c>
      <c r="O22" s="6">
        <v>-11.18383</v>
      </c>
      <c r="P22" s="7">
        <v>1.3996999999999999E-6</v>
      </c>
      <c r="Q22" s="6" t="s">
        <v>8</v>
      </c>
      <c r="R22">
        <f t="shared" si="0"/>
        <v>-1.9055792628565704</v>
      </c>
      <c r="S22">
        <f t="shared" si="1"/>
        <v>-0.57959137709683972</v>
      </c>
      <c r="T22">
        <f t="shared" si="2"/>
        <v>-0.51513815402704299</v>
      </c>
      <c r="U22" s="15" t="str">
        <f t="shared" si="3"/>
        <v>Poland</v>
      </c>
      <c r="V22" s="15">
        <f t="shared" si="4"/>
        <v>-1.9055792628565704</v>
      </c>
      <c r="W22" s="15">
        <f t="shared" si="5"/>
        <v>-0.53959137709683969</v>
      </c>
      <c r="X22" s="15">
        <f t="shared" si="6"/>
        <v>-0.43513815402704298</v>
      </c>
    </row>
    <row r="23" spans="11:24">
      <c r="K23" s="6" t="s">
        <v>47</v>
      </c>
      <c r="L23" s="6" t="s">
        <v>94</v>
      </c>
      <c r="M23" s="6">
        <v>-0.93916299999999997</v>
      </c>
      <c r="N23" s="6">
        <v>0.34981499999999999</v>
      </c>
      <c r="O23" s="6">
        <v>-2.6847400000000001</v>
      </c>
      <c r="P23" s="7">
        <v>2.5010999999999999E-2</v>
      </c>
      <c r="Q23" s="6" t="s">
        <v>29</v>
      </c>
      <c r="R23">
        <f t="shared" si="0"/>
        <v>-1.0727545142390584</v>
      </c>
      <c r="S23">
        <f t="shared" si="1"/>
        <v>-0.43503219448158859</v>
      </c>
      <c r="T23">
        <f t="shared" si="2"/>
        <v>0.16967706622879039</v>
      </c>
      <c r="U23" s="15" t="str">
        <f t="shared" si="3"/>
        <v>Portugal</v>
      </c>
      <c r="V23" s="15">
        <f t="shared" si="4"/>
        <v>-1.0727545142390584</v>
      </c>
      <c r="W23" s="15">
        <f t="shared" si="5"/>
        <v>-0.39503219448158861</v>
      </c>
      <c r="X23" s="15">
        <f t="shared" si="6"/>
        <v>0.24967706622879038</v>
      </c>
    </row>
    <row r="24" spans="11:24">
      <c r="K24" s="6" t="s">
        <v>45</v>
      </c>
      <c r="L24" s="6" t="s">
        <v>94</v>
      </c>
      <c r="M24" s="6">
        <v>-1.711427</v>
      </c>
      <c r="N24" s="6">
        <v>0.13609199999999999</v>
      </c>
      <c r="O24" s="6">
        <v>-12.575559999999999</v>
      </c>
      <c r="P24" s="7">
        <v>5.1612000000000004E-7</v>
      </c>
      <c r="Q24" s="6" t="s">
        <v>8</v>
      </c>
      <c r="R24">
        <f t="shared" si="0"/>
        <v>-1.9548694316541528</v>
      </c>
      <c r="S24">
        <f t="shared" si="1"/>
        <v>-0.58528008486098326</v>
      </c>
      <c r="T24">
        <f t="shared" si="2"/>
        <v>-0.50515660809778462</v>
      </c>
      <c r="U24" s="15" t="str">
        <f t="shared" si="3"/>
        <v>Romania</v>
      </c>
      <c r="V24" s="15">
        <f t="shared" si="4"/>
        <v>-1.9548694316541528</v>
      </c>
      <c r="W24" s="15">
        <f t="shared" si="5"/>
        <v>-0.54528008486098323</v>
      </c>
      <c r="X24" s="15">
        <f t="shared" si="6"/>
        <v>-0.42515660809778461</v>
      </c>
    </row>
    <row r="25" spans="11:24">
      <c r="K25" s="6" t="s">
        <v>44</v>
      </c>
      <c r="L25" s="6" t="s">
        <v>94</v>
      </c>
      <c r="M25" s="6">
        <v>-1.5163199999999999</v>
      </c>
      <c r="N25" s="6">
        <v>0.11880599999999999</v>
      </c>
      <c r="O25" s="6">
        <v>-12.762969999999999</v>
      </c>
      <c r="P25" s="7">
        <v>4.5470000000000002E-7</v>
      </c>
      <c r="Q25" s="6" t="s">
        <v>8</v>
      </c>
      <c r="R25">
        <f t="shared" si="0"/>
        <v>-1.7320093796614315</v>
      </c>
      <c r="S25">
        <f t="shared" si="1"/>
        <v>-0.55748697895969823</v>
      </c>
      <c r="T25">
        <f t="shared" si="2"/>
        <v>-0.52795031055900621</v>
      </c>
      <c r="U25" s="15" t="str">
        <f t="shared" si="3"/>
        <v>Slovakia</v>
      </c>
      <c r="V25" s="15">
        <f t="shared" si="4"/>
        <v>-1.7320093796614315</v>
      </c>
      <c r="W25" s="15">
        <f t="shared" si="5"/>
        <v>-0.5174869789596982</v>
      </c>
      <c r="X25" s="15">
        <f t="shared" si="6"/>
        <v>-0.44795031055900619</v>
      </c>
    </row>
    <row r="26" spans="11:24">
      <c r="K26" s="6" t="s">
        <v>43</v>
      </c>
      <c r="L26" s="6" t="s">
        <v>94</v>
      </c>
      <c r="M26" s="6">
        <v>-1.2795479999999999</v>
      </c>
      <c r="N26" s="6">
        <v>0.12105</v>
      </c>
      <c r="O26" s="6">
        <v>-10.570399999999999</v>
      </c>
      <c r="P26" s="7">
        <v>2.2508000000000001E-6</v>
      </c>
      <c r="Q26" s="6" t="s">
        <v>8</v>
      </c>
      <c r="R26">
        <f t="shared" si="0"/>
        <v>-1.461557677618857</v>
      </c>
      <c r="S26">
        <f t="shared" si="1"/>
        <v>-0.5155978559147536</v>
      </c>
      <c r="T26">
        <f t="shared" si="2"/>
        <v>-0.40000000000000008</v>
      </c>
      <c r="U26" s="15" t="str">
        <f t="shared" si="3"/>
        <v>Slovenia</v>
      </c>
      <c r="V26" s="15">
        <f t="shared" si="4"/>
        <v>-1.461557677618857</v>
      </c>
      <c r="W26" s="15">
        <f t="shared" si="5"/>
        <v>-0.47559785591475362</v>
      </c>
      <c r="X26" s="15">
        <f t="shared" si="6"/>
        <v>-0.32000000000000006</v>
      </c>
    </row>
    <row r="27" spans="11:24">
      <c r="K27" s="6" t="s">
        <v>42</v>
      </c>
      <c r="L27" s="6" t="s">
        <v>94</v>
      </c>
      <c r="M27" s="6">
        <v>-0.50769500000000001</v>
      </c>
      <c r="N27" s="6">
        <v>8.3213999999999996E-2</v>
      </c>
      <c r="O27" s="6">
        <v>-6.10107</v>
      </c>
      <c r="P27" s="7">
        <v>1.7901000000000001E-4</v>
      </c>
      <c r="Q27" s="6" t="s">
        <v>8</v>
      </c>
      <c r="R27">
        <f t="shared" si="0"/>
        <v>-0.5799122230183672</v>
      </c>
      <c r="S27">
        <f t="shared" si="1"/>
        <v>-0.28437048744870719</v>
      </c>
      <c r="T27">
        <f t="shared" si="2"/>
        <v>-0.23809523809523811</v>
      </c>
      <c r="U27" s="15" t="str">
        <f t="shared" si="3"/>
        <v>Spain</v>
      </c>
      <c r="V27" s="15">
        <f t="shared" si="4"/>
        <v>-0.5799122230183672</v>
      </c>
      <c r="W27" s="15">
        <f t="shared" si="5"/>
        <v>-0.24437048744870718</v>
      </c>
      <c r="X27" s="15">
        <f t="shared" si="6"/>
        <v>-0.15809523809523812</v>
      </c>
    </row>
    <row r="28" spans="11:24">
      <c r="K28" s="6" t="s">
        <v>41</v>
      </c>
      <c r="L28" s="6" t="s">
        <v>94</v>
      </c>
      <c r="M28" s="6">
        <v>-0.96684300000000001</v>
      </c>
      <c r="N28" s="6">
        <v>0.13957600000000001</v>
      </c>
      <c r="O28" s="6">
        <v>-6.92699</v>
      </c>
      <c r="P28" s="7">
        <v>6.8577000000000004E-5</v>
      </c>
      <c r="Q28" s="6" t="s">
        <v>8</v>
      </c>
      <c r="R28">
        <f t="shared" si="0"/>
        <v>-1.1043718638941633</v>
      </c>
      <c r="S28">
        <f t="shared" si="1"/>
        <v>-0.4426559326157079</v>
      </c>
      <c r="T28">
        <f t="shared" si="2"/>
        <v>-0.28631705846895722</v>
      </c>
      <c r="U28" s="15" t="str">
        <f t="shared" si="3"/>
        <v>Sweden</v>
      </c>
      <c r="V28" s="15">
        <f t="shared" si="4"/>
        <v>-1.1043718638941633</v>
      </c>
      <c r="W28" s="15">
        <f t="shared" si="5"/>
        <v>-0.40265593261570792</v>
      </c>
      <c r="X28" s="15">
        <f t="shared" si="6"/>
        <v>-0.2063170584689572</v>
      </c>
    </row>
    <row r="29" spans="11:24">
      <c r="W29">
        <f t="shared" si="5"/>
        <v>0.04</v>
      </c>
    </row>
    <row r="34" spans="1:5">
      <c r="A34" s="9" t="s">
        <v>90</v>
      </c>
      <c r="B34" s="9" t="s">
        <v>91</v>
      </c>
      <c r="C34" s="9" t="s">
        <v>78</v>
      </c>
      <c r="D34" s="11"/>
      <c r="E34" s="11"/>
    </row>
    <row r="35" spans="1:5">
      <c r="A35" s="10" t="s">
        <v>5</v>
      </c>
      <c r="B35" s="10" t="s">
        <v>1</v>
      </c>
      <c r="C35" s="10" t="s">
        <v>1</v>
      </c>
      <c r="D35" s="11"/>
      <c r="E35" s="11"/>
    </row>
    <row r="36" spans="1:5">
      <c r="A36" t="s">
        <v>76</v>
      </c>
      <c r="B36">
        <v>550</v>
      </c>
      <c r="C36">
        <f>(B37-B36)/B36</f>
        <v>-0.26363636363636361</v>
      </c>
      <c r="D36"/>
      <c r="E36"/>
    </row>
    <row r="37" spans="1:5">
      <c r="A37" t="s">
        <v>76</v>
      </c>
      <c r="B37">
        <v>405</v>
      </c>
      <c r="C37">
        <f t="shared" ref="C37:C100" si="7">(B38-B37)/B37</f>
        <v>1.5308641975308641</v>
      </c>
      <c r="D37"/>
      <c r="E37"/>
    </row>
    <row r="38" spans="1:5">
      <c r="A38" t="s">
        <v>75</v>
      </c>
      <c r="B38">
        <v>1025</v>
      </c>
      <c r="C38">
        <f>(B39-B38)/B38</f>
        <v>-0.29268292682926828</v>
      </c>
      <c r="D38"/>
      <c r="E38"/>
    </row>
    <row r="39" spans="1:5">
      <c r="A39" t="s">
        <v>75</v>
      </c>
      <c r="B39">
        <v>725</v>
      </c>
      <c r="C39">
        <f t="shared" si="7"/>
        <v>1.6689655172413793</v>
      </c>
      <c r="D39"/>
      <c r="E39"/>
    </row>
    <row r="40" spans="1:5">
      <c r="A40" t="s">
        <v>73</v>
      </c>
      <c r="B40">
        <v>1935</v>
      </c>
      <c r="C40">
        <f t="shared" si="7"/>
        <v>-0.72868217054263562</v>
      </c>
      <c r="D40"/>
      <c r="E40"/>
    </row>
    <row r="41" spans="1:5">
      <c r="A41" t="s">
        <v>73</v>
      </c>
      <c r="B41">
        <v>525</v>
      </c>
      <c r="C41">
        <f t="shared" si="7"/>
        <v>-0.10476190476190476</v>
      </c>
      <c r="D41"/>
      <c r="E41"/>
    </row>
    <row r="42" spans="1:5">
      <c r="A42" t="s">
        <v>70</v>
      </c>
      <c r="B42">
        <v>470</v>
      </c>
      <c r="C42">
        <f t="shared" si="7"/>
        <v>-0.5</v>
      </c>
      <c r="D42"/>
      <c r="E42"/>
    </row>
    <row r="43" spans="1:5">
      <c r="A43" t="s">
        <v>70</v>
      </c>
      <c r="B43">
        <v>235</v>
      </c>
      <c r="C43">
        <f t="shared" si="7"/>
        <v>2.1063829787234041</v>
      </c>
      <c r="D43"/>
      <c r="E43"/>
    </row>
    <row r="44" spans="1:5">
      <c r="A44" t="s">
        <v>67</v>
      </c>
      <c r="B44">
        <v>730</v>
      </c>
      <c r="C44">
        <f t="shared" si="7"/>
        <v>-0.65753424657534243</v>
      </c>
      <c r="D44"/>
      <c r="E44"/>
    </row>
    <row r="45" spans="1:5">
      <c r="A45" t="s">
        <v>67</v>
      </c>
      <c r="B45">
        <v>250</v>
      </c>
      <c r="C45">
        <f t="shared" si="7"/>
        <v>20.28</v>
      </c>
      <c r="D45"/>
      <c r="E45"/>
    </row>
    <row r="46" spans="1:5">
      <c r="A46" t="s">
        <v>66</v>
      </c>
      <c r="B46">
        <v>5320</v>
      </c>
      <c r="C46">
        <f t="shared" si="7"/>
        <v>-0.30733082706766918</v>
      </c>
      <c r="D46"/>
      <c r="E46"/>
    </row>
    <row r="47" spans="1:5">
      <c r="A47" t="s">
        <v>66</v>
      </c>
      <c r="B47">
        <v>3685</v>
      </c>
      <c r="C47">
        <f t="shared" si="7"/>
        <v>-0.11804613297150611</v>
      </c>
      <c r="D47"/>
      <c r="E47"/>
    </row>
    <row r="48" spans="1:5">
      <c r="A48" t="s">
        <v>65</v>
      </c>
      <c r="B48">
        <v>3250</v>
      </c>
      <c r="C48">
        <f t="shared" si="7"/>
        <v>-0.34153846153846151</v>
      </c>
      <c r="D48"/>
      <c r="E48"/>
    </row>
    <row r="49" spans="1:5">
      <c r="A49" t="s">
        <v>65</v>
      </c>
      <c r="B49">
        <v>2140</v>
      </c>
      <c r="C49">
        <f t="shared" si="7"/>
        <v>0.10514018691588785</v>
      </c>
      <c r="D49"/>
      <c r="E49"/>
    </row>
    <row r="50" spans="1:5">
      <c r="A50" t="s">
        <v>64</v>
      </c>
      <c r="B50">
        <v>2365</v>
      </c>
      <c r="C50">
        <f t="shared" si="7"/>
        <v>-0.46088794926004228</v>
      </c>
      <c r="D50"/>
      <c r="E50"/>
    </row>
    <row r="51" spans="1:5">
      <c r="A51" t="s">
        <v>64</v>
      </c>
      <c r="B51">
        <v>1275</v>
      </c>
      <c r="C51">
        <f t="shared" si="7"/>
        <v>-0.13725490196078433</v>
      </c>
      <c r="D51"/>
      <c r="E51"/>
    </row>
    <row r="52" spans="1:5">
      <c r="A52" t="s">
        <v>63</v>
      </c>
      <c r="B52">
        <v>1100</v>
      </c>
      <c r="C52">
        <f t="shared" si="7"/>
        <v>-0.59090909090909094</v>
      </c>
      <c r="D52"/>
      <c r="E52"/>
    </row>
    <row r="53" spans="1:5">
      <c r="A53" t="s">
        <v>63</v>
      </c>
      <c r="B53">
        <v>450</v>
      </c>
      <c r="C53">
        <f t="shared" si="7"/>
        <v>8.6999999999999993</v>
      </c>
      <c r="D53"/>
      <c r="E53"/>
    </row>
    <row r="54" spans="1:5">
      <c r="A54" t="s">
        <v>61</v>
      </c>
      <c r="B54">
        <v>4365</v>
      </c>
      <c r="C54">
        <f t="shared" si="7"/>
        <v>0.23711340206185566</v>
      </c>
      <c r="D54"/>
      <c r="E54"/>
    </row>
    <row r="55" spans="1:5">
      <c r="A55" t="s">
        <v>61</v>
      </c>
      <c r="B55">
        <v>5400</v>
      </c>
      <c r="C55">
        <f t="shared" si="7"/>
        <v>-0.23148148148148148</v>
      </c>
      <c r="D55"/>
      <c r="E55"/>
    </row>
    <row r="56" spans="1:5">
      <c r="A56" t="s">
        <v>59</v>
      </c>
      <c r="B56">
        <v>4150</v>
      </c>
      <c r="C56">
        <f t="shared" si="7"/>
        <v>-0.41204819277108434</v>
      </c>
      <c r="D56"/>
      <c r="E56"/>
    </row>
    <row r="57" spans="1:5">
      <c r="A57" t="s">
        <v>59</v>
      </c>
      <c r="B57">
        <v>2440</v>
      </c>
      <c r="C57">
        <f t="shared" si="7"/>
        <v>-0.82991803278688525</v>
      </c>
      <c r="D57"/>
      <c r="E57"/>
    </row>
    <row r="58" spans="1:5">
      <c r="A58" t="s">
        <v>55</v>
      </c>
      <c r="B58">
        <v>415</v>
      </c>
      <c r="C58">
        <f t="shared" si="7"/>
        <v>-0.26506024096385544</v>
      </c>
      <c r="D58"/>
      <c r="E58"/>
    </row>
    <row r="59" spans="1:5">
      <c r="A59" t="s">
        <v>55</v>
      </c>
      <c r="B59">
        <v>305</v>
      </c>
      <c r="C59">
        <f t="shared" si="7"/>
        <v>-0.55737704918032782</v>
      </c>
      <c r="D59"/>
      <c r="E59"/>
    </row>
    <row r="60" spans="1:5">
      <c r="A60" t="s">
        <v>53</v>
      </c>
      <c r="B60">
        <v>135</v>
      </c>
      <c r="C60">
        <f t="shared" si="7"/>
        <v>-0.29629629629629628</v>
      </c>
      <c r="D60"/>
      <c r="E60"/>
    </row>
    <row r="61" spans="1:5">
      <c r="A61" t="s">
        <v>53</v>
      </c>
      <c r="B61">
        <v>95</v>
      </c>
      <c r="C61">
        <f t="shared" si="7"/>
        <v>8.7894736842105257</v>
      </c>
      <c r="D61"/>
      <c r="E61"/>
    </row>
    <row r="62" spans="1:5">
      <c r="A62" t="s">
        <v>50</v>
      </c>
      <c r="B62">
        <v>930</v>
      </c>
      <c r="C62">
        <f t="shared" si="7"/>
        <v>-0.33870967741935482</v>
      </c>
      <c r="D62"/>
      <c r="E62"/>
    </row>
    <row r="63" spans="1:5">
      <c r="A63" t="s">
        <v>50</v>
      </c>
      <c r="B63">
        <v>615</v>
      </c>
      <c r="C63">
        <f t="shared" si="7"/>
        <v>6.9024390243902438</v>
      </c>
      <c r="D63"/>
      <c r="E63"/>
    </row>
    <row r="64" spans="1:5">
      <c r="A64" t="s">
        <v>48</v>
      </c>
      <c r="B64">
        <v>4860</v>
      </c>
      <c r="C64">
        <f t="shared" si="7"/>
        <v>-0.7211934156378601</v>
      </c>
      <c r="D64"/>
      <c r="E64"/>
    </row>
    <row r="65" spans="1:5">
      <c r="A65" t="s">
        <v>48</v>
      </c>
      <c r="B65">
        <v>1355</v>
      </c>
      <c r="C65">
        <f t="shared" si="7"/>
        <v>0.92619926199261993</v>
      </c>
      <c r="D65"/>
      <c r="E65"/>
    </row>
    <row r="66" spans="1:5">
      <c r="A66" t="s">
        <v>47</v>
      </c>
      <c r="B66">
        <v>2610</v>
      </c>
      <c r="C66">
        <f t="shared" si="7"/>
        <v>0.23754789272030652</v>
      </c>
      <c r="D66"/>
      <c r="E66"/>
    </row>
    <row r="67" spans="1:5">
      <c r="A67" t="s">
        <v>47</v>
      </c>
      <c r="B67">
        <v>3230</v>
      </c>
      <c r="C67">
        <f t="shared" si="7"/>
        <v>0.15789473684210525</v>
      </c>
      <c r="D67"/>
      <c r="E67"/>
    </row>
    <row r="68" spans="1:5">
      <c r="A68" t="s">
        <v>45</v>
      </c>
      <c r="B68">
        <v>3740</v>
      </c>
      <c r="C68">
        <f t="shared" si="7"/>
        <v>-0.70721925133689845</v>
      </c>
      <c r="D68"/>
      <c r="E68"/>
    </row>
    <row r="69" spans="1:5">
      <c r="A69" t="s">
        <v>45</v>
      </c>
      <c r="B69">
        <v>1095</v>
      </c>
      <c r="C69">
        <f t="shared" si="7"/>
        <v>3.2191780821917808</v>
      </c>
      <c r="D69"/>
      <c r="E69"/>
    </row>
    <row r="70" spans="1:5">
      <c r="A70" s="6" t="s">
        <v>42</v>
      </c>
      <c r="B70" s="6">
        <v>4620</v>
      </c>
      <c r="C70">
        <f t="shared" si="7"/>
        <v>-0.33333333333333331</v>
      </c>
      <c r="D70" s="6"/>
      <c r="E70" s="6"/>
    </row>
    <row r="71" spans="1:5">
      <c r="A71" s="6" t="s">
        <v>42</v>
      </c>
      <c r="B71" s="6">
        <v>3080</v>
      </c>
      <c r="C71">
        <f t="shared" si="7"/>
        <v>-0.61525974025974028</v>
      </c>
      <c r="D71" s="6"/>
      <c r="E71" s="6"/>
    </row>
    <row r="72" spans="1:5">
      <c r="A72" s="6" t="s">
        <v>41</v>
      </c>
      <c r="B72" s="6">
        <v>1185</v>
      </c>
      <c r="C72">
        <f t="shared" si="7"/>
        <v>-0.40084388185654007</v>
      </c>
      <c r="D72" s="6"/>
      <c r="E72" s="6"/>
    </row>
    <row r="73" spans="1:5">
      <c r="A73" s="6" t="s">
        <v>41</v>
      </c>
      <c r="B73" s="6">
        <v>710</v>
      </c>
      <c r="C73">
        <f t="shared" si="7"/>
        <v>-0.43661971830985913</v>
      </c>
      <c r="D73" s="6"/>
      <c r="E73" s="6"/>
    </row>
    <row r="74" spans="1:5">
      <c r="A74" s="6" t="s">
        <v>68</v>
      </c>
      <c r="B74" s="6">
        <v>400</v>
      </c>
      <c r="C74">
        <f t="shared" si="7"/>
        <v>-0.65</v>
      </c>
      <c r="D74" s="6"/>
      <c r="E74" s="6"/>
    </row>
    <row r="75" spans="1:5">
      <c r="A75" s="6" t="s">
        <v>68</v>
      </c>
      <c r="B75" s="6">
        <v>140</v>
      </c>
      <c r="C75">
        <f t="shared" si="7"/>
        <v>3.7142857142857144</v>
      </c>
      <c r="D75" s="6"/>
      <c r="E75" s="6"/>
    </row>
    <row r="76" spans="1:5">
      <c r="A76" s="6" t="s">
        <v>58</v>
      </c>
      <c r="B76" s="6">
        <v>660</v>
      </c>
      <c r="C76">
        <f t="shared" si="7"/>
        <v>-0.66666666666666663</v>
      </c>
      <c r="D76" s="6"/>
      <c r="E76" s="6"/>
    </row>
    <row r="77" spans="1:5">
      <c r="A77" s="6" t="s">
        <v>58</v>
      </c>
      <c r="B77" s="6">
        <v>220</v>
      </c>
      <c r="C77">
        <f t="shared" si="7"/>
        <v>6.9318181818181817</v>
      </c>
      <c r="D77" s="6"/>
      <c r="E77" s="6"/>
    </row>
    <row r="78" spans="1:5">
      <c r="A78" s="6" t="s">
        <v>56</v>
      </c>
      <c r="B78" s="6">
        <v>1745</v>
      </c>
      <c r="C78">
        <f t="shared" si="7"/>
        <v>-0.68767908309455583</v>
      </c>
      <c r="D78" s="6"/>
      <c r="E78" s="6"/>
    </row>
    <row r="79" spans="1:5">
      <c r="A79" s="6" t="s">
        <v>56</v>
      </c>
      <c r="B79" s="6">
        <v>545</v>
      </c>
      <c r="C79">
        <f t="shared" si="7"/>
        <v>-0.34862385321100919</v>
      </c>
      <c r="D79" s="6"/>
      <c r="E79" s="6"/>
    </row>
    <row r="80" spans="1:5">
      <c r="A80" s="6" t="s">
        <v>71</v>
      </c>
      <c r="B80" s="6">
        <v>355</v>
      </c>
      <c r="C80">
        <f t="shared" si="7"/>
        <v>-0.71830985915492962</v>
      </c>
      <c r="D80" s="6"/>
      <c r="E80" s="6"/>
    </row>
    <row r="81" spans="1:5">
      <c r="A81" s="6" t="s">
        <v>71</v>
      </c>
      <c r="B81" s="6">
        <v>100</v>
      </c>
      <c r="C81">
        <f t="shared" si="7"/>
        <v>0.25</v>
      </c>
      <c r="D81" s="6"/>
      <c r="E81" s="6"/>
    </row>
    <row r="82" spans="1:5">
      <c r="A82" s="6" t="s">
        <v>43</v>
      </c>
      <c r="B82" s="6">
        <v>125</v>
      </c>
      <c r="C82">
        <f t="shared" si="7"/>
        <v>-0.56000000000000005</v>
      </c>
      <c r="D82" s="6"/>
      <c r="E82" s="6"/>
    </row>
    <row r="83" spans="1:5">
      <c r="A83" s="6" t="s">
        <v>43</v>
      </c>
      <c r="B83" s="6">
        <v>55</v>
      </c>
      <c r="C83">
        <f t="shared" si="7"/>
        <v>23</v>
      </c>
      <c r="D83" s="6"/>
      <c r="E83" s="6"/>
    </row>
    <row r="84" spans="1:5">
      <c r="A84" s="6" t="s">
        <v>79</v>
      </c>
      <c r="B84" s="6">
        <v>1320</v>
      </c>
      <c r="C84">
        <f t="shared" si="7"/>
        <v>-0.65151515151515149</v>
      </c>
      <c r="D84" s="6"/>
      <c r="E84" s="6"/>
    </row>
    <row r="85" spans="1:5">
      <c r="A85" s="6" t="s">
        <v>79</v>
      </c>
      <c r="B85" s="6">
        <v>460</v>
      </c>
      <c r="C85">
        <f t="shared" si="7"/>
        <v>1.25</v>
      </c>
      <c r="D85" s="6"/>
      <c r="E85" s="6"/>
    </row>
    <row r="86" spans="1:5">
      <c r="A86" s="6" t="s">
        <v>44</v>
      </c>
      <c r="B86" s="6">
        <v>1035</v>
      </c>
      <c r="C86">
        <f t="shared" si="7"/>
        <v>-0.73913043478260865</v>
      </c>
      <c r="D86" s="6"/>
      <c r="E86" s="6"/>
    </row>
    <row r="87" spans="1:5">
      <c r="A87" s="6" t="s">
        <v>44</v>
      </c>
      <c r="B87" s="6">
        <v>270</v>
      </c>
      <c r="C87">
        <f t="shared" si="7"/>
        <v>8.8333333333333339</v>
      </c>
      <c r="D87" s="6"/>
      <c r="E87" s="6"/>
    </row>
    <row r="88" spans="1:5">
      <c r="A88" s="6" t="s">
        <v>80</v>
      </c>
      <c r="B88" s="6">
        <v>2655</v>
      </c>
      <c r="C88">
        <f t="shared" si="7"/>
        <v>-0.49717514124293788</v>
      </c>
      <c r="D88" s="6"/>
      <c r="E88" s="6"/>
    </row>
    <row r="89" spans="1:5">
      <c r="A89" s="6" t="s">
        <v>80</v>
      </c>
      <c r="B89" s="6">
        <v>1335</v>
      </c>
      <c r="C89">
        <f t="shared" si="7"/>
        <v>-0.37827715355805241</v>
      </c>
      <c r="D89" s="6"/>
      <c r="E89" s="6"/>
    </row>
    <row r="90" spans="1:5">
      <c r="A90" s="6" t="s">
        <v>81</v>
      </c>
      <c r="B90" s="6">
        <v>830</v>
      </c>
      <c r="C90">
        <f t="shared" si="7"/>
        <v>6.6265060240963861E-2</v>
      </c>
      <c r="D90" s="6"/>
      <c r="E90" s="6"/>
    </row>
    <row r="91" spans="1:5">
      <c r="A91" s="6" t="s">
        <v>81</v>
      </c>
      <c r="B91" s="6">
        <v>885</v>
      </c>
      <c r="C91">
        <f t="shared" si="7"/>
        <v>-0.62146892655367236</v>
      </c>
      <c r="D91" s="6"/>
      <c r="E91" s="6"/>
    </row>
    <row r="92" spans="1:5">
      <c r="A92" s="6" t="s">
        <v>52</v>
      </c>
      <c r="B92" s="6">
        <v>335</v>
      </c>
      <c r="C92">
        <f t="shared" si="7"/>
        <v>-0.13432835820895522</v>
      </c>
      <c r="D92" s="6"/>
      <c r="E92" s="6"/>
    </row>
    <row r="93" spans="1:5">
      <c r="A93" s="6" t="s">
        <v>52</v>
      </c>
      <c r="B93" s="6">
        <v>290</v>
      </c>
      <c r="C93">
        <f t="shared" si="7"/>
        <v>-0.1206896551724138</v>
      </c>
      <c r="D93" s="6"/>
      <c r="E93" s="6"/>
    </row>
    <row r="94" spans="1:5">
      <c r="A94" s="6" t="s">
        <v>51</v>
      </c>
      <c r="B94" s="6">
        <v>255</v>
      </c>
      <c r="C94">
        <f t="shared" si="7"/>
        <v>0.13725490196078433</v>
      </c>
      <c r="D94" s="6"/>
      <c r="E94" s="6"/>
    </row>
    <row r="95" spans="1:5">
      <c r="A95" s="6" t="s">
        <v>51</v>
      </c>
      <c r="B95" s="6">
        <v>290</v>
      </c>
      <c r="C95">
        <f t="shared" si="7"/>
        <v>-0.39655172413793105</v>
      </c>
      <c r="D95" s="6"/>
      <c r="E95" s="6"/>
    </row>
    <row r="96" spans="1:5">
      <c r="A96" s="6" t="s">
        <v>82</v>
      </c>
      <c r="B96" s="6">
        <v>175</v>
      </c>
      <c r="C96">
        <f t="shared" si="7"/>
        <v>0.11428571428571428</v>
      </c>
      <c r="D96" s="6"/>
      <c r="E96" s="6"/>
    </row>
    <row r="97" spans="1:5">
      <c r="A97" s="6" t="s">
        <v>82</v>
      </c>
      <c r="B97" s="6">
        <v>195</v>
      </c>
      <c r="C97">
        <f t="shared" si="7"/>
        <v>6.3076923076923075</v>
      </c>
      <c r="D97" s="6"/>
      <c r="E97" s="6"/>
    </row>
    <row r="98" spans="1:5">
      <c r="A98" s="6" t="s">
        <v>49</v>
      </c>
      <c r="B98" s="6">
        <v>1425</v>
      </c>
      <c r="C98">
        <f t="shared" si="7"/>
        <v>-9.1228070175438603E-2</v>
      </c>
      <c r="D98" s="6"/>
      <c r="E98" s="6"/>
    </row>
    <row r="99" spans="1:5">
      <c r="A99" s="6" t="s">
        <v>49</v>
      </c>
      <c r="B99" s="6">
        <v>1295</v>
      </c>
      <c r="C99">
        <f t="shared" si="7"/>
        <v>-0.50579150579150578</v>
      </c>
      <c r="D99" s="6"/>
      <c r="E99" s="6"/>
    </row>
    <row r="100" spans="1:5">
      <c r="A100" s="6" t="s">
        <v>46</v>
      </c>
      <c r="B100" s="6">
        <v>640</v>
      </c>
      <c r="C100">
        <f t="shared" si="7"/>
        <v>0.2109375</v>
      </c>
      <c r="D100" s="6"/>
      <c r="E100" s="6"/>
    </row>
    <row r="101" spans="1:5">
      <c r="A101" s="6" t="s">
        <v>46</v>
      </c>
      <c r="B101" s="6">
        <v>775</v>
      </c>
      <c r="C101">
        <f t="shared" ref="C101:C139" si="8">(B102-B101)/B101</f>
        <v>-0.13548387096774195</v>
      </c>
      <c r="D101" s="6"/>
      <c r="E101" s="6"/>
    </row>
    <row r="102" spans="1:5">
      <c r="A102" s="6" t="s">
        <v>37</v>
      </c>
      <c r="B102" s="6">
        <v>670</v>
      </c>
      <c r="C102">
        <f t="shared" si="8"/>
        <v>0.20149253731343283</v>
      </c>
      <c r="D102" s="6"/>
      <c r="E102" s="6"/>
    </row>
    <row r="103" spans="1:5">
      <c r="A103" s="6" t="s">
        <v>37</v>
      </c>
      <c r="B103" s="6">
        <v>805</v>
      </c>
      <c r="C103">
        <f t="shared" si="8"/>
        <v>0.7639751552795031</v>
      </c>
    </row>
    <row r="104" spans="1:5">
      <c r="A104" s="6" t="s">
        <v>40</v>
      </c>
      <c r="B104" s="6">
        <v>1420</v>
      </c>
      <c r="C104">
        <f t="shared" si="8"/>
        <v>-7.0422535211267609E-2</v>
      </c>
      <c r="D104" s="6"/>
      <c r="E104" s="6"/>
    </row>
    <row r="105" spans="1:5">
      <c r="A105" s="6" t="s">
        <v>40</v>
      </c>
      <c r="B105" s="6">
        <v>1320</v>
      </c>
      <c r="C105">
        <f t="shared" si="8"/>
        <v>-0.89015151515151514</v>
      </c>
      <c r="D105" s="6"/>
      <c r="E105" s="6"/>
    </row>
    <row r="106" spans="1:5">
      <c r="A106" s="6" t="s">
        <v>83</v>
      </c>
      <c r="B106" s="6">
        <v>145</v>
      </c>
      <c r="C106">
        <f t="shared" si="8"/>
        <v>0</v>
      </c>
      <c r="D106" s="6"/>
      <c r="E106" s="6"/>
    </row>
    <row r="107" spans="1:5">
      <c r="A107" s="6" t="s">
        <v>83</v>
      </c>
      <c r="B107" s="6">
        <v>145</v>
      </c>
      <c r="C107">
        <f t="shared" si="8"/>
        <v>0.20689655172413793</v>
      </c>
      <c r="D107" s="6"/>
      <c r="E107" s="6"/>
    </row>
    <row r="108" spans="1:5">
      <c r="A108" s="6" t="s">
        <v>84</v>
      </c>
      <c r="B108" s="6">
        <v>175</v>
      </c>
      <c r="C108">
        <f t="shared" si="8"/>
        <v>-0.2</v>
      </c>
      <c r="D108" s="6"/>
      <c r="E108" s="6"/>
    </row>
    <row r="109" spans="1:5">
      <c r="A109" s="6" t="s">
        <v>84</v>
      </c>
      <c r="B109" s="6">
        <v>140</v>
      </c>
      <c r="C109">
        <f t="shared" si="8"/>
        <v>19.214285714285715</v>
      </c>
      <c r="D109" s="6"/>
      <c r="E109" s="6"/>
    </row>
    <row r="110" spans="1:5">
      <c r="A110" s="6" t="s">
        <v>85</v>
      </c>
      <c r="B110" s="6">
        <v>2830</v>
      </c>
      <c r="C110">
        <f t="shared" si="8"/>
        <v>7.2438162544169613E-2</v>
      </c>
      <c r="D110" s="6"/>
      <c r="E110" s="6"/>
    </row>
    <row r="111" spans="1:5">
      <c r="A111" s="6" t="s">
        <v>85</v>
      </c>
      <c r="B111" s="6">
        <v>3035</v>
      </c>
      <c r="C111">
        <f t="shared" si="8"/>
        <v>-0.54695222405271826</v>
      </c>
      <c r="D111" s="6"/>
      <c r="E111" s="6"/>
    </row>
    <row r="112" spans="1:5">
      <c r="A112" s="6" t="s">
        <v>39</v>
      </c>
      <c r="B112" s="6">
        <v>1375</v>
      </c>
      <c r="C112">
        <f t="shared" si="8"/>
        <v>0.13090909090909092</v>
      </c>
      <c r="D112" s="6"/>
      <c r="E112" s="6"/>
    </row>
    <row r="113" spans="1:5">
      <c r="A113" s="6" t="s">
        <v>39</v>
      </c>
      <c r="B113" s="6">
        <v>1555</v>
      </c>
      <c r="C113">
        <f t="shared" si="8"/>
        <v>-0.85209003215434087</v>
      </c>
      <c r="D113" s="6"/>
      <c r="E113" s="6"/>
    </row>
    <row r="114" spans="1:5">
      <c r="A114" s="6" t="s">
        <v>38</v>
      </c>
      <c r="B114" s="6">
        <v>230</v>
      </c>
      <c r="C114">
        <f t="shared" si="8"/>
        <v>0.15217391304347827</v>
      </c>
      <c r="D114" s="6"/>
      <c r="E114" s="6"/>
    </row>
    <row r="115" spans="1:5">
      <c r="A115" s="6" t="s">
        <v>38</v>
      </c>
      <c r="B115" s="6">
        <v>265</v>
      </c>
      <c r="C115">
        <f t="shared" si="8"/>
        <v>2.3396226415094339</v>
      </c>
      <c r="D115" s="6"/>
      <c r="E115" s="6"/>
    </row>
    <row r="116" spans="1:5">
      <c r="A116" s="6" t="s">
        <v>69</v>
      </c>
      <c r="B116" s="6">
        <v>885</v>
      </c>
      <c r="C116">
        <f t="shared" si="8"/>
        <v>1.6949152542372881E-2</v>
      </c>
      <c r="D116" s="6"/>
      <c r="E116" s="6"/>
    </row>
    <row r="117" spans="1:5">
      <c r="A117" s="6" t="s">
        <v>69</v>
      </c>
      <c r="B117" s="6">
        <v>900</v>
      </c>
      <c r="C117">
        <f t="shared" si="8"/>
        <v>4.8833333333333337</v>
      </c>
      <c r="D117" s="6"/>
      <c r="E117" s="6"/>
    </row>
    <row r="118" spans="1:5">
      <c r="A118" s="6" t="s">
        <v>86</v>
      </c>
      <c r="B118" s="6">
        <v>5295</v>
      </c>
      <c r="C118">
        <f t="shared" si="8"/>
        <v>0.50141643059490082</v>
      </c>
      <c r="D118" s="6"/>
      <c r="E118" s="6"/>
    </row>
    <row r="119" spans="1:5">
      <c r="A119" s="6" t="s">
        <v>86</v>
      </c>
      <c r="B119" s="6">
        <v>7950</v>
      </c>
      <c r="C119">
        <f t="shared" si="8"/>
        <v>-0.92515723270440253</v>
      </c>
      <c r="D119" s="6"/>
      <c r="E119" s="6"/>
    </row>
    <row r="120" spans="1:5">
      <c r="A120" s="6" t="s">
        <v>77</v>
      </c>
      <c r="B120" s="6">
        <v>595</v>
      </c>
      <c r="C120">
        <f t="shared" si="8"/>
        <v>0.26890756302521007</v>
      </c>
      <c r="D120" s="6"/>
      <c r="E120" s="6"/>
    </row>
    <row r="121" spans="1:5">
      <c r="A121" s="6" t="s">
        <v>77</v>
      </c>
      <c r="B121" s="6">
        <v>755</v>
      </c>
      <c r="C121">
        <f t="shared" si="8"/>
        <v>-0.77483443708609268</v>
      </c>
      <c r="D121" s="6"/>
      <c r="E121" s="6"/>
    </row>
    <row r="122" spans="1:5">
      <c r="A122" s="6" t="s">
        <v>74</v>
      </c>
      <c r="B122" s="6">
        <v>170</v>
      </c>
      <c r="C122">
        <f t="shared" si="8"/>
        <v>5.8823529411764705E-2</v>
      </c>
      <c r="D122" s="6"/>
      <c r="E122" s="6"/>
    </row>
    <row r="123" spans="1:5">
      <c r="A123" s="6" t="s">
        <v>74</v>
      </c>
      <c r="B123" s="6">
        <v>180</v>
      </c>
      <c r="C123">
        <f t="shared" si="8"/>
        <v>0.94444444444444442</v>
      </c>
      <c r="D123" s="6"/>
      <c r="E123" s="6"/>
    </row>
    <row r="124" spans="1:5">
      <c r="A124" s="6" t="s">
        <v>87</v>
      </c>
      <c r="B124" s="6">
        <v>350</v>
      </c>
      <c r="C124">
        <f t="shared" si="8"/>
        <v>-0.14285714285714285</v>
      </c>
      <c r="D124" s="6"/>
      <c r="E124" s="6"/>
    </row>
    <row r="125" spans="1:5">
      <c r="A125" s="6" t="s">
        <v>87</v>
      </c>
      <c r="B125" s="6">
        <v>300</v>
      </c>
      <c r="C125">
        <f t="shared" si="8"/>
        <v>87.85</v>
      </c>
      <c r="D125" s="6"/>
      <c r="E125" s="6"/>
    </row>
    <row r="126" spans="1:5">
      <c r="A126" s="6" t="s">
        <v>72</v>
      </c>
      <c r="B126" s="6">
        <v>26655</v>
      </c>
      <c r="C126">
        <f t="shared" si="8"/>
        <v>0.15588069780528982</v>
      </c>
      <c r="D126" s="6"/>
      <c r="E126" s="6"/>
    </row>
    <row r="127" spans="1:5">
      <c r="A127" s="6" t="s">
        <v>72</v>
      </c>
      <c r="B127" s="6">
        <v>30810</v>
      </c>
      <c r="C127">
        <f t="shared" si="8"/>
        <v>-0.97354754949691658</v>
      </c>
      <c r="D127" s="6"/>
      <c r="E127" s="6"/>
    </row>
    <row r="128" spans="1:5">
      <c r="A128" s="6" t="s">
        <v>62</v>
      </c>
      <c r="B128" s="6">
        <v>815</v>
      </c>
      <c r="C128">
        <f t="shared" si="8"/>
        <v>7.3619631901840496E-2</v>
      </c>
      <c r="D128" s="6"/>
      <c r="E128" s="6"/>
    </row>
    <row r="129" spans="1:5">
      <c r="A129" s="6" t="s">
        <v>62</v>
      </c>
      <c r="B129" s="6">
        <v>875</v>
      </c>
      <c r="C129">
        <f t="shared" si="8"/>
        <v>-0.64571428571428569</v>
      </c>
      <c r="D129" s="6"/>
      <c r="E129" s="6"/>
    </row>
    <row r="130" spans="1:5">
      <c r="A130" s="6" t="s">
        <v>88</v>
      </c>
      <c r="B130" s="6">
        <v>310</v>
      </c>
      <c r="C130">
        <f t="shared" si="8"/>
        <v>8.0645161290322578E-2</v>
      </c>
      <c r="D130" s="6"/>
      <c r="E130" s="6"/>
    </row>
    <row r="131" spans="1:5">
      <c r="A131" s="6" t="s">
        <v>88</v>
      </c>
      <c r="B131" s="6">
        <v>335</v>
      </c>
      <c r="C131">
        <f t="shared" si="8"/>
        <v>-0.56716417910447758</v>
      </c>
      <c r="D131" s="6"/>
      <c r="E131" s="6"/>
    </row>
    <row r="132" spans="1:5">
      <c r="A132" s="6" t="s">
        <v>60</v>
      </c>
      <c r="B132" s="6">
        <v>145</v>
      </c>
      <c r="C132">
        <f t="shared" si="8"/>
        <v>0.10344827586206896</v>
      </c>
      <c r="D132" s="6"/>
      <c r="E132" s="6"/>
    </row>
    <row r="133" spans="1:5">
      <c r="A133" s="6" t="s">
        <v>60</v>
      </c>
      <c r="B133" s="6">
        <v>160</v>
      </c>
      <c r="C133">
        <f t="shared" si="8"/>
        <v>9.5</v>
      </c>
      <c r="D133" s="6"/>
      <c r="E133" s="6"/>
    </row>
    <row r="134" spans="1:5">
      <c r="A134" s="6" t="s">
        <v>89</v>
      </c>
      <c r="B134" s="6">
        <v>1680</v>
      </c>
      <c r="C134">
        <f t="shared" si="8"/>
        <v>-6.5476190476190479E-2</v>
      </c>
      <c r="D134" s="6"/>
      <c r="E134" s="6"/>
    </row>
    <row r="135" spans="1:5">
      <c r="A135" s="6" t="s">
        <v>89</v>
      </c>
      <c r="B135" s="6">
        <v>1570</v>
      </c>
      <c r="C135">
        <f t="shared" si="8"/>
        <v>-0.62738853503184711</v>
      </c>
      <c r="D135" s="6"/>
      <c r="E135" s="6"/>
    </row>
    <row r="136" spans="1:5">
      <c r="A136" s="6" t="s">
        <v>57</v>
      </c>
      <c r="B136" s="6">
        <v>585</v>
      </c>
      <c r="C136">
        <f t="shared" si="8"/>
        <v>-0.20512820512820512</v>
      </c>
      <c r="D136" s="6"/>
      <c r="E136" s="6"/>
    </row>
    <row r="137" spans="1:5">
      <c r="A137" s="6" t="s">
        <v>57</v>
      </c>
      <c r="B137" s="6">
        <v>465</v>
      </c>
      <c r="C137">
        <f t="shared" si="8"/>
        <v>7.623655913978495</v>
      </c>
    </row>
    <row r="138" spans="1:5">
      <c r="A138" s="6" t="s">
        <v>54</v>
      </c>
      <c r="B138" s="6">
        <v>4010</v>
      </c>
      <c r="C138">
        <f t="shared" si="8"/>
        <v>6.6084788029925193E-2</v>
      </c>
      <c r="D138" s="6"/>
      <c r="E138" s="6"/>
    </row>
    <row r="139" spans="1:5">
      <c r="A139" s="6" t="s">
        <v>54</v>
      </c>
      <c r="B139" s="6">
        <v>4275</v>
      </c>
      <c r="C139">
        <f t="shared" si="8"/>
        <v>-1</v>
      </c>
    </row>
  </sheetData>
  <mergeCells count="2">
    <mergeCell ref="D34:D35"/>
    <mergeCell ref="E34:E35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BC35-D53D-DD45-99EC-258A34BE3A6B}">
  <dimension ref="A1:G27"/>
  <sheetViews>
    <sheetView zoomScale="56" workbookViewId="0">
      <selection activeCell="N52" sqref="N52"/>
    </sheetView>
  </sheetViews>
  <sheetFormatPr baseColWidth="10" defaultRowHeight="16"/>
  <cols>
    <col min="2" max="2" width="11.83203125" customWidth="1"/>
    <col min="3" max="3" width="13.1640625" customWidth="1"/>
    <col min="4" max="4" width="13" customWidth="1"/>
  </cols>
  <sheetData>
    <row r="1" spans="1:7">
      <c r="A1" s="17" t="s">
        <v>98</v>
      </c>
      <c r="B1" s="17" t="s">
        <v>95</v>
      </c>
      <c r="C1" s="17" t="s">
        <v>97</v>
      </c>
      <c r="D1" s="18" t="s">
        <v>96</v>
      </c>
      <c r="E1" s="16" t="s">
        <v>99</v>
      </c>
      <c r="F1" s="16" t="s">
        <v>100</v>
      </c>
      <c r="G1" s="16" t="s">
        <v>101</v>
      </c>
    </row>
    <row r="2" spans="1:7">
      <c r="A2" s="17" t="s">
        <v>53</v>
      </c>
      <c r="B2" s="17">
        <v>-0.41311930000000002</v>
      </c>
      <c r="C2" s="17">
        <v>-0.17677850000000001</v>
      </c>
      <c r="D2" s="18">
        <v>-0.13164020000000001</v>
      </c>
      <c r="E2" s="19">
        <f>ROWS($A$2:$A$27)-ROWS($A$2:A2)+1</f>
        <v>26</v>
      </c>
      <c r="F2" s="19">
        <f>D2-B2</f>
        <v>0.28147909999999998</v>
      </c>
      <c r="G2" s="21">
        <v>0</v>
      </c>
    </row>
    <row r="3" spans="1:7">
      <c r="A3" s="17" t="s">
        <v>55</v>
      </c>
      <c r="B3" s="17">
        <v>-0.5630001</v>
      </c>
      <c r="C3" s="17">
        <v>-0.2379578</v>
      </c>
      <c r="D3" s="18">
        <v>-0.1093287</v>
      </c>
      <c r="E3" s="19">
        <f>ROWS($A$2:$A$27)-ROWS($A$2:A3)+1</f>
        <v>25</v>
      </c>
      <c r="F3" s="19">
        <f>D3-B3</f>
        <v>0.4536714</v>
      </c>
      <c r="G3" s="21">
        <v>0</v>
      </c>
    </row>
    <row r="4" spans="1:7">
      <c r="A4" s="17" t="s">
        <v>42</v>
      </c>
      <c r="B4" s="17">
        <v>-0.57991219999999999</v>
      </c>
      <c r="C4" s="17">
        <v>-0.24437049999999999</v>
      </c>
      <c r="D4" s="18">
        <v>-0.15809519999999999</v>
      </c>
      <c r="E4" s="19">
        <f>ROWS($A$2:$A$27)-ROWS($A$2:A4)+1</f>
        <v>24</v>
      </c>
      <c r="F4" s="19">
        <f>D4-B4</f>
        <v>0.421817</v>
      </c>
      <c r="G4" s="21">
        <v>0</v>
      </c>
    </row>
    <row r="5" spans="1:7">
      <c r="A5" s="17" t="s">
        <v>50</v>
      </c>
      <c r="B5" s="17">
        <v>-0.61106240000000001</v>
      </c>
      <c r="C5" s="17">
        <v>-0.25593630000000001</v>
      </c>
      <c r="D5" s="18">
        <v>-0.16193550000000001</v>
      </c>
      <c r="E5" s="19">
        <f>ROWS($A$2:$A$27)-ROWS($A$2:A5)+1</f>
        <v>23</v>
      </c>
      <c r="F5" s="19">
        <f>D5-B5</f>
        <v>0.4491269</v>
      </c>
      <c r="G5" s="21">
        <v>0</v>
      </c>
    </row>
    <row r="6" spans="1:7">
      <c r="A6" s="17" t="s">
        <v>76</v>
      </c>
      <c r="B6" s="17">
        <v>-0.62655349999999999</v>
      </c>
      <c r="C6" s="17">
        <v>-0.26157160000000002</v>
      </c>
      <c r="D6" s="18">
        <v>-0.1083117</v>
      </c>
      <c r="E6" s="19">
        <f>ROWS($A$2:$A$27)-ROWS($A$2:A6)+1</f>
        <v>22</v>
      </c>
      <c r="F6" s="19">
        <f>D6-B6</f>
        <v>0.51824179999999997</v>
      </c>
      <c r="G6" s="21">
        <v>0</v>
      </c>
    </row>
    <row r="7" spans="1:7">
      <c r="A7" s="17" t="s">
        <v>66</v>
      </c>
      <c r="B7" s="17">
        <v>-0.68203469999999999</v>
      </c>
      <c r="C7" s="17">
        <v>-0.28113890000000002</v>
      </c>
      <c r="D7" s="18">
        <v>-0.13952200000000001</v>
      </c>
      <c r="E7" s="19">
        <f>ROWS($A$2:$A$27)-ROWS($A$2:A7)+1</f>
        <v>21</v>
      </c>
      <c r="F7" s="19">
        <f>D7-B7</f>
        <v>0.54251269999999996</v>
      </c>
      <c r="G7" s="21">
        <v>0</v>
      </c>
    </row>
    <row r="8" spans="1:7">
      <c r="A8" s="17" t="s">
        <v>75</v>
      </c>
      <c r="B8" s="17">
        <v>-0.68837530000000002</v>
      </c>
      <c r="C8" s="17">
        <v>-0.28331519999999999</v>
      </c>
      <c r="D8" s="18">
        <v>-0.12905920000000001</v>
      </c>
      <c r="E8" s="19">
        <f>ROWS($A$2:$A$27)-ROWS($A$2:A8)+1</f>
        <v>20</v>
      </c>
      <c r="F8" s="19">
        <f>D8-B8</f>
        <v>0.55931609999999998</v>
      </c>
      <c r="G8" s="21">
        <v>0</v>
      </c>
    </row>
    <row r="9" spans="1:7">
      <c r="A9" s="17" t="s">
        <v>65</v>
      </c>
      <c r="B9" s="17">
        <v>-0.77843329999999999</v>
      </c>
      <c r="C9" s="17">
        <v>-0.31295669999999998</v>
      </c>
      <c r="D9" s="18">
        <v>-0.16395599999999999</v>
      </c>
      <c r="E9" s="19">
        <f>ROWS($A$2:$A$27)-ROWS($A$2:A9)+1</f>
        <v>19</v>
      </c>
      <c r="F9" s="19">
        <f>D9-B9</f>
        <v>0.6144773</v>
      </c>
      <c r="G9" s="21">
        <v>0</v>
      </c>
    </row>
    <row r="10" spans="1:7">
      <c r="A10" s="17" t="s">
        <v>64</v>
      </c>
      <c r="B10" s="17">
        <v>-0.98889199999999999</v>
      </c>
      <c r="C10" s="17">
        <v>-0.37375829999999999</v>
      </c>
      <c r="D10" s="18">
        <v>-0.2492057</v>
      </c>
      <c r="E10" s="19">
        <f>ROWS($A$2:$A$27)-ROWS($A$2:A10)+1</f>
        <v>18</v>
      </c>
      <c r="F10" s="19">
        <f>D10-B10</f>
        <v>0.73968630000000002</v>
      </c>
      <c r="G10" s="21">
        <v>0</v>
      </c>
    </row>
    <row r="11" spans="1:7">
      <c r="A11" s="17" t="s">
        <v>80</v>
      </c>
      <c r="B11" s="17">
        <v>-1.0304846000000001</v>
      </c>
      <c r="C11" s="17">
        <v>-0.38450450000000003</v>
      </c>
      <c r="D11" s="18">
        <v>-0.27512510000000001</v>
      </c>
      <c r="E11" s="19">
        <f>ROWS($A$2:$A$27)-ROWS($A$2:A11)+1</f>
        <v>17</v>
      </c>
      <c r="F11" s="19">
        <f>D11-B11</f>
        <v>0.75535950000000007</v>
      </c>
      <c r="G11" s="21">
        <v>0</v>
      </c>
    </row>
    <row r="12" spans="1:7">
      <c r="A12" s="17" t="s">
        <v>59</v>
      </c>
      <c r="B12" s="17">
        <v>-1.0566123000000001</v>
      </c>
      <c r="C12" s="17">
        <v>-0.39105780000000001</v>
      </c>
      <c r="D12" s="18">
        <v>-0.21432010000000001</v>
      </c>
      <c r="E12" s="19">
        <f>ROWS($A$2:$A$27)-ROWS($A$2:A12)+1</f>
        <v>16</v>
      </c>
      <c r="F12" s="19">
        <f>D12-B12</f>
        <v>0.84229220000000005</v>
      </c>
      <c r="G12" s="21">
        <v>0</v>
      </c>
    </row>
    <row r="13" spans="1:7">
      <c r="A13" s="17" t="s">
        <v>47</v>
      </c>
      <c r="B13" s="17">
        <v>-1.0727545000000001</v>
      </c>
      <c r="C13" s="17">
        <v>-0.3950322</v>
      </c>
      <c r="D13" s="18">
        <v>0.24967707</v>
      </c>
      <c r="E13" s="19">
        <f>ROWS($A$2:$A$27)-ROWS($A$2:A13)+1</f>
        <v>15</v>
      </c>
      <c r="F13" s="19">
        <f>D13-B13</f>
        <v>1.32243157</v>
      </c>
      <c r="G13" s="21">
        <v>0</v>
      </c>
    </row>
    <row r="14" spans="1:7">
      <c r="A14" s="17" t="s">
        <v>41</v>
      </c>
      <c r="B14" s="17">
        <v>-1.1043719000000001</v>
      </c>
      <c r="C14" s="17">
        <v>-0.40265590000000001</v>
      </c>
      <c r="D14" s="18">
        <v>-0.2063171</v>
      </c>
      <c r="E14" s="19">
        <f>ROWS($A$2:$A$27)-ROWS($A$2:A14)+1</f>
        <v>14</v>
      </c>
      <c r="F14" s="19">
        <f>D14-B14</f>
        <v>0.89805480000000004</v>
      </c>
      <c r="G14" s="21">
        <v>0</v>
      </c>
    </row>
    <row r="15" spans="1:7">
      <c r="A15" s="17" t="s">
        <v>70</v>
      </c>
      <c r="B15" s="17">
        <v>-1.1953563</v>
      </c>
      <c r="C15" s="17">
        <v>-0.42345300000000002</v>
      </c>
      <c r="D15" s="18">
        <v>-0.27714290000000003</v>
      </c>
      <c r="E15" s="19">
        <f>ROWS($A$2:$A$27)-ROWS($A$2:A15)+1</f>
        <v>13</v>
      </c>
      <c r="F15" s="19">
        <f>D15-B15</f>
        <v>0.91821339999999996</v>
      </c>
      <c r="G15" s="21">
        <v>0</v>
      </c>
    </row>
    <row r="16" spans="1:7">
      <c r="A16" s="17" t="s">
        <v>63</v>
      </c>
      <c r="B16" s="17">
        <v>-1.2729889999999999</v>
      </c>
      <c r="C16" s="17">
        <v>-0.43993450000000001</v>
      </c>
      <c r="D16" s="18">
        <v>-0.34207789999999999</v>
      </c>
      <c r="E16" s="19">
        <f>ROWS($A$2:$A$27)-ROWS($A$2:A16)+1</f>
        <v>12</v>
      </c>
      <c r="F16" s="19">
        <f>D16-B16</f>
        <v>0.93091109999999988</v>
      </c>
      <c r="G16" s="21">
        <v>0</v>
      </c>
    </row>
    <row r="17" spans="1:7">
      <c r="A17" s="17" t="s">
        <v>79</v>
      </c>
      <c r="B17" s="17">
        <v>-1.2989568</v>
      </c>
      <c r="C17" s="17">
        <v>-0.44520209999999999</v>
      </c>
      <c r="D17" s="18">
        <v>-0.38536799999999999</v>
      </c>
      <c r="E17" s="19">
        <f>ROWS($A$2:$A$27)-ROWS($A$2:A17)+1</f>
        <v>11</v>
      </c>
      <c r="F17" s="19">
        <f>D17-B17</f>
        <v>0.91358880000000009</v>
      </c>
      <c r="G17" s="21">
        <v>0</v>
      </c>
    </row>
    <row r="18" spans="1:7">
      <c r="A18" s="17" t="s">
        <v>43</v>
      </c>
      <c r="B18" s="17">
        <v>-1.4615577</v>
      </c>
      <c r="C18" s="17">
        <v>-0.47559790000000002</v>
      </c>
      <c r="D18" s="18">
        <v>-0.32</v>
      </c>
      <c r="E18" s="19">
        <f>ROWS($A$2:$A$27)-ROWS($A$2:A18)+1</f>
        <v>10</v>
      </c>
      <c r="F18" s="19">
        <f>D18-B18</f>
        <v>1.1415576999999999</v>
      </c>
      <c r="G18" s="21">
        <v>0</v>
      </c>
    </row>
    <row r="19" spans="1:7">
      <c r="A19" s="17" t="s">
        <v>68</v>
      </c>
      <c r="B19" s="17">
        <v>-1.6533304</v>
      </c>
      <c r="C19" s="17">
        <v>-0.50630589999999998</v>
      </c>
      <c r="D19" s="18">
        <v>-0.38428570000000001</v>
      </c>
      <c r="E19" s="19">
        <f>ROWS($A$2:$A$27)-ROWS($A$2:A19)+1</f>
        <v>9</v>
      </c>
      <c r="F19" s="19">
        <f>D19-B19</f>
        <v>1.2690447</v>
      </c>
      <c r="G19" s="21">
        <v>0</v>
      </c>
    </row>
    <row r="20" spans="1:7">
      <c r="A20" s="17" t="s">
        <v>58</v>
      </c>
      <c r="B20" s="17">
        <v>-1.7265151999999999</v>
      </c>
      <c r="C20" s="17">
        <v>-0.51673100000000005</v>
      </c>
      <c r="D20" s="18">
        <v>-0.3961905</v>
      </c>
      <c r="E20" s="19">
        <f>ROWS($A$2:$A$27)-ROWS($A$2:A20)+1</f>
        <v>8</v>
      </c>
      <c r="F20" s="19">
        <f>D20-B20</f>
        <v>1.3303246999999998</v>
      </c>
      <c r="G20" s="21">
        <v>0</v>
      </c>
    </row>
    <row r="21" spans="1:7">
      <c r="A21" s="17" t="s">
        <v>44</v>
      </c>
      <c r="B21" s="17">
        <v>-1.7320093999999999</v>
      </c>
      <c r="C21" s="17">
        <v>-0.51748700000000003</v>
      </c>
      <c r="D21" s="18">
        <v>-0.44795030000000002</v>
      </c>
      <c r="E21" s="19">
        <f>ROWS($A$2:$A$27)-ROWS($A$2:A21)+1</f>
        <v>7</v>
      </c>
      <c r="F21" s="19">
        <f>D21-B21</f>
        <v>1.2840590999999999</v>
      </c>
      <c r="G21" s="21">
        <v>0</v>
      </c>
    </row>
    <row r="22" spans="1:7">
      <c r="A22" s="17" t="s">
        <v>71</v>
      </c>
      <c r="B22" s="17">
        <v>-1.8901178000000001</v>
      </c>
      <c r="C22" s="17">
        <v>-0.53775580000000001</v>
      </c>
      <c r="D22" s="18">
        <v>-0.43307849999999998</v>
      </c>
      <c r="E22" s="19">
        <f>ROWS($A$2:$A$27)-ROWS($A$2:A22)+1</f>
        <v>6</v>
      </c>
      <c r="F22" s="19">
        <f>D22-B22</f>
        <v>1.4570393000000001</v>
      </c>
      <c r="G22" s="21">
        <v>0</v>
      </c>
    </row>
    <row r="23" spans="1:7">
      <c r="A23" s="17" t="s">
        <v>48</v>
      </c>
      <c r="B23" s="17">
        <v>-1.9055793000000001</v>
      </c>
      <c r="C23" s="17">
        <v>-0.53959140000000005</v>
      </c>
      <c r="D23" s="18">
        <v>-0.43513819999999998</v>
      </c>
      <c r="E23" s="19">
        <f>ROWS($A$2:$A$27)-ROWS($A$2:A23)+1</f>
        <v>5</v>
      </c>
      <c r="F23" s="19">
        <f>D23-B23</f>
        <v>1.4704411000000002</v>
      </c>
      <c r="G23" s="21">
        <v>0</v>
      </c>
    </row>
    <row r="24" spans="1:7">
      <c r="A24" s="17" t="s">
        <v>45</v>
      </c>
      <c r="B24" s="17">
        <v>-1.9548694</v>
      </c>
      <c r="C24" s="17">
        <v>-0.54528010000000005</v>
      </c>
      <c r="D24" s="18">
        <v>-0.4251566</v>
      </c>
      <c r="E24" s="19">
        <f>ROWS($A$2:$A$27)-ROWS($A$2:A24)+1</f>
        <v>4</v>
      </c>
      <c r="F24" s="19">
        <f>D24-B24</f>
        <v>1.5297128</v>
      </c>
      <c r="G24" s="21">
        <v>0</v>
      </c>
    </row>
    <row r="25" spans="1:7">
      <c r="A25" s="17" t="s">
        <v>67</v>
      </c>
      <c r="B25" s="17">
        <v>-2.0061722</v>
      </c>
      <c r="C25" s="17">
        <v>-0.55094609999999999</v>
      </c>
      <c r="D25" s="18">
        <v>-0.38966729999999999</v>
      </c>
      <c r="E25" s="19">
        <f>ROWS($A$2:$A$27)-ROWS($A$2:A25)+1</f>
        <v>3</v>
      </c>
      <c r="F25" s="19">
        <f>D25-B25</f>
        <v>1.6165049</v>
      </c>
      <c r="G25" s="21">
        <v>0</v>
      </c>
    </row>
    <row r="26" spans="1:7">
      <c r="A26" s="17" t="s">
        <v>73</v>
      </c>
      <c r="B26" s="17">
        <v>-2.1555768</v>
      </c>
      <c r="C26" s="17">
        <v>-0.56606820000000002</v>
      </c>
      <c r="D26" s="18">
        <v>-0.44048730000000003</v>
      </c>
      <c r="E26" s="19">
        <f>ROWS($A$2:$A$27)-ROWS($A$2:A26)+1</f>
        <v>2</v>
      </c>
      <c r="F26" s="19">
        <f>D26-B26</f>
        <v>1.7150894999999999</v>
      </c>
      <c r="G26" s="21">
        <v>0</v>
      </c>
    </row>
    <row r="27" spans="1:7">
      <c r="A27" s="19" t="s">
        <v>56</v>
      </c>
      <c r="B27" s="19">
        <v>-2.4822212000000001</v>
      </c>
      <c r="C27" s="19">
        <v>-0.59298329999999999</v>
      </c>
      <c r="D27" s="20">
        <v>-0.41119929999999999</v>
      </c>
      <c r="E27" s="19">
        <f>ROWS($A$2:$A$27)-ROWS($A$2:A27)+1</f>
        <v>1</v>
      </c>
      <c r="F27" s="19">
        <f>D27-B27</f>
        <v>2.0710219000000003</v>
      </c>
      <c r="G27" s="21">
        <v>0</v>
      </c>
    </row>
  </sheetData>
  <phoneticPr fontId="8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818B-67A8-4D44-BC5A-9436E3AF0318}">
  <dimension ref="B1:AK85"/>
  <sheetViews>
    <sheetView tabSelected="1" topLeftCell="A25" zoomScale="50" workbookViewId="0">
      <selection activeCell="Q79" sqref="Q79"/>
    </sheetView>
  </sheetViews>
  <sheetFormatPr baseColWidth="10" defaultRowHeight="16"/>
  <cols>
    <col min="11" max="11" width="42.6640625" customWidth="1"/>
    <col min="13" max="13" width="11.33203125" customWidth="1"/>
    <col min="18" max="18" width="38" customWidth="1"/>
  </cols>
  <sheetData>
    <row r="1" spans="11:37">
      <c r="K1" s="3"/>
      <c r="L1" s="4" t="s">
        <v>0</v>
      </c>
      <c r="M1" s="4" t="s">
        <v>2</v>
      </c>
      <c r="N1" s="4" t="s">
        <v>3</v>
      </c>
      <c r="O1" s="4" t="s">
        <v>4</v>
      </c>
      <c r="P1" s="4"/>
      <c r="R1" s="4" t="s">
        <v>0</v>
      </c>
      <c r="S1" s="4" t="s">
        <v>2</v>
      </c>
      <c r="T1" s="4" t="s">
        <v>3</v>
      </c>
      <c r="U1" s="4" t="s">
        <v>4</v>
      </c>
      <c r="V1" s="4"/>
      <c r="W1" s="8"/>
      <c r="Y1" s="8"/>
      <c r="Z1" s="4" t="s">
        <v>2</v>
      </c>
      <c r="AA1" s="4" t="s">
        <v>3</v>
      </c>
      <c r="AB1" s="4" t="s">
        <v>4</v>
      </c>
      <c r="AC1" s="4"/>
      <c r="AD1" s="8"/>
      <c r="AF1" s="8"/>
      <c r="AG1" s="8"/>
      <c r="AH1" s="8"/>
      <c r="AI1" s="8"/>
      <c r="AJ1" s="8"/>
      <c r="AK1" s="8"/>
    </row>
    <row r="2" spans="11:37">
      <c r="K2" s="3"/>
      <c r="L2" s="5" t="s">
        <v>1</v>
      </c>
      <c r="M2" s="5" t="s">
        <v>1</v>
      </c>
      <c r="N2" s="5" t="s">
        <v>1</v>
      </c>
      <c r="O2" s="5" t="s">
        <v>5</v>
      </c>
      <c r="P2" s="5" t="s">
        <v>6</v>
      </c>
      <c r="R2" s="5" t="s">
        <v>1</v>
      </c>
      <c r="S2" s="5" t="s">
        <v>1</v>
      </c>
      <c r="T2" s="5" t="s">
        <v>1</v>
      </c>
      <c r="U2" s="5" t="s">
        <v>5</v>
      </c>
      <c r="V2" s="5" t="s">
        <v>6</v>
      </c>
      <c r="W2" s="8"/>
      <c r="Y2" s="4" t="s">
        <v>0</v>
      </c>
      <c r="Z2" s="5" t="s">
        <v>1</v>
      </c>
      <c r="AA2" s="5" t="s">
        <v>1</v>
      </c>
      <c r="AB2" s="5" t="s">
        <v>5</v>
      </c>
      <c r="AC2" s="5" t="s">
        <v>6</v>
      </c>
      <c r="AD2" s="8"/>
      <c r="AF2" s="4" t="s">
        <v>0</v>
      </c>
      <c r="AG2" s="4" t="s">
        <v>2</v>
      </c>
      <c r="AH2" s="4" t="s">
        <v>3</v>
      </c>
      <c r="AI2" s="4" t="s">
        <v>4</v>
      </c>
      <c r="AJ2" s="4"/>
      <c r="AK2" s="8"/>
    </row>
    <row r="3" spans="11:37">
      <c r="K3" s="6" t="s">
        <v>7</v>
      </c>
      <c r="L3" s="6">
        <v>-0.52923500000000001</v>
      </c>
      <c r="M3" s="6">
        <v>5.8346000000000002E-2</v>
      </c>
      <c r="N3" s="6">
        <v>-9.0706399999999991</v>
      </c>
      <c r="O3" s="7">
        <v>1.7495000000000001E-5</v>
      </c>
      <c r="P3" s="6" t="s">
        <v>8</v>
      </c>
      <c r="R3" s="6" t="s">
        <v>7</v>
      </c>
      <c r="S3" s="6">
        <v>-0.52145300000000006</v>
      </c>
      <c r="T3" s="6">
        <v>5.9181999999999998E-2</v>
      </c>
      <c r="U3" s="6">
        <v>-8.8109599999999997</v>
      </c>
      <c r="V3" s="7">
        <v>2.1654999999999998E-5</v>
      </c>
      <c r="W3" s="6" t="s">
        <v>8</v>
      </c>
      <c r="Y3" s="5" t="s">
        <v>1</v>
      </c>
      <c r="Z3" s="8"/>
      <c r="AA3" s="8"/>
      <c r="AB3" s="8"/>
      <c r="AC3" s="8"/>
      <c r="AD3" s="8"/>
      <c r="AF3" s="5" t="s">
        <v>1</v>
      </c>
      <c r="AG3" s="5" t="s">
        <v>1</v>
      </c>
      <c r="AH3" s="5" t="s">
        <v>1</v>
      </c>
      <c r="AI3" s="5" t="s">
        <v>5</v>
      </c>
      <c r="AJ3" s="5" t="s">
        <v>6</v>
      </c>
      <c r="AK3" s="8"/>
    </row>
    <row r="4" spans="11:37">
      <c r="K4" s="6" t="s">
        <v>9</v>
      </c>
      <c r="L4" s="6">
        <v>-0.58086199999999999</v>
      </c>
      <c r="M4" s="6">
        <v>7.2981000000000004E-2</v>
      </c>
      <c r="N4" s="6">
        <v>-7.9590899999999998</v>
      </c>
      <c r="O4" s="7">
        <v>4.5309000000000003E-5</v>
      </c>
      <c r="P4" s="6" t="s">
        <v>8</v>
      </c>
      <c r="R4" s="6" t="s">
        <v>9</v>
      </c>
      <c r="S4" s="6">
        <v>-0.58259099999999997</v>
      </c>
      <c r="T4" s="6">
        <v>7.0211999999999997E-2</v>
      </c>
      <c r="U4" s="6">
        <v>-8.2976200000000002</v>
      </c>
      <c r="V4" s="7">
        <v>3.3540000000000001E-5</v>
      </c>
      <c r="W4" s="6" t="s">
        <v>8</v>
      </c>
      <c r="Y4" s="6" t="s">
        <v>7</v>
      </c>
      <c r="Z4" s="6">
        <v>-0.49881300000000001</v>
      </c>
      <c r="AA4" s="6">
        <v>5.1764999999999999E-2</v>
      </c>
      <c r="AB4" s="6">
        <v>-9.6361100000000004</v>
      </c>
      <c r="AC4" s="7">
        <v>1.1187E-5</v>
      </c>
      <c r="AD4" s="6" t="s">
        <v>8</v>
      </c>
      <c r="AF4" s="6" t="s">
        <v>7</v>
      </c>
      <c r="AG4" s="6">
        <v>-0.50418300000000005</v>
      </c>
      <c r="AH4" s="6">
        <v>5.7190999999999999E-2</v>
      </c>
      <c r="AI4" s="6">
        <v>-8.8157169999999994</v>
      </c>
      <c r="AJ4" s="7">
        <v>2.1569999999999998E-5</v>
      </c>
      <c r="AK4" s="6" t="s">
        <v>8</v>
      </c>
    </row>
    <row r="5" spans="11:37">
      <c r="K5" s="6" t="s">
        <v>10</v>
      </c>
      <c r="L5" s="6">
        <v>-1.855027</v>
      </c>
      <c r="M5" s="6">
        <v>0.14912600000000001</v>
      </c>
      <c r="N5" s="6">
        <v>-12.43932</v>
      </c>
      <c r="O5" s="7">
        <v>1.6293E-6</v>
      </c>
      <c r="P5" s="6" t="s">
        <v>8</v>
      </c>
      <c r="R5" s="6" t="s">
        <v>10</v>
      </c>
      <c r="S5" s="6">
        <v>-1.8876090000000001</v>
      </c>
      <c r="T5" s="6">
        <v>0.13786200000000001</v>
      </c>
      <c r="U5" s="6">
        <v>-13.692019999999999</v>
      </c>
      <c r="V5" s="7">
        <v>7.8004999999999995E-7</v>
      </c>
      <c r="W5" s="6" t="s">
        <v>8</v>
      </c>
      <c r="Y5" s="6" t="s">
        <v>9</v>
      </c>
      <c r="Z5" s="6">
        <v>-0.57028000000000001</v>
      </c>
      <c r="AA5" s="6">
        <v>6.4113000000000003E-2</v>
      </c>
      <c r="AB5" s="6">
        <v>-8.8948900000000002</v>
      </c>
      <c r="AC5" s="7">
        <v>2.0200999999999999E-5</v>
      </c>
      <c r="AD5" s="6" t="s">
        <v>8</v>
      </c>
      <c r="AF5" s="6" t="s">
        <v>9</v>
      </c>
      <c r="AG5" s="6">
        <v>-0.57510600000000001</v>
      </c>
      <c r="AH5" s="6">
        <v>6.8108000000000002E-2</v>
      </c>
      <c r="AI5" s="6">
        <v>-8.4439879999999992</v>
      </c>
      <c r="AJ5" s="7">
        <v>2.9541000000000001E-5</v>
      </c>
      <c r="AK5" s="6" t="s">
        <v>8</v>
      </c>
    </row>
    <row r="6" spans="11:37">
      <c r="K6" s="6" t="s">
        <v>11</v>
      </c>
      <c r="L6" s="6">
        <v>-1.6159060000000001</v>
      </c>
      <c r="M6" s="6">
        <v>0.12696499999999999</v>
      </c>
      <c r="N6" s="6">
        <v>-12.727209999999999</v>
      </c>
      <c r="O6" s="7">
        <v>1.3676E-6</v>
      </c>
      <c r="P6" s="6" t="s">
        <v>8</v>
      </c>
      <c r="R6" s="6" t="s">
        <v>11</v>
      </c>
      <c r="S6" s="6">
        <v>-1.656679</v>
      </c>
      <c r="T6" s="6">
        <v>0.11718199999999999</v>
      </c>
      <c r="U6" s="6">
        <v>-14.137639999999999</v>
      </c>
      <c r="V6" s="7">
        <v>6.0928999999999997E-7</v>
      </c>
      <c r="W6" s="6" t="s">
        <v>8</v>
      </c>
      <c r="Y6" s="6" t="s">
        <v>10</v>
      </c>
      <c r="Z6" s="6">
        <v>-1.770381</v>
      </c>
      <c r="AA6" s="6">
        <v>9.5320000000000002E-2</v>
      </c>
      <c r="AB6" s="6">
        <v>-18.573060000000002</v>
      </c>
      <c r="AC6" s="7">
        <v>7.2827999999999995E-8</v>
      </c>
      <c r="AD6" s="6" t="s">
        <v>8</v>
      </c>
      <c r="AF6" s="6" t="s">
        <v>10</v>
      </c>
      <c r="AG6" s="6">
        <v>-1.780743</v>
      </c>
      <c r="AH6" s="6">
        <v>0.104922</v>
      </c>
      <c r="AI6" s="6">
        <v>-16.972073999999999</v>
      </c>
      <c r="AJ6" s="7">
        <v>1.4740000000000001E-7</v>
      </c>
      <c r="AK6" s="6" t="s">
        <v>8</v>
      </c>
    </row>
    <row r="7" spans="11:37">
      <c r="K7" s="6" t="s">
        <v>12</v>
      </c>
      <c r="L7" s="6">
        <v>-0.88710100000000003</v>
      </c>
      <c r="M7" s="6">
        <v>6.9393999999999997E-2</v>
      </c>
      <c r="N7" s="6">
        <v>-12.78351</v>
      </c>
      <c r="O7" s="7">
        <v>1.3221E-6</v>
      </c>
      <c r="P7" s="6" t="s">
        <v>8</v>
      </c>
      <c r="R7" s="6" t="s">
        <v>12</v>
      </c>
      <c r="S7" s="6">
        <v>-0.92047100000000004</v>
      </c>
      <c r="T7" s="6">
        <v>5.8782000000000001E-2</v>
      </c>
      <c r="U7" s="6">
        <v>-15.65898</v>
      </c>
      <c r="V7" s="7">
        <v>2.7599000000000002E-7</v>
      </c>
      <c r="W7" s="6" t="s">
        <v>8</v>
      </c>
      <c r="Y7" s="6" t="s">
        <v>11</v>
      </c>
      <c r="Z7" s="6">
        <v>-1.5282279999999999</v>
      </c>
      <c r="AA7" s="6">
        <v>9.6847000000000003E-2</v>
      </c>
      <c r="AB7" s="6">
        <v>-15.779809999999999</v>
      </c>
      <c r="AC7" s="7">
        <v>2.5998999999999999E-7</v>
      </c>
      <c r="AD7" s="6" t="s">
        <v>8</v>
      </c>
      <c r="AF7" s="6" t="s">
        <v>11</v>
      </c>
      <c r="AG7" s="6">
        <v>-1.529496</v>
      </c>
      <c r="AH7" s="6">
        <v>0.100664</v>
      </c>
      <c r="AI7" s="6">
        <v>-15.194041</v>
      </c>
      <c r="AJ7" s="7">
        <v>3.4877999999999998E-7</v>
      </c>
      <c r="AK7" s="6" t="s">
        <v>8</v>
      </c>
    </row>
    <row r="8" spans="11:37">
      <c r="K8" s="6" t="s">
        <v>13</v>
      </c>
      <c r="L8" s="6">
        <v>-1.1214580000000001</v>
      </c>
      <c r="M8" s="6">
        <v>6.4092999999999997E-2</v>
      </c>
      <c r="N8" s="6">
        <v>-17.497350000000001</v>
      </c>
      <c r="O8" s="7">
        <v>1.1617E-7</v>
      </c>
      <c r="P8" s="6" t="s">
        <v>8</v>
      </c>
      <c r="R8" s="6" t="s">
        <v>13</v>
      </c>
      <c r="S8" s="6">
        <v>-1.1209389999999999</v>
      </c>
      <c r="T8" s="6">
        <v>5.9820999999999999E-2</v>
      </c>
      <c r="U8" s="6">
        <v>-18.738330000000001</v>
      </c>
      <c r="V8" s="7">
        <v>6.7943000000000002E-8</v>
      </c>
      <c r="W8" s="6" t="s">
        <v>8</v>
      </c>
      <c r="Y8" s="6" t="s">
        <v>12</v>
      </c>
      <c r="Z8" s="6">
        <v>-0.947542</v>
      </c>
      <c r="AA8" s="6">
        <v>6.0430999999999999E-2</v>
      </c>
      <c r="AB8" s="6">
        <v>-15.679639999999999</v>
      </c>
      <c r="AC8" s="7">
        <v>2.7318000000000001E-7</v>
      </c>
      <c r="AD8" s="6" t="s">
        <v>8</v>
      </c>
      <c r="AF8" s="6" t="s">
        <v>12</v>
      </c>
      <c r="AG8" s="6">
        <v>-0.94367800000000002</v>
      </c>
      <c r="AH8" s="6">
        <v>5.3837999999999997E-2</v>
      </c>
      <c r="AI8" s="6">
        <v>-17.528179999999999</v>
      </c>
      <c r="AJ8" s="7">
        <v>1.1458E-7</v>
      </c>
      <c r="AK8" s="6" t="s">
        <v>8</v>
      </c>
    </row>
    <row r="9" spans="11:37">
      <c r="K9" s="6" t="s">
        <v>14</v>
      </c>
      <c r="L9" s="6">
        <v>-1.0345549999999999</v>
      </c>
      <c r="M9" s="6">
        <v>0.13144700000000001</v>
      </c>
      <c r="N9" s="6">
        <v>-7.8705100000000003</v>
      </c>
      <c r="O9" s="7">
        <v>4.9101999999999998E-5</v>
      </c>
      <c r="P9" s="6" t="s">
        <v>8</v>
      </c>
      <c r="R9" s="6" t="s">
        <v>14</v>
      </c>
      <c r="S9" s="6">
        <v>-1.037175</v>
      </c>
      <c r="T9" s="6">
        <v>0.12721099999999999</v>
      </c>
      <c r="U9" s="6">
        <v>-8.1532</v>
      </c>
      <c r="V9" s="7">
        <v>3.8084999999999999E-5</v>
      </c>
      <c r="W9" s="6" t="s">
        <v>8</v>
      </c>
      <c r="Y9" s="6" t="s">
        <v>13</v>
      </c>
      <c r="Z9" s="6">
        <v>-1.06958</v>
      </c>
      <c r="AA9" s="6">
        <v>7.0947999999999997E-2</v>
      </c>
      <c r="AB9" s="6">
        <v>-15.07555</v>
      </c>
      <c r="AC9" s="7">
        <v>3.7062000000000002E-7</v>
      </c>
      <c r="AD9" s="6" t="s">
        <v>8</v>
      </c>
      <c r="AF9" s="6" t="s">
        <v>13</v>
      </c>
      <c r="AG9" s="6">
        <v>-1.0754300000000001</v>
      </c>
      <c r="AH9" s="6">
        <v>7.1948999999999999E-2</v>
      </c>
      <c r="AI9" s="6">
        <v>-14.947160999999999</v>
      </c>
      <c r="AJ9" s="7">
        <v>3.9602999999999998E-7</v>
      </c>
      <c r="AK9" s="6" t="s">
        <v>8</v>
      </c>
    </row>
    <row r="10" spans="11:37">
      <c r="K10" s="6" t="s">
        <v>15</v>
      </c>
      <c r="L10" s="6">
        <v>-1.4119349999999999</v>
      </c>
      <c r="M10" s="6">
        <v>0.13173399999999999</v>
      </c>
      <c r="N10" s="6">
        <v>-10.7181</v>
      </c>
      <c r="O10" s="7">
        <v>5.0462000000000001E-6</v>
      </c>
      <c r="P10" s="6" t="s">
        <v>8</v>
      </c>
      <c r="R10" s="6" t="s">
        <v>15</v>
      </c>
      <c r="S10" s="6">
        <v>-1.412059</v>
      </c>
      <c r="T10" s="6">
        <v>0.123985</v>
      </c>
      <c r="U10" s="6">
        <v>-11.388960000000001</v>
      </c>
      <c r="V10" s="7">
        <v>3.1895000000000001E-6</v>
      </c>
      <c r="W10" s="6" t="s">
        <v>8</v>
      </c>
      <c r="Y10" s="6" t="s">
        <v>14</v>
      </c>
      <c r="Z10" s="6">
        <v>-1.025301</v>
      </c>
      <c r="AA10" s="6">
        <v>0.12239700000000001</v>
      </c>
      <c r="AB10" s="6">
        <v>-8.3768399999999996</v>
      </c>
      <c r="AC10" s="7">
        <v>3.1306000000000001E-5</v>
      </c>
      <c r="AD10" s="6" t="s">
        <v>8</v>
      </c>
      <c r="AF10" s="6" t="s">
        <v>14</v>
      </c>
      <c r="AG10" s="6">
        <v>-1.0296369999999999</v>
      </c>
      <c r="AH10" s="6">
        <v>0.12717500000000001</v>
      </c>
      <c r="AI10" s="6">
        <v>-8.0961890000000007</v>
      </c>
      <c r="AJ10" s="7">
        <v>4.0064000000000001E-5</v>
      </c>
      <c r="AK10" s="6" t="s">
        <v>8</v>
      </c>
    </row>
    <row r="11" spans="11:37">
      <c r="K11" s="6" t="s">
        <v>16</v>
      </c>
      <c r="L11" s="6">
        <v>-1.6802809999999999</v>
      </c>
      <c r="M11" s="6">
        <v>0.21734600000000001</v>
      </c>
      <c r="N11" s="6">
        <v>-7.7309000000000001</v>
      </c>
      <c r="O11" s="7">
        <v>5.5816999999999998E-5</v>
      </c>
      <c r="P11" s="6" t="s">
        <v>8</v>
      </c>
      <c r="R11" s="6" t="s">
        <v>16</v>
      </c>
      <c r="S11" s="6">
        <v>-1.6690780000000001</v>
      </c>
      <c r="T11" s="6">
        <v>0.22011700000000001</v>
      </c>
      <c r="U11" s="6">
        <v>-7.5826900000000004</v>
      </c>
      <c r="V11" s="7">
        <v>6.4080999999999999E-5</v>
      </c>
      <c r="W11" s="6" t="s">
        <v>8</v>
      </c>
      <c r="Y11" s="6" t="s">
        <v>15</v>
      </c>
      <c r="Z11" s="6">
        <v>-1.3927160000000001</v>
      </c>
      <c r="AA11" s="6">
        <v>0.12030100000000001</v>
      </c>
      <c r="AB11" s="6">
        <v>-11.576890000000001</v>
      </c>
      <c r="AC11" s="7">
        <v>2.8171000000000001E-6</v>
      </c>
      <c r="AD11" s="6" t="s">
        <v>8</v>
      </c>
      <c r="AF11" s="6" t="s">
        <v>15</v>
      </c>
      <c r="AG11" s="6">
        <v>-1.406561</v>
      </c>
      <c r="AH11" s="6">
        <v>0.13172300000000001</v>
      </c>
      <c r="AI11" s="6">
        <v>-10.678155</v>
      </c>
      <c r="AJ11" s="7">
        <v>5.1900000000000003E-6</v>
      </c>
      <c r="AK11" s="6" t="s">
        <v>8</v>
      </c>
    </row>
    <row r="12" spans="11:37">
      <c r="K12" s="6" t="s">
        <v>17</v>
      </c>
      <c r="L12" s="6">
        <v>-0.57492699999999997</v>
      </c>
      <c r="M12" s="6">
        <v>6.8690000000000001E-2</v>
      </c>
      <c r="N12" s="6">
        <v>-8.3699200000000005</v>
      </c>
      <c r="O12" s="7">
        <v>3.1494E-5</v>
      </c>
      <c r="P12" s="6" t="s">
        <v>8</v>
      </c>
      <c r="R12" s="6" t="s">
        <v>17</v>
      </c>
      <c r="S12" s="6">
        <v>-0.57126699999999997</v>
      </c>
      <c r="T12" s="6">
        <v>6.8411E-2</v>
      </c>
      <c r="U12" s="6">
        <v>-8.3505599999999998</v>
      </c>
      <c r="V12" s="7">
        <v>3.2027999999999999E-5</v>
      </c>
      <c r="W12" s="6" t="s">
        <v>8</v>
      </c>
      <c r="Y12" s="6" t="s">
        <v>16</v>
      </c>
      <c r="Z12" s="6">
        <v>-1.624849</v>
      </c>
      <c r="AA12" s="6">
        <v>0.20555200000000001</v>
      </c>
      <c r="AB12" s="6">
        <v>-7.9047900000000002</v>
      </c>
      <c r="AC12" s="7">
        <v>4.7593999999999999E-5</v>
      </c>
      <c r="AD12" s="6" t="s">
        <v>8</v>
      </c>
      <c r="AF12" s="6" t="s">
        <v>16</v>
      </c>
      <c r="AG12" s="6">
        <v>-1.622217</v>
      </c>
      <c r="AH12" s="6">
        <v>0.20627100000000001</v>
      </c>
      <c r="AI12" s="6">
        <v>-7.8644800000000004</v>
      </c>
      <c r="AJ12" s="7">
        <v>4.9373000000000003E-5</v>
      </c>
      <c r="AK12" s="6" t="s">
        <v>8</v>
      </c>
    </row>
    <row r="13" spans="11:37">
      <c r="K13" s="6" t="s">
        <v>18</v>
      </c>
      <c r="L13" s="6">
        <v>-0.65899700000000005</v>
      </c>
      <c r="M13" s="6">
        <v>7.7451999999999993E-2</v>
      </c>
      <c r="N13" s="6">
        <v>-8.5084400000000002</v>
      </c>
      <c r="O13" s="7">
        <v>2.7951000000000001E-5</v>
      </c>
      <c r="P13" s="6" t="s">
        <v>8</v>
      </c>
      <c r="R13" s="6" t="s">
        <v>18</v>
      </c>
      <c r="S13" s="6">
        <v>-0.650061</v>
      </c>
      <c r="T13" s="6">
        <v>7.9072000000000003E-2</v>
      </c>
      <c r="U13" s="6">
        <v>-8.2211200000000009</v>
      </c>
      <c r="V13" s="7">
        <v>3.5868000000000003E-5</v>
      </c>
      <c r="W13" s="6" t="s">
        <v>8</v>
      </c>
      <c r="Y13" s="6" t="s">
        <v>17</v>
      </c>
      <c r="Z13" s="6">
        <v>-0.54092200000000001</v>
      </c>
      <c r="AA13" s="6">
        <v>5.7775E-2</v>
      </c>
      <c r="AB13" s="6">
        <v>-9.3625600000000002</v>
      </c>
      <c r="AC13" s="7">
        <v>1.3849000000000001E-5</v>
      </c>
      <c r="AD13" s="6" t="s">
        <v>8</v>
      </c>
      <c r="AF13" s="6" t="s">
        <v>17</v>
      </c>
      <c r="AG13" s="6">
        <v>-0.537246</v>
      </c>
      <c r="AH13" s="6">
        <v>5.7117000000000001E-2</v>
      </c>
      <c r="AI13" s="6">
        <v>-9.4061190000000003</v>
      </c>
      <c r="AJ13" s="7">
        <v>1.3380999999999999E-5</v>
      </c>
      <c r="AK13" s="6" t="s">
        <v>8</v>
      </c>
    </row>
    <row r="14" spans="11:37">
      <c r="K14" s="6" t="s">
        <v>19</v>
      </c>
      <c r="L14" s="6">
        <v>-0.81879999999999997</v>
      </c>
      <c r="M14" s="6">
        <v>6.6597000000000003E-2</v>
      </c>
      <c r="N14" s="6">
        <v>-12.294890000000001</v>
      </c>
      <c r="O14" s="7">
        <v>1.7814E-6</v>
      </c>
      <c r="P14" s="6" t="s">
        <v>8</v>
      </c>
      <c r="R14" s="6" t="s">
        <v>19</v>
      </c>
      <c r="S14" s="6">
        <v>-0.83510200000000001</v>
      </c>
      <c r="T14" s="6">
        <v>5.9428000000000002E-2</v>
      </c>
      <c r="U14" s="6">
        <v>-14.05237</v>
      </c>
      <c r="V14" s="7">
        <v>6.3842999999999998E-7</v>
      </c>
      <c r="W14" s="6" t="s">
        <v>8</v>
      </c>
      <c r="Y14" s="6" t="s">
        <v>18</v>
      </c>
      <c r="Z14" s="6">
        <v>-0.58053200000000005</v>
      </c>
      <c r="AA14" s="6">
        <v>5.4788000000000003E-2</v>
      </c>
      <c r="AB14" s="6">
        <v>-10.595890000000001</v>
      </c>
      <c r="AC14" s="7">
        <v>5.5010000000000004E-6</v>
      </c>
      <c r="AD14" s="6" t="s">
        <v>8</v>
      </c>
      <c r="AF14" s="6" t="s">
        <v>18</v>
      </c>
      <c r="AG14" s="6">
        <v>-0.58351699999999995</v>
      </c>
      <c r="AH14" s="6">
        <v>5.8391999999999999E-2</v>
      </c>
      <c r="AI14" s="6">
        <v>-9.9930319999999995</v>
      </c>
      <c r="AJ14" s="7">
        <v>8.5325E-6</v>
      </c>
      <c r="AK14" s="6" t="s">
        <v>8</v>
      </c>
    </row>
    <row r="15" spans="11:37">
      <c r="K15" s="6" t="s">
        <v>20</v>
      </c>
      <c r="L15" s="6">
        <v>-1.0756520000000001</v>
      </c>
      <c r="M15" s="6">
        <v>8.5517999999999997E-2</v>
      </c>
      <c r="N15" s="6">
        <v>-12.578110000000001</v>
      </c>
      <c r="O15" s="7">
        <v>1.4967E-6</v>
      </c>
      <c r="P15" s="6" t="s">
        <v>8</v>
      </c>
      <c r="R15" s="6" t="s">
        <v>20</v>
      </c>
      <c r="S15" s="6">
        <v>-1.097764</v>
      </c>
      <c r="T15" s="6">
        <v>8.2267999999999994E-2</v>
      </c>
      <c r="U15" s="6">
        <v>-13.34375</v>
      </c>
      <c r="V15" s="7">
        <v>9.5117000000000001E-7</v>
      </c>
      <c r="W15" s="6" t="s">
        <v>8</v>
      </c>
      <c r="Y15" s="6" t="s">
        <v>19</v>
      </c>
      <c r="Z15" s="6">
        <v>-0.735371</v>
      </c>
      <c r="AA15" s="6">
        <v>3.5276000000000002E-2</v>
      </c>
      <c r="AB15" s="6">
        <v>-20.8461</v>
      </c>
      <c r="AC15" s="7">
        <v>2.941E-8</v>
      </c>
      <c r="AD15" s="6" t="s">
        <v>8</v>
      </c>
      <c r="AF15" s="6" t="s">
        <v>19</v>
      </c>
      <c r="AG15" s="6">
        <v>-0.71943299999999999</v>
      </c>
      <c r="AH15" s="6">
        <v>4.1628999999999999E-2</v>
      </c>
      <c r="AI15" s="6">
        <v>-17.281863000000001</v>
      </c>
      <c r="AJ15" s="7">
        <v>1.2798000000000001E-7</v>
      </c>
      <c r="AK15" s="6" t="s">
        <v>8</v>
      </c>
    </row>
    <row r="16" spans="11:37">
      <c r="K16" s="6" t="s">
        <v>21</v>
      </c>
      <c r="L16" s="6">
        <v>-0.88611399999999996</v>
      </c>
      <c r="M16" s="6">
        <v>0.11837300000000001</v>
      </c>
      <c r="N16" s="6">
        <v>-7.4857699999999996</v>
      </c>
      <c r="O16" s="7">
        <v>7.0217999999999998E-5</v>
      </c>
      <c r="P16" s="6" t="s">
        <v>8</v>
      </c>
      <c r="R16" s="6" t="s">
        <v>21</v>
      </c>
      <c r="S16" s="6">
        <v>-0.89200100000000004</v>
      </c>
      <c r="T16" s="6">
        <v>0.112785</v>
      </c>
      <c r="U16" s="6">
        <v>-7.9088700000000003</v>
      </c>
      <c r="V16" s="7">
        <v>4.7417999999999999E-5</v>
      </c>
      <c r="W16" s="6" t="s">
        <v>8</v>
      </c>
      <c r="Y16" s="6" t="s">
        <v>20</v>
      </c>
      <c r="Z16" s="6">
        <v>-1.0078739999999999</v>
      </c>
      <c r="AA16" s="6">
        <v>7.9599000000000003E-2</v>
      </c>
      <c r="AB16" s="6">
        <v>-12.66184</v>
      </c>
      <c r="AC16" s="7">
        <v>1.4225999999999999E-6</v>
      </c>
      <c r="AD16" s="6" t="s">
        <v>8</v>
      </c>
      <c r="AF16" s="6" t="s">
        <v>20</v>
      </c>
      <c r="AG16" s="6">
        <v>-1.0201499999999999</v>
      </c>
      <c r="AH16" s="6">
        <v>7.8267000000000003E-2</v>
      </c>
      <c r="AI16" s="6">
        <v>-13.034284</v>
      </c>
      <c r="AJ16" s="7">
        <v>1.1391E-6</v>
      </c>
      <c r="AK16" s="6" t="s">
        <v>8</v>
      </c>
    </row>
    <row r="17" spans="2:37">
      <c r="K17" s="6" t="s">
        <v>22</v>
      </c>
      <c r="L17" s="6">
        <v>-1.47435</v>
      </c>
      <c r="M17" s="6">
        <v>0.15367600000000001</v>
      </c>
      <c r="N17" s="6">
        <v>-9.5938800000000004</v>
      </c>
      <c r="O17" s="7">
        <v>1.1558E-5</v>
      </c>
      <c r="P17" s="6" t="s">
        <v>8</v>
      </c>
      <c r="R17" s="6" t="s">
        <v>22</v>
      </c>
      <c r="S17" s="6">
        <v>-1.4876020000000001</v>
      </c>
      <c r="T17" s="6">
        <v>0.145396</v>
      </c>
      <c r="U17" s="6">
        <v>-10.23141</v>
      </c>
      <c r="V17" s="7">
        <v>7.1536000000000004E-6</v>
      </c>
      <c r="W17" s="6" t="s">
        <v>8</v>
      </c>
      <c r="Y17" s="6" t="s">
        <v>21</v>
      </c>
      <c r="Z17" s="6">
        <v>-0.82398199999999999</v>
      </c>
      <c r="AA17" s="6">
        <v>9.1406000000000001E-2</v>
      </c>
      <c r="AB17" s="6">
        <v>-9.0145300000000006</v>
      </c>
      <c r="AC17" s="7">
        <v>1.8312999999999999E-5</v>
      </c>
      <c r="AD17" s="6" t="s">
        <v>8</v>
      </c>
      <c r="AF17" s="6" t="s">
        <v>21</v>
      </c>
      <c r="AG17" s="6">
        <v>-0.81104200000000004</v>
      </c>
      <c r="AH17" s="6">
        <v>8.3797999999999997E-2</v>
      </c>
      <c r="AI17" s="6">
        <v>-9.6785709999999998</v>
      </c>
      <c r="AJ17" s="7">
        <v>1.0827E-5</v>
      </c>
      <c r="AK17" s="6" t="s">
        <v>8</v>
      </c>
    </row>
    <row r="18" spans="2:37">
      <c r="K18" s="6" t="s">
        <v>23</v>
      </c>
      <c r="L18" s="6">
        <v>-2.1631619999999998</v>
      </c>
      <c r="M18" s="6">
        <v>0.346999</v>
      </c>
      <c r="N18" s="6">
        <v>-6.2339099999999998</v>
      </c>
      <c r="O18" s="7">
        <v>2.5002999999999999E-4</v>
      </c>
      <c r="P18" s="6" t="s">
        <v>8</v>
      </c>
      <c r="R18" s="6" t="s">
        <v>23</v>
      </c>
      <c r="S18" s="6">
        <v>-2.1873019999999999</v>
      </c>
      <c r="T18" s="6">
        <v>0.33418799999999999</v>
      </c>
      <c r="U18" s="6">
        <v>-6.5451199999999998</v>
      </c>
      <c r="V18" s="7">
        <v>1.7939E-4</v>
      </c>
      <c r="W18" s="6" t="s">
        <v>8</v>
      </c>
      <c r="Y18" s="6" t="s">
        <v>22</v>
      </c>
      <c r="Z18" s="6">
        <v>-1.382666</v>
      </c>
      <c r="AA18" s="6">
        <v>0.12593499999999999</v>
      </c>
      <c r="AB18" s="6">
        <v>-10.97922</v>
      </c>
      <c r="AC18" s="7">
        <v>4.2084999999999996E-6</v>
      </c>
      <c r="AD18" s="6" t="s">
        <v>8</v>
      </c>
      <c r="AF18" s="6" t="s">
        <v>22</v>
      </c>
      <c r="AG18" s="6">
        <v>-1.38907</v>
      </c>
      <c r="AH18" s="6">
        <v>0.12909499999999999</v>
      </c>
      <c r="AI18" s="6">
        <v>-10.760054</v>
      </c>
      <c r="AJ18" s="7">
        <v>4.8998000000000001E-6</v>
      </c>
      <c r="AK18" s="6" t="s">
        <v>8</v>
      </c>
    </row>
    <row r="19" spans="2:37">
      <c r="K19" s="6" t="s">
        <v>24</v>
      </c>
      <c r="L19" s="6">
        <v>-0.50530200000000003</v>
      </c>
      <c r="M19" s="6">
        <v>5.5966000000000002E-2</v>
      </c>
      <c r="N19" s="6">
        <v>-9.02867</v>
      </c>
      <c r="O19" s="7">
        <v>1.8102999999999999E-5</v>
      </c>
      <c r="P19" s="6" t="s">
        <v>8</v>
      </c>
      <c r="R19" s="6" t="s">
        <v>24</v>
      </c>
      <c r="S19" s="6">
        <v>-0.48980800000000002</v>
      </c>
      <c r="T19" s="6">
        <v>5.6494999999999997E-2</v>
      </c>
      <c r="U19" s="6">
        <v>-8.6700099999999996</v>
      </c>
      <c r="V19" s="7">
        <v>2.4366999999999999E-5</v>
      </c>
      <c r="W19" s="6" t="s">
        <v>8</v>
      </c>
      <c r="Y19" s="6" t="s">
        <v>23</v>
      </c>
      <c r="Z19" s="6">
        <v>-2.1573449999999998</v>
      </c>
      <c r="AA19" s="6">
        <v>0.33084400000000003</v>
      </c>
      <c r="AB19" s="6">
        <v>-6.5207300000000004</v>
      </c>
      <c r="AC19" s="7">
        <v>1.8404000000000001E-4</v>
      </c>
      <c r="AD19" s="6" t="s">
        <v>8</v>
      </c>
      <c r="AF19" s="6" t="s">
        <v>23</v>
      </c>
      <c r="AG19" s="6">
        <v>-2.1643759999999999</v>
      </c>
      <c r="AH19" s="6">
        <v>0.338895</v>
      </c>
      <c r="AI19" s="6">
        <v>-6.3865699999999999</v>
      </c>
      <c r="AJ19" s="7">
        <v>2.1215000000000001E-4</v>
      </c>
      <c r="AK19" s="6" t="s">
        <v>8</v>
      </c>
    </row>
    <row r="20" spans="2:37">
      <c r="K20" s="6" t="s">
        <v>25</v>
      </c>
      <c r="L20" s="6">
        <v>-0.35070099999999998</v>
      </c>
      <c r="M20" s="6">
        <v>4.3998000000000002E-2</v>
      </c>
      <c r="N20" s="6">
        <v>-7.9708300000000003</v>
      </c>
      <c r="O20" s="7">
        <v>4.4830999999999998E-5</v>
      </c>
      <c r="P20" s="6" t="s">
        <v>8</v>
      </c>
      <c r="R20" s="6" t="s">
        <v>25</v>
      </c>
      <c r="S20" s="6">
        <v>-0.37599100000000002</v>
      </c>
      <c r="T20" s="6">
        <v>4.9660999999999997E-2</v>
      </c>
      <c r="U20" s="6">
        <v>-7.57118</v>
      </c>
      <c r="V20" s="7">
        <v>6.4777999999999995E-5</v>
      </c>
      <c r="W20" s="6" t="s">
        <v>8</v>
      </c>
      <c r="Y20" s="6" t="s">
        <v>24</v>
      </c>
      <c r="Z20" s="6">
        <v>-0.57512200000000002</v>
      </c>
      <c r="AA20" s="6">
        <v>8.5365999999999997E-2</v>
      </c>
      <c r="AB20" s="6">
        <v>-6.7371699999999999</v>
      </c>
      <c r="AC20" s="7">
        <v>1.4698000000000001E-4</v>
      </c>
      <c r="AD20" s="6" t="s">
        <v>8</v>
      </c>
      <c r="AF20" s="6" t="s">
        <v>24</v>
      </c>
      <c r="AG20" s="6">
        <v>-0.57719900000000002</v>
      </c>
      <c r="AH20" s="6">
        <v>9.0159000000000003E-2</v>
      </c>
      <c r="AI20" s="6">
        <v>-6.4020089999999996</v>
      </c>
      <c r="AJ20" s="7">
        <v>2.0869000000000001E-4</v>
      </c>
      <c r="AK20" s="6" t="s">
        <v>8</v>
      </c>
    </row>
    <row r="21" spans="2:37">
      <c r="K21" s="6" t="s">
        <v>26</v>
      </c>
      <c r="L21" s="6">
        <v>-0.52056800000000003</v>
      </c>
      <c r="M21" s="6">
        <v>2.3355999999999998E-2</v>
      </c>
      <c r="N21" s="6">
        <v>-22.288720000000001</v>
      </c>
      <c r="O21" s="7">
        <v>1.7360000000000001E-8</v>
      </c>
      <c r="P21" s="6" t="s">
        <v>8</v>
      </c>
      <c r="R21" s="6" t="s">
        <v>26</v>
      </c>
      <c r="S21" s="6">
        <v>-0.52283599999999997</v>
      </c>
      <c r="T21" s="6">
        <v>2.3111E-2</v>
      </c>
      <c r="U21" s="6">
        <v>-22.623290000000001</v>
      </c>
      <c r="V21" s="7">
        <v>1.5434999999999999E-8</v>
      </c>
      <c r="W21" s="6" t="s">
        <v>8</v>
      </c>
      <c r="Y21" s="6" t="s">
        <v>25</v>
      </c>
      <c r="Z21" s="6">
        <v>-0.52274200000000004</v>
      </c>
      <c r="AA21" s="6">
        <v>6.3994999999999996E-2</v>
      </c>
      <c r="AB21" s="6">
        <v>-8.1685300000000005</v>
      </c>
      <c r="AC21" s="7">
        <v>3.7571999999999999E-5</v>
      </c>
      <c r="AD21" s="6" t="s">
        <v>8</v>
      </c>
      <c r="AF21" s="6" t="s">
        <v>25</v>
      </c>
      <c r="AG21" s="6">
        <v>-0.525868</v>
      </c>
      <c r="AH21" s="6">
        <v>6.4919000000000004E-2</v>
      </c>
      <c r="AI21" s="6">
        <v>-8.1003070000000008</v>
      </c>
      <c r="AJ21" s="7">
        <v>3.9918E-5</v>
      </c>
      <c r="AK21" s="6" t="s">
        <v>8</v>
      </c>
    </row>
    <row r="22" spans="2:37">
      <c r="K22" s="6" t="s">
        <v>27</v>
      </c>
      <c r="L22" s="6">
        <v>-1.612018</v>
      </c>
      <c r="M22" s="6">
        <v>0.16500300000000001</v>
      </c>
      <c r="N22" s="6">
        <v>-9.76966</v>
      </c>
      <c r="O22" s="7">
        <v>1.0098000000000001E-5</v>
      </c>
      <c r="P22" s="6" t="s">
        <v>8</v>
      </c>
      <c r="R22" s="6" t="s">
        <v>27</v>
      </c>
      <c r="S22" s="6">
        <v>-1.6494629999999999</v>
      </c>
      <c r="T22" s="6">
        <v>0.15240400000000001</v>
      </c>
      <c r="U22" s="6">
        <v>-10.822950000000001</v>
      </c>
      <c r="V22" s="7">
        <v>4.6893000000000001E-6</v>
      </c>
      <c r="W22" s="6" t="s">
        <v>8</v>
      </c>
      <c r="Y22" s="6" t="s">
        <v>26</v>
      </c>
      <c r="Z22" s="6">
        <v>-0.52171999999999996</v>
      </c>
      <c r="AA22" s="6">
        <v>2.3890999999999999E-2</v>
      </c>
      <c r="AB22" s="6">
        <v>-21.837520000000001</v>
      </c>
      <c r="AC22" s="7">
        <v>2.0397000000000001E-8</v>
      </c>
      <c r="AD22" s="6" t="s">
        <v>8</v>
      </c>
      <c r="AF22" s="6" t="s">
        <v>26</v>
      </c>
      <c r="AG22" s="6">
        <v>-0.52653099999999997</v>
      </c>
      <c r="AH22" s="6">
        <v>2.7193999999999999E-2</v>
      </c>
      <c r="AI22" s="6">
        <v>-19.361836</v>
      </c>
      <c r="AJ22" s="7">
        <v>5.2556999999999999E-8</v>
      </c>
      <c r="AK22" s="6" t="s">
        <v>8</v>
      </c>
    </row>
    <row r="23" spans="2:37">
      <c r="B23" t="s">
        <v>111</v>
      </c>
      <c r="K23" s="6" t="s">
        <v>28</v>
      </c>
      <c r="L23" s="6">
        <v>-0.86287700000000001</v>
      </c>
      <c r="M23" s="6">
        <v>0.42080200000000001</v>
      </c>
      <c r="N23" s="6">
        <v>-2.0505499999999999</v>
      </c>
      <c r="O23" s="7">
        <v>7.4443999999999996E-2</v>
      </c>
      <c r="P23" s="6" t="s">
        <v>105</v>
      </c>
      <c r="R23" s="6" t="s">
        <v>28</v>
      </c>
      <c r="S23" s="6">
        <v>-0.86726800000000004</v>
      </c>
      <c r="T23" s="6">
        <v>0.420375</v>
      </c>
      <c r="U23" s="6">
        <v>-2.0630799999999998</v>
      </c>
      <c r="V23" s="7">
        <v>7.3009000000000004E-2</v>
      </c>
      <c r="W23" s="6" t="s">
        <v>105</v>
      </c>
      <c r="Y23" s="6" t="s">
        <v>27</v>
      </c>
      <c r="Z23" s="6">
        <v>-1.5157400000000001</v>
      </c>
      <c r="AA23" s="6">
        <v>0.13162399999999999</v>
      </c>
      <c r="AB23" s="6">
        <v>-11.515700000000001</v>
      </c>
      <c r="AC23" s="7">
        <v>2.9326999999999999E-6</v>
      </c>
      <c r="AD23" s="6" t="s">
        <v>8</v>
      </c>
      <c r="AF23" s="6" t="s">
        <v>27</v>
      </c>
      <c r="AG23" s="6">
        <v>-1.523933</v>
      </c>
      <c r="AH23" s="6">
        <v>0.13463</v>
      </c>
      <c r="AI23" s="6">
        <v>-11.319448</v>
      </c>
      <c r="AJ23" s="7">
        <v>3.3409999999999999E-6</v>
      </c>
      <c r="AK23" s="6" t="s">
        <v>8</v>
      </c>
    </row>
    <row r="24" spans="2:37">
      <c r="K24" s="6" t="s">
        <v>30</v>
      </c>
      <c r="L24" s="6">
        <v>-1.6528830000000001</v>
      </c>
      <c r="M24" s="6">
        <v>0.153531</v>
      </c>
      <c r="N24" s="6">
        <v>-10.7658</v>
      </c>
      <c r="O24" s="7">
        <v>4.8802000000000003E-6</v>
      </c>
      <c r="P24" s="6" t="s">
        <v>8</v>
      </c>
      <c r="R24" s="6" t="s">
        <v>30</v>
      </c>
      <c r="S24" s="6">
        <v>-1.6796549999999999</v>
      </c>
      <c r="T24" s="6">
        <v>0.14504500000000001</v>
      </c>
      <c r="U24" s="6">
        <v>-11.58023</v>
      </c>
      <c r="V24" s="7">
        <v>2.8109000000000001E-6</v>
      </c>
      <c r="W24" s="6" t="s">
        <v>8</v>
      </c>
      <c r="Y24" s="6" t="s">
        <v>28</v>
      </c>
      <c r="Z24" s="6">
        <v>-0.83325000000000005</v>
      </c>
      <c r="AA24" s="6">
        <v>0.417348</v>
      </c>
      <c r="AB24" s="6">
        <v>-1.9965299999999999</v>
      </c>
      <c r="AC24" s="7">
        <v>8.0949999999999994E-2</v>
      </c>
      <c r="AD24" s="6" t="s">
        <v>105</v>
      </c>
      <c r="AF24" s="6" t="s">
        <v>28</v>
      </c>
      <c r="AG24" s="6">
        <v>-0.83574000000000004</v>
      </c>
      <c r="AH24" s="6">
        <v>0.42081200000000002</v>
      </c>
      <c r="AI24" s="6">
        <v>-1.986016</v>
      </c>
      <c r="AJ24" s="7">
        <v>8.2279000000000005E-2</v>
      </c>
      <c r="AK24" s="6" t="s">
        <v>105</v>
      </c>
    </row>
    <row r="25" spans="2:37">
      <c r="K25" s="6" t="s">
        <v>31</v>
      </c>
      <c r="L25" s="6">
        <v>-1.4721599999999999</v>
      </c>
      <c r="M25" s="6">
        <v>0.117184</v>
      </c>
      <c r="N25" s="6">
        <v>-12.562799999999999</v>
      </c>
      <c r="O25" s="7">
        <v>1.5107E-6</v>
      </c>
      <c r="P25" s="6" t="s">
        <v>8</v>
      </c>
      <c r="R25" s="6" t="s">
        <v>31</v>
      </c>
      <c r="S25" s="6">
        <v>-1.48231</v>
      </c>
      <c r="T25" s="6">
        <v>0.113311</v>
      </c>
      <c r="U25" s="6">
        <v>-13.08179</v>
      </c>
      <c r="V25" s="7">
        <v>1.1077E-6</v>
      </c>
      <c r="W25" s="6" t="s">
        <v>8</v>
      </c>
      <c r="Y25" s="6" t="s">
        <v>30</v>
      </c>
      <c r="Z25" s="6">
        <v>-1.5771219999999999</v>
      </c>
      <c r="AA25" s="6">
        <v>0.124293</v>
      </c>
      <c r="AB25" s="6">
        <v>-12.68877</v>
      </c>
      <c r="AC25" s="7">
        <v>1.3995999999999999E-6</v>
      </c>
      <c r="AD25" s="6" t="s">
        <v>8</v>
      </c>
      <c r="AF25" s="6" t="s">
        <v>30</v>
      </c>
      <c r="AG25" s="6">
        <v>-1.596503</v>
      </c>
      <c r="AH25" s="6">
        <v>0.13544700000000001</v>
      </c>
      <c r="AI25" s="6">
        <v>-11.786932999999999</v>
      </c>
      <c r="AJ25" s="7">
        <v>2.4572E-6</v>
      </c>
      <c r="AK25" s="6" t="s">
        <v>8</v>
      </c>
    </row>
    <row r="26" spans="2:37">
      <c r="K26" s="6" t="s">
        <v>32</v>
      </c>
      <c r="L26" s="6">
        <v>-1.2012929999999999</v>
      </c>
      <c r="M26" s="6">
        <v>0.121063</v>
      </c>
      <c r="N26" s="6">
        <v>-9.92286</v>
      </c>
      <c r="O26" s="7">
        <v>8.9931000000000003E-6</v>
      </c>
      <c r="P26" s="6" t="s">
        <v>8</v>
      </c>
      <c r="R26" s="6" t="s">
        <v>32</v>
      </c>
      <c r="S26" s="6">
        <v>-1.2176039999999999</v>
      </c>
      <c r="T26" s="6">
        <v>0.116853</v>
      </c>
      <c r="U26" s="6">
        <v>-10.419930000000001</v>
      </c>
      <c r="V26" s="7">
        <v>6.2384999999999996E-6</v>
      </c>
      <c r="W26" s="6" t="s">
        <v>8</v>
      </c>
      <c r="Y26" s="6" t="s">
        <v>31</v>
      </c>
      <c r="Z26" s="6">
        <v>-1.3849130000000001</v>
      </c>
      <c r="AA26" s="6">
        <v>0.115638</v>
      </c>
      <c r="AB26" s="6">
        <v>-11.97631</v>
      </c>
      <c r="AC26" s="7">
        <v>2.1764E-6</v>
      </c>
      <c r="AD26" s="6" t="s">
        <v>8</v>
      </c>
      <c r="AF26" s="6" t="s">
        <v>31</v>
      </c>
      <c r="AG26" s="6">
        <v>-1.3960349999999999</v>
      </c>
      <c r="AH26" s="6">
        <v>0.11004800000000001</v>
      </c>
      <c r="AI26" s="6">
        <v>-12.685734999999999</v>
      </c>
      <c r="AJ26" s="7">
        <v>1.4022000000000001E-6</v>
      </c>
      <c r="AK26" s="6" t="s">
        <v>8</v>
      </c>
    </row>
    <row r="27" spans="2:37">
      <c r="K27" s="6" t="s">
        <v>33</v>
      </c>
      <c r="L27" s="6">
        <v>-0.4919</v>
      </c>
      <c r="M27" s="6">
        <v>9.4312999999999994E-2</v>
      </c>
      <c r="N27" s="6">
        <v>-5.2155899999999997</v>
      </c>
      <c r="O27" s="7">
        <v>8.0690999999999998E-4</v>
      </c>
      <c r="P27" s="6" t="s">
        <v>8</v>
      </c>
      <c r="R27" s="6" t="s">
        <v>33</v>
      </c>
      <c r="S27" s="6">
        <v>-0.487647</v>
      </c>
      <c r="T27" s="6">
        <v>9.6407999999999994E-2</v>
      </c>
      <c r="U27" s="6">
        <v>-5.0581500000000004</v>
      </c>
      <c r="V27" s="7">
        <v>9.7930000000000001E-4</v>
      </c>
      <c r="W27" s="6" t="s">
        <v>8</v>
      </c>
      <c r="Y27" s="6" t="s">
        <v>32</v>
      </c>
      <c r="Z27" s="6">
        <v>-1.170733</v>
      </c>
      <c r="AA27" s="6">
        <v>9.8718E-2</v>
      </c>
      <c r="AB27" s="6">
        <v>-11.85932</v>
      </c>
      <c r="AC27" s="7">
        <v>2.3452999999999998E-6</v>
      </c>
      <c r="AD27" s="6" t="s">
        <v>8</v>
      </c>
      <c r="AF27" s="6" t="s">
        <v>32</v>
      </c>
      <c r="AG27" s="6">
        <v>-1.1770890000000001</v>
      </c>
      <c r="AH27" s="6">
        <v>0.106854</v>
      </c>
      <c r="AI27" s="6">
        <v>-11.015874999999999</v>
      </c>
      <c r="AJ27" s="7">
        <v>4.1038999999999998E-6</v>
      </c>
      <c r="AK27" s="6" t="s">
        <v>8</v>
      </c>
    </row>
    <row r="28" spans="2:37">
      <c r="K28" s="6" t="s">
        <v>34</v>
      </c>
      <c r="L28" s="6">
        <v>-0.91029899999999997</v>
      </c>
      <c r="M28" s="6">
        <v>0.14302300000000001</v>
      </c>
      <c r="N28" s="6">
        <v>-6.3647</v>
      </c>
      <c r="O28" s="7">
        <v>2.1717000000000001E-4</v>
      </c>
      <c r="P28" s="6" t="s">
        <v>8</v>
      </c>
      <c r="R28" s="6" t="s">
        <v>34</v>
      </c>
      <c r="S28" s="6">
        <v>-0.90588100000000005</v>
      </c>
      <c r="T28" s="6">
        <v>0.141955</v>
      </c>
      <c r="U28" s="6">
        <v>-6.3814900000000003</v>
      </c>
      <c r="V28" s="7">
        <v>2.1330000000000001E-4</v>
      </c>
      <c r="W28" s="6" t="s">
        <v>8</v>
      </c>
      <c r="Y28" s="6" t="s">
        <v>33</v>
      </c>
      <c r="Z28" s="6">
        <v>-0.49008099999999999</v>
      </c>
      <c r="AA28" s="6">
        <v>9.9044999999999994E-2</v>
      </c>
      <c r="AB28" s="6">
        <v>-4.9480500000000003</v>
      </c>
      <c r="AC28" s="7">
        <v>1.1236E-3</v>
      </c>
      <c r="AD28" s="6" t="s">
        <v>106</v>
      </c>
      <c r="AF28" s="6" t="s">
        <v>33</v>
      </c>
      <c r="AG28" s="6">
        <v>-0.47645799999999999</v>
      </c>
      <c r="AH28" s="6">
        <v>0.102225</v>
      </c>
      <c r="AI28" s="6">
        <v>-4.6608900000000002</v>
      </c>
      <c r="AJ28" s="7">
        <v>1.6216E-3</v>
      </c>
      <c r="AK28" s="6" t="s">
        <v>106</v>
      </c>
    </row>
    <row r="29" spans="2:37">
      <c r="R29" s="6" t="s">
        <v>102</v>
      </c>
      <c r="S29" s="6">
        <v>0.27940399999999999</v>
      </c>
      <c r="T29" s="6">
        <v>0.25381599999999999</v>
      </c>
      <c r="U29" s="6">
        <v>1.1008100000000001</v>
      </c>
      <c r="V29" s="7">
        <v>0.30298999999999998</v>
      </c>
      <c r="W29" s="6"/>
      <c r="Y29" s="6" t="s">
        <v>34</v>
      </c>
      <c r="Z29" s="6">
        <v>-0.91642400000000002</v>
      </c>
      <c r="AA29" s="6">
        <v>0.141265</v>
      </c>
      <c r="AB29" s="6">
        <v>-6.4872899999999998</v>
      </c>
      <c r="AC29" s="7">
        <v>1.9064E-4</v>
      </c>
      <c r="AD29" s="6" t="s">
        <v>8</v>
      </c>
      <c r="AF29" s="6" t="s">
        <v>34</v>
      </c>
      <c r="AG29" s="6">
        <v>-0.92744700000000002</v>
      </c>
      <c r="AH29" s="6">
        <v>0.151452</v>
      </c>
      <c r="AI29" s="6">
        <v>-6.1237079999999997</v>
      </c>
      <c r="AJ29" s="7">
        <v>2.8202000000000001E-4</v>
      </c>
      <c r="AK29" s="6" t="s">
        <v>8</v>
      </c>
    </row>
    <row r="30" spans="2:37">
      <c r="R30" s="1" t="s">
        <v>102</v>
      </c>
      <c r="S30" s="1">
        <v>0.27940399999999999</v>
      </c>
      <c r="T30" s="1">
        <v>0.25381599999999999</v>
      </c>
      <c r="U30" s="1">
        <v>1.1008100000000001</v>
      </c>
      <c r="V30" s="2">
        <v>0.30298999999999998</v>
      </c>
      <c r="W30" s="1"/>
      <c r="Y30" s="6" t="s">
        <v>102</v>
      </c>
      <c r="Z30" s="6">
        <v>0.33232400000000001</v>
      </c>
      <c r="AA30" s="6">
        <v>0.26236799999999999</v>
      </c>
      <c r="AB30" s="6">
        <v>1.2666299999999999</v>
      </c>
      <c r="AC30" s="7">
        <v>0.24092</v>
      </c>
      <c r="AD30" s="6"/>
      <c r="AF30" s="6" t="s">
        <v>102</v>
      </c>
      <c r="AG30" s="6">
        <v>0.37576100000000001</v>
      </c>
      <c r="AH30" s="6">
        <v>0.23631199999999999</v>
      </c>
      <c r="AI30" s="6">
        <v>1.590109</v>
      </c>
      <c r="AJ30" s="7">
        <v>0.15046999999999999</v>
      </c>
      <c r="AK30" s="6"/>
    </row>
    <row r="31" spans="2:37">
      <c r="M31" t="s">
        <v>99</v>
      </c>
      <c r="N31" t="s">
        <v>107</v>
      </c>
      <c r="O31" t="s">
        <v>108</v>
      </c>
      <c r="P31" s="6" t="s">
        <v>109</v>
      </c>
      <c r="Q31" t="s">
        <v>110</v>
      </c>
      <c r="R31" s="6"/>
      <c r="Y31" s="6" t="s">
        <v>103</v>
      </c>
      <c r="Z31" s="6">
        <v>1.6458759999999999</v>
      </c>
      <c r="AA31" s="6">
        <v>0.35862699999999997</v>
      </c>
      <c r="AB31" s="6">
        <v>4.5893800000000002</v>
      </c>
      <c r="AC31" s="7">
        <v>1.7799999999999999E-3</v>
      </c>
      <c r="AD31" s="6" t="s">
        <v>106</v>
      </c>
      <c r="AF31" s="6" t="s">
        <v>103</v>
      </c>
      <c r="AG31" s="6">
        <v>1.6172359999999999</v>
      </c>
      <c r="AH31" s="6">
        <v>0.33998099999999998</v>
      </c>
      <c r="AI31" s="6">
        <v>4.7568460000000004</v>
      </c>
      <c r="AJ31" s="7">
        <v>1.4326E-3</v>
      </c>
      <c r="AK31" s="6" t="s">
        <v>106</v>
      </c>
    </row>
    <row r="32" spans="2:37">
      <c r="K32" s="6" t="s">
        <v>93</v>
      </c>
      <c r="M32" t="s">
        <v>76</v>
      </c>
      <c r="N32">
        <f>L3/0.8754687</f>
        <v>-0.60451618658668216</v>
      </c>
      <c r="O32">
        <f>S3/0.8754687</f>
        <v>-0.59562723373205695</v>
      </c>
      <c r="P32">
        <f>Z4/0.8754687</f>
        <v>-0.56976680034363314</v>
      </c>
      <c r="Q32">
        <f>AG4/0.8754687</f>
        <v>-0.57590065755634678</v>
      </c>
      <c r="AF32" s="6" t="s">
        <v>104</v>
      </c>
      <c r="AG32" s="6">
        <v>2.2339999999999999E-3</v>
      </c>
      <c r="AH32" s="6">
        <v>2.8240000000000001E-3</v>
      </c>
      <c r="AI32" s="6">
        <v>0.79086900000000004</v>
      </c>
      <c r="AJ32" s="7">
        <v>0.45183000000000001</v>
      </c>
      <c r="AK32" s="8"/>
    </row>
    <row r="33" spans="11:17">
      <c r="K33" s="6" t="s">
        <v>93</v>
      </c>
      <c r="M33" t="s">
        <v>75</v>
      </c>
      <c r="N33">
        <f>L4/0.8754687</f>
        <v>-0.66348688422555824</v>
      </c>
      <c r="O33">
        <f>S4/0.8754687</f>
        <v>-0.66546182633371131</v>
      </c>
      <c r="P33">
        <f>Z5/0.8754687</f>
        <v>-0.65139964455611032</v>
      </c>
      <c r="Q33">
        <f>AG5/0.8754687</f>
        <v>-0.65691212033051549</v>
      </c>
    </row>
    <row r="34" spans="11:17">
      <c r="K34" s="6" t="s">
        <v>93</v>
      </c>
      <c r="M34" t="s">
        <v>73</v>
      </c>
      <c r="N34">
        <f>L5/0.8754687</f>
        <v>-2.1188958554429189</v>
      </c>
      <c r="O34">
        <f>S5/0.8754687</f>
        <v>-2.1561124915145453</v>
      </c>
      <c r="P34">
        <f>Z6/0.8754687</f>
        <v>-2.0222093605402454</v>
      </c>
      <c r="Q34">
        <f>AG6/0.8754687</f>
        <v>-2.0340453062456714</v>
      </c>
    </row>
    <row r="35" spans="11:17">
      <c r="K35" s="6" t="s">
        <v>93</v>
      </c>
      <c r="M35" t="s">
        <v>71</v>
      </c>
      <c r="N35">
        <f>L6/0.8754687</f>
        <v>-1.8457610192117664</v>
      </c>
      <c r="O35">
        <f>S6/0.8754687</f>
        <v>-1.8923337864620404</v>
      </c>
      <c r="P35">
        <f>Z7/0.8754687</f>
        <v>-1.7456112365867562</v>
      </c>
      <c r="Q35">
        <f>AG7/0.8754687</f>
        <v>-1.7470596036157546</v>
      </c>
    </row>
    <row r="36" spans="11:17">
      <c r="K36" s="6" t="s">
        <v>93</v>
      </c>
      <c r="M36" t="s">
        <v>80</v>
      </c>
      <c r="N36">
        <f>L7/0.8754687</f>
        <v>-1.0132869398985938</v>
      </c>
      <c r="O36">
        <f>S7/0.8754687</f>
        <v>-1.0514036652595347</v>
      </c>
      <c r="P36">
        <f>Z8/0.8754687</f>
        <v>-1.0823253875324155</v>
      </c>
      <c r="Q36">
        <f>AG8/0.8754687</f>
        <v>-1.0779117517279602</v>
      </c>
    </row>
    <row r="37" spans="11:17">
      <c r="K37" s="6" t="s">
        <v>93</v>
      </c>
      <c r="M37" t="s">
        <v>79</v>
      </c>
      <c r="N37">
        <f>L8/0.8754687</f>
        <v>-1.2809801195633836</v>
      </c>
      <c r="O37">
        <f>S8/0.8754687</f>
        <v>-1.2803872942573502</v>
      </c>
      <c r="P37">
        <f>Z9/0.8754687</f>
        <v>-1.2217227183564643</v>
      </c>
      <c r="Q37">
        <f>AG9/0.8754687</f>
        <v>-1.2284048533088621</v>
      </c>
    </row>
    <row r="38" spans="11:17">
      <c r="K38" s="6" t="s">
        <v>93</v>
      </c>
      <c r="M38" t="s">
        <v>70</v>
      </c>
      <c r="N38">
        <f>L9/0.8754687</f>
        <v>-1.181715577038905</v>
      </c>
      <c r="O38">
        <f>S9/0.8754687</f>
        <v>-1.1847082597013463</v>
      </c>
      <c r="P38">
        <f>Z10/0.8754687</f>
        <v>-1.1711452391159158</v>
      </c>
      <c r="Q38">
        <f>AG10/0.8754687</f>
        <v>-1.1760980146977269</v>
      </c>
    </row>
    <row r="39" spans="11:17">
      <c r="K39" s="6" t="s">
        <v>93</v>
      </c>
      <c r="M39" t="s">
        <v>68</v>
      </c>
      <c r="N39">
        <f>L10/0.8754687</f>
        <v>-1.612776104959549</v>
      </c>
      <c r="O39">
        <f>S10/0.8754687</f>
        <v>-1.6129177433756341</v>
      </c>
      <c r="P39">
        <f>Z11/0.8754687</f>
        <v>-1.5908232927116641</v>
      </c>
      <c r="Q39">
        <f>AG11/0.8754687</f>
        <v>-1.6066376787656713</v>
      </c>
    </row>
    <row r="40" spans="11:17">
      <c r="K40" s="6" t="s">
        <v>93</v>
      </c>
      <c r="M40" t="s">
        <v>67</v>
      </c>
      <c r="N40">
        <f>L11/0.8754687</f>
        <v>-1.9192930598204139</v>
      </c>
      <c r="O40">
        <f>S11/0.8754687</f>
        <v>-1.90649648582525</v>
      </c>
      <c r="P40">
        <f>Z12/0.8754687</f>
        <v>-1.8559761188492518</v>
      </c>
      <c r="Q40">
        <f>AG12/0.8754687</f>
        <v>-1.8529697292433185</v>
      </c>
    </row>
    <row r="41" spans="11:17">
      <c r="K41" s="6" t="s">
        <v>93</v>
      </c>
      <c r="M41" t="s">
        <v>66</v>
      </c>
      <c r="N41">
        <f>L12/0.8754687</f>
        <v>-0.65670765842342504</v>
      </c>
      <c r="O41">
        <f>S12/0.8754687</f>
        <v>-0.65252704065833533</v>
      </c>
      <c r="P41">
        <f>Z13/0.8754687</f>
        <v>-0.61786560730269402</v>
      </c>
      <c r="Q41">
        <f>AG13/0.8754687</f>
        <v>-0.61366671361294811</v>
      </c>
    </row>
    <row r="42" spans="11:17">
      <c r="K42" s="6" t="s">
        <v>93</v>
      </c>
      <c r="M42" t="s">
        <v>65</v>
      </c>
      <c r="N42">
        <f>L13/0.8754687</f>
        <v>-0.75273622003847773</v>
      </c>
      <c r="O42">
        <f>S13/0.8754687</f>
        <v>-0.74252911611802908</v>
      </c>
      <c r="P42">
        <f>Z14/0.8754687</f>
        <v>-0.66310994327952566</v>
      </c>
      <c r="Q42">
        <f>AG14/0.8754687</f>
        <v>-0.66651954547318482</v>
      </c>
    </row>
    <row r="43" spans="11:17">
      <c r="K43" s="6" t="s">
        <v>93</v>
      </c>
      <c r="M43" t="s">
        <v>64</v>
      </c>
      <c r="N43">
        <f>L14/0.8754687</f>
        <v>-0.93527044427744821</v>
      </c>
      <c r="O43">
        <f>S14/0.8754687</f>
        <v>-0.95389132701146262</v>
      </c>
      <c r="P43">
        <f>Z15/0.8754687</f>
        <v>-0.83997406189393176</v>
      </c>
      <c r="Q43">
        <f>AG15/0.8754687</f>
        <v>-0.82176895644584436</v>
      </c>
    </row>
    <row r="44" spans="11:17">
      <c r="K44" s="6" t="s">
        <v>93</v>
      </c>
      <c r="M44" t="s">
        <v>63</v>
      </c>
      <c r="N44">
        <f>L15/0.8754687</f>
        <v>-1.2286584317634657</v>
      </c>
      <c r="O44">
        <f>S15/0.8754687</f>
        <v>-1.2539157596382371</v>
      </c>
      <c r="P44">
        <f>Z16/0.8754687</f>
        <v>-1.1512393304295172</v>
      </c>
      <c r="Q44">
        <f>AG16/0.8754687</f>
        <v>-1.165261533621933</v>
      </c>
    </row>
    <row r="45" spans="11:17">
      <c r="K45" s="6" t="s">
        <v>93</v>
      </c>
      <c r="M45" t="s">
        <v>59</v>
      </c>
      <c r="N45">
        <f>L16/0.8754687</f>
        <v>-1.0121595437963686</v>
      </c>
      <c r="O45">
        <f>S16/0.8754687</f>
        <v>-1.0188839418245337</v>
      </c>
      <c r="P45">
        <f>Z17/0.8754687</f>
        <v>-0.94118955937545223</v>
      </c>
      <c r="Q45">
        <f>AG17/0.8754687</f>
        <v>-0.92640890530980724</v>
      </c>
    </row>
    <row r="46" spans="11:17">
      <c r="K46" s="6" t="s">
        <v>93</v>
      </c>
      <c r="M46" t="s">
        <v>58</v>
      </c>
      <c r="N46">
        <f>L17/0.8754687</f>
        <v>-1.684069344797821</v>
      </c>
      <c r="O46">
        <f>S17/0.8754687</f>
        <v>-1.6992063793942607</v>
      </c>
      <c r="P46">
        <f>Z18/0.8754687</f>
        <v>-1.5793437275370323</v>
      </c>
      <c r="Q46">
        <f>AG18/0.8754687</f>
        <v>-1.5866586663806486</v>
      </c>
    </row>
    <row r="47" spans="11:17">
      <c r="K47" s="6" t="s">
        <v>93</v>
      </c>
      <c r="M47" t="s">
        <v>56</v>
      </c>
      <c r="N47">
        <f>L18/0.8754687</f>
        <v>-2.4708616081877053</v>
      </c>
      <c r="O47">
        <f>S18/0.8754687</f>
        <v>-2.4984354095126413</v>
      </c>
      <c r="P47">
        <f>Z19/0.8754687</f>
        <v>-2.4642171673299114</v>
      </c>
      <c r="Q47">
        <f>AG19/0.8754687</f>
        <v>-2.4722482939709893</v>
      </c>
    </row>
    <row r="48" spans="11:17">
      <c r="K48" s="6" t="s">
        <v>93</v>
      </c>
      <c r="M48" t="s">
        <v>55</v>
      </c>
      <c r="N48">
        <f>L19/0.8754687</f>
        <v>-0.57717883003698478</v>
      </c>
      <c r="O48">
        <f>S19/0.8754687</f>
        <v>-0.55948088149810504</v>
      </c>
      <c r="P48">
        <f>Z20/0.8754687</f>
        <v>-0.65693039625517169</v>
      </c>
      <c r="Q48">
        <f>AG20/0.8754687</f>
        <v>-0.65930283972459558</v>
      </c>
    </row>
    <row r="49" spans="11:17">
      <c r="K49" s="6" t="s">
        <v>93</v>
      </c>
      <c r="M49" t="s">
        <v>53</v>
      </c>
      <c r="N49">
        <f>L20/0.8754687</f>
        <v>-0.40058656580183849</v>
      </c>
      <c r="O49">
        <f>S20/0.8754687</f>
        <v>-0.42947394921143384</v>
      </c>
      <c r="P49">
        <f>Z21/0.8754687</f>
        <v>-0.59709958791216644</v>
      </c>
      <c r="Q49">
        <f>AG21/0.8754687</f>
        <v>-0.60067024669185776</v>
      </c>
    </row>
    <row r="50" spans="11:17">
      <c r="K50" s="6" t="s">
        <v>93</v>
      </c>
      <c r="M50" t="s">
        <v>50</v>
      </c>
      <c r="N50">
        <f>L21/0.8754687</f>
        <v>-0.59461634664951479</v>
      </c>
      <c r="O50">
        <f>S21/0.8754687</f>
        <v>-0.59720695896952114</v>
      </c>
      <c r="P50">
        <f>Z22/0.8754687</f>
        <v>-0.59593221322475598</v>
      </c>
      <c r="Q50">
        <f>AG22/0.8754687</f>
        <v>-0.60142755531979608</v>
      </c>
    </row>
    <row r="51" spans="11:17">
      <c r="K51" s="6" t="s">
        <v>93</v>
      </c>
      <c r="M51" t="s">
        <v>48</v>
      </c>
      <c r="N51">
        <f>L22/0.8754687</f>
        <v>-1.8413199695203266</v>
      </c>
      <c r="O51">
        <f>S22/0.8754687</f>
        <v>-1.8840913444421257</v>
      </c>
      <c r="P51">
        <f>Z23/0.8754687</f>
        <v>-1.731346877392647</v>
      </c>
      <c r="Q51">
        <f>AG23/0.8754687</f>
        <v>-1.7407052930618765</v>
      </c>
    </row>
    <row r="52" spans="11:17">
      <c r="K52" s="6" t="s">
        <v>93</v>
      </c>
      <c r="M52" t="s">
        <v>47</v>
      </c>
      <c r="N52">
        <f>L23/0.8754687</f>
        <v>-0.9856171899692131</v>
      </c>
      <c r="O52">
        <f>S23/0.8754687</f>
        <v>-0.99063278904202978</v>
      </c>
      <c r="P52">
        <f>Z24/0.8754687</f>
        <v>-0.95177588873251562</v>
      </c>
      <c r="Q52">
        <f>AG24/0.8754687</f>
        <v>-0.9546200795071258</v>
      </c>
    </row>
    <row r="53" spans="11:17">
      <c r="K53" s="6" t="s">
        <v>93</v>
      </c>
      <c r="M53" t="s">
        <v>45</v>
      </c>
      <c r="N53">
        <f>L24/0.8754687</f>
        <v>-1.8879978233373735</v>
      </c>
      <c r="O53">
        <f>S24/0.8754687</f>
        <v>-1.9185780142682427</v>
      </c>
      <c r="P53">
        <f>Z25/0.8754687</f>
        <v>-1.8014601778453072</v>
      </c>
      <c r="Q53">
        <f>AG25/0.8754687</f>
        <v>-1.8235980338303357</v>
      </c>
    </row>
    <row r="54" spans="11:17">
      <c r="K54" s="6" t="s">
        <v>93</v>
      </c>
      <c r="M54" t="s">
        <v>44</v>
      </c>
      <c r="N54">
        <f>L25/0.8754687</f>
        <v>-1.681567827610513</v>
      </c>
      <c r="O54">
        <f>S25/0.8754687</f>
        <v>-1.6931616173142456</v>
      </c>
      <c r="P54">
        <f>Z26/0.8754687</f>
        <v>-1.5819103527059277</v>
      </c>
      <c r="Q54">
        <f>AG26/0.8754687</f>
        <v>-1.5946144048325199</v>
      </c>
    </row>
    <row r="55" spans="11:17">
      <c r="K55" s="6" t="s">
        <v>93</v>
      </c>
      <c r="M55" t="s">
        <v>43</v>
      </c>
      <c r="N55">
        <f>L26/0.8754687</f>
        <v>-1.3721712723710167</v>
      </c>
      <c r="O55">
        <f>S26/0.8754687</f>
        <v>-1.3908024353126502</v>
      </c>
      <c r="P55">
        <f>Z27/0.8754687</f>
        <v>-1.3372642562778088</v>
      </c>
      <c r="Q55">
        <f>AG27/0.8754687</f>
        <v>-1.3445243673474563</v>
      </c>
    </row>
    <row r="56" spans="11:17">
      <c r="K56" s="6" t="s">
        <v>93</v>
      </c>
      <c r="M56" t="s">
        <v>42</v>
      </c>
      <c r="N56">
        <f>L27/0.8754687</f>
        <v>-0.561870458646894</v>
      </c>
      <c r="O56">
        <f>S27/0.8754687</f>
        <v>-0.55701248942423642</v>
      </c>
      <c r="P56">
        <f>Z28/0.8754687</f>
        <v>-0.55979271446255019</v>
      </c>
      <c r="Q56">
        <f>AG28/0.8754687</f>
        <v>-0.5442319068631466</v>
      </c>
    </row>
    <row r="57" spans="11:17">
      <c r="K57" s="6" t="s">
        <v>93</v>
      </c>
      <c r="M57" t="s">
        <v>41</v>
      </c>
      <c r="N57">
        <f>L28/0.8754687</f>
        <v>-1.0397847461594001</v>
      </c>
      <c r="O57">
        <f>S28/0.8754687</f>
        <v>-1.0347383064637263</v>
      </c>
      <c r="P57">
        <f>Z29/0.8754687</f>
        <v>-1.0467809985668248</v>
      </c>
      <c r="Q57">
        <f>AG29/0.8754687</f>
        <v>-1.0593719684096075</v>
      </c>
    </row>
    <row r="59" spans="11:17">
      <c r="K59" t="s">
        <v>98</v>
      </c>
      <c r="L59" t="s">
        <v>107</v>
      </c>
      <c r="M59" t="s">
        <v>108</v>
      </c>
      <c r="N59" t="s">
        <v>109</v>
      </c>
      <c r="O59" t="s">
        <v>110</v>
      </c>
    </row>
    <row r="60" spans="11:17">
      <c r="K60" t="s">
        <v>42</v>
      </c>
      <c r="L60">
        <v>-0.561870458646894</v>
      </c>
      <c r="M60">
        <v>-0.55701248942423642</v>
      </c>
      <c r="N60">
        <v>-0.55979271446255019</v>
      </c>
      <c r="O60">
        <v>-0.5442319068631466</v>
      </c>
      <c r="P60">
        <f>ROWS($A$2:$A$27)-ROWS($A$2:A2)+1</f>
        <v>26</v>
      </c>
    </row>
    <row r="61" spans="11:17">
      <c r="K61" t="s">
        <v>76</v>
      </c>
      <c r="L61">
        <v>-0.60451618658668216</v>
      </c>
      <c r="M61">
        <v>-0.59562723373205695</v>
      </c>
      <c r="N61">
        <v>-0.56976680034363314</v>
      </c>
      <c r="O61">
        <v>-0.57590065755634678</v>
      </c>
      <c r="P61">
        <f>ROWS($A$2:$A$27)-ROWS($A$2:A3)+1</f>
        <v>25</v>
      </c>
    </row>
    <row r="62" spans="11:17">
      <c r="K62" t="s">
        <v>53</v>
      </c>
      <c r="L62">
        <v>-0.40058656580183849</v>
      </c>
      <c r="M62">
        <v>-0.42947394921143384</v>
      </c>
      <c r="N62">
        <v>-0.59709958791216644</v>
      </c>
      <c r="O62">
        <v>-0.60067024669185776</v>
      </c>
      <c r="P62">
        <f>ROWS($A$2:$A$27)-ROWS($A$2:A4)+1</f>
        <v>24</v>
      </c>
    </row>
    <row r="63" spans="11:17">
      <c r="K63" t="s">
        <v>50</v>
      </c>
      <c r="L63">
        <v>-0.59461634664951479</v>
      </c>
      <c r="M63">
        <v>-0.59720695896952114</v>
      </c>
      <c r="N63">
        <v>-0.59593221322475598</v>
      </c>
      <c r="O63">
        <v>-0.60142755531979608</v>
      </c>
      <c r="P63">
        <f>ROWS($A$2:$A$27)-ROWS($A$2:A5)+1</f>
        <v>23</v>
      </c>
    </row>
    <row r="64" spans="11:17">
      <c r="K64" t="s">
        <v>66</v>
      </c>
      <c r="L64">
        <v>-0.65670765842342504</v>
      </c>
      <c r="M64">
        <v>-0.65252704065833533</v>
      </c>
      <c r="N64">
        <v>-0.61786560730269402</v>
      </c>
      <c r="O64">
        <v>-0.61366671361294811</v>
      </c>
      <c r="P64">
        <f>ROWS($A$2:$A$27)-ROWS($A$2:A6)+1</f>
        <v>22</v>
      </c>
    </row>
    <row r="65" spans="11:16">
      <c r="K65" t="s">
        <v>75</v>
      </c>
      <c r="L65">
        <v>-0.66348688422555824</v>
      </c>
      <c r="M65">
        <v>-0.66546182633371131</v>
      </c>
      <c r="N65">
        <v>-0.65139964455611032</v>
      </c>
      <c r="O65">
        <v>-0.65691212033051549</v>
      </c>
      <c r="P65">
        <f>ROWS($A$2:$A$27)-ROWS($A$2:A7)+1</f>
        <v>21</v>
      </c>
    </row>
    <row r="66" spans="11:16">
      <c r="K66" t="s">
        <v>55</v>
      </c>
      <c r="L66">
        <v>-0.57717883003698478</v>
      </c>
      <c r="M66">
        <v>-0.55948088149810504</v>
      </c>
      <c r="N66">
        <v>-0.65693039625517169</v>
      </c>
      <c r="O66">
        <v>-0.65930283972459558</v>
      </c>
      <c r="P66">
        <f>ROWS($A$2:$A$27)-ROWS($A$2:A8)+1</f>
        <v>20</v>
      </c>
    </row>
    <row r="67" spans="11:16">
      <c r="K67" t="s">
        <v>65</v>
      </c>
      <c r="L67">
        <v>-0.75273622003847773</v>
      </c>
      <c r="M67">
        <v>-0.74252911611802908</v>
      </c>
      <c r="N67">
        <v>-0.66310994327952566</v>
      </c>
      <c r="O67">
        <v>-0.66651954547318482</v>
      </c>
      <c r="P67">
        <f>ROWS($A$2:$A$27)-ROWS($A$2:A9)+1</f>
        <v>19</v>
      </c>
    </row>
    <row r="68" spans="11:16">
      <c r="K68" t="s">
        <v>64</v>
      </c>
      <c r="L68">
        <v>-0.93527044427744821</v>
      </c>
      <c r="M68">
        <v>-0.95389132701146262</v>
      </c>
      <c r="N68">
        <v>-0.83997406189393176</v>
      </c>
      <c r="O68">
        <v>-0.82176895644584436</v>
      </c>
      <c r="P68">
        <f>ROWS($A$2:$A$27)-ROWS($A$2:A10)+1</f>
        <v>18</v>
      </c>
    </row>
    <row r="69" spans="11:16">
      <c r="K69" t="s">
        <v>59</v>
      </c>
      <c r="L69">
        <v>-1.0121595437963686</v>
      </c>
      <c r="M69">
        <v>-1.0188839418245337</v>
      </c>
      <c r="N69">
        <v>-0.94118955937545223</v>
      </c>
      <c r="O69">
        <v>-0.92640890530980724</v>
      </c>
      <c r="P69">
        <f>ROWS($A$2:$A$27)-ROWS($A$2:A11)+1</f>
        <v>17</v>
      </c>
    </row>
    <row r="70" spans="11:16">
      <c r="K70" t="s">
        <v>47</v>
      </c>
      <c r="L70">
        <v>-0.9856171899692131</v>
      </c>
      <c r="M70">
        <v>-0.99063278904202978</v>
      </c>
      <c r="N70">
        <v>-0.95177588873251562</v>
      </c>
      <c r="O70">
        <v>-0.9546200795071258</v>
      </c>
      <c r="P70">
        <f>ROWS($A$2:$A$27)-ROWS($A$2:A12)+1</f>
        <v>16</v>
      </c>
    </row>
    <row r="71" spans="11:16">
      <c r="K71" t="s">
        <v>41</v>
      </c>
      <c r="L71">
        <v>-1.0397847461594001</v>
      </c>
      <c r="M71">
        <v>-1.0347383064637263</v>
      </c>
      <c r="N71">
        <v>-1.0467809985668248</v>
      </c>
      <c r="O71">
        <v>-1.0593719684096075</v>
      </c>
      <c r="P71">
        <f>ROWS($A$2:$A$27)-ROWS($A$2:A13)+1</f>
        <v>15</v>
      </c>
    </row>
    <row r="72" spans="11:16">
      <c r="K72" t="s">
        <v>80</v>
      </c>
      <c r="L72">
        <v>-1.0132869398985938</v>
      </c>
      <c r="M72">
        <v>-1.0514036652595347</v>
      </c>
      <c r="N72">
        <v>-1.0823253875324155</v>
      </c>
      <c r="O72">
        <v>-1.0779117517279602</v>
      </c>
      <c r="P72">
        <f>ROWS($A$2:$A$27)-ROWS($A$2:A14)+1</f>
        <v>14</v>
      </c>
    </row>
    <row r="73" spans="11:16">
      <c r="K73" t="s">
        <v>63</v>
      </c>
      <c r="L73">
        <v>-1.2286584317634657</v>
      </c>
      <c r="M73">
        <v>-1.2539157596382371</v>
      </c>
      <c r="N73">
        <v>-1.1512393304295172</v>
      </c>
      <c r="O73">
        <v>-1.165261533621933</v>
      </c>
      <c r="P73">
        <f>ROWS($A$2:$A$27)-ROWS($A$2:A15)+1</f>
        <v>13</v>
      </c>
    </row>
    <row r="74" spans="11:16">
      <c r="K74" t="s">
        <v>70</v>
      </c>
      <c r="L74">
        <v>-1.181715577038905</v>
      </c>
      <c r="M74">
        <v>-1.1847082597013463</v>
      </c>
      <c r="N74">
        <v>-1.1711452391159158</v>
      </c>
      <c r="O74">
        <v>-1.1760980146977269</v>
      </c>
      <c r="P74">
        <f>ROWS($A$2:$A$27)-ROWS($A$2:A16)+1</f>
        <v>12</v>
      </c>
    </row>
    <row r="75" spans="11:16">
      <c r="K75" t="s">
        <v>79</v>
      </c>
      <c r="L75">
        <v>-1.2809801195633836</v>
      </c>
      <c r="M75">
        <v>-1.2803872942573502</v>
      </c>
      <c r="N75">
        <v>-1.2217227183564643</v>
      </c>
      <c r="O75">
        <v>-1.2284048533088621</v>
      </c>
      <c r="P75">
        <f>ROWS($A$2:$A$27)-ROWS($A$2:A17)+1</f>
        <v>11</v>
      </c>
    </row>
    <row r="76" spans="11:16">
      <c r="K76" t="s">
        <v>43</v>
      </c>
      <c r="L76">
        <v>-1.3721712723710167</v>
      </c>
      <c r="M76">
        <v>-1.3908024353126502</v>
      </c>
      <c r="N76">
        <v>-1.3372642562778088</v>
      </c>
      <c r="O76">
        <v>-1.3445243673474563</v>
      </c>
      <c r="P76">
        <f>ROWS($A$2:$A$27)-ROWS($A$2:A18)+1</f>
        <v>10</v>
      </c>
    </row>
    <row r="77" spans="11:16">
      <c r="K77" t="s">
        <v>58</v>
      </c>
      <c r="L77">
        <v>-1.684069344797821</v>
      </c>
      <c r="M77">
        <v>-1.6992063793942607</v>
      </c>
      <c r="N77">
        <v>-1.5793437275370323</v>
      </c>
      <c r="O77">
        <v>-1.5866586663806486</v>
      </c>
      <c r="P77">
        <f>ROWS($A$2:$A$27)-ROWS($A$2:A19)+1</f>
        <v>9</v>
      </c>
    </row>
    <row r="78" spans="11:16">
      <c r="K78" t="s">
        <v>44</v>
      </c>
      <c r="L78">
        <v>-1.681567827610513</v>
      </c>
      <c r="M78">
        <v>-1.6931616173142456</v>
      </c>
      <c r="N78">
        <v>-1.5819103527059277</v>
      </c>
      <c r="O78">
        <v>-1.5946144048325199</v>
      </c>
      <c r="P78">
        <f>ROWS($A$2:$A$27)-ROWS($A$2:A20)+1</f>
        <v>8</v>
      </c>
    </row>
    <row r="79" spans="11:16">
      <c r="K79" t="s">
        <v>68</v>
      </c>
      <c r="L79">
        <v>-1.612776104959549</v>
      </c>
      <c r="M79">
        <v>-1.6129177433756341</v>
      </c>
      <c r="N79">
        <v>-1.5908232927116641</v>
      </c>
      <c r="O79">
        <v>-1.6066376787656713</v>
      </c>
      <c r="P79">
        <f>ROWS($A$2:$A$27)-ROWS($A$2:A21)+1</f>
        <v>7</v>
      </c>
    </row>
    <row r="80" spans="11:16">
      <c r="K80" t="s">
        <v>48</v>
      </c>
      <c r="L80">
        <v>-1.8413199695203266</v>
      </c>
      <c r="M80">
        <v>-1.8840913444421257</v>
      </c>
      <c r="N80">
        <v>-1.731346877392647</v>
      </c>
      <c r="O80">
        <v>-1.7407052930618765</v>
      </c>
      <c r="P80">
        <f>ROWS($A$2:$A$27)-ROWS($A$2:A22)+1</f>
        <v>6</v>
      </c>
    </row>
    <row r="81" spans="11:16">
      <c r="K81" t="s">
        <v>71</v>
      </c>
      <c r="L81">
        <v>-1.8457610192117664</v>
      </c>
      <c r="M81">
        <v>-1.8923337864620404</v>
      </c>
      <c r="N81">
        <v>-1.7456112365867562</v>
      </c>
      <c r="O81">
        <v>-1.7470596036157546</v>
      </c>
      <c r="P81">
        <f>ROWS($A$2:$A$27)-ROWS($A$2:A23)+1</f>
        <v>5</v>
      </c>
    </row>
    <row r="82" spans="11:16">
      <c r="K82" t="s">
        <v>45</v>
      </c>
      <c r="L82">
        <v>-1.8879978233373735</v>
      </c>
      <c r="M82">
        <v>-1.9185780142682427</v>
      </c>
      <c r="N82">
        <v>-1.8014601778453072</v>
      </c>
      <c r="O82">
        <v>-1.8235980338303357</v>
      </c>
      <c r="P82">
        <f>ROWS($A$2:$A$27)-ROWS($A$2:A24)+1</f>
        <v>4</v>
      </c>
    </row>
    <row r="83" spans="11:16">
      <c r="K83" t="s">
        <v>67</v>
      </c>
      <c r="L83">
        <v>-1.9192930598204139</v>
      </c>
      <c r="M83">
        <v>-1.90649648582525</v>
      </c>
      <c r="N83">
        <v>-1.8559761188492518</v>
      </c>
      <c r="O83">
        <v>-1.8529697292433185</v>
      </c>
      <c r="P83">
        <f>ROWS($A$2:$A$27)-ROWS($A$2:A25)+1</f>
        <v>3</v>
      </c>
    </row>
    <row r="84" spans="11:16">
      <c r="K84" t="s">
        <v>73</v>
      </c>
      <c r="L84">
        <v>-2.1188958554429189</v>
      </c>
      <c r="M84">
        <v>-2.1561124915145453</v>
      </c>
      <c r="N84">
        <v>-2.0222093605402454</v>
      </c>
      <c r="O84">
        <v>-2.0340453062456714</v>
      </c>
      <c r="P84">
        <f>ROWS($A$2:$A$27)-ROWS($A$2:A26)+1</f>
        <v>2</v>
      </c>
    </row>
    <row r="85" spans="11:16">
      <c r="K85" t="s">
        <v>56</v>
      </c>
      <c r="L85">
        <v>-2.4708616081877053</v>
      </c>
      <c r="M85">
        <v>-2.4984354095126413</v>
      </c>
      <c r="N85">
        <v>-2.4642171673299114</v>
      </c>
      <c r="O85">
        <v>-2.4722482939709893</v>
      </c>
      <c r="P85">
        <f>ROWS($A$2:$A$27)-ROWS($A$2:A27)+1</f>
        <v>1</v>
      </c>
    </row>
  </sheetData>
  <mergeCells count="1">
    <mergeCell ref="K1:K2"/>
  </mergeCells>
  <phoneticPr fontId="8" type="noConversion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fig5-data</vt:lpstr>
      <vt:lpstr>fig5--reproduces</vt:lpstr>
      <vt:lpstr>fig4--reporduces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2026-08-29T09:34:18Z</dcterms:created>
  <dcterms:modified xsi:type="dcterms:W3CDTF">2026-08-29T10:50:06Z</dcterms:modified>
</cp:coreProperties>
</file>