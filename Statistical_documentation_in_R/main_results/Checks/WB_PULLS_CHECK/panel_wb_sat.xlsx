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oycho/Documents/GitHub/Estimating_price_elasticity/Statistical_documentation_in_R/main_results/Checks/WB_PULLS_CHECK/"/>
    </mc:Choice>
  </mc:AlternateContent>
  <xr:revisionPtr revIDLastSave="0" documentId="13_ncr:1_{67777A7D-B7CB-C140-AC94-31003C2B6590}" xr6:coauthVersionLast="47" xr6:coauthVersionMax="47" xr10:uidLastSave="{00000000-0000-0000-0000-000000000000}"/>
  <bookViews>
    <workbookView xWindow="480" yWindow="500" windowWidth="28800" windowHeight="15900" activeTab="2" xr2:uid="{00000000-000D-0000-FFFF-FFFF00000000}"/>
  </bookViews>
  <sheets>
    <sheet name="main_df" sheetId="1" r:id="rId1"/>
    <sheet name="GDP" sheetId="2" r:id="rId2"/>
    <sheet name="YU" sheetId="4" r:id="rId3"/>
    <sheet name="POP" sheetId="5" r:id="rId4"/>
    <sheet name="Sheet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2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3" i="1"/>
  <c r="C4" i="1"/>
  <c r="C5" i="1"/>
  <c r="C6" i="1"/>
  <c r="C7" i="1"/>
  <c r="C8" i="1"/>
  <c r="C9" i="1"/>
  <c r="C10" i="1"/>
  <c r="C11" i="1"/>
  <c r="C2" i="1"/>
  <c r="V469" i="1"/>
  <c r="AH469" i="1" s="1"/>
  <c r="V468" i="1"/>
  <c r="AH468" i="1" s="1"/>
  <c r="V467" i="1"/>
  <c r="AH467" i="1" s="1"/>
  <c r="V466" i="1"/>
  <c r="AH466" i="1" s="1"/>
  <c r="V465" i="1"/>
  <c r="AH465" i="1" s="1"/>
  <c r="V464" i="1"/>
  <c r="AH464" i="1" s="1"/>
  <c r="V463" i="1"/>
  <c r="AH463" i="1" s="1"/>
  <c r="V462" i="1"/>
  <c r="AH462" i="1" s="1"/>
  <c r="V461" i="1"/>
  <c r="AH461" i="1" s="1"/>
  <c r="V460" i="1"/>
  <c r="AH460" i="1" s="1"/>
  <c r="V459" i="1"/>
  <c r="AH459" i="1" s="1"/>
  <c r="V458" i="1"/>
  <c r="AH458" i="1" s="1"/>
  <c r="V457" i="1"/>
  <c r="AH457" i="1" s="1"/>
  <c r="V456" i="1"/>
  <c r="AH456" i="1" s="1"/>
  <c r="V455" i="1"/>
  <c r="AH455" i="1" s="1"/>
  <c r="V454" i="1"/>
  <c r="AH454" i="1" s="1"/>
  <c r="V453" i="1"/>
  <c r="AH453" i="1" s="1"/>
  <c r="V452" i="1"/>
  <c r="AH452" i="1" s="1"/>
  <c r="V451" i="1"/>
  <c r="AH451" i="1" s="1"/>
  <c r="V450" i="1"/>
  <c r="AH450" i="1" s="1"/>
  <c r="V449" i="1"/>
  <c r="AH449" i="1" s="1"/>
  <c r="V448" i="1"/>
  <c r="AH448" i="1" s="1"/>
  <c r="V447" i="1"/>
  <c r="AH447" i="1" s="1"/>
  <c r="V446" i="1"/>
  <c r="AH446" i="1" s="1"/>
  <c r="V445" i="1"/>
  <c r="AH445" i="1" s="1"/>
  <c r="V444" i="1"/>
  <c r="AH444" i="1" s="1"/>
  <c r="V443" i="1"/>
  <c r="AH443" i="1" s="1"/>
  <c r="V442" i="1"/>
  <c r="AH442" i="1" s="1"/>
  <c r="V441" i="1"/>
  <c r="AH441" i="1" s="1"/>
  <c r="V440" i="1"/>
  <c r="AH440" i="1" s="1"/>
  <c r="V439" i="1"/>
  <c r="AH439" i="1" s="1"/>
  <c r="V438" i="1"/>
  <c r="AH438" i="1" s="1"/>
  <c r="V437" i="1"/>
  <c r="AH437" i="1" s="1"/>
  <c r="V436" i="1"/>
  <c r="AH436" i="1" s="1"/>
  <c r="V435" i="1"/>
  <c r="AH435" i="1" s="1"/>
  <c r="V434" i="1"/>
  <c r="AH434" i="1" s="1"/>
  <c r="V433" i="1"/>
  <c r="AH433" i="1" s="1"/>
  <c r="V432" i="1"/>
  <c r="AH432" i="1" s="1"/>
  <c r="V431" i="1"/>
  <c r="AH431" i="1" s="1"/>
  <c r="V430" i="1"/>
  <c r="AH430" i="1" s="1"/>
  <c r="V429" i="1"/>
  <c r="AH429" i="1" s="1"/>
  <c r="V428" i="1"/>
  <c r="AH428" i="1" s="1"/>
  <c r="V427" i="1"/>
  <c r="AH427" i="1" s="1"/>
  <c r="V426" i="1"/>
  <c r="AH426" i="1" s="1"/>
  <c r="V425" i="1"/>
  <c r="AH425" i="1" s="1"/>
  <c r="V424" i="1"/>
  <c r="AH424" i="1" s="1"/>
  <c r="V423" i="1"/>
  <c r="AH423" i="1" s="1"/>
  <c r="V422" i="1"/>
  <c r="AH422" i="1" s="1"/>
  <c r="V421" i="1"/>
  <c r="AH421" i="1" s="1"/>
  <c r="V420" i="1"/>
  <c r="AH420" i="1" s="1"/>
  <c r="V419" i="1"/>
  <c r="AH419" i="1" s="1"/>
  <c r="V418" i="1"/>
  <c r="AH418" i="1" s="1"/>
  <c r="V417" i="1"/>
  <c r="AH417" i="1" s="1"/>
  <c r="V416" i="1"/>
  <c r="AH416" i="1" s="1"/>
  <c r="V415" i="1"/>
  <c r="AH415" i="1" s="1"/>
  <c r="V414" i="1"/>
  <c r="AH414" i="1" s="1"/>
  <c r="V413" i="1"/>
  <c r="AH413" i="1" s="1"/>
  <c r="V412" i="1"/>
  <c r="AH412" i="1" s="1"/>
  <c r="V411" i="1"/>
  <c r="AH411" i="1" s="1"/>
  <c r="V410" i="1"/>
  <c r="AH410" i="1" s="1"/>
  <c r="V409" i="1"/>
  <c r="AH409" i="1" s="1"/>
  <c r="V408" i="1"/>
  <c r="AH408" i="1" s="1"/>
  <c r="V407" i="1"/>
  <c r="AH407" i="1" s="1"/>
  <c r="V406" i="1"/>
  <c r="AH406" i="1" s="1"/>
  <c r="V405" i="1"/>
  <c r="AH405" i="1" s="1"/>
  <c r="V404" i="1"/>
  <c r="AH404" i="1" s="1"/>
  <c r="V403" i="1"/>
  <c r="AH403" i="1" s="1"/>
  <c r="V402" i="1"/>
  <c r="AH402" i="1" s="1"/>
  <c r="V401" i="1"/>
  <c r="AH401" i="1" s="1"/>
  <c r="V400" i="1"/>
  <c r="AH400" i="1" s="1"/>
  <c r="V399" i="1"/>
  <c r="AH399" i="1" s="1"/>
  <c r="V398" i="1"/>
  <c r="AH398" i="1" s="1"/>
  <c r="V397" i="1"/>
  <c r="AH397" i="1" s="1"/>
  <c r="V396" i="1"/>
  <c r="AH396" i="1" s="1"/>
  <c r="V395" i="1"/>
  <c r="AH395" i="1" s="1"/>
  <c r="V394" i="1"/>
  <c r="AH394" i="1" s="1"/>
  <c r="V393" i="1"/>
  <c r="AH393" i="1" s="1"/>
  <c r="V392" i="1"/>
  <c r="AH392" i="1" s="1"/>
  <c r="V391" i="1"/>
  <c r="AH391" i="1" s="1"/>
  <c r="V390" i="1"/>
  <c r="AH390" i="1" s="1"/>
  <c r="V389" i="1"/>
  <c r="AH389" i="1" s="1"/>
  <c r="V388" i="1"/>
  <c r="AH388" i="1" s="1"/>
  <c r="V387" i="1"/>
  <c r="AH387" i="1" s="1"/>
  <c r="V386" i="1"/>
  <c r="AH386" i="1" s="1"/>
  <c r="V385" i="1"/>
  <c r="AH385" i="1" s="1"/>
  <c r="V384" i="1"/>
  <c r="AH384" i="1" s="1"/>
  <c r="V383" i="1"/>
  <c r="AH383" i="1" s="1"/>
  <c r="V382" i="1"/>
  <c r="AH382" i="1" s="1"/>
  <c r="V381" i="1"/>
  <c r="AH381" i="1" s="1"/>
  <c r="V380" i="1"/>
  <c r="AH380" i="1" s="1"/>
  <c r="V379" i="1"/>
  <c r="AH379" i="1" s="1"/>
  <c r="V378" i="1"/>
  <c r="AH378" i="1" s="1"/>
  <c r="V377" i="1"/>
  <c r="AH377" i="1" s="1"/>
  <c r="V376" i="1"/>
  <c r="AH376" i="1" s="1"/>
  <c r="V375" i="1"/>
  <c r="AH375" i="1" s="1"/>
  <c r="V374" i="1"/>
  <c r="AH374" i="1" s="1"/>
  <c r="V373" i="1"/>
  <c r="AH373" i="1" s="1"/>
  <c r="V372" i="1"/>
  <c r="AH372" i="1" s="1"/>
  <c r="V371" i="1"/>
  <c r="AH371" i="1" s="1"/>
  <c r="V370" i="1"/>
  <c r="AH370" i="1" s="1"/>
  <c r="V369" i="1"/>
  <c r="AH369" i="1" s="1"/>
  <c r="V368" i="1"/>
  <c r="AH368" i="1" s="1"/>
  <c r="V367" i="1"/>
  <c r="AH367" i="1" s="1"/>
  <c r="V366" i="1"/>
  <c r="AH366" i="1" s="1"/>
  <c r="V365" i="1"/>
  <c r="AH365" i="1" s="1"/>
  <c r="V364" i="1"/>
  <c r="AH364" i="1" s="1"/>
  <c r="V363" i="1"/>
  <c r="AH363" i="1" s="1"/>
  <c r="V362" i="1"/>
  <c r="AH362" i="1" s="1"/>
  <c r="V361" i="1"/>
  <c r="AH361" i="1" s="1"/>
  <c r="V360" i="1"/>
  <c r="AH360" i="1" s="1"/>
  <c r="V359" i="1"/>
  <c r="AH359" i="1" s="1"/>
  <c r="V358" i="1"/>
  <c r="AH358" i="1" s="1"/>
  <c r="V357" i="1"/>
  <c r="AH357" i="1" s="1"/>
  <c r="V356" i="1"/>
  <c r="AH356" i="1" s="1"/>
  <c r="V355" i="1"/>
  <c r="AH355" i="1" s="1"/>
  <c r="V354" i="1"/>
  <c r="AH354" i="1" s="1"/>
  <c r="V353" i="1"/>
  <c r="AH353" i="1" s="1"/>
  <c r="V352" i="1"/>
  <c r="AH352" i="1" s="1"/>
  <c r="V351" i="1"/>
  <c r="AH351" i="1" s="1"/>
  <c r="V350" i="1"/>
  <c r="AH350" i="1" s="1"/>
  <c r="V349" i="1"/>
  <c r="AH349" i="1" s="1"/>
  <c r="V348" i="1"/>
  <c r="AH348" i="1" s="1"/>
  <c r="V347" i="1"/>
  <c r="AH347" i="1" s="1"/>
  <c r="V346" i="1"/>
  <c r="AH346" i="1" s="1"/>
  <c r="V345" i="1"/>
  <c r="AH345" i="1" s="1"/>
  <c r="V344" i="1"/>
  <c r="AH344" i="1" s="1"/>
  <c r="V343" i="1"/>
  <c r="AH343" i="1" s="1"/>
  <c r="V342" i="1"/>
  <c r="AH342" i="1" s="1"/>
  <c r="V341" i="1"/>
  <c r="AH341" i="1" s="1"/>
  <c r="V340" i="1"/>
  <c r="AH340" i="1" s="1"/>
  <c r="V339" i="1"/>
  <c r="AH339" i="1" s="1"/>
  <c r="V338" i="1"/>
  <c r="AH338" i="1" s="1"/>
  <c r="V337" i="1"/>
  <c r="AH337" i="1" s="1"/>
  <c r="V336" i="1"/>
  <c r="AH336" i="1" s="1"/>
  <c r="V335" i="1"/>
  <c r="AH335" i="1" s="1"/>
  <c r="V334" i="1"/>
  <c r="AH334" i="1" s="1"/>
  <c r="V333" i="1"/>
  <c r="AH333" i="1" s="1"/>
  <c r="V332" i="1"/>
  <c r="AH332" i="1" s="1"/>
  <c r="V331" i="1"/>
  <c r="AH331" i="1" s="1"/>
  <c r="V330" i="1"/>
  <c r="AH330" i="1" s="1"/>
  <c r="V329" i="1"/>
  <c r="AH329" i="1" s="1"/>
  <c r="V328" i="1"/>
  <c r="AH328" i="1" s="1"/>
  <c r="V327" i="1"/>
  <c r="AH327" i="1" s="1"/>
  <c r="V326" i="1"/>
  <c r="AH326" i="1" s="1"/>
  <c r="V325" i="1"/>
  <c r="AH325" i="1" s="1"/>
  <c r="V324" i="1"/>
  <c r="AH324" i="1" s="1"/>
  <c r="V323" i="1"/>
  <c r="AH323" i="1" s="1"/>
  <c r="V322" i="1"/>
  <c r="AH322" i="1" s="1"/>
  <c r="V321" i="1"/>
  <c r="AH321" i="1" s="1"/>
  <c r="V320" i="1"/>
  <c r="AH320" i="1" s="1"/>
  <c r="V319" i="1"/>
  <c r="AH319" i="1" s="1"/>
  <c r="V318" i="1"/>
  <c r="AH318" i="1" s="1"/>
  <c r="V317" i="1"/>
  <c r="AH317" i="1" s="1"/>
  <c r="V316" i="1"/>
  <c r="AH316" i="1" s="1"/>
  <c r="V315" i="1"/>
  <c r="AH315" i="1" s="1"/>
  <c r="V314" i="1"/>
  <c r="AH314" i="1" s="1"/>
  <c r="V313" i="1"/>
  <c r="AH313" i="1" s="1"/>
  <c r="V312" i="1"/>
  <c r="AH312" i="1" s="1"/>
  <c r="V311" i="1"/>
  <c r="AH311" i="1" s="1"/>
  <c r="V310" i="1"/>
  <c r="AH310" i="1" s="1"/>
  <c r="V309" i="1"/>
  <c r="AH309" i="1" s="1"/>
  <c r="V308" i="1"/>
  <c r="AH308" i="1" s="1"/>
  <c r="V307" i="1"/>
  <c r="AH307" i="1" s="1"/>
  <c r="V306" i="1"/>
  <c r="AH306" i="1" s="1"/>
  <c r="V305" i="1"/>
  <c r="AH305" i="1" s="1"/>
  <c r="V304" i="1"/>
  <c r="AH304" i="1" s="1"/>
  <c r="V303" i="1"/>
  <c r="AH303" i="1" s="1"/>
  <c r="V302" i="1"/>
  <c r="AH302" i="1" s="1"/>
  <c r="V301" i="1"/>
  <c r="AH301" i="1" s="1"/>
  <c r="V300" i="1"/>
  <c r="AH300" i="1" s="1"/>
  <c r="V299" i="1"/>
  <c r="AH299" i="1" s="1"/>
  <c r="V298" i="1"/>
  <c r="AH298" i="1" s="1"/>
  <c r="V297" i="1"/>
  <c r="AH297" i="1" s="1"/>
  <c r="V296" i="1"/>
  <c r="AH296" i="1" s="1"/>
  <c r="V295" i="1"/>
  <c r="AH295" i="1" s="1"/>
  <c r="V294" i="1"/>
  <c r="AH294" i="1" s="1"/>
  <c r="V293" i="1"/>
  <c r="AH293" i="1" s="1"/>
  <c r="V292" i="1"/>
  <c r="AH292" i="1" s="1"/>
  <c r="V291" i="1"/>
  <c r="AH291" i="1" s="1"/>
  <c r="V290" i="1"/>
  <c r="AH290" i="1" s="1"/>
  <c r="V289" i="1"/>
  <c r="AH289" i="1" s="1"/>
  <c r="V288" i="1"/>
  <c r="AH288" i="1" s="1"/>
  <c r="V287" i="1"/>
  <c r="AH287" i="1" s="1"/>
  <c r="V286" i="1"/>
  <c r="AH286" i="1" s="1"/>
  <c r="V285" i="1"/>
  <c r="AH285" i="1" s="1"/>
  <c r="V284" i="1"/>
  <c r="AH284" i="1" s="1"/>
  <c r="V283" i="1"/>
  <c r="AH283" i="1" s="1"/>
  <c r="V282" i="1"/>
  <c r="AH282" i="1" s="1"/>
  <c r="V281" i="1"/>
  <c r="AH281" i="1" s="1"/>
  <c r="V280" i="1"/>
  <c r="AH280" i="1" s="1"/>
  <c r="V279" i="1"/>
  <c r="AH279" i="1" s="1"/>
  <c r="V278" i="1"/>
  <c r="AH278" i="1" s="1"/>
  <c r="V277" i="1"/>
  <c r="AH277" i="1" s="1"/>
  <c r="V276" i="1"/>
  <c r="AH276" i="1" s="1"/>
  <c r="V275" i="1"/>
  <c r="AH275" i="1" s="1"/>
  <c r="V274" i="1"/>
  <c r="AH274" i="1" s="1"/>
  <c r="V273" i="1"/>
  <c r="AH273" i="1" s="1"/>
  <c r="V272" i="1"/>
  <c r="AH272" i="1" s="1"/>
  <c r="V271" i="1"/>
  <c r="AH271" i="1" s="1"/>
  <c r="V270" i="1"/>
  <c r="AH270" i="1" s="1"/>
  <c r="V269" i="1"/>
  <c r="AH269" i="1" s="1"/>
  <c r="V268" i="1"/>
  <c r="AH268" i="1" s="1"/>
  <c r="V267" i="1"/>
  <c r="AH267" i="1" s="1"/>
  <c r="V266" i="1"/>
  <c r="AH266" i="1" s="1"/>
  <c r="V265" i="1"/>
  <c r="AH265" i="1" s="1"/>
  <c r="V264" i="1"/>
  <c r="AH264" i="1" s="1"/>
  <c r="V263" i="1"/>
  <c r="AH263" i="1" s="1"/>
  <c r="V262" i="1"/>
  <c r="AH262" i="1" s="1"/>
  <c r="V261" i="1"/>
  <c r="AH261" i="1" s="1"/>
  <c r="V260" i="1"/>
  <c r="AH260" i="1" s="1"/>
  <c r="V259" i="1"/>
  <c r="AH259" i="1" s="1"/>
  <c r="V258" i="1"/>
  <c r="AH258" i="1" s="1"/>
  <c r="V257" i="1"/>
  <c r="AH257" i="1" s="1"/>
  <c r="V256" i="1"/>
  <c r="AH256" i="1" s="1"/>
  <c r="V255" i="1"/>
  <c r="AH255" i="1" s="1"/>
  <c r="V254" i="1"/>
  <c r="AH254" i="1" s="1"/>
  <c r="V253" i="1"/>
  <c r="AH253" i="1" s="1"/>
  <c r="V252" i="1"/>
  <c r="AH252" i="1" s="1"/>
  <c r="V251" i="1"/>
  <c r="AH251" i="1" s="1"/>
  <c r="V250" i="1"/>
  <c r="AH250" i="1" s="1"/>
  <c r="V249" i="1"/>
  <c r="AH249" i="1" s="1"/>
  <c r="V248" i="1"/>
  <c r="AH248" i="1" s="1"/>
  <c r="V247" i="1"/>
  <c r="AH247" i="1" s="1"/>
  <c r="V246" i="1"/>
  <c r="AH246" i="1" s="1"/>
  <c r="V245" i="1"/>
  <c r="AH245" i="1" s="1"/>
  <c r="V244" i="1"/>
  <c r="AH244" i="1" s="1"/>
  <c r="V243" i="1"/>
  <c r="AH243" i="1" s="1"/>
  <c r="V242" i="1"/>
  <c r="AH242" i="1" s="1"/>
  <c r="V241" i="1"/>
  <c r="AH241" i="1" s="1"/>
  <c r="V240" i="1"/>
  <c r="AH240" i="1" s="1"/>
  <c r="V239" i="1"/>
  <c r="AH239" i="1" s="1"/>
  <c r="V238" i="1"/>
  <c r="AH238" i="1" s="1"/>
  <c r="V237" i="1"/>
  <c r="AH237" i="1" s="1"/>
  <c r="V236" i="1"/>
  <c r="AH236" i="1" s="1"/>
  <c r="V235" i="1"/>
  <c r="AH235" i="1" s="1"/>
  <c r="V234" i="1"/>
  <c r="AH234" i="1" s="1"/>
  <c r="V233" i="1"/>
  <c r="AH233" i="1" s="1"/>
  <c r="V232" i="1"/>
  <c r="AH232" i="1" s="1"/>
  <c r="V231" i="1"/>
  <c r="AH231" i="1" s="1"/>
  <c r="V230" i="1"/>
  <c r="AH230" i="1" s="1"/>
  <c r="V229" i="1"/>
  <c r="AH229" i="1" s="1"/>
  <c r="V228" i="1"/>
  <c r="AH228" i="1" s="1"/>
  <c r="V227" i="1"/>
  <c r="AH227" i="1" s="1"/>
  <c r="V226" i="1"/>
  <c r="AH226" i="1" s="1"/>
  <c r="V225" i="1"/>
  <c r="AH225" i="1" s="1"/>
  <c r="V224" i="1"/>
  <c r="AH224" i="1" s="1"/>
  <c r="V223" i="1"/>
  <c r="AH223" i="1" s="1"/>
  <c r="V222" i="1"/>
  <c r="AH222" i="1" s="1"/>
  <c r="V221" i="1"/>
  <c r="AH221" i="1" s="1"/>
  <c r="V220" i="1"/>
  <c r="AH220" i="1" s="1"/>
  <c r="V219" i="1"/>
  <c r="AH219" i="1" s="1"/>
  <c r="V218" i="1"/>
  <c r="AH218" i="1" s="1"/>
  <c r="V217" i="1"/>
  <c r="AH217" i="1" s="1"/>
  <c r="V216" i="1"/>
  <c r="AH216" i="1" s="1"/>
  <c r="V215" i="1"/>
  <c r="AH215" i="1" s="1"/>
  <c r="V214" i="1"/>
  <c r="AH214" i="1" s="1"/>
  <c r="V213" i="1"/>
  <c r="AH213" i="1" s="1"/>
  <c r="V212" i="1"/>
  <c r="AH212" i="1" s="1"/>
  <c r="V211" i="1"/>
  <c r="AH211" i="1" s="1"/>
  <c r="V210" i="1"/>
  <c r="AH210" i="1" s="1"/>
  <c r="V209" i="1"/>
  <c r="AH209" i="1" s="1"/>
  <c r="V208" i="1"/>
  <c r="AH208" i="1" s="1"/>
  <c r="V207" i="1"/>
  <c r="AH207" i="1" s="1"/>
  <c r="V206" i="1"/>
  <c r="AH206" i="1" s="1"/>
  <c r="V205" i="1"/>
  <c r="AH205" i="1" s="1"/>
  <c r="V204" i="1"/>
  <c r="AH204" i="1" s="1"/>
  <c r="V203" i="1"/>
  <c r="AH203" i="1" s="1"/>
  <c r="V202" i="1"/>
  <c r="AH202" i="1" s="1"/>
  <c r="V201" i="1"/>
  <c r="AH201" i="1" s="1"/>
  <c r="V200" i="1"/>
  <c r="AH200" i="1" s="1"/>
  <c r="V199" i="1"/>
  <c r="AH199" i="1" s="1"/>
  <c r="V198" i="1"/>
  <c r="AH198" i="1" s="1"/>
  <c r="V197" i="1"/>
  <c r="AH197" i="1" s="1"/>
  <c r="V196" i="1"/>
  <c r="AH196" i="1" s="1"/>
  <c r="V195" i="1"/>
  <c r="AH195" i="1" s="1"/>
  <c r="V194" i="1"/>
  <c r="AH194" i="1" s="1"/>
  <c r="V193" i="1"/>
  <c r="AH193" i="1" s="1"/>
  <c r="V192" i="1"/>
  <c r="AH192" i="1" s="1"/>
  <c r="V191" i="1"/>
  <c r="AH191" i="1" s="1"/>
  <c r="V190" i="1"/>
  <c r="AH190" i="1" s="1"/>
  <c r="V189" i="1"/>
  <c r="AH189" i="1" s="1"/>
  <c r="V188" i="1"/>
  <c r="AH188" i="1" s="1"/>
  <c r="V187" i="1"/>
  <c r="AH187" i="1" s="1"/>
  <c r="V186" i="1"/>
  <c r="AH186" i="1" s="1"/>
  <c r="V185" i="1"/>
  <c r="AH185" i="1" s="1"/>
  <c r="V184" i="1"/>
  <c r="AH184" i="1" s="1"/>
  <c r="V183" i="1"/>
  <c r="AH183" i="1" s="1"/>
  <c r="V182" i="1"/>
  <c r="AH182" i="1" s="1"/>
  <c r="V181" i="1"/>
  <c r="AH181" i="1" s="1"/>
  <c r="V180" i="1"/>
  <c r="AH180" i="1" s="1"/>
  <c r="V179" i="1"/>
  <c r="AH179" i="1" s="1"/>
  <c r="V178" i="1"/>
  <c r="AH178" i="1" s="1"/>
  <c r="V177" i="1"/>
  <c r="AH177" i="1" s="1"/>
  <c r="V176" i="1"/>
  <c r="AH176" i="1" s="1"/>
  <c r="V175" i="1"/>
  <c r="AH175" i="1" s="1"/>
  <c r="V174" i="1"/>
  <c r="AH174" i="1" s="1"/>
  <c r="V173" i="1"/>
  <c r="AH173" i="1" s="1"/>
  <c r="V172" i="1"/>
  <c r="AH172" i="1" s="1"/>
  <c r="V171" i="1"/>
  <c r="AH171" i="1" s="1"/>
  <c r="V170" i="1"/>
  <c r="AH170" i="1" s="1"/>
  <c r="V169" i="1"/>
  <c r="AH169" i="1" s="1"/>
  <c r="V168" i="1"/>
  <c r="AH168" i="1" s="1"/>
  <c r="V167" i="1"/>
  <c r="AH167" i="1" s="1"/>
  <c r="V166" i="1"/>
  <c r="AH166" i="1" s="1"/>
  <c r="V165" i="1"/>
  <c r="AH165" i="1" s="1"/>
  <c r="V164" i="1"/>
  <c r="AH164" i="1" s="1"/>
  <c r="V163" i="1"/>
  <c r="AH163" i="1" s="1"/>
  <c r="V162" i="1"/>
  <c r="AH162" i="1" s="1"/>
  <c r="V161" i="1"/>
  <c r="AH161" i="1" s="1"/>
  <c r="V160" i="1"/>
  <c r="AH160" i="1" s="1"/>
  <c r="V159" i="1"/>
  <c r="AH159" i="1" s="1"/>
  <c r="V158" i="1"/>
  <c r="AH158" i="1" s="1"/>
  <c r="V157" i="1"/>
  <c r="AH157" i="1" s="1"/>
  <c r="V156" i="1"/>
  <c r="AH156" i="1" s="1"/>
  <c r="V155" i="1"/>
  <c r="AH155" i="1" s="1"/>
  <c r="V154" i="1"/>
  <c r="AH154" i="1" s="1"/>
  <c r="V153" i="1"/>
  <c r="AH153" i="1" s="1"/>
  <c r="V152" i="1"/>
  <c r="AH152" i="1" s="1"/>
  <c r="V151" i="1"/>
  <c r="AH151" i="1" s="1"/>
  <c r="V150" i="1"/>
  <c r="AH150" i="1" s="1"/>
  <c r="V149" i="1"/>
  <c r="AH149" i="1" s="1"/>
  <c r="V148" i="1"/>
  <c r="AH148" i="1" s="1"/>
  <c r="V147" i="1"/>
  <c r="AH147" i="1" s="1"/>
  <c r="V146" i="1"/>
  <c r="AH146" i="1" s="1"/>
  <c r="V145" i="1"/>
  <c r="AH145" i="1" s="1"/>
  <c r="V144" i="1"/>
  <c r="AH144" i="1" s="1"/>
  <c r="V143" i="1"/>
  <c r="AH143" i="1" s="1"/>
  <c r="V142" i="1"/>
  <c r="AH142" i="1" s="1"/>
  <c r="V141" i="1"/>
  <c r="AH141" i="1" s="1"/>
  <c r="V140" i="1"/>
  <c r="AH140" i="1" s="1"/>
  <c r="V139" i="1"/>
  <c r="AH139" i="1" s="1"/>
  <c r="V138" i="1"/>
  <c r="AH138" i="1" s="1"/>
  <c r="V137" i="1"/>
  <c r="AH137" i="1" s="1"/>
  <c r="V136" i="1"/>
  <c r="AH136" i="1" s="1"/>
  <c r="V135" i="1"/>
  <c r="AH135" i="1" s="1"/>
  <c r="V134" i="1"/>
  <c r="AH134" i="1" s="1"/>
  <c r="V133" i="1"/>
  <c r="AH133" i="1" s="1"/>
  <c r="V132" i="1"/>
  <c r="AH132" i="1" s="1"/>
  <c r="V131" i="1"/>
  <c r="AH131" i="1" s="1"/>
  <c r="V130" i="1"/>
  <c r="AH130" i="1" s="1"/>
  <c r="V129" i="1"/>
  <c r="AH129" i="1" s="1"/>
  <c r="V128" i="1"/>
  <c r="AH128" i="1" s="1"/>
  <c r="V127" i="1"/>
  <c r="AH127" i="1" s="1"/>
  <c r="V126" i="1"/>
  <c r="AH126" i="1" s="1"/>
  <c r="V125" i="1"/>
  <c r="AH125" i="1" s="1"/>
  <c r="V124" i="1"/>
  <c r="AH124" i="1" s="1"/>
  <c r="V123" i="1"/>
  <c r="AH123" i="1" s="1"/>
  <c r="V122" i="1"/>
  <c r="AH122" i="1" s="1"/>
  <c r="V121" i="1"/>
  <c r="AH121" i="1" s="1"/>
  <c r="V120" i="1"/>
  <c r="AH120" i="1" s="1"/>
  <c r="V119" i="1"/>
  <c r="AH119" i="1" s="1"/>
  <c r="V118" i="1"/>
  <c r="AH118" i="1" s="1"/>
  <c r="V117" i="1"/>
  <c r="AH117" i="1" s="1"/>
  <c r="V116" i="1"/>
  <c r="AH116" i="1" s="1"/>
  <c r="V115" i="1"/>
  <c r="AH115" i="1" s="1"/>
  <c r="V114" i="1"/>
  <c r="AH114" i="1" s="1"/>
  <c r="V113" i="1"/>
  <c r="AH113" i="1" s="1"/>
  <c r="V112" i="1"/>
  <c r="AH112" i="1" s="1"/>
  <c r="V111" i="1"/>
  <c r="AH111" i="1" s="1"/>
  <c r="V110" i="1"/>
  <c r="AH110" i="1" s="1"/>
  <c r="V109" i="1"/>
  <c r="AH109" i="1" s="1"/>
  <c r="V108" i="1"/>
  <c r="AH108" i="1" s="1"/>
  <c r="V107" i="1"/>
  <c r="AH107" i="1" s="1"/>
  <c r="V106" i="1"/>
  <c r="AH106" i="1" s="1"/>
  <c r="V105" i="1"/>
  <c r="AH105" i="1" s="1"/>
  <c r="V104" i="1"/>
  <c r="AH104" i="1" s="1"/>
  <c r="V103" i="1"/>
  <c r="AH103" i="1" s="1"/>
  <c r="V102" i="1"/>
  <c r="AH102" i="1" s="1"/>
  <c r="V101" i="1"/>
  <c r="AH101" i="1" s="1"/>
  <c r="V100" i="1"/>
  <c r="AH100" i="1" s="1"/>
  <c r="V99" i="1"/>
  <c r="AH99" i="1" s="1"/>
  <c r="V98" i="1"/>
  <c r="AH98" i="1" s="1"/>
  <c r="V97" i="1"/>
  <c r="AH97" i="1" s="1"/>
  <c r="V96" i="1"/>
  <c r="AH96" i="1" s="1"/>
  <c r="V95" i="1"/>
  <c r="AH95" i="1" s="1"/>
  <c r="V94" i="1"/>
  <c r="AH94" i="1" s="1"/>
  <c r="V93" i="1"/>
  <c r="AH93" i="1" s="1"/>
  <c r="V92" i="1"/>
  <c r="AH92" i="1" s="1"/>
  <c r="V91" i="1"/>
  <c r="AH91" i="1" s="1"/>
  <c r="V90" i="1"/>
  <c r="AH90" i="1" s="1"/>
  <c r="V89" i="1"/>
  <c r="AH89" i="1" s="1"/>
  <c r="V88" i="1"/>
  <c r="AH88" i="1" s="1"/>
  <c r="V87" i="1"/>
  <c r="AH87" i="1" s="1"/>
  <c r="V86" i="1"/>
  <c r="AH86" i="1" s="1"/>
  <c r="V85" i="1"/>
  <c r="AH85" i="1" s="1"/>
  <c r="V84" i="1"/>
  <c r="AH84" i="1" s="1"/>
  <c r="V83" i="1"/>
  <c r="AH83" i="1" s="1"/>
  <c r="V82" i="1"/>
  <c r="AH82" i="1" s="1"/>
  <c r="V81" i="1"/>
  <c r="AH81" i="1" s="1"/>
  <c r="V80" i="1"/>
  <c r="AH80" i="1" s="1"/>
  <c r="V79" i="1"/>
  <c r="AH79" i="1" s="1"/>
  <c r="V78" i="1"/>
  <c r="AH78" i="1" s="1"/>
  <c r="V77" i="1"/>
  <c r="AH77" i="1" s="1"/>
  <c r="V76" i="1"/>
  <c r="AH76" i="1" s="1"/>
  <c r="V75" i="1"/>
  <c r="AH75" i="1" s="1"/>
  <c r="V74" i="1"/>
  <c r="AH74" i="1" s="1"/>
  <c r="V73" i="1"/>
  <c r="AH73" i="1" s="1"/>
  <c r="V72" i="1"/>
  <c r="AH72" i="1" s="1"/>
  <c r="V71" i="1"/>
  <c r="AH71" i="1" s="1"/>
  <c r="V70" i="1"/>
  <c r="AH70" i="1" s="1"/>
  <c r="V69" i="1"/>
  <c r="AH69" i="1" s="1"/>
  <c r="V68" i="1"/>
  <c r="AH68" i="1" s="1"/>
  <c r="V67" i="1"/>
  <c r="AH67" i="1" s="1"/>
  <c r="V66" i="1"/>
  <c r="AH66" i="1" s="1"/>
  <c r="V65" i="1"/>
  <c r="AH65" i="1" s="1"/>
  <c r="V64" i="1"/>
  <c r="AH64" i="1" s="1"/>
  <c r="V63" i="1"/>
  <c r="AH63" i="1" s="1"/>
  <c r="V62" i="1"/>
  <c r="AH62" i="1" s="1"/>
  <c r="V61" i="1"/>
  <c r="AH61" i="1" s="1"/>
  <c r="V60" i="1"/>
  <c r="AH60" i="1" s="1"/>
  <c r="V59" i="1"/>
  <c r="AH59" i="1" s="1"/>
  <c r="V58" i="1"/>
  <c r="AH58" i="1" s="1"/>
  <c r="V57" i="1"/>
  <c r="AH57" i="1" s="1"/>
  <c r="V56" i="1"/>
  <c r="AH56" i="1" s="1"/>
  <c r="V55" i="1"/>
  <c r="AH55" i="1" s="1"/>
  <c r="V54" i="1"/>
  <c r="AH54" i="1" s="1"/>
  <c r="V53" i="1"/>
  <c r="AH53" i="1" s="1"/>
  <c r="V52" i="1"/>
  <c r="AH52" i="1" s="1"/>
  <c r="V51" i="1"/>
  <c r="AH51" i="1" s="1"/>
  <c r="V50" i="1"/>
  <c r="AH50" i="1" s="1"/>
  <c r="V49" i="1"/>
  <c r="AH49" i="1" s="1"/>
  <c r="V48" i="1"/>
  <c r="AH48" i="1" s="1"/>
  <c r="V47" i="1"/>
  <c r="AH47" i="1" s="1"/>
  <c r="V46" i="1"/>
  <c r="AH46" i="1" s="1"/>
  <c r="V45" i="1"/>
  <c r="AH45" i="1" s="1"/>
  <c r="V44" i="1"/>
  <c r="AH44" i="1" s="1"/>
  <c r="V43" i="1"/>
  <c r="AH43" i="1" s="1"/>
  <c r="V42" i="1"/>
  <c r="AH42" i="1" s="1"/>
  <c r="V41" i="1"/>
  <c r="AH41" i="1" s="1"/>
  <c r="V40" i="1"/>
  <c r="AH40" i="1" s="1"/>
  <c r="V39" i="1"/>
  <c r="AH39" i="1" s="1"/>
  <c r="V38" i="1"/>
  <c r="AH38" i="1" s="1"/>
  <c r="V37" i="1"/>
  <c r="AH37" i="1" s="1"/>
  <c r="V36" i="1"/>
  <c r="AH36" i="1" s="1"/>
  <c r="V35" i="1"/>
  <c r="AH35" i="1" s="1"/>
  <c r="V34" i="1"/>
  <c r="AH34" i="1" s="1"/>
  <c r="V33" i="1"/>
  <c r="AH33" i="1" s="1"/>
  <c r="V32" i="1"/>
  <c r="AH32" i="1" s="1"/>
  <c r="V31" i="1"/>
  <c r="AH31" i="1" s="1"/>
  <c r="V30" i="1"/>
  <c r="AH30" i="1" s="1"/>
  <c r="V29" i="1"/>
  <c r="AH29" i="1" s="1"/>
  <c r="V28" i="1"/>
  <c r="AH28" i="1" s="1"/>
  <c r="V27" i="1"/>
  <c r="AH27" i="1" s="1"/>
  <c r="V26" i="1"/>
  <c r="AH26" i="1" s="1"/>
  <c r="V25" i="1"/>
  <c r="AH25" i="1" s="1"/>
  <c r="V24" i="1"/>
  <c r="AH24" i="1" s="1"/>
  <c r="V23" i="1"/>
  <c r="AH23" i="1" s="1"/>
  <c r="V22" i="1"/>
  <c r="AH22" i="1" s="1"/>
  <c r="V21" i="1"/>
  <c r="AH21" i="1" s="1"/>
  <c r="V20" i="1"/>
  <c r="AH20" i="1" s="1"/>
  <c r="V19" i="1"/>
  <c r="AH19" i="1" s="1"/>
  <c r="V18" i="1"/>
  <c r="AH18" i="1" s="1"/>
  <c r="V17" i="1"/>
  <c r="AH17" i="1" s="1"/>
  <c r="V16" i="1"/>
  <c r="AH16" i="1" s="1"/>
  <c r="V15" i="1"/>
  <c r="AH15" i="1" s="1"/>
  <c r="V14" i="1"/>
  <c r="AH14" i="1" s="1"/>
  <c r="V13" i="1"/>
  <c r="AH13" i="1" s="1"/>
  <c r="V12" i="1"/>
  <c r="AH12" i="1" s="1"/>
  <c r="V11" i="1"/>
  <c r="AH11" i="1" s="1"/>
  <c r="V10" i="1"/>
  <c r="AH10" i="1" s="1"/>
  <c r="V9" i="1"/>
  <c r="AH9" i="1" s="1"/>
  <c r="V8" i="1"/>
  <c r="AH8" i="1" s="1"/>
  <c r="V7" i="1"/>
  <c r="AH7" i="1" s="1"/>
  <c r="V6" i="1"/>
  <c r="AH6" i="1" s="1"/>
  <c r="V5" i="1"/>
  <c r="AH5" i="1" s="1"/>
  <c r="V4" i="1"/>
  <c r="AH4" i="1" s="1"/>
  <c r="V3" i="1"/>
  <c r="AH3" i="1" s="1"/>
  <c r="V2" i="1"/>
  <c r="AH2" i="1" s="1"/>
  <c r="X469" i="1"/>
  <c r="AI469" i="1" s="1"/>
  <c r="X468" i="1"/>
  <c r="AI468" i="1" s="1"/>
  <c r="X467" i="1"/>
  <c r="AI467" i="1" s="1"/>
  <c r="X466" i="1"/>
  <c r="AI466" i="1" s="1"/>
  <c r="X465" i="1"/>
  <c r="AI465" i="1" s="1"/>
  <c r="X464" i="1"/>
  <c r="AI464" i="1" s="1"/>
  <c r="X463" i="1"/>
  <c r="AI463" i="1" s="1"/>
  <c r="X462" i="1"/>
  <c r="AI462" i="1" s="1"/>
  <c r="X461" i="1"/>
  <c r="AI461" i="1" s="1"/>
  <c r="X460" i="1"/>
  <c r="AI460" i="1" s="1"/>
  <c r="X459" i="1"/>
  <c r="AI459" i="1" s="1"/>
  <c r="X458" i="1"/>
  <c r="X457" i="1"/>
  <c r="AI457" i="1" s="1"/>
  <c r="X456" i="1"/>
  <c r="AI456" i="1" s="1"/>
  <c r="X455" i="1"/>
  <c r="AI455" i="1" s="1"/>
  <c r="X454" i="1"/>
  <c r="AI454" i="1" s="1"/>
  <c r="X453" i="1"/>
  <c r="AI453" i="1" s="1"/>
  <c r="X452" i="1"/>
  <c r="AI452" i="1" s="1"/>
  <c r="X451" i="1"/>
  <c r="AI451" i="1" s="1"/>
  <c r="X450" i="1"/>
  <c r="AI450" i="1" s="1"/>
  <c r="X449" i="1"/>
  <c r="AI449" i="1" s="1"/>
  <c r="X448" i="1"/>
  <c r="AI448" i="1" s="1"/>
  <c r="X447" i="1"/>
  <c r="AI447" i="1" s="1"/>
  <c r="X446" i="1"/>
  <c r="AI446" i="1" s="1"/>
  <c r="X445" i="1"/>
  <c r="AI445" i="1" s="1"/>
  <c r="X444" i="1"/>
  <c r="AI444" i="1" s="1"/>
  <c r="X443" i="1"/>
  <c r="AI443" i="1" s="1"/>
  <c r="X442" i="1"/>
  <c r="AI442" i="1" s="1"/>
  <c r="X441" i="1"/>
  <c r="AI441" i="1" s="1"/>
  <c r="X440" i="1"/>
  <c r="AI440" i="1" s="1"/>
  <c r="X439" i="1"/>
  <c r="AI439" i="1" s="1"/>
  <c r="X438" i="1"/>
  <c r="AI438" i="1" s="1"/>
  <c r="X437" i="1"/>
  <c r="AI437" i="1" s="1"/>
  <c r="X436" i="1"/>
  <c r="AI436" i="1" s="1"/>
  <c r="X435" i="1"/>
  <c r="AI435" i="1" s="1"/>
  <c r="X434" i="1"/>
  <c r="AI434" i="1" s="1"/>
  <c r="X433" i="1"/>
  <c r="AI433" i="1" s="1"/>
  <c r="X432" i="1"/>
  <c r="AI432" i="1" s="1"/>
  <c r="X431" i="1"/>
  <c r="AI431" i="1" s="1"/>
  <c r="X430" i="1"/>
  <c r="AI430" i="1" s="1"/>
  <c r="X429" i="1"/>
  <c r="AI429" i="1" s="1"/>
  <c r="X428" i="1"/>
  <c r="AI428" i="1" s="1"/>
  <c r="X427" i="1"/>
  <c r="AI427" i="1" s="1"/>
  <c r="X426" i="1"/>
  <c r="AI426" i="1" s="1"/>
  <c r="X425" i="1"/>
  <c r="AI425" i="1" s="1"/>
  <c r="X424" i="1"/>
  <c r="AI424" i="1" s="1"/>
  <c r="X423" i="1"/>
  <c r="AI423" i="1" s="1"/>
  <c r="X422" i="1"/>
  <c r="AI422" i="1" s="1"/>
  <c r="X421" i="1"/>
  <c r="AI421" i="1" s="1"/>
  <c r="X420" i="1"/>
  <c r="AI420" i="1" s="1"/>
  <c r="X419" i="1"/>
  <c r="AI419" i="1" s="1"/>
  <c r="X418" i="1"/>
  <c r="AI418" i="1" s="1"/>
  <c r="X417" i="1"/>
  <c r="AI417" i="1" s="1"/>
  <c r="X416" i="1"/>
  <c r="AI416" i="1" s="1"/>
  <c r="X415" i="1"/>
  <c r="AI415" i="1" s="1"/>
  <c r="X414" i="1"/>
  <c r="AI414" i="1" s="1"/>
  <c r="X413" i="1"/>
  <c r="AI413" i="1" s="1"/>
  <c r="X412" i="1"/>
  <c r="AI412" i="1" s="1"/>
  <c r="X411" i="1"/>
  <c r="AI411" i="1" s="1"/>
  <c r="X410" i="1"/>
  <c r="AI410" i="1" s="1"/>
  <c r="X409" i="1"/>
  <c r="AI409" i="1" s="1"/>
  <c r="X408" i="1"/>
  <c r="AI408" i="1" s="1"/>
  <c r="X407" i="1"/>
  <c r="AI407" i="1" s="1"/>
  <c r="X406" i="1"/>
  <c r="AI406" i="1" s="1"/>
  <c r="X405" i="1"/>
  <c r="AI405" i="1" s="1"/>
  <c r="X404" i="1"/>
  <c r="AI404" i="1" s="1"/>
  <c r="X403" i="1"/>
  <c r="AI403" i="1" s="1"/>
  <c r="X402" i="1"/>
  <c r="AI402" i="1" s="1"/>
  <c r="X401" i="1"/>
  <c r="AI401" i="1" s="1"/>
  <c r="X400" i="1"/>
  <c r="AI400" i="1" s="1"/>
  <c r="X399" i="1"/>
  <c r="AI399" i="1" s="1"/>
  <c r="X398" i="1"/>
  <c r="AI398" i="1" s="1"/>
  <c r="X397" i="1"/>
  <c r="AI397" i="1" s="1"/>
  <c r="X396" i="1"/>
  <c r="AI396" i="1" s="1"/>
  <c r="X395" i="1"/>
  <c r="AI395" i="1" s="1"/>
  <c r="X394" i="1"/>
  <c r="AI394" i="1" s="1"/>
  <c r="X393" i="1"/>
  <c r="AI393" i="1" s="1"/>
  <c r="X392" i="1"/>
  <c r="AI392" i="1" s="1"/>
  <c r="X391" i="1"/>
  <c r="AI391" i="1" s="1"/>
  <c r="X390" i="1"/>
  <c r="AI390" i="1" s="1"/>
  <c r="X389" i="1"/>
  <c r="AI389" i="1" s="1"/>
  <c r="X388" i="1"/>
  <c r="AI388" i="1" s="1"/>
  <c r="X387" i="1"/>
  <c r="AI387" i="1" s="1"/>
  <c r="X386" i="1"/>
  <c r="AI386" i="1" s="1"/>
  <c r="X385" i="1"/>
  <c r="AI385" i="1" s="1"/>
  <c r="X384" i="1"/>
  <c r="AI384" i="1" s="1"/>
  <c r="X383" i="1"/>
  <c r="AI383" i="1" s="1"/>
  <c r="X382" i="1"/>
  <c r="AI382" i="1" s="1"/>
  <c r="X381" i="1"/>
  <c r="AI381" i="1" s="1"/>
  <c r="X380" i="1"/>
  <c r="AI380" i="1" s="1"/>
  <c r="X379" i="1"/>
  <c r="AI379" i="1" s="1"/>
  <c r="X378" i="1"/>
  <c r="AI378" i="1" s="1"/>
  <c r="X377" i="1"/>
  <c r="AI377" i="1" s="1"/>
  <c r="X376" i="1"/>
  <c r="AI376" i="1" s="1"/>
  <c r="X375" i="1"/>
  <c r="AI375" i="1" s="1"/>
  <c r="X374" i="1"/>
  <c r="AI374" i="1" s="1"/>
  <c r="X373" i="1"/>
  <c r="AI373" i="1" s="1"/>
  <c r="X372" i="1"/>
  <c r="AI372" i="1" s="1"/>
  <c r="X371" i="1"/>
  <c r="AI371" i="1" s="1"/>
  <c r="X370" i="1"/>
  <c r="AI370" i="1" s="1"/>
  <c r="X369" i="1"/>
  <c r="AI369" i="1" s="1"/>
  <c r="X368" i="1"/>
  <c r="AI368" i="1" s="1"/>
  <c r="X367" i="1"/>
  <c r="AI367" i="1" s="1"/>
  <c r="X366" i="1"/>
  <c r="AI366" i="1" s="1"/>
  <c r="X365" i="1"/>
  <c r="AI365" i="1" s="1"/>
  <c r="X364" i="1"/>
  <c r="AI364" i="1" s="1"/>
  <c r="X363" i="1"/>
  <c r="AI363" i="1" s="1"/>
  <c r="X362" i="1"/>
  <c r="AI362" i="1" s="1"/>
  <c r="X361" i="1"/>
  <c r="AI361" i="1" s="1"/>
  <c r="X360" i="1"/>
  <c r="AI360" i="1" s="1"/>
  <c r="X359" i="1"/>
  <c r="AI359" i="1" s="1"/>
  <c r="X358" i="1"/>
  <c r="AI358" i="1" s="1"/>
  <c r="X357" i="1"/>
  <c r="AI357" i="1" s="1"/>
  <c r="X356" i="1"/>
  <c r="AI356" i="1" s="1"/>
  <c r="X355" i="1"/>
  <c r="AI355" i="1" s="1"/>
  <c r="X354" i="1"/>
  <c r="AI354" i="1" s="1"/>
  <c r="X353" i="1"/>
  <c r="AI353" i="1" s="1"/>
  <c r="X352" i="1"/>
  <c r="AI352" i="1" s="1"/>
  <c r="X351" i="1"/>
  <c r="AI351" i="1" s="1"/>
  <c r="X350" i="1"/>
  <c r="AI350" i="1" s="1"/>
  <c r="X349" i="1"/>
  <c r="AI349" i="1" s="1"/>
  <c r="X348" i="1"/>
  <c r="AI348" i="1" s="1"/>
  <c r="X347" i="1"/>
  <c r="AI347" i="1" s="1"/>
  <c r="X346" i="1"/>
  <c r="AI346" i="1" s="1"/>
  <c r="X345" i="1"/>
  <c r="AI345" i="1" s="1"/>
  <c r="X344" i="1"/>
  <c r="AI344" i="1" s="1"/>
  <c r="X343" i="1"/>
  <c r="AI343" i="1" s="1"/>
  <c r="X342" i="1"/>
  <c r="AI342" i="1" s="1"/>
  <c r="X341" i="1"/>
  <c r="AI341" i="1" s="1"/>
  <c r="X340" i="1"/>
  <c r="AI340" i="1" s="1"/>
  <c r="X339" i="1"/>
  <c r="AI339" i="1" s="1"/>
  <c r="X338" i="1"/>
  <c r="AI338" i="1" s="1"/>
  <c r="X337" i="1"/>
  <c r="AI337" i="1" s="1"/>
  <c r="X336" i="1"/>
  <c r="AI336" i="1" s="1"/>
  <c r="X335" i="1"/>
  <c r="AI335" i="1" s="1"/>
  <c r="X334" i="1"/>
  <c r="AI334" i="1" s="1"/>
  <c r="X333" i="1"/>
  <c r="AI333" i="1" s="1"/>
  <c r="X332" i="1"/>
  <c r="AI332" i="1" s="1"/>
  <c r="X331" i="1"/>
  <c r="AI331" i="1" s="1"/>
  <c r="X330" i="1"/>
  <c r="AI330" i="1" s="1"/>
  <c r="X329" i="1"/>
  <c r="AI329" i="1" s="1"/>
  <c r="X328" i="1"/>
  <c r="AI328" i="1" s="1"/>
  <c r="X327" i="1"/>
  <c r="AI327" i="1" s="1"/>
  <c r="X326" i="1"/>
  <c r="AI326" i="1" s="1"/>
  <c r="X325" i="1"/>
  <c r="AI325" i="1" s="1"/>
  <c r="X324" i="1"/>
  <c r="AI324" i="1" s="1"/>
  <c r="X323" i="1"/>
  <c r="AI323" i="1" s="1"/>
  <c r="X322" i="1"/>
  <c r="AI322" i="1" s="1"/>
  <c r="X321" i="1"/>
  <c r="AI321" i="1" s="1"/>
  <c r="X320" i="1"/>
  <c r="AI320" i="1" s="1"/>
  <c r="X319" i="1"/>
  <c r="AI319" i="1" s="1"/>
  <c r="X318" i="1"/>
  <c r="AI318" i="1" s="1"/>
  <c r="X317" i="1"/>
  <c r="AI317" i="1" s="1"/>
  <c r="X316" i="1"/>
  <c r="AI316" i="1" s="1"/>
  <c r="X315" i="1"/>
  <c r="AI315" i="1" s="1"/>
  <c r="X314" i="1"/>
  <c r="AI314" i="1" s="1"/>
  <c r="X313" i="1"/>
  <c r="AI313" i="1" s="1"/>
  <c r="X312" i="1"/>
  <c r="AI312" i="1" s="1"/>
  <c r="X311" i="1"/>
  <c r="AI311" i="1" s="1"/>
  <c r="X310" i="1"/>
  <c r="AI310" i="1" s="1"/>
  <c r="X309" i="1"/>
  <c r="AI309" i="1" s="1"/>
  <c r="X308" i="1"/>
  <c r="AI308" i="1" s="1"/>
  <c r="X307" i="1"/>
  <c r="AI307" i="1" s="1"/>
  <c r="X306" i="1"/>
  <c r="AI306" i="1" s="1"/>
  <c r="X305" i="1"/>
  <c r="AI305" i="1" s="1"/>
  <c r="X304" i="1"/>
  <c r="AI304" i="1" s="1"/>
  <c r="X303" i="1"/>
  <c r="AI303" i="1" s="1"/>
  <c r="X302" i="1"/>
  <c r="AI302" i="1" s="1"/>
  <c r="X301" i="1"/>
  <c r="AI301" i="1" s="1"/>
  <c r="X300" i="1"/>
  <c r="AI300" i="1" s="1"/>
  <c r="X299" i="1"/>
  <c r="AI299" i="1" s="1"/>
  <c r="X298" i="1"/>
  <c r="AI298" i="1" s="1"/>
  <c r="X297" i="1"/>
  <c r="AI297" i="1" s="1"/>
  <c r="X296" i="1"/>
  <c r="AI296" i="1" s="1"/>
  <c r="X295" i="1"/>
  <c r="AI295" i="1" s="1"/>
  <c r="X294" i="1"/>
  <c r="AI294" i="1" s="1"/>
  <c r="X293" i="1"/>
  <c r="AI293" i="1" s="1"/>
  <c r="X292" i="1"/>
  <c r="AI292" i="1" s="1"/>
  <c r="X291" i="1"/>
  <c r="AI291" i="1" s="1"/>
  <c r="X290" i="1"/>
  <c r="AI290" i="1" s="1"/>
  <c r="X289" i="1"/>
  <c r="AI289" i="1" s="1"/>
  <c r="X288" i="1"/>
  <c r="AI288" i="1" s="1"/>
  <c r="X287" i="1"/>
  <c r="AI287" i="1" s="1"/>
  <c r="X286" i="1"/>
  <c r="AI286" i="1" s="1"/>
  <c r="X285" i="1"/>
  <c r="AI285" i="1" s="1"/>
  <c r="X284" i="1"/>
  <c r="AI284" i="1" s="1"/>
  <c r="X283" i="1"/>
  <c r="AI283" i="1" s="1"/>
  <c r="X282" i="1"/>
  <c r="AI282" i="1" s="1"/>
  <c r="X281" i="1"/>
  <c r="AI281" i="1" s="1"/>
  <c r="X280" i="1"/>
  <c r="AI280" i="1" s="1"/>
  <c r="X279" i="1"/>
  <c r="AI279" i="1" s="1"/>
  <c r="X278" i="1"/>
  <c r="AI278" i="1" s="1"/>
  <c r="X277" i="1"/>
  <c r="AI277" i="1" s="1"/>
  <c r="X276" i="1"/>
  <c r="AI276" i="1" s="1"/>
  <c r="X275" i="1"/>
  <c r="AI275" i="1" s="1"/>
  <c r="X274" i="1"/>
  <c r="AI274" i="1" s="1"/>
  <c r="X273" i="1"/>
  <c r="AI273" i="1" s="1"/>
  <c r="X272" i="1"/>
  <c r="AI272" i="1" s="1"/>
  <c r="X271" i="1"/>
  <c r="AI271" i="1" s="1"/>
  <c r="X270" i="1"/>
  <c r="AI270" i="1" s="1"/>
  <c r="X269" i="1"/>
  <c r="AI269" i="1" s="1"/>
  <c r="X268" i="1"/>
  <c r="AI268" i="1" s="1"/>
  <c r="X267" i="1"/>
  <c r="AI267" i="1" s="1"/>
  <c r="X266" i="1"/>
  <c r="AI266" i="1" s="1"/>
  <c r="X265" i="1"/>
  <c r="AI265" i="1" s="1"/>
  <c r="X264" i="1"/>
  <c r="AI264" i="1" s="1"/>
  <c r="X263" i="1"/>
  <c r="AI263" i="1" s="1"/>
  <c r="X262" i="1"/>
  <c r="AI262" i="1" s="1"/>
  <c r="X261" i="1"/>
  <c r="AI261" i="1" s="1"/>
  <c r="X260" i="1"/>
  <c r="AI260" i="1" s="1"/>
  <c r="X259" i="1"/>
  <c r="AI259" i="1" s="1"/>
  <c r="X258" i="1"/>
  <c r="AI258" i="1" s="1"/>
  <c r="X257" i="1"/>
  <c r="AI257" i="1" s="1"/>
  <c r="X256" i="1"/>
  <c r="AI256" i="1" s="1"/>
  <c r="X255" i="1"/>
  <c r="AI255" i="1" s="1"/>
  <c r="X254" i="1"/>
  <c r="AI254" i="1" s="1"/>
  <c r="X253" i="1"/>
  <c r="AI253" i="1" s="1"/>
  <c r="X252" i="1"/>
  <c r="AI252" i="1" s="1"/>
  <c r="X251" i="1"/>
  <c r="AI251" i="1" s="1"/>
  <c r="X250" i="1"/>
  <c r="AI250" i="1" s="1"/>
  <c r="X249" i="1"/>
  <c r="AI249" i="1" s="1"/>
  <c r="X248" i="1"/>
  <c r="AI248" i="1" s="1"/>
  <c r="X247" i="1"/>
  <c r="AI247" i="1" s="1"/>
  <c r="X246" i="1"/>
  <c r="AI246" i="1" s="1"/>
  <c r="X245" i="1"/>
  <c r="AI245" i="1" s="1"/>
  <c r="X244" i="1"/>
  <c r="AI244" i="1" s="1"/>
  <c r="X243" i="1"/>
  <c r="AI243" i="1" s="1"/>
  <c r="X242" i="1"/>
  <c r="AI242" i="1" s="1"/>
  <c r="X241" i="1"/>
  <c r="AI241" i="1" s="1"/>
  <c r="X240" i="1"/>
  <c r="AI240" i="1" s="1"/>
  <c r="X239" i="1"/>
  <c r="AI239" i="1" s="1"/>
  <c r="X238" i="1"/>
  <c r="AI238" i="1" s="1"/>
  <c r="X237" i="1"/>
  <c r="AI237" i="1" s="1"/>
  <c r="X236" i="1"/>
  <c r="AI236" i="1" s="1"/>
  <c r="X235" i="1"/>
  <c r="AI235" i="1" s="1"/>
  <c r="X234" i="1"/>
  <c r="AI234" i="1" s="1"/>
  <c r="X233" i="1"/>
  <c r="AI233" i="1" s="1"/>
  <c r="X232" i="1"/>
  <c r="AI232" i="1" s="1"/>
  <c r="X231" i="1"/>
  <c r="AI231" i="1" s="1"/>
  <c r="X230" i="1"/>
  <c r="AI230" i="1" s="1"/>
  <c r="X229" i="1"/>
  <c r="AI229" i="1" s="1"/>
  <c r="X228" i="1"/>
  <c r="AI228" i="1" s="1"/>
  <c r="X227" i="1"/>
  <c r="AI227" i="1" s="1"/>
  <c r="X226" i="1"/>
  <c r="AI226" i="1" s="1"/>
  <c r="X225" i="1"/>
  <c r="AI225" i="1" s="1"/>
  <c r="X224" i="1"/>
  <c r="AI224" i="1" s="1"/>
  <c r="X223" i="1"/>
  <c r="AI223" i="1" s="1"/>
  <c r="X222" i="1"/>
  <c r="AI222" i="1" s="1"/>
  <c r="X221" i="1"/>
  <c r="AI221" i="1" s="1"/>
  <c r="X220" i="1"/>
  <c r="AI220" i="1" s="1"/>
  <c r="X219" i="1"/>
  <c r="AI219" i="1" s="1"/>
  <c r="X218" i="1"/>
  <c r="AI218" i="1" s="1"/>
  <c r="X217" i="1"/>
  <c r="AI217" i="1" s="1"/>
  <c r="X216" i="1"/>
  <c r="AI216" i="1" s="1"/>
  <c r="X215" i="1"/>
  <c r="AI215" i="1" s="1"/>
  <c r="X214" i="1"/>
  <c r="AI214" i="1" s="1"/>
  <c r="X213" i="1"/>
  <c r="AI213" i="1" s="1"/>
  <c r="X212" i="1"/>
  <c r="AI212" i="1" s="1"/>
  <c r="X211" i="1"/>
  <c r="AI211" i="1" s="1"/>
  <c r="X210" i="1"/>
  <c r="AI210" i="1" s="1"/>
  <c r="X209" i="1"/>
  <c r="AI209" i="1" s="1"/>
  <c r="X208" i="1"/>
  <c r="AI208" i="1" s="1"/>
  <c r="X207" i="1"/>
  <c r="AI207" i="1" s="1"/>
  <c r="X206" i="1"/>
  <c r="AI206" i="1" s="1"/>
  <c r="X205" i="1"/>
  <c r="AI205" i="1" s="1"/>
  <c r="X204" i="1"/>
  <c r="AI204" i="1" s="1"/>
  <c r="X203" i="1"/>
  <c r="AI203" i="1" s="1"/>
  <c r="X202" i="1"/>
  <c r="AI202" i="1" s="1"/>
  <c r="X201" i="1"/>
  <c r="AI201" i="1" s="1"/>
  <c r="X200" i="1"/>
  <c r="AI200" i="1" s="1"/>
  <c r="X199" i="1"/>
  <c r="AI199" i="1" s="1"/>
  <c r="X198" i="1"/>
  <c r="AI198" i="1" s="1"/>
  <c r="X197" i="1"/>
  <c r="AI197" i="1" s="1"/>
  <c r="X196" i="1"/>
  <c r="AI196" i="1" s="1"/>
  <c r="X195" i="1"/>
  <c r="AI195" i="1" s="1"/>
  <c r="X194" i="1"/>
  <c r="AI194" i="1" s="1"/>
  <c r="X193" i="1"/>
  <c r="AI193" i="1" s="1"/>
  <c r="X192" i="1"/>
  <c r="AI192" i="1" s="1"/>
  <c r="X191" i="1"/>
  <c r="AI191" i="1" s="1"/>
  <c r="X190" i="1"/>
  <c r="AI190" i="1" s="1"/>
  <c r="X189" i="1"/>
  <c r="AI189" i="1" s="1"/>
  <c r="X188" i="1"/>
  <c r="AI188" i="1" s="1"/>
  <c r="X187" i="1"/>
  <c r="AI187" i="1" s="1"/>
  <c r="X186" i="1"/>
  <c r="AI186" i="1" s="1"/>
  <c r="X185" i="1"/>
  <c r="AI185" i="1" s="1"/>
  <c r="X184" i="1"/>
  <c r="AI184" i="1" s="1"/>
  <c r="X183" i="1"/>
  <c r="AI183" i="1" s="1"/>
  <c r="X182" i="1"/>
  <c r="AI182" i="1" s="1"/>
  <c r="X181" i="1"/>
  <c r="AI181" i="1" s="1"/>
  <c r="X180" i="1"/>
  <c r="AI180" i="1" s="1"/>
  <c r="X179" i="1"/>
  <c r="AI179" i="1" s="1"/>
  <c r="X178" i="1"/>
  <c r="AI178" i="1" s="1"/>
  <c r="X177" i="1"/>
  <c r="AI177" i="1" s="1"/>
  <c r="X176" i="1"/>
  <c r="AI176" i="1" s="1"/>
  <c r="X175" i="1"/>
  <c r="AI175" i="1" s="1"/>
  <c r="X174" i="1"/>
  <c r="AI174" i="1" s="1"/>
  <c r="X173" i="1"/>
  <c r="AI173" i="1" s="1"/>
  <c r="X172" i="1"/>
  <c r="AI172" i="1" s="1"/>
  <c r="X171" i="1"/>
  <c r="AI171" i="1" s="1"/>
  <c r="X170" i="1"/>
  <c r="AI170" i="1" s="1"/>
  <c r="X169" i="1"/>
  <c r="AI169" i="1" s="1"/>
  <c r="X168" i="1"/>
  <c r="AI168" i="1" s="1"/>
  <c r="X167" i="1"/>
  <c r="AI167" i="1" s="1"/>
  <c r="X166" i="1"/>
  <c r="AI166" i="1" s="1"/>
  <c r="X165" i="1"/>
  <c r="AI165" i="1" s="1"/>
  <c r="X164" i="1"/>
  <c r="AI164" i="1" s="1"/>
  <c r="X163" i="1"/>
  <c r="AI163" i="1" s="1"/>
  <c r="X162" i="1"/>
  <c r="AI162" i="1" s="1"/>
  <c r="X161" i="1"/>
  <c r="AI161" i="1" s="1"/>
  <c r="X160" i="1"/>
  <c r="AI160" i="1" s="1"/>
  <c r="X159" i="1"/>
  <c r="AI159" i="1" s="1"/>
  <c r="X158" i="1"/>
  <c r="AI158" i="1" s="1"/>
  <c r="X157" i="1"/>
  <c r="AI157" i="1" s="1"/>
  <c r="X156" i="1"/>
  <c r="AI156" i="1" s="1"/>
  <c r="X155" i="1"/>
  <c r="AI155" i="1" s="1"/>
  <c r="X154" i="1"/>
  <c r="AI154" i="1" s="1"/>
  <c r="X153" i="1"/>
  <c r="AI153" i="1" s="1"/>
  <c r="X152" i="1"/>
  <c r="AI152" i="1" s="1"/>
  <c r="X151" i="1"/>
  <c r="AI151" i="1" s="1"/>
  <c r="X150" i="1"/>
  <c r="AI150" i="1" s="1"/>
  <c r="X149" i="1"/>
  <c r="AI149" i="1" s="1"/>
  <c r="X148" i="1"/>
  <c r="AI148" i="1" s="1"/>
  <c r="X147" i="1"/>
  <c r="AI147" i="1" s="1"/>
  <c r="X146" i="1"/>
  <c r="AI146" i="1" s="1"/>
  <c r="X145" i="1"/>
  <c r="AI145" i="1" s="1"/>
  <c r="X144" i="1"/>
  <c r="AI144" i="1" s="1"/>
  <c r="X143" i="1"/>
  <c r="AI143" i="1" s="1"/>
  <c r="X142" i="1"/>
  <c r="AI142" i="1" s="1"/>
  <c r="X141" i="1"/>
  <c r="AI141" i="1" s="1"/>
  <c r="X140" i="1"/>
  <c r="AI140" i="1" s="1"/>
  <c r="X139" i="1"/>
  <c r="AI139" i="1" s="1"/>
  <c r="X138" i="1"/>
  <c r="AI138" i="1" s="1"/>
  <c r="X137" i="1"/>
  <c r="AI137" i="1" s="1"/>
  <c r="X136" i="1"/>
  <c r="AI136" i="1" s="1"/>
  <c r="X135" i="1"/>
  <c r="AI135" i="1" s="1"/>
  <c r="X134" i="1"/>
  <c r="AI134" i="1" s="1"/>
  <c r="X133" i="1"/>
  <c r="AI133" i="1" s="1"/>
  <c r="X132" i="1"/>
  <c r="AI132" i="1" s="1"/>
  <c r="X131" i="1"/>
  <c r="AI131" i="1" s="1"/>
  <c r="X130" i="1"/>
  <c r="AI130" i="1" s="1"/>
  <c r="X129" i="1"/>
  <c r="AI129" i="1" s="1"/>
  <c r="X128" i="1"/>
  <c r="AI128" i="1" s="1"/>
  <c r="X127" i="1"/>
  <c r="AI127" i="1" s="1"/>
  <c r="X126" i="1"/>
  <c r="AI126" i="1" s="1"/>
  <c r="X125" i="1"/>
  <c r="AI125" i="1" s="1"/>
  <c r="X124" i="1"/>
  <c r="AI124" i="1" s="1"/>
  <c r="X123" i="1"/>
  <c r="AI123" i="1" s="1"/>
  <c r="X122" i="1"/>
  <c r="AI122" i="1" s="1"/>
  <c r="X121" i="1"/>
  <c r="AI121" i="1" s="1"/>
  <c r="X120" i="1"/>
  <c r="AI120" i="1" s="1"/>
  <c r="X119" i="1"/>
  <c r="AI119" i="1" s="1"/>
  <c r="X118" i="1"/>
  <c r="AI118" i="1" s="1"/>
  <c r="X117" i="1"/>
  <c r="AI117" i="1" s="1"/>
  <c r="X116" i="1"/>
  <c r="AI116" i="1" s="1"/>
  <c r="X115" i="1"/>
  <c r="AI115" i="1" s="1"/>
  <c r="X114" i="1"/>
  <c r="AI114" i="1" s="1"/>
  <c r="X113" i="1"/>
  <c r="AI113" i="1" s="1"/>
  <c r="X112" i="1"/>
  <c r="AI112" i="1" s="1"/>
  <c r="X111" i="1"/>
  <c r="AI111" i="1" s="1"/>
  <c r="X110" i="1"/>
  <c r="AI110" i="1" s="1"/>
  <c r="X109" i="1"/>
  <c r="AI109" i="1" s="1"/>
  <c r="X108" i="1"/>
  <c r="AI108" i="1" s="1"/>
  <c r="X107" i="1"/>
  <c r="AI107" i="1" s="1"/>
  <c r="X106" i="1"/>
  <c r="AI106" i="1" s="1"/>
  <c r="X105" i="1"/>
  <c r="AI105" i="1" s="1"/>
  <c r="X104" i="1"/>
  <c r="AI104" i="1" s="1"/>
  <c r="X103" i="1"/>
  <c r="AI103" i="1" s="1"/>
  <c r="X102" i="1"/>
  <c r="AI102" i="1" s="1"/>
  <c r="X101" i="1"/>
  <c r="AI101" i="1" s="1"/>
  <c r="X100" i="1"/>
  <c r="AI100" i="1" s="1"/>
  <c r="X99" i="1"/>
  <c r="AI99" i="1" s="1"/>
  <c r="X98" i="1"/>
  <c r="AI98" i="1" s="1"/>
  <c r="X97" i="1"/>
  <c r="AI97" i="1" s="1"/>
  <c r="X96" i="1"/>
  <c r="AI96" i="1" s="1"/>
  <c r="X95" i="1"/>
  <c r="AI95" i="1" s="1"/>
  <c r="X94" i="1"/>
  <c r="AI94" i="1" s="1"/>
  <c r="X93" i="1"/>
  <c r="AI93" i="1" s="1"/>
  <c r="X92" i="1"/>
  <c r="AI92" i="1" s="1"/>
  <c r="X91" i="1"/>
  <c r="AI91" i="1" s="1"/>
  <c r="X90" i="1"/>
  <c r="AI90" i="1" s="1"/>
  <c r="X89" i="1"/>
  <c r="AI89" i="1" s="1"/>
  <c r="X88" i="1"/>
  <c r="AI88" i="1" s="1"/>
  <c r="X87" i="1"/>
  <c r="AI87" i="1" s="1"/>
  <c r="X86" i="1"/>
  <c r="AI86" i="1" s="1"/>
  <c r="X85" i="1"/>
  <c r="AI85" i="1" s="1"/>
  <c r="X84" i="1"/>
  <c r="AI84" i="1" s="1"/>
  <c r="X83" i="1"/>
  <c r="AI83" i="1" s="1"/>
  <c r="X82" i="1"/>
  <c r="AI82" i="1" s="1"/>
  <c r="X81" i="1"/>
  <c r="AI81" i="1" s="1"/>
  <c r="X80" i="1"/>
  <c r="AI80" i="1" s="1"/>
  <c r="X79" i="1"/>
  <c r="AI79" i="1" s="1"/>
  <c r="X78" i="1"/>
  <c r="AI78" i="1" s="1"/>
  <c r="X77" i="1"/>
  <c r="AI77" i="1" s="1"/>
  <c r="X76" i="1"/>
  <c r="AI76" i="1" s="1"/>
  <c r="X75" i="1"/>
  <c r="AI75" i="1" s="1"/>
  <c r="X74" i="1"/>
  <c r="AI74" i="1" s="1"/>
  <c r="X73" i="1"/>
  <c r="AI73" i="1" s="1"/>
  <c r="X72" i="1"/>
  <c r="AI72" i="1" s="1"/>
  <c r="X71" i="1"/>
  <c r="AI71" i="1" s="1"/>
  <c r="X70" i="1"/>
  <c r="AI70" i="1" s="1"/>
  <c r="X69" i="1"/>
  <c r="AI69" i="1" s="1"/>
  <c r="X68" i="1"/>
  <c r="AI68" i="1" s="1"/>
  <c r="X67" i="1"/>
  <c r="AI67" i="1" s="1"/>
  <c r="X66" i="1"/>
  <c r="AI66" i="1" s="1"/>
  <c r="X65" i="1"/>
  <c r="AI65" i="1" s="1"/>
  <c r="X64" i="1"/>
  <c r="AI64" i="1" s="1"/>
  <c r="X63" i="1"/>
  <c r="AI63" i="1" s="1"/>
  <c r="X62" i="1"/>
  <c r="AI62" i="1" s="1"/>
  <c r="X61" i="1"/>
  <c r="AI61" i="1" s="1"/>
  <c r="X60" i="1"/>
  <c r="AI60" i="1" s="1"/>
  <c r="X59" i="1"/>
  <c r="AI59" i="1" s="1"/>
  <c r="X58" i="1"/>
  <c r="AI58" i="1" s="1"/>
  <c r="X57" i="1"/>
  <c r="AI57" i="1" s="1"/>
  <c r="X56" i="1"/>
  <c r="AI56" i="1" s="1"/>
  <c r="X55" i="1"/>
  <c r="AI55" i="1" s="1"/>
  <c r="X54" i="1"/>
  <c r="AI54" i="1" s="1"/>
  <c r="X53" i="1"/>
  <c r="AI53" i="1" s="1"/>
  <c r="X52" i="1"/>
  <c r="AI52" i="1" s="1"/>
  <c r="X51" i="1"/>
  <c r="AI51" i="1" s="1"/>
  <c r="X50" i="1"/>
  <c r="AI50" i="1" s="1"/>
  <c r="X49" i="1"/>
  <c r="AI49" i="1" s="1"/>
  <c r="X48" i="1"/>
  <c r="AI48" i="1" s="1"/>
  <c r="X47" i="1"/>
  <c r="AI47" i="1" s="1"/>
  <c r="X46" i="1"/>
  <c r="AI46" i="1" s="1"/>
  <c r="X45" i="1"/>
  <c r="AI45" i="1" s="1"/>
  <c r="X44" i="1"/>
  <c r="AI44" i="1" s="1"/>
  <c r="X43" i="1"/>
  <c r="AI43" i="1" s="1"/>
  <c r="X42" i="1"/>
  <c r="AI42" i="1" s="1"/>
  <c r="X41" i="1"/>
  <c r="AI41" i="1" s="1"/>
  <c r="X40" i="1"/>
  <c r="AI40" i="1" s="1"/>
  <c r="X39" i="1"/>
  <c r="AI39" i="1" s="1"/>
  <c r="X38" i="1"/>
  <c r="AI38" i="1" s="1"/>
  <c r="X37" i="1"/>
  <c r="AI37" i="1" s="1"/>
  <c r="X36" i="1"/>
  <c r="AI36" i="1" s="1"/>
  <c r="X35" i="1"/>
  <c r="AI35" i="1" s="1"/>
  <c r="X34" i="1"/>
  <c r="AI34" i="1" s="1"/>
  <c r="X33" i="1"/>
  <c r="AI33" i="1" s="1"/>
  <c r="X32" i="1"/>
  <c r="AI32" i="1" s="1"/>
  <c r="X31" i="1"/>
  <c r="AI31" i="1" s="1"/>
  <c r="X30" i="1"/>
  <c r="AI30" i="1" s="1"/>
  <c r="X29" i="1"/>
  <c r="AI29" i="1" s="1"/>
  <c r="X28" i="1"/>
  <c r="AI28" i="1" s="1"/>
  <c r="X27" i="1"/>
  <c r="AI27" i="1" s="1"/>
  <c r="X26" i="1"/>
  <c r="AI26" i="1" s="1"/>
  <c r="X25" i="1"/>
  <c r="AI25" i="1" s="1"/>
  <c r="X24" i="1"/>
  <c r="AI24" i="1" s="1"/>
  <c r="X23" i="1"/>
  <c r="AI23" i="1" s="1"/>
  <c r="X22" i="1"/>
  <c r="AI22" i="1" s="1"/>
  <c r="X21" i="1"/>
  <c r="AI21" i="1" s="1"/>
  <c r="X20" i="1"/>
  <c r="AI20" i="1" s="1"/>
  <c r="X19" i="1"/>
  <c r="AI19" i="1" s="1"/>
  <c r="X18" i="1"/>
  <c r="AI18" i="1" s="1"/>
  <c r="X17" i="1"/>
  <c r="AI17" i="1" s="1"/>
  <c r="X16" i="1"/>
  <c r="AI16" i="1" s="1"/>
  <c r="X15" i="1"/>
  <c r="AI15" i="1" s="1"/>
  <c r="X14" i="1"/>
  <c r="AI14" i="1" s="1"/>
  <c r="X13" i="1"/>
  <c r="AI13" i="1" s="1"/>
  <c r="X12" i="1"/>
  <c r="AI12" i="1" s="1"/>
  <c r="X11" i="1"/>
  <c r="AI11" i="1" s="1"/>
  <c r="X10" i="1"/>
  <c r="AI10" i="1" s="1"/>
  <c r="X9" i="1"/>
  <c r="AI9" i="1" s="1"/>
  <c r="X8" i="1"/>
  <c r="AI8" i="1" s="1"/>
  <c r="X7" i="1"/>
  <c r="AI7" i="1" s="1"/>
  <c r="X6" i="1"/>
  <c r="AI6" i="1" s="1"/>
  <c r="X5" i="1"/>
  <c r="AI5" i="1" s="1"/>
  <c r="X4" i="1"/>
  <c r="AI4" i="1" s="1"/>
  <c r="X3" i="1"/>
  <c r="AI3" i="1" s="1"/>
  <c r="X2" i="1"/>
  <c r="AI2" i="1" s="1"/>
  <c r="T2" i="1"/>
  <c r="AA2" i="1" s="1"/>
  <c r="T469" i="1"/>
  <c r="AA469" i="1" s="1"/>
  <c r="T468" i="1"/>
  <c r="T467" i="1"/>
  <c r="T466" i="1"/>
  <c r="T465" i="1"/>
  <c r="T464" i="1"/>
  <c r="T463" i="1"/>
  <c r="AA463" i="1" s="1"/>
  <c r="T462" i="1"/>
  <c r="AA462" i="1" s="1"/>
  <c r="T461" i="1"/>
  <c r="AA461" i="1" s="1"/>
  <c r="T460" i="1"/>
  <c r="T459" i="1"/>
  <c r="T458" i="1"/>
  <c r="T457" i="1"/>
  <c r="T456" i="1"/>
  <c r="T455" i="1"/>
  <c r="AA455" i="1" s="1"/>
  <c r="T454" i="1"/>
  <c r="AA454" i="1" s="1"/>
  <c r="T453" i="1"/>
  <c r="AA453" i="1" s="1"/>
  <c r="T452" i="1"/>
  <c r="T451" i="1"/>
  <c r="T450" i="1"/>
  <c r="T449" i="1"/>
  <c r="T448" i="1"/>
  <c r="T447" i="1"/>
  <c r="AA447" i="1" s="1"/>
  <c r="T446" i="1"/>
  <c r="AA446" i="1" s="1"/>
  <c r="T445" i="1"/>
  <c r="AA445" i="1" s="1"/>
  <c r="T444" i="1"/>
  <c r="T443" i="1"/>
  <c r="T442" i="1"/>
  <c r="T441" i="1"/>
  <c r="T440" i="1"/>
  <c r="T439" i="1"/>
  <c r="AA439" i="1" s="1"/>
  <c r="T438" i="1"/>
  <c r="AA438" i="1" s="1"/>
  <c r="T437" i="1"/>
  <c r="AA437" i="1" s="1"/>
  <c r="T436" i="1"/>
  <c r="T435" i="1"/>
  <c r="T434" i="1"/>
  <c r="T433" i="1"/>
  <c r="T432" i="1"/>
  <c r="T431" i="1"/>
  <c r="AA431" i="1" s="1"/>
  <c r="T430" i="1"/>
  <c r="AA430" i="1" s="1"/>
  <c r="T429" i="1"/>
  <c r="T428" i="1"/>
  <c r="T427" i="1"/>
  <c r="T426" i="1"/>
  <c r="T425" i="1"/>
  <c r="T424" i="1"/>
  <c r="T423" i="1"/>
  <c r="T422" i="1"/>
  <c r="AA422" i="1" s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AA409" i="1" s="1"/>
  <c r="T408" i="1"/>
  <c r="T407" i="1"/>
  <c r="T406" i="1"/>
  <c r="T405" i="1"/>
  <c r="T404" i="1"/>
  <c r="T403" i="1"/>
  <c r="T402" i="1"/>
  <c r="T401" i="1"/>
  <c r="AA401" i="1" s="1"/>
  <c r="T400" i="1"/>
  <c r="T399" i="1"/>
  <c r="T398" i="1"/>
  <c r="T397" i="1"/>
  <c r="T396" i="1"/>
  <c r="T395" i="1"/>
  <c r="T394" i="1"/>
  <c r="T393" i="1"/>
  <c r="AA393" i="1" s="1"/>
  <c r="T392" i="1"/>
  <c r="T391" i="1"/>
  <c r="AA391" i="1" s="1"/>
  <c r="T390" i="1"/>
  <c r="T389" i="1"/>
  <c r="T388" i="1"/>
  <c r="T387" i="1"/>
  <c r="T386" i="1"/>
  <c r="T385" i="1"/>
  <c r="AA385" i="1" s="1"/>
  <c r="T384" i="1"/>
  <c r="T383" i="1"/>
  <c r="AA383" i="1" s="1"/>
  <c r="T382" i="1"/>
  <c r="AA382" i="1" s="1"/>
  <c r="T381" i="1"/>
  <c r="T380" i="1"/>
  <c r="T379" i="1"/>
  <c r="T378" i="1"/>
  <c r="T377" i="1"/>
  <c r="T376" i="1"/>
  <c r="T375" i="1"/>
  <c r="AA375" i="1" s="1"/>
  <c r="T374" i="1"/>
  <c r="AA374" i="1" s="1"/>
  <c r="T373" i="1"/>
  <c r="T372" i="1"/>
  <c r="T371" i="1"/>
  <c r="T370" i="1"/>
  <c r="T369" i="1"/>
  <c r="T368" i="1"/>
  <c r="T367" i="1"/>
  <c r="AA367" i="1" s="1"/>
  <c r="T366" i="1"/>
  <c r="AA366" i="1" s="1"/>
  <c r="T365" i="1"/>
  <c r="T364" i="1"/>
  <c r="T363" i="1"/>
  <c r="T362" i="1"/>
  <c r="T361" i="1"/>
  <c r="T360" i="1"/>
  <c r="T359" i="1"/>
  <c r="T358" i="1"/>
  <c r="AA358" i="1" s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AA345" i="1" s="1"/>
  <c r="T344" i="1"/>
  <c r="T343" i="1"/>
  <c r="T342" i="1"/>
  <c r="T341" i="1"/>
  <c r="T340" i="1"/>
  <c r="T339" i="1"/>
  <c r="T338" i="1"/>
  <c r="T337" i="1"/>
  <c r="AA337" i="1" s="1"/>
  <c r="T336" i="1"/>
  <c r="T335" i="1"/>
  <c r="T334" i="1"/>
  <c r="T333" i="1"/>
  <c r="T332" i="1"/>
  <c r="T331" i="1"/>
  <c r="T330" i="1"/>
  <c r="T329" i="1"/>
  <c r="AA329" i="1" s="1"/>
  <c r="T328" i="1"/>
  <c r="T327" i="1"/>
  <c r="AA327" i="1" s="1"/>
  <c r="T326" i="1"/>
  <c r="T325" i="1"/>
  <c r="T324" i="1"/>
  <c r="T323" i="1"/>
  <c r="T322" i="1"/>
  <c r="T321" i="1"/>
  <c r="AA321" i="1" s="1"/>
  <c r="T320" i="1"/>
  <c r="T319" i="1"/>
  <c r="AA319" i="1" s="1"/>
  <c r="T318" i="1"/>
  <c r="AA318" i="1" s="1"/>
  <c r="T317" i="1"/>
  <c r="T316" i="1"/>
  <c r="T315" i="1"/>
  <c r="T314" i="1"/>
  <c r="T313" i="1"/>
  <c r="T312" i="1"/>
  <c r="T311" i="1"/>
  <c r="AA311" i="1" s="1"/>
  <c r="T310" i="1"/>
  <c r="AA310" i="1" s="1"/>
  <c r="T309" i="1"/>
  <c r="T308" i="1"/>
  <c r="T307" i="1"/>
  <c r="T306" i="1"/>
  <c r="T305" i="1"/>
  <c r="T304" i="1"/>
  <c r="T303" i="1"/>
  <c r="AA303" i="1" s="1"/>
  <c r="T302" i="1"/>
  <c r="AA302" i="1" s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3" i="1"/>
  <c r="T4" i="1"/>
  <c r="T5" i="1"/>
  <c r="T6" i="1"/>
  <c r="T7" i="1"/>
  <c r="T8" i="1"/>
  <c r="T9" i="1"/>
  <c r="T10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7" i="1"/>
  <c r="S407" i="1"/>
  <c r="R408" i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6" i="1"/>
  <c r="S456" i="1"/>
  <c r="R457" i="1"/>
  <c r="S457" i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S2" i="1"/>
  <c r="R2" i="1"/>
  <c r="AA6" i="1" l="1"/>
  <c r="AG6" i="1"/>
  <c r="AA15" i="1"/>
  <c r="AG15" i="1"/>
  <c r="AA23" i="1"/>
  <c r="AG23" i="1"/>
  <c r="AA31" i="1"/>
  <c r="AG31" i="1"/>
  <c r="AA39" i="1"/>
  <c r="AG39" i="1"/>
  <c r="AA47" i="1"/>
  <c r="AG47" i="1"/>
  <c r="AA55" i="1"/>
  <c r="AG55" i="1"/>
  <c r="AA63" i="1"/>
  <c r="AG63" i="1"/>
  <c r="AA71" i="1"/>
  <c r="AG71" i="1"/>
  <c r="AA79" i="1"/>
  <c r="AG79" i="1"/>
  <c r="AA87" i="1"/>
  <c r="AG87" i="1"/>
  <c r="AA95" i="1"/>
  <c r="AG95" i="1"/>
  <c r="AA103" i="1"/>
  <c r="AG103" i="1"/>
  <c r="AA111" i="1"/>
  <c r="AG111" i="1"/>
  <c r="AA119" i="1"/>
  <c r="AG119" i="1"/>
  <c r="AA127" i="1"/>
  <c r="AG127" i="1"/>
  <c r="AA135" i="1"/>
  <c r="AG135" i="1"/>
  <c r="AA143" i="1"/>
  <c r="AG143" i="1"/>
  <c r="AA151" i="1"/>
  <c r="AG151" i="1"/>
  <c r="AA159" i="1"/>
  <c r="AG159" i="1"/>
  <c r="AA167" i="1"/>
  <c r="AG167" i="1"/>
  <c r="AA175" i="1"/>
  <c r="AG175" i="1"/>
  <c r="AA183" i="1"/>
  <c r="AG183" i="1"/>
  <c r="AA191" i="1"/>
  <c r="AG191" i="1"/>
  <c r="AA199" i="1"/>
  <c r="AG199" i="1"/>
  <c r="AA207" i="1"/>
  <c r="AG207" i="1"/>
  <c r="AA215" i="1"/>
  <c r="AG215" i="1"/>
  <c r="AA223" i="1"/>
  <c r="AG223" i="1"/>
  <c r="AA231" i="1"/>
  <c r="AG231" i="1"/>
  <c r="AA239" i="1"/>
  <c r="AG239" i="1"/>
  <c r="AA247" i="1"/>
  <c r="AG247" i="1"/>
  <c r="AA255" i="1"/>
  <c r="AG255" i="1"/>
  <c r="AA263" i="1"/>
  <c r="AG263" i="1"/>
  <c r="AA271" i="1"/>
  <c r="AG271" i="1"/>
  <c r="AA279" i="1"/>
  <c r="AG279" i="1"/>
  <c r="AA287" i="1"/>
  <c r="AG287" i="1"/>
  <c r="AA5" i="1"/>
  <c r="AG5" i="1"/>
  <c r="AA16" i="1"/>
  <c r="AG16" i="1"/>
  <c r="AA24" i="1"/>
  <c r="AG24" i="1"/>
  <c r="AA32" i="1"/>
  <c r="AG32" i="1"/>
  <c r="AA40" i="1"/>
  <c r="AG40" i="1"/>
  <c r="AA48" i="1"/>
  <c r="AG48" i="1"/>
  <c r="AA56" i="1"/>
  <c r="AG56" i="1"/>
  <c r="AA64" i="1"/>
  <c r="AG64" i="1"/>
  <c r="AA72" i="1"/>
  <c r="AG72" i="1"/>
  <c r="AA80" i="1"/>
  <c r="AG80" i="1"/>
  <c r="AA88" i="1"/>
  <c r="AG88" i="1"/>
  <c r="AA96" i="1"/>
  <c r="AG96" i="1"/>
  <c r="AA104" i="1"/>
  <c r="AG104" i="1"/>
  <c r="AA112" i="1"/>
  <c r="AG112" i="1"/>
  <c r="AA120" i="1"/>
  <c r="AG120" i="1"/>
  <c r="AA128" i="1"/>
  <c r="AG128" i="1"/>
  <c r="AA136" i="1"/>
  <c r="AG136" i="1"/>
  <c r="AA144" i="1"/>
  <c r="AG144" i="1"/>
  <c r="AA152" i="1"/>
  <c r="AG152" i="1"/>
  <c r="AA160" i="1"/>
  <c r="AG160" i="1"/>
  <c r="AA168" i="1"/>
  <c r="AG168" i="1"/>
  <c r="AA176" i="1"/>
  <c r="AG176" i="1"/>
  <c r="AA184" i="1"/>
  <c r="AG184" i="1"/>
  <c r="AA192" i="1"/>
  <c r="AG192" i="1"/>
  <c r="AA200" i="1"/>
  <c r="AG200" i="1"/>
  <c r="AA208" i="1"/>
  <c r="AG208" i="1"/>
  <c r="AA216" i="1"/>
  <c r="AG216" i="1"/>
  <c r="AA224" i="1"/>
  <c r="AG224" i="1"/>
  <c r="AA232" i="1"/>
  <c r="AG232" i="1"/>
  <c r="AA240" i="1"/>
  <c r="AG240" i="1"/>
  <c r="AA248" i="1"/>
  <c r="AG248" i="1"/>
  <c r="AA256" i="1"/>
  <c r="AG256" i="1"/>
  <c r="AA264" i="1"/>
  <c r="AG264" i="1"/>
  <c r="AA272" i="1"/>
  <c r="AG272" i="1"/>
  <c r="AA280" i="1"/>
  <c r="AG280" i="1"/>
  <c r="AA288" i="1"/>
  <c r="AG288" i="1"/>
  <c r="AA296" i="1"/>
  <c r="AG296" i="1"/>
  <c r="AA304" i="1"/>
  <c r="AG304" i="1"/>
  <c r="AA312" i="1"/>
  <c r="AG312" i="1"/>
  <c r="AA320" i="1"/>
  <c r="AG320" i="1"/>
  <c r="AA328" i="1"/>
  <c r="AG328" i="1"/>
  <c r="AA336" i="1"/>
  <c r="AG336" i="1"/>
  <c r="AA344" i="1"/>
  <c r="AG344" i="1"/>
  <c r="AA352" i="1"/>
  <c r="AG352" i="1"/>
  <c r="AA360" i="1"/>
  <c r="AG360" i="1"/>
  <c r="AA368" i="1"/>
  <c r="AG368" i="1"/>
  <c r="AA376" i="1"/>
  <c r="AG376" i="1"/>
  <c r="AA384" i="1"/>
  <c r="AG384" i="1"/>
  <c r="AA392" i="1"/>
  <c r="AG392" i="1"/>
  <c r="AA400" i="1"/>
  <c r="AG400" i="1"/>
  <c r="AA408" i="1"/>
  <c r="AG408" i="1"/>
  <c r="AA416" i="1"/>
  <c r="AG416" i="1"/>
  <c r="AA424" i="1"/>
  <c r="AG424" i="1"/>
  <c r="AA432" i="1"/>
  <c r="AG432" i="1"/>
  <c r="AA440" i="1"/>
  <c r="AG440" i="1"/>
  <c r="AA448" i="1"/>
  <c r="AG448" i="1"/>
  <c r="AA456" i="1"/>
  <c r="AG456" i="1"/>
  <c r="AA464" i="1"/>
  <c r="AG464" i="1"/>
  <c r="AA4" i="1"/>
  <c r="AG4" i="1"/>
  <c r="AA17" i="1"/>
  <c r="AG17" i="1"/>
  <c r="AA25" i="1"/>
  <c r="AG25" i="1"/>
  <c r="AA33" i="1"/>
  <c r="AG33" i="1"/>
  <c r="AA41" i="1"/>
  <c r="AG41" i="1"/>
  <c r="AA49" i="1"/>
  <c r="AG49" i="1"/>
  <c r="AA57" i="1"/>
  <c r="AG57" i="1"/>
  <c r="AA65" i="1"/>
  <c r="AG65" i="1"/>
  <c r="AA73" i="1"/>
  <c r="AG73" i="1"/>
  <c r="AA81" i="1"/>
  <c r="AG81" i="1"/>
  <c r="AA89" i="1"/>
  <c r="AG89" i="1"/>
  <c r="AA97" i="1"/>
  <c r="AG97" i="1"/>
  <c r="AA105" i="1"/>
  <c r="AG105" i="1"/>
  <c r="AA113" i="1"/>
  <c r="AG113" i="1"/>
  <c r="AA121" i="1"/>
  <c r="AG121" i="1"/>
  <c r="AA129" i="1"/>
  <c r="AG129" i="1"/>
  <c r="AA137" i="1"/>
  <c r="AG137" i="1"/>
  <c r="AA145" i="1"/>
  <c r="AG145" i="1"/>
  <c r="AA153" i="1"/>
  <c r="AG153" i="1"/>
  <c r="AA161" i="1"/>
  <c r="AG161" i="1"/>
  <c r="AA169" i="1"/>
  <c r="AG169" i="1"/>
  <c r="AA177" i="1"/>
  <c r="AG177" i="1"/>
  <c r="AA185" i="1"/>
  <c r="AG185" i="1"/>
  <c r="AA193" i="1"/>
  <c r="AG193" i="1"/>
  <c r="AA201" i="1"/>
  <c r="AG201" i="1"/>
  <c r="AA209" i="1"/>
  <c r="AG209" i="1"/>
  <c r="AA217" i="1"/>
  <c r="AG217" i="1"/>
  <c r="AA225" i="1"/>
  <c r="AG225" i="1"/>
  <c r="AA233" i="1"/>
  <c r="AG233" i="1"/>
  <c r="AA241" i="1"/>
  <c r="AG241" i="1"/>
  <c r="AA249" i="1"/>
  <c r="AG249" i="1"/>
  <c r="AA257" i="1"/>
  <c r="AG257" i="1"/>
  <c r="AA265" i="1"/>
  <c r="AG265" i="1"/>
  <c r="AA273" i="1"/>
  <c r="AG273" i="1"/>
  <c r="AA281" i="1"/>
  <c r="AG281" i="1"/>
  <c r="AA289" i="1"/>
  <c r="AG289" i="1"/>
  <c r="AA297" i="1"/>
  <c r="AG297" i="1"/>
  <c r="AA3" i="1"/>
  <c r="AG3" i="1"/>
  <c r="AA18" i="1"/>
  <c r="AG18" i="1"/>
  <c r="AA26" i="1"/>
  <c r="AG26" i="1"/>
  <c r="AA34" i="1"/>
  <c r="AG34" i="1"/>
  <c r="AA42" i="1"/>
  <c r="AG42" i="1"/>
  <c r="AA50" i="1"/>
  <c r="AG50" i="1"/>
  <c r="AA58" i="1"/>
  <c r="AG58" i="1"/>
  <c r="AA66" i="1"/>
  <c r="AG66" i="1"/>
  <c r="AA74" i="1"/>
  <c r="AG74" i="1"/>
  <c r="AA82" i="1"/>
  <c r="AG82" i="1"/>
  <c r="AA90" i="1"/>
  <c r="AG90" i="1"/>
  <c r="AA98" i="1"/>
  <c r="AG98" i="1"/>
  <c r="AA106" i="1"/>
  <c r="AG106" i="1"/>
  <c r="AA114" i="1"/>
  <c r="AG114" i="1"/>
  <c r="AA122" i="1"/>
  <c r="AG122" i="1"/>
  <c r="AA130" i="1"/>
  <c r="AG130" i="1"/>
  <c r="AA138" i="1"/>
  <c r="AG138" i="1"/>
  <c r="AA146" i="1"/>
  <c r="AG146" i="1"/>
  <c r="AA154" i="1"/>
  <c r="AG154" i="1"/>
  <c r="AA162" i="1"/>
  <c r="AG162" i="1"/>
  <c r="AA170" i="1"/>
  <c r="AG170" i="1"/>
  <c r="AA178" i="1"/>
  <c r="AG178" i="1"/>
  <c r="AA186" i="1"/>
  <c r="AG186" i="1"/>
  <c r="AA194" i="1"/>
  <c r="AG194" i="1"/>
  <c r="AA202" i="1"/>
  <c r="AG202" i="1"/>
  <c r="AA210" i="1"/>
  <c r="AG210" i="1"/>
  <c r="AA218" i="1"/>
  <c r="AG218" i="1"/>
  <c r="AA226" i="1"/>
  <c r="AG226" i="1"/>
  <c r="AA234" i="1"/>
  <c r="AG234" i="1"/>
  <c r="AA242" i="1"/>
  <c r="AG242" i="1"/>
  <c r="AA250" i="1"/>
  <c r="AG250" i="1"/>
  <c r="AA258" i="1"/>
  <c r="AG258" i="1"/>
  <c r="AA266" i="1"/>
  <c r="AG266" i="1"/>
  <c r="AA274" i="1"/>
  <c r="AG274" i="1"/>
  <c r="AA282" i="1"/>
  <c r="AG282" i="1"/>
  <c r="AA290" i="1"/>
  <c r="AG290" i="1"/>
  <c r="AA298" i="1"/>
  <c r="AG298" i="1"/>
  <c r="AA306" i="1"/>
  <c r="AG306" i="1"/>
  <c r="AA314" i="1"/>
  <c r="AG314" i="1"/>
  <c r="AA322" i="1"/>
  <c r="AG322" i="1"/>
  <c r="AA330" i="1"/>
  <c r="AG330" i="1"/>
  <c r="AA338" i="1"/>
  <c r="AG338" i="1"/>
  <c r="AA346" i="1"/>
  <c r="AG346" i="1"/>
  <c r="AA354" i="1"/>
  <c r="AG354" i="1"/>
  <c r="AA362" i="1"/>
  <c r="AG362" i="1"/>
  <c r="AA370" i="1"/>
  <c r="AG370" i="1"/>
  <c r="AA378" i="1"/>
  <c r="AG378" i="1"/>
  <c r="AA386" i="1"/>
  <c r="AG386" i="1"/>
  <c r="AA394" i="1"/>
  <c r="AG394" i="1"/>
  <c r="AA402" i="1"/>
  <c r="AG402" i="1"/>
  <c r="AA410" i="1"/>
  <c r="AG410" i="1"/>
  <c r="AA418" i="1"/>
  <c r="AG418" i="1"/>
  <c r="AA426" i="1"/>
  <c r="AG426" i="1"/>
  <c r="AA434" i="1"/>
  <c r="AG434" i="1"/>
  <c r="AA442" i="1"/>
  <c r="AG442" i="1"/>
  <c r="AA450" i="1"/>
  <c r="AG450" i="1"/>
  <c r="AA458" i="1"/>
  <c r="AG458" i="1"/>
  <c r="AA466" i="1"/>
  <c r="AG466" i="1"/>
  <c r="AA10" i="1"/>
  <c r="AG10" i="1"/>
  <c r="AA11" i="1"/>
  <c r="AG11" i="1"/>
  <c r="AA19" i="1"/>
  <c r="AG19" i="1"/>
  <c r="AA27" i="1"/>
  <c r="AG27" i="1"/>
  <c r="AA35" i="1"/>
  <c r="AG35" i="1"/>
  <c r="AA43" i="1"/>
  <c r="AG43" i="1"/>
  <c r="AA51" i="1"/>
  <c r="AG51" i="1"/>
  <c r="AA59" i="1"/>
  <c r="AG59" i="1"/>
  <c r="AA67" i="1"/>
  <c r="AG67" i="1"/>
  <c r="AA75" i="1"/>
  <c r="AG75" i="1"/>
  <c r="AA83" i="1"/>
  <c r="AG83" i="1"/>
  <c r="AA91" i="1"/>
  <c r="AG91" i="1"/>
  <c r="AA99" i="1"/>
  <c r="AG99" i="1"/>
  <c r="AA107" i="1"/>
  <c r="AG107" i="1"/>
  <c r="AA115" i="1"/>
  <c r="AG115" i="1"/>
  <c r="AA123" i="1"/>
  <c r="AG123" i="1"/>
  <c r="AA131" i="1"/>
  <c r="AG131" i="1"/>
  <c r="AA139" i="1"/>
  <c r="AG139" i="1"/>
  <c r="AA147" i="1"/>
  <c r="AG147" i="1"/>
  <c r="AA155" i="1"/>
  <c r="AG155" i="1"/>
  <c r="AA163" i="1"/>
  <c r="AG163" i="1"/>
  <c r="AA171" i="1"/>
  <c r="AG171" i="1"/>
  <c r="AA179" i="1"/>
  <c r="AG179" i="1"/>
  <c r="AA187" i="1"/>
  <c r="AG187" i="1"/>
  <c r="AA195" i="1"/>
  <c r="AG195" i="1"/>
  <c r="AA203" i="1"/>
  <c r="AG203" i="1"/>
  <c r="AA211" i="1"/>
  <c r="AG211" i="1"/>
  <c r="AA219" i="1"/>
  <c r="AG219" i="1"/>
  <c r="AA227" i="1"/>
  <c r="AG227" i="1"/>
  <c r="AA235" i="1"/>
  <c r="AG235" i="1"/>
  <c r="AA243" i="1"/>
  <c r="AG243" i="1"/>
  <c r="AA251" i="1"/>
  <c r="AG251" i="1"/>
  <c r="AA259" i="1"/>
  <c r="AG259" i="1"/>
  <c r="AA267" i="1"/>
  <c r="AG267" i="1"/>
  <c r="AA275" i="1"/>
  <c r="AG275" i="1"/>
  <c r="AA283" i="1"/>
  <c r="AG283" i="1"/>
  <c r="AA291" i="1"/>
  <c r="AG291" i="1"/>
  <c r="AA299" i="1"/>
  <c r="AG299" i="1"/>
  <c r="AA307" i="1"/>
  <c r="AG307" i="1"/>
  <c r="AA315" i="1"/>
  <c r="AG315" i="1"/>
  <c r="AA323" i="1"/>
  <c r="AG323" i="1"/>
  <c r="AA331" i="1"/>
  <c r="AG331" i="1"/>
  <c r="AA339" i="1"/>
  <c r="AG339" i="1"/>
  <c r="AA347" i="1"/>
  <c r="AG347" i="1"/>
  <c r="AA355" i="1"/>
  <c r="AG355" i="1"/>
  <c r="AA363" i="1"/>
  <c r="AG363" i="1"/>
  <c r="AA371" i="1"/>
  <c r="AG371" i="1"/>
  <c r="AA379" i="1"/>
  <c r="AG379" i="1"/>
  <c r="AA387" i="1"/>
  <c r="AG387" i="1"/>
  <c r="AA395" i="1"/>
  <c r="AG395" i="1"/>
  <c r="AA403" i="1"/>
  <c r="AG403" i="1"/>
  <c r="AA411" i="1"/>
  <c r="AG411" i="1"/>
  <c r="AA419" i="1"/>
  <c r="AG419" i="1"/>
  <c r="AA427" i="1"/>
  <c r="AG427" i="1"/>
  <c r="AA435" i="1"/>
  <c r="AG435" i="1"/>
  <c r="AA443" i="1"/>
  <c r="AG443" i="1"/>
  <c r="AA451" i="1"/>
  <c r="AG451" i="1"/>
  <c r="AA459" i="1"/>
  <c r="AG459" i="1"/>
  <c r="AA467" i="1"/>
  <c r="AG467" i="1"/>
  <c r="AA9" i="1"/>
  <c r="AG9" i="1"/>
  <c r="AA12" i="1"/>
  <c r="AG12" i="1"/>
  <c r="AA20" i="1"/>
  <c r="AG20" i="1"/>
  <c r="AA28" i="1"/>
  <c r="AG28" i="1"/>
  <c r="AA36" i="1"/>
  <c r="AG36" i="1"/>
  <c r="AA44" i="1"/>
  <c r="AG44" i="1"/>
  <c r="AA52" i="1"/>
  <c r="AG52" i="1"/>
  <c r="AA60" i="1"/>
  <c r="AG60" i="1"/>
  <c r="AA68" i="1"/>
  <c r="AG68" i="1"/>
  <c r="AA76" i="1"/>
  <c r="AG76" i="1"/>
  <c r="AA84" i="1"/>
  <c r="AG84" i="1"/>
  <c r="AA92" i="1"/>
  <c r="AG92" i="1"/>
  <c r="AA100" i="1"/>
  <c r="AG100" i="1"/>
  <c r="AA108" i="1"/>
  <c r="AG108" i="1"/>
  <c r="AA116" i="1"/>
  <c r="AG116" i="1"/>
  <c r="AA124" i="1"/>
  <c r="AG124" i="1"/>
  <c r="AA132" i="1"/>
  <c r="AG132" i="1"/>
  <c r="AA140" i="1"/>
  <c r="AG140" i="1"/>
  <c r="AA148" i="1"/>
  <c r="AG148" i="1"/>
  <c r="AA156" i="1"/>
  <c r="AG156" i="1"/>
  <c r="AA164" i="1"/>
  <c r="AG164" i="1"/>
  <c r="AA172" i="1"/>
  <c r="AG172" i="1"/>
  <c r="AA180" i="1"/>
  <c r="AG180" i="1"/>
  <c r="AA188" i="1"/>
  <c r="AG188" i="1"/>
  <c r="AA196" i="1"/>
  <c r="AG196" i="1"/>
  <c r="AA204" i="1"/>
  <c r="AG204" i="1"/>
  <c r="AA212" i="1"/>
  <c r="AG212" i="1"/>
  <c r="AA220" i="1"/>
  <c r="AG220" i="1"/>
  <c r="AA228" i="1"/>
  <c r="AG228" i="1"/>
  <c r="AA236" i="1"/>
  <c r="AG236" i="1"/>
  <c r="AA244" i="1"/>
  <c r="AG244" i="1"/>
  <c r="AA252" i="1"/>
  <c r="AG252" i="1"/>
  <c r="AA260" i="1"/>
  <c r="AG260" i="1"/>
  <c r="AA268" i="1"/>
  <c r="AG268" i="1"/>
  <c r="AA276" i="1"/>
  <c r="AG276" i="1"/>
  <c r="AA284" i="1"/>
  <c r="AG284" i="1"/>
  <c r="AA292" i="1"/>
  <c r="AG292" i="1"/>
  <c r="AA300" i="1"/>
  <c r="AG300" i="1"/>
  <c r="AA308" i="1"/>
  <c r="AG308" i="1"/>
  <c r="AA316" i="1"/>
  <c r="AG316" i="1"/>
  <c r="AA324" i="1"/>
  <c r="AG324" i="1"/>
  <c r="AA332" i="1"/>
  <c r="AG332" i="1"/>
  <c r="AA340" i="1"/>
  <c r="AG340" i="1"/>
  <c r="AA348" i="1"/>
  <c r="AG348" i="1"/>
  <c r="AA356" i="1"/>
  <c r="AG356" i="1"/>
  <c r="AA364" i="1"/>
  <c r="AG364" i="1"/>
  <c r="AA372" i="1"/>
  <c r="AG372" i="1"/>
  <c r="AA380" i="1"/>
  <c r="AG380" i="1"/>
  <c r="AA388" i="1"/>
  <c r="AG388" i="1"/>
  <c r="AA396" i="1"/>
  <c r="AG396" i="1"/>
  <c r="AA404" i="1"/>
  <c r="AG404" i="1"/>
  <c r="AA412" i="1"/>
  <c r="AG412" i="1"/>
  <c r="AA420" i="1"/>
  <c r="AG420" i="1"/>
  <c r="AA428" i="1"/>
  <c r="AG428" i="1"/>
  <c r="AA436" i="1"/>
  <c r="AG436" i="1"/>
  <c r="AA444" i="1"/>
  <c r="AG444" i="1"/>
  <c r="AA452" i="1"/>
  <c r="AG452" i="1"/>
  <c r="AA460" i="1"/>
  <c r="AG460" i="1"/>
  <c r="AA468" i="1"/>
  <c r="AG468" i="1"/>
  <c r="AA8" i="1"/>
  <c r="AG8" i="1"/>
  <c r="AA13" i="1"/>
  <c r="AG13" i="1"/>
  <c r="AA21" i="1"/>
  <c r="AG21" i="1"/>
  <c r="AA29" i="1"/>
  <c r="AG29" i="1"/>
  <c r="AA37" i="1"/>
  <c r="AG37" i="1"/>
  <c r="AA45" i="1"/>
  <c r="AG45" i="1"/>
  <c r="AA53" i="1"/>
  <c r="AG53" i="1"/>
  <c r="AA61" i="1"/>
  <c r="AG61" i="1"/>
  <c r="AA69" i="1"/>
  <c r="AG69" i="1"/>
  <c r="AA77" i="1"/>
  <c r="AG77" i="1"/>
  <c r="AA85" i="1"/>
  <c r="AG85" i="1"/>
  <c r="AA93" i="1"/>
  <c r="AG93" i="1"/>
  <c r="AA101" i="1"/>
  <c r="AG101" i="1"/>
  <c r="AA109" i="1"/>
  <c r="AG109" i="1"/>
  <c r="AA117" i="1"/>
  <c r="AG117" i="1"/>
  <c r="AA125" i="1"/>
  <c r="AG125" i="1"/>
  <c r="AA133" i="1"/>
  <c r="AG133" i="1"/>
  <c r="AA141" i="1"/>
  <c r="AG141" i="1"/>
  <c r="AA149" i="1"/>
  <c r="AG149" i="1"/>
  <c r="AA157" i="1"/>
  <c r="AG157" i="1"/>
  <c r="AA165" i="1"/>
  <c r="AG165" i="1"/>
  <c r="AA173" i="1"/>
  <c r="AG173" i="1"/>
  <c r="AA181" i="1"/>
  <c r="AG181" i="1"/>
  <c r="AA189" i="1"/>
  <c r="AG189" i="1"/>
  <c r="AA197" i="1"/>
  <c r="AG197" i="1"/>
  <c r="AA205" i="1"/>
  <c r="AG205" i="1"/>
  <c r="AA213" i="1"/>
  <c r="AG213" i="1"/>
  <c r="AA221" i="1"/>
  <c r="AG221" i="1"/>
  <c r="AA229" i="1"/>
  <c r="AG229" i="1"/>
  <c r="AA237" i="1"/>
  <c r="AG237" i="1"/>
  <c r="AA245" i="1"/>
  <c r="AG245" i="1"/>
  <c r="AA253" i="1"/>
  <c r="AG253" i="1"/>
  <c r="AA261" i="1"/>
  <c r="AG261" i="1"/>
  <c r="AA269" i="1"/>
  <c r="AG269" i="1"/>
  <c r="AA277" i="1"/>
  <c r="AG277" i="1"/>
  <c r="AA285" i="1"/>
  <c r="AG285" i="1"/>
  <c r="AA293" i="1"/>
  <c r="AG293" i="1"/>
  <c r="AA7" i="1"/>
  <c r="AG7" i="1"/>
  <c r="AA14" i="1"/>
  <c r="AG14" i="1"/>
  <c r="AA22" i="1"/>
  <c r="AG22" i="1"/>
  <c r="AA30" i="1"/>
  <c r="AG30" i="1"/>
  <c r="AA38" i="1"/>
  <c r="AG38" i="1"/>
  <c r="AA46" i="1"/>
  <c r="AG46" i="1"/>
  <c r="AA54" i="1"/>
  <c r="AG54" i="1"/>
  <c r="AA62" i="1"/>
  <c r="AG62" i="1"/>
  <c r="AA70" i="1"/>
  <c r="AG70" i="1"/>
  <c r="AA78" i="1"/>
  <c r="AG78" i="1"/>
  <c r="AA86" i="1"/>
  <c r="AG86" i="1"/>
  <c r="AA94" i="1"/>
  <c r="AG94" i="1"/>
  <c r="AA102" i="1"/>
  <c r="AG102" i="1"/>
  <c r="AA110" i="1"/>
  <c r="AG110" i="1"/>
  <c r="AA118" i="1"/>
  <c r="AG118" i="1"/>
  <c r="AA126" i="1"/>
  <c r="AG126" i="1"/>
  <c r="AA134" i="1"/>
  <c r="AG134" i="1"/>
  <c r="AA142" i="1"/>
  <c r="AG142" i="1"/>
  <c r="AA150" i="1"/>
  <c r="AG150" i="1"/>
  <c r="AA158" i="1"/>
  <c r="AG158" i="1"/>
  <c r="AA166" i="1"/>
  <c r="AG166" i="1"/>
  <c r="AA174" i="1"/>
  <c r="AG174" i="1"/>
  <c r="AA182" i="1"/>
  <c r="AG182" i="1"/>
  <c r="AA190" i="1"/>
  <c r="AG190" i="1"/>
  <c r="AA198" i="1"/>
  <c r="AG198" i="1"/>
  <c r="AA206" i="1"/>
  <c r="AG206" i="1"/>
  <c r="AA214" i="1"/>
  <c r="AG214" i="1"/>
  <c r="AA222" i="1"/>
  <c r="AG222" i="1"/>
  <c r="AA230" i="1"/>
  <c r="AG230" i="1"/>
  <c r="AA238" i="1"/>
  <c r="AG238" i="1"/>
  <c r="AA246" i="1"/>
  <c r="AG246" i="1"/>
  <c r="AA254" i="1"/>
  <c r="AG254" i="1"/>
  <c r="AA262" i="1"/>
  <c r="AG262" i="1"/>
  <c r="AA270" i="1"/>
  <c r="AG270" i="1"/>
  <c r="AA278" i="1"/>
  <c r="AG278" i="1"/>
  <c r="AA286" i="1"/>
  <c r="AG286" i="1"/>
  <c r="AA294" i="1"/>
  <c r="AG294" i="1"/>
  <c r="AA305" i="1"/>
  <c r="AG305" i="1"/>
  <c r="AA313" i="1"/>
  <c r="AG313" i="1"/>
  <c r="AA353" i="1"/>
  <c r="AG353" i="1"/>
  <c r="AA361" i="1"/>
  <c r="AG361" i="1"/>
  <c r="AA369" i="1"/>
  <c r="AG369" i="1"/>
  <c r="AA377" i="1"/>
  <c r="AG377" i="1"/>
  <c r="AA417" i="1"/>
  <c r="AG417" i="1"/>
  <c r="AA425" i="1"/>
  <c r="AG425" i="1"/>
  <c r="AA433" i="1"/>
  <c r="AG433" i="1"/>
  <c r="AA441" i="1"/>
  <c r="AG441" i="1"/>
  <c r="AA449" i="1"/>
  <c r="AG449" i="1"/>
  <c r="AA457" i="1"/>
  <c r="AG457" i="1"/>
  <c r="AA465" i="1"/>
  <c r="AG465" i="1"/>
  <c r="AG463" i="1"/>
  <c r="AG447" i="1"/>
  <c r="AG431" i="1"/>
  <c r="AG358" i="1"/>
  <c r="AG321" i="1"/>
  <c r="AG303" i="1"/>
  <c r="AG462" i="1"/>
  <c r="AG446" i="1"/>
  <c r="AG430" i="1"/>
  <c r="AG393" i="1"/>
  <c r="AG375" i="1"/>
  <c r="AG302" i="1"/>
  <c r="AG461" i="1"/>
  <c r="AG445" i="1"/>
  <c r="AG374" i="1"/>
  <c r="AG337" i="1"/>
  <c r="AG319" i="1"/>
  <c r="AG409" i="1"/>
  <c r="AG391" i="1"/>
  <c r="AG318" i="1"/>
  <c r="AA301" i="1"/>
  <c r="AG301" i="1"/>
  <c r="AA309" i="1"/>
  <c r="AG309" i="1"/>
  <c r="AA317" i="1"/>
  <c r="AG317" i="1"/>
  <c r="AA325" i="1"/>
  <c r="AG325" i="1"/>
  <c r="AA333" i="1"/>
  <c r="AG333" i="1"/>
  <c r="AA341" i="1"/>
  <c r="AG341" i="1"/>
  <c r="AA349" i="1"/>
  <c r="AG349" i="1"/>
  <c r="AA357" i="1"/>
  <c r="AG357" i="1"/>
  <c r="AA365" i="1"/>
  <c r="AG365" i="1"/>
  <c r="AA373" i="1"/>
  <c r="AG373" i="1"/>
  <c r="AA381" i="1"/>
  <c r="AG381" i="1"/>
  <c r="AA389" i="1"/>
  <c r="AG389" i="1"/>
  <c r="AA397" i="1"/>
  <c r="AG397" i="1"/>
  <c r="AA405" i="1"/>
  <c r="AG405" i="1"/>
  <c r="AA413" i="1"/>
  <c r="AG413" i="1"/>
  <c r="AA421" i="1"/>
  <c r="AG421" i="1"/>
  <c r="AA429" i="1"/>
  <c r="AG429" i="1"/>
  <c r="AG455" i="1"/>
  <c r="AG439" i="1"/>
  <c r="AG422" i="1"/>
  <c r="AG385" i="1"/>
  <c r="AG367" i="1"/>
  <c r="AA326" i="1"/>
  <c r="AG326" i="1"/>
  <c r="AA334" i="1"/>
  <c r="AG334" i="1"/>
  <c r="AA342" i="1"/>
  <c r="AG342" i="1"/>
  <c r="AA350" i="1"/>
  <c r="AG350" i="1"/>
  <c r="AA390" i="1"/>
  <c r="AG390" i="1"/>
  <c r="AA398" i="1"/>
  <c r="AG398" i="1"/>
  <c r="AA406" i="1"/>
  <c r="AG406" i="1"/>
  <c r="AA414" i="1"/>
  <c r="AG414" i="1"/>
  <c r="AG2" i="1"/>
  <c r="AG454" i="1"/>
  <c r="AG438" i="1"/>
  <c r="AG366" i="1"/>
  <c r="AG329" i="1"/>
  <c r="AG311" i="1"/>
  <c r="AA295" i="1"/>
  <c r="AG295" i="1"/>
  <c r="AA335" i="1"/>
  <c r="AG335" i="1"/>
  <c r="AA343" i="1"/>
  <c r="AG343" i="1"/>
  <c r="AA351" i="1"/>
  <c r="AG351" i="1"/>
  <c r="AA359" i="1"/>
  <c r="AG359" i="1"/>
  <c r="AA399" i="1"/>
  <c r="AG399" i="1"/>
  <c r="AA407" i="1"/>
  <c r="AG407" i="1"/>
  <c r="AA415" i="1"/>
  <c r="AG415" i="1"/>
  <c r="AA423" i="1"/>
  <c r="AG423" i="1"/>
  <c r="Y471" i="1"/>
  <c r="AI458" i="1"/>
  <c r="AG469" i="1"/>
  <c r="AG453" i="1"/>
  <c r="AG437" i="1"/>
  <c r="AG401" i="1"/>
  <c r="AG383" i="1"/>
  <c r="AG310" i="1"/>
  <c r="AG382" i="1"/>
  <c r="AG345" i="1"/>
  <c r="AG327" i="1"/>
  <c r="AB389" i="1" l="1"/>
  <c r="AB449" i="1"/>
  <c r="AB438" i="1"/>
  <c r="AB357" i="1"/>
  <c r="AB353" i="1"/>
  <c r="AB327" i="1"/>
  <c r="AB325" i="1"/>
  <c r="AB329" i="1"/>
  <c r="AB421" i="1"/>
  <c r="AB417" i="1"/>
  <c r="AB302" i="1"/>
  <c r="AB118" i="1"/>
  <c r="AB359" i="1"/>
  <c r="AB269" i="1"/>
  <c r="AB141" i="1"/>
  <c r="AB420" i="1"/>
  <c r="AB260" i="1"/>
  <c r="AB68" i="1"/>
  <c r="AB411" i="1"/>
  <c r="AB219" i="1"/>
  <c r="AB317" i="1"/>
  <c r="AB430" i="1"/>
  <c r="AB206" i="1"/>
  <c r="AB399" i="1"/>
  <c r="AB335" i="1"/>
  <c r="AB390" i="1"/>
  <c r="AB326" i="1"/>
  <c r="AB454" i="1"/>
  <c r="AB358" i="1"/>
  <c r="AB453" i="1"/>
  <c r="AB277" i="1"/>
  <c r="AB245" i="1"/>
  <c r="AB213" i="1"/>
  <c r="AB181" i="1"/>
  <c r="AB149" i="1"/>
  <c r="AB117" i="1"/>
  <c r="AB85" i="1"/>
  <c r="AB53" i="1"/>
  <c r="AB21" i="1"/>
  <c r="AB460" i="1"/>
  <c r="AB428" i="1"/>
  <c r="AB396" i="1"/>
  <c r="AB364" i="1"/>
  <c r="AB332" i="1"/>
  <c r="AB300" i="1"/>
  <c r="AB268" i="1"/>
  <c r="AB236" i="1"/>
  <c r="AB204" i="1"/>
  <c r="AB172" i="1"/>
  <c r="AB140" i="1"/>
  <c r="AB108" i="1"/>
  <c r="AB76" i="1"/>
  <c r="AB44" i="1"/>
  <c r="AB12" i="1"/>
  <c r="AB451" i="1"/>
  <c r="AB419" i="1"/>
  <c r="AB387" i="1"/>
  <c r="AB355" i="1"/>
  <c r="AB323" i="1"/>
  <c r="AB291" i="1"/>
  <c r="AB259" i="1"/>
  <c r="AB227" i="1"/>
  <c r="AB195" i="1"/>
  <c r="AB163" i="1"/>
  <c r="AB131" i="1"/>
  <c r="AB99" i="1"/>
  <c r="AB67" i="1"/>
  <c r="AB35" i="1"/>
  <c r="AB10" i="1"/>
  <c r="AB442" i="1"/>
  <c r="AB410" i="1"/>
  <c r="AB378" i="1"/>
  <c r="AB346" i="1"/>
  <c r="AB314" i="1"/>
  <c r="AB282" i="1"/>
  <c r="AB250" i="1"/>
  <c r="AB218" i="1"/>
  <c r="AB186" i="1"/>
  <c r="AB154" i="1"/>
  <c r="AB122" i="1"/>
  <c r="AB90" i="1"/>
  <c r="AB58" i="1"/>
  <c r="AB26" i="1"/>
  <c r="AB385" i="1"/>
  <c r="AB289" i="1"/>
  <c r="AB257" i="1"/>
  <c r="AB225" i="1"/>
  <c r="AB193" i="1"/>
  <c r="AB161" i="1"/>
  <c r="AB129" i="1"/>
  <c r="AB97" i="1"/>
  <c r="AB65" i="1"/>
  <c r="AB33" i="1"/>
  <c r="AB464" i="1"/>
  <c r="AB432" i="1"/>
  <c r="AB400" i="1"/>
  <c r="AB368" i="1"/>
  <c r="AB336" i="1"/>
  <c r="AB304" i="1"/>
  <c r="AB272" i="1"/>
  <c r="AB240" i="1"/>
  <c r="AB208" i="1"/>
  <c r="AB176" i="1"/>
  <c r="AB144" i="1"/>
  <c r="AB112" i="1"/>
  <c r="AB80" i="1"/>
  <c r="AB48" i="1"/>
  <c r="AB16" i="1"/>
  <c r="AB391" i="1"/>
  <c r="AB278" i="1"/>
  <c r="AB86" i="1"/>
  <c r="AB54" i="1"/>
  <c r="AB22" i="1"/>
  <c r="AB445" i="1"/>
  <c r="AB345" i="1"/>
  <c r="AB383" i="1"/>
  <c r="AB287" i="1"/>
  <c r="AB255" i="1"/>
  <c r="AB223" i="1"/>
  <c r="AB191" i="1"/>
  <c r="AB159" i="1"/>
  <c r="AB127" i="1"/>
  <c r="AB95" i="1"/>
  <c r="AB63" i="1"/>
  <c r="AB31" i="1"/>
  <c r="AB446" i="1"/>
  <c r="AB77" i="1"/>
  <c r="AB100" i="1"/>
  <c r="AB347" i="1"/>
  <c r="AB315" i="1"/>
  <c r="AB283" i="1"/>
  <c r="AB251" i="1"/>
  <c r="AB91" i="1"/>
  <c r="AB59" i="1"/>
  <c r="AB27" i="1"/>
  <c r="AB466" i="1"/>
  <c r="AB434" i="1"/>
  <c r="AB402" i="1"/>
  <c r="AB370" i="1"/>
  <c r="AB338" i="1"/>
  <c r="AB306" i="1"/>
  <c r="AB274" i="1"/>
  <c r="AB242" i="1"/>
  <c r="AB210" i="1"/>
  <c r="AB178" i="1"/>
  <c r="AB146" i="1"/>
  <c r="AB114" i="1"/>
  <c r="AB82" i="1"/>
  <c r="AB50" i="1"/>
  <c r="AB18" i="1"/>
  <c r="AB337" i="1"/>
  <c r="AB281" i="1"/>
  <c r="AB249" i="1"/>
  <c r="AB217" i="1"/>
  <c r="AB185" i="1"/>
  <c r="AB153" i="1"/>
  <c r="AB121" i="1"/>
  <c r="AB89" i="1"/>
  <c r="AB57" i="1"/>
  <c r="AB25" i="1"/>
  <c r="AB456" i="1"/>
  <c r="AB424" i="1"/>
  <c r="AB392" i="1"/>
  <c r="AB360" i="1"/>
  <c r="AB328" i="1"/>
  <c r="AB296" i="1"/>
  <c r="AB264" i="1"/>
  <c r="AB232" i="1"/>
  <c r="AB200" i="1"/>
  <c r="AB168" i="1"/>
  <c r="AB136" i="1"/>
  <c r="AB104" i="1"/>
  <c r="AB72" i="1"/>
  <c r="AB40" i="1"/>
  <c r="AB5" i="1"/>
  <c r="AB375" i="1"/>
  <c r="AB318" i="1"/>
  <c r="AB423" i="1"/>
  <c r="AB381" i="1"/>
  <c r="AB463" i="1"/>
  <c r="AB367" i="1"/>
  <c r="AB279" i="1"/>
  <c r="AB247" i="1"/>
  <c r="AB215" i="1"/>
  <c r="AB183" i="1"/>
  <c r="AB151" i="1"/>
  <c r="AB119" i="1"/>
  <c r="AB87" i="1"/>
  <c r="AB55" i="1"/>
  <c r="AB23" i="1"/>
  <c r="AB182" i="1"/>
  <c r="AB28" i="1"/>
  <c r="AB202" i="1"/>
  <c r="AB209" i="1"/>
  <c r="AB113" i="1"/>
  <c r="AB448" i="1"/>
  <c r="AB384" i="1"/>
  <c r="AB352" i="1"/>
  <c r="AB320" i="1"/>
  <c r="AB288" i="1"/>
  <c r="AB224" i="1"/>
  <c r="AB192" i="1"/>
  <c r="AB160" i="1"/>
  <c r="AB128" i="1"/>
  <c r="AB96" i="1"/>
  <c r="AB64" i="1"/>
  <c r="AB32" i="1"/>
  <c r="AB455" i="1"/>
  <c r="AB246" i="1"/>
  <c r="AB414" i="1"/>
  <c r="AB237" i="1"/>
  <c r="AB109" i="1"/>
  <c r="AB452" i="1"/>
  <c r="AB324" i="1"/>
  <c r="AB196" i="1"/>
  <c r="AB36" i="1"/>
  <c r="AB379" i="1"/>
  <c r="AB187" i="1"/>
  <c r="AB349" i="1"/>
  <c r="AB441" i="1"/>
  <c r="AB174" i="1"/>
  <c r="AB78" i="1"/>
  <c r="AB406" i="1"/>
  <c r="AB229" i="1"/>
  <c r="AB133" i="1"/>
  <c r="AB37" i="1"/>
  <c r="AB412" i="1"/>
  <c r="AB316" i="1"/>
  <c r="AB220" i="1"/>
  <c r="AB124" i="1"/>
  <c r="AB467" i="1"/>
  <c r="AB371" i="1"/>
  <c r="AB275" i="1"/>
  <c r="AB147" i="1"/>
  <c r="AB19" i="1"/>
  <c r="AB426" i="1"/>
  <c r="AB330" i="1"/>
  <c r="AB234" i="1"/>
  <c r="AB106" i="1"/>
  <c r="AB3" i="1"/>
  <c r="AB273" i="1"/>
  <c r="AB177" i="1"/>
  <c r="AB145" i="1"/>
  <c r="AB81" i="1"/>
  <c r="AB49" i="1"/>
  <c r="AB256" i="1"/>
  <c r="AB405" i="1"/>
  <c r="AB373" i="1"/>
  <c r="AB341" i="1"/>
  <c r="AB309" i="1"/>
  <c r="AB465" i="1"/>
  <c r="AB433" i="1"/>
  <c r="AB369" i="1"/>
  <c r="AB305" i="1"/>
  <c r="AB382" i="1"/>
  <c r="AB294" i="1"/>
  <c r="AB262" i="1"/>
  <c r="AB230" i="1"/>
  <c r="AB198" i="1"/>
  <c r="AB166" i="1"/>
  <c r="AB134" i="1"/>
  <c r="AB102" i="1"/>
  <c r="AB70" i="1"/>
  <c r="AB38" i="1"/>
  <c r="AB7" i="1"/>
  <c r="AB409" i="1"/>
  <c r="AB447" i="1"/>
  <c r="AB319" i="1"/>
  <c r="AB271" i="1"/>
  <c r="AB239" i="1"/>
  <c r="AB207" i="1"/>
  <c r="AB175" i="1"/>
  <c r="AB143" i="1"/>
  <c r="AB111" i="1"/>
  <c r="AB79" i="1"/>
  <c r="AB47" i="1"/>
  <c r="AB15" i="1"/>
  <c r="AB150" i="1"/>
  <c r="AB295" i="1"/>
  <c r="AB310" i="1"/>
  <c r="AB205" i="1"/>
  <c r="AB45" i="1"/>
  <c r="AB388" i="1"/>
  <c r="AB292" i="1"/>
  <c r="AB164" i="1"/>
  <c r="AB9" i="1"/>
  <c r="AB123" i="1"/>
  <c r="AB377" i="1"/>
  <c r="AB270" i="1"/>
  <c r="AB142" i="1"/>
  <c r="AB46" i="1"/>
  <c r="AB415" i="1"/>
  <c r="AB342" i="1"/>
  <c r="AB422" i="1"/>
  <c r="AB261" i="1"/>
  <c r="AB165" i="1"/>
  <c r="AB69" i="1"/>
  <c r="AB444" i="1"/>
  <c r="AB348" i="1"/>
  <c r="AB252" i="1"/>
  <c r="AB156" i="1"/>
  <c r="AB92" i="1"/>
  <c r="AB435" i="1"/>
  <c r="AB339" i="1"/>
  <c r="AB243" i="1"/>
  <c r="AB179" i="1"/>
  <c r="AB51" i="1"/>
  <c r="AB458" i="1"/>
  <c r="AB362" i="1"/>
  <c r="AB266" i="1"/>
  <c r="AB138" i="1"/>
  <c r="AB42" i="1"/>
  <c r="AB321" i="1"/>
  <c r="AB17" i="1"/>
  <c r="AB407" i="1"/>
  <c r="AB398" i="1"/>
  <c r="AB2" i="1"/>
  <c r="AB469" i="1"/>
  <c r="AB253" i="1"/>
  <c r="AB189" i="1"/>
  <c r="AB157" i="1"/>
  <c r="AB125" i="1"/>
  <c r="AB93" i="1"/>
  <c r="AB61" i="1"/>
  <c r="AB29" i="1"/>
  <c r="AB436" i="1"/>
  <c r="AB404" i="1"/>
  <c r="AB372" i="1"/>
  <c r="AB340" i="1"/>
  <c r="AB308" i="1"/>
  <c r="AB276" i="1"/>
  <c r="AB244" i="1"/>
  <c r="AB212" i="1"/>
  <c r="AB180" i="1"/>
  <c r="AB148" i="1"/>
  <c r="AB116" i="1"/>
  <c r="AB84" i="1"/>
  <c r="AB52" i="1"/>
  <c r="AB20" i="1"/>
  <c r="AB459" i="1"/>
  <c r="AB427" i="1"/>
  <c r="AB395" i="1"/>
  <c r="AB363" i="1"/>
  <c r="AB331" i="1"/>
  <c r="AB299" i="1"/>
  <c r="AB267" i="1"/>
  <c r="AB235" i="1"/>
  <c r="AB203" i="1"/>
  <c r="AB171" i="1"/>
  <c r="AB139" i="1"/>
  <c r="AB107" i="1"/>
  <c r="AB75" i="1"/>
  <c r="AB43" i="1"/>
  <c r="AB11" i="1"/>
  <c r="AB450" i="1"/>
  <c r="AB418" i="1"/>
  <c r="AB386" i="1"/>
  <c r="AB354" i="1"/>
  <c r="AB322" i="1"/>
  <c r="AB290" i="1"/>
  <c r="AB258" i="1"/>
  <c r="AB226" i="1"/>
  <c r="AB194" i="1"/>
  <c r="AB162" i="1"/>
  <c r="AB130" i="1"/>
  <c r="AB98" i="1"/>
  <c r="AB66" i="1"/>
  <c r="AB34" i="1"/>
  <c r="AB401" i="1"/>
  <c r="AB297" i="1"/>
  <c r="AB265" i="1"/>
  <c r="AB233" i="1"/>
  <c r="AB201" i="1"/>
  <c r="AB169" i="1"/>
  <c r="AB137" i="1"/>
  <c r="AB105" i="1"/>
  <c r="AB73" i="1"/>
  <c r="AB41" i="1"/>
  <c r="AB4" i="1"/>
  <c r="AB440" i="1"/>
  <c r="AB408" i="1"/>
  <c r="AB376" i="1"/>
  <c r="AB344" i="1"/>
  <c r="AB312" i="1"/>
  <c r="AB280" i="1"/>
  <c r="AB248" i="1"/>
  <c r="AB216" i="1"/>
  <c r="AB184" i="1"/>
  <c r="AB152" i="1"/>
  <c r="AB120" i="1"/>
  <c r="AB88" i="1"/>
  <c r="AB56" i="1"/>
  <c r="AB24" i="1"/>
  <c r="AB439" i="1"/>
  <c r="AB311" i="1"/>
  <c r="AB214" i="1"/>
  <c r="AB350" i="1"/>
  <c r="AB437" i="1"/>
  <c r="AB173" i="1"/>
  <c r="AB13" i="1"/>
  <c r="AB356" i="1"/>
  <c r="AB228" i="1"/>
  <c r="AB132" i="1"/>
  <c r="AB443" i="1"/>
  <c r="AB155" i="1"/>
  <c r="AB413" i="1"/>
  <c r="AB313" i="1"/>
  <c r="AB238" i="1"/>
  <c r="AB110" i="1"/>
  <c r="AB14" i="1"/>
  <c r="AB351" i="1"/>
  <c r="AB293" i="1"/>
  <c r="AB197" i="1"/>
  <c r="AB101" i="1"/>
  <c r="AB8" i="1"/>
  <c r="AB380" i="1"/>
  <c r="AB284" i="1"/>
  <c r="AB188" i="1"/>
  <c r="AB60" i="1"/>
  <c r="AB403" i="1"/>
  <c r="AB307" i="1"/>
  <c r="AB211" i="1"/>
  <c r="AB115" i="1"/>
  <c r="AB83" i="1"/>
  <c r="AB394" i="1"/>
  <c r="AB298" i="1"/>
  <c r="AB170" i="1"/>
  <c r="AB74" i="1"/>
  <c r="AB241" i="1"/>
  <c r="AB416" i="1"/>
  <c r="AB343" i="1"/>
  <c r="AB334" i="1"/>
  <c r="AB374" i="1"/>
  <c r="AB285" i="1"/>
  <c r="AB221" i="1"/>
  <c r="AB468" i="1"/>
  <c r="AB429" i="1"/>
  <c r="AB397" i="1"/>
  <c r="AB365" i="1"/>
  <c r="AB333" i="1"/>
  <c r="AB301" i="1"/>
  <c r="AB457" i="1"/>
  <c r="AB425" i="1"/>
  <c r="AB361" i="1"/>
  <c r="AB462" i="1"/>
  <c r="AB366" i="1"/>
  <c r="AB286" i="1"/>
  <c r="AB254" i="1"/>
  <c r="AB222" i="1"/>
  <c r="AB190" i="1"/>
  <c r="AB158" i="1"/>
  <c r="AB126" i="1"/>
  <c r="AB94" i="1"/>
  <c r="AB62" i="1"/>
  <c r="AB30" i="1"/>
  <c r="AB461" i="1"/>
  <c r="AB393" i="1"/>
  <c r="AB431" i="1"/>
  <c r="AB303" i="1"/>
  <c r="AB263" i="1"/>
  <c r="AB231" i="1"/>
  <c r="AB199" i="1"/>
  <c r="AB167" i="1"/>
  <c r="AB135" i="1"/>
  <c r="AB103" i="1"/>
  <c r="AB71" i="1"/>
  <c r="AB39" i="1"/>
  <c r="AB6" i="1"/>
</calcChain>
</file>

<file path=xl/sharedStrings.xml><?xml version="1.0" encoding="utf-8"?>
<sst xmlns="http://schemas.openxmlformats.org/spreadsheetml/2006/main" count="8871" uniqueCount="1177">
  <si>
    <t>Year</t>
  </si>
  <si>
    <t>Domicile_named_country</t>
  </si>
  <si>
    <t>Applicants</t>
  </si>
  <si>
    <t>Accepted_applicants</t>
  </si>
  <si>
    <t>Acceptance_rate</t>
  </si>
  <si>
    <t>Applicants_with_no_applications</t>
  </si>
  <si>
    <t>log_app</t>
  </si>
  <si>
    <t>EU</t>
  </si>
  <si>
    <t>Treated</t>
  </si>
  <si>
    <t>Post</t>
  </si>
  <si>
    <t>event_time</t>
  </si>
  <si>
    <t>EU_group</t>
  </si>
  <si>
    <t>treated_factor</t>
  </si>
  <si>
    <t>regression_weight</t>
  </si>
  <si>
    <t>did</t>
  </si>
  <si>
    <t>iso3c</t>
  </si>
  <si>
    <t>GDPpc</t>
  </si>
  <si>
    <t>Pop15_64</t>
  </si>
  <si>
    <t>YouthUnempl</t>
  </si>
  <si>
    <t>EduSpendGDP</t>
  </si>
  <si>
    <t>c_log_GDPpc</t>
  </si>
  <si>
    <t>c_log_Pop15_64</t>
  </si>
  <si>
    <t>c_YouthUnempl</t>
  </si>
  <si>
    <t>Austria</t>
  </si>
  <si>
    <t>0.5670000000000001</t>
  </si>
  <si>
    <t>Real_EU</t>
  </si>
  <si>
    <t>AUT</t>
  </si>
  <si>
    <t>0.5710000000000001</t>
  </si>
  <si>
    <t>0.537</t>
  </si>
  <si>
    <t>0.551</t>
  </si>
  <si>
    <t>0.535</t>
  </si>
  <si>
    <t>0.41300000000000003</t>
  </si>
  <si>
    <t>0.463</t>
  </si>
  <si>
    <t>0.449</t>
  </si>
  <si>
    <t>0.44</t>
  </si>
  <si>
    <t>Belgium</t>
  </si>
  <si>
    <t>0.5700000000000001</t>
  </si>
  <si>
    <t>BEL</t>
  </si>
  <si>
    <t>0.589</t>
  </si>
  <si>
    <t>0.605</t>
  </si>
  <si>
    <t>0.58</t>
  </si>
  <si>
    <t>0.47400000000000003</t>
  </si>
  <si>
    <t>0.489</t>
  </si>
  <si>
    <t>0.499</t>
  </si>
  <si>
    <t>0.492</t>
  </si>
  <si>
    <t>Bulgaria</t>
  </si>
  <si>
    <t>0.729</t>
  </si>
  <si>
    <t>BGR</t>
  </si>
  <si>
    <t>0.718</t>
  </si>
  <si>
    <t>0.705</t>
  </si>
  <si>
    <t>0.6990000000000001</t>
  </si>
  <si>
    <t>0.484</t>
  </si>
  <si>
    <t>0.493</t>
  </si>
  <si>
    <t>0.456</t>
  </si>
  <si>
    <t>0.507</t>
  </si>
  <si>
    <t>Denmark</t>
  </si>
  <si>
    <t>0.547</t>
  </si>
  <si>
    <t>DNK</t>
  </si>
  <si>
    <t>0.506</t>
  </si>
  <si>
    <t>0.516</t>
  </si>
  <si>
    <t>0.53</t>
  </si>
  <si>
    <t>0.405</t>
  </si>
  <si>
    <t>0.402</t>
  </si>
  <si>
    <t>0.361</t>
  </si>
  <si>
    <t>0.40900000000000003</t>
  </si>
  <si>
    <t>Finland</t>
  </si>
  <si>
    <t>0.552</t>
  </si>
  <si>
    <t>FIN</t>
  </si>
  <si>
    <t>0.536</t>
  </si>
  <si>
    <t>0.5650000000000001</t>
  </si>
  <si>
    <t>0.494</t>
  </si>
  <si>
    <t>0.514</t>
  </si>
  <si>
    <t>0.371</t>
  </si>
  <si>
    <t>0.426</t>
  </si>
  <si>
    <t>0.398</t>
  </si>
  <si>
    <t>0.41200000000000003</t>
  </si>
  <si>
    <t>France</t>
  </si>
  <si>
    <t>0.5760000000000001</t>
  </si>
  <si>
    <t>FRA</t>
  </si>
  <si>
    <t>0.583</t>
  </si>
  <si>
    <t>0.554</t>
  </si>
  <si>
    <t>0.54</t>
  </si>
  <si>
    <t>0.41100000000000003</t>
  </si>
  <si>
    <t>0.444</t>
  </si>
  <si>
    <t>0.446</t>
  </si>
  <si>
    <t>0.433</t>
  </si>
  <si>
    <t>Germany</t>
  </si>
  <si>
    <t>0.5630000000000001</t>
  </si>
  <si>
    <t>DEU</t>
  </si>
  <si>
    <t>0.542</t>
  </si>
  <si>
    <t>0.527</t>
  </si>
  <si>
    <t>0.546</t>
  </si>
  <si>
    <t>0.419</t>
  </si>
  <si>
    <t>0.431</t>
  </si>
  <si>
    <t>0.406</t>
  </si>
  <si>
    <t>0.399</t>
  </si>
  <si>
    <t>Greece</t>
  </si>
  <si>
    <t>0.6960000000000001</t>
  </si>
  <si>
    <t>GRC</t>
  </si>
  <si>
    <t>0.7010000000000001</t>
  </si>
  <si>
    <t>0.6980000000000001</t>
  </si>
  <si>
    <t>0.726</t>
  </si>
  <si>
    <t>0.723</t>
  </si>
  <si>
    <t>0.598</t>
  </si>
  <si>
    <t>0.595</t>
  </si>
  <si>
    <t>0.59</t>
  </si>
  <si>
    <t>0.601</t>
  </si>
  <si>
    <t>Hungary</t>
  </si>
  <si>
    <t>0.613</t>
  </si>
  <si>
    <t>HUN</t>
  </si>
  <si>
    <t>0.623</t>
  </si>
  <si>
    <t>0.649</t>
  </si>
  <si>
    <t>0.641</t>
  </si>
  <si>
    <t>0.418</t>
  </si>
  <si>
    <t>0.41000000000000003</t>
  </si>
  <si>
    <t>0.404</t>
  </si>
  <si>
    <t>0.417</t>
  </si>
  <si>
    <t>Ireland</t>
  </si>
  <si>
    <t>0.373</t>
  </si>
  <si>
    <t>Synthetic_EU</t>
  </si>
  <si>
    <t>CONTROL</t>
  </si>
  <si>
    <t>IRL</t>
  </si>
  <si>
    <t>0.391</t>
  </si>
  <si>
    <t>0.41600000000000004</t>
  </si>
  <si>
    <t>0.40700000000000003</t>
  </si>
  <si>
    <t>0.47300000000000003</t>
  </si>
  <si>
    <t>0.441</t>
  </si>
  <si>
    <t>0.439</t>
  </si>
  <si>
    <t>Italy</t>
  </si>
  <si>
    <t>ITA</t>
  </si>
  <si>
    <t>0.549</t>
  </si>
  <si>
    <t>0.539</t>
  </si>
  <si>
    <t>0.464</t>
  </si>
  <si>
    <t>0.429</t>
  </si>
  <si>
    <t>0.451</t>
  </si>
  <si>
    <t>Luxembourg</t>
  </si>
  <si>
    <t>0.63</t>
  </si>
  <si>
    <t>LUX</t>
  </si>
  <si>
    <t>0.581</t>
  </si>
  <si>
    <t>0.628</t>
  </si>
  <si>
    <t>0.603</t>
  </si>
  <si>
    <t>0.635</t>
  </si>
  <si>
    <t>0.523</t>
  </si>
  <si>
    <t>0.541</t>
  </si>
  <si>
    <t>Malta</t>
  </si>
  <si>
    <t>0.531</t>
  </si>
  <si>
    <t>MLT</t>
  </si>
  <si>
    <t>0.455</t>
  </si>
  <si>
    <t>0.515</t>
  </si>
  <si>
    <t>0.47100000000000003</t>
  </si>
  <si>
    <t>Netherlands</t>
  </si>
  <si>
    <t>NLD</t>
  </si>
  <si>
    <t>0.505</t>
  </si>
  <si>
    <t>0.525</t>
  </si>
  <si>
    <t>0.52</t>
  </si>
  <si>
    <t>0.447</t>
  </si>
  <si>
    <t>Poland</t>
  </si>
  <si>
    <t>0.548</t>
  </si>
  <si>
    <t>POL</t>
  </si>
  <si>
    <t>0.585</t>
  </si>
  <si>
    <t>0.608</t>
  </si>
  <si>
    <t>0.427</t>
  </si>
  <si>
    <t>0.442</t>
  </si>
  <si>
    <t>0.434</t>
  </si>
  <si>
    <t>Portugal</t>
  </si>
  <si>
    <t>0.629</t>
  </si>
  <si>
    <t>PRT</t>
  </si>
  <si>
    <t>0.651</t>
  </si>
  <si>
    <t>0.72</t>
  </si>
  <si>
    <t>0.716</t>
  </si>
  <si>
    <t>0.732</t>
  </si>
  <si>
    <t>0.845</t>
  </si>
  <si>
    <t>Romania</t>
  </si>
  <si>
    <t>0.676</t>
  </si>
  <si>
    <t>ROU</t>
  </si>
  <si>
    <t>0.681</t>
  </si>
  <si>
    <t>0.731</t>
  </si>
  <si>
    <t>0.6970000000000001</t>
  </si>
  <si>
    <t>0.428</t>
  </si>
  <si>
    <t>0.46</t>
  </si>
  <si>
    <t>Spain</t>
  </si>
  <si>
    <t>ESP</t>
  </si>
  <si>
    <t>0.626</t>
  </si>
  <si>
    <t>0.632</t>
  </si>
  <si>
    <t>0.646</t>
  </si>
  <si>
    <t>0.485</t>
  </si>
  <si>
    <t>0.498</t>
  </si>
  <si>
    <t>0.5</t>
  </si>
  <si>
    <t>0.521</t>
  </si>
  <si>
    <t>Sweden</t>
  </si>
  <si>
    <t>SWE</t>
  </si>
  <si>
    <t>0.511</t>
  </si>
  <si>
    <t>0.512</t>
  </si>
  <si>
    <t>0.5660000000000001</t>
  </si>
  <si>
    <t>0.432</t>
  </si>
  <si>
    <t>0.384</t>
  </si>
  <si>
    <t>0.40800000000000003</t>
  </si>
  <si>
    <t>Estonia</t>
  </si>
  <si>
    <t>0.627</t>
  </si>
  <si>
    <t>EST</t>
  </si>
  <si>
    <t>0.578</t>
  </si>
  <si>
    <t>0.533</t>
  </si>
  <si>
    <t>0.309</t>
  </si>
  <si>
    <t>Latvia</t>
  </si>
  <si>
    <t>0.636</t>
  </si>
  <si>
    <t>LVA</t>
  </si>
  <si>
    <t>0.653</t>
  </si>
  <si>
    <t>0.661</t>
  </si>
  <si>
    <t>0.645</t>
  </si>
  <si>
    <t>0.557</t>
  </si>
  <si>
    <t>0.394</t>
  </si>
  <si>
    <t>Lithuania</t>
  </si>
  <si>
    <t>0.644</t>
  </si>
  <si>
    <t>LTU</t>
  </si>
  <si>
    <t>0.675</t>
  </si>
  <si>
    <t>0.625</t>
  </si>
  <si>
    <t>0.633</t>
  </si>
  <si>
    <t>0.362</t>
  </si>
  <si>
    <t>0.385</t>
  </si>
  <si>
    <t>Croatia</t>
  </si>
  <si>
    <t>0.665</t>
  </si>
  <si>
    <t>HRV</t>
  </si>
  <si>
    <t>0.711</t>
  </si>
  <si>
    <t>0.686</t>
  </si>
  <si>
    <t>0.672</t>
  </si>
  <si>
    <t>0.466</t>
  </si>
  <si>
    <t>0.339</t>
  </si>
  <si>
    <t>Slovenia</t>
  </si>
  <si>
    <t>0.529</t>
  </si>
  <si>
    <t>SVN</t>
  </si>
  <si>
    <t>0.55</t>
  </si>
  <si>
    <t>0.316</t>
  </si>
  <si>
    <t>0.457</t>
  </si>
  <si>
    <t>0.4</t>
  </si>
  <si>
    <t>0.327</t>
  </si>
  <si>
    <t>Czech Republic</t>
  </si>
  <si>
    <t>0.674</t>
  </si>
  <si>
    <t>CZE</t>
  </si>
  <si>
    <t>0.683</t>
  </si>
  <si>
    <t>Slovakia</t>
  </si>
  <si>
    <t>0.668</t>
  </si>
  <si>
    <t>SVK</t>
  </si>
  <si>
    <t>0.638</t>
  </si>
  <si>
    <t>0.588</t>
  </si>
  <si>
    <t>0.48</t>
  </si>
  <si>
    <t>0.437</t>
  </si>
  <si>
    <t>Cyprus (European Union)</t>
  </si>
  <si>
    <t>0.744</t>
  </si>
  <si>
    <t>CYP</t>
  </si>
  <si>
    <t>0.789</t>
  </si>
  <si>
    <t>0.773</t>
  </si>
  <si>
    <t>0.764</t>
  </si>
  <si>
    <t>0.771</t>
  </si>
  <si>
    <t>0.662</t>
  </si>
  <si>
    <t>0.6920000000000001</t>
  </si>
  <si>
    <t>Russian Federation</t>
  </si>
  <si>
    <t>0.679</t>
  </si>
  <si>
    <t>RUS</t>
  </si>
  <si>
    <t>0.677</t>
  </si>
  <si>
    <t>0.634</t>
  </si>
  <si>
    <t>0.671</t>
  </si>
  <si>
    <t>0.666</t>
  </si>
  <si>
    <t>0.609</t>
  </si>
  <si>
    <t>0.599</t>
  </si>
  <si>
    <t>0.591</t>
  </si>
  <si>
    <t>Mauritius</t>
  </si>
  <si>
    <t>MUS</t>
  </si>
  <si>
    <t>0.487</t>
  </si>
  <si>
    <t>0.486</t>
  </si>
  <si>
    <t>0.422</t>
  </si>
  <si>
    <t>0.47700000000000004</t>
  </si>
  <si>
    <t>Mexico</t>
  </si>
  <si>
    <t>0.338</t>
  </si>
  <si>
    <t>MEX</t>
  </si>
  <si>
    <t>0.379</t>
  </si>
  <si>
    <t>0.42</t>
  </si>
  <si>
    <t>0.353</t>
  </si>
  <si>
    <t>0.382</t>
  </si>
  <si>
    <t>0.396</t>
  </si>
  <si>
    <t>0.355</t>
  </si>
  <si>
    <t>0.324</t>
  </si>
  <si>
    <t>New Zealand</t>
  </si>
  <si>
    <t>0.301</t>
  </si>
  <si>
    <t>NZL</t>
  </si>
  <si>
    <t>0.424</t>
  </si>
  <si>
    <t>0.383</t>
  </si>
  <si>
    <t>0.269</t>
  </si>
  <si>
    <t>0.357</t>
  </si>
  <si>
    <t>0.35000000000000003</t>
  </si>
  <si>
    <t>0.37</t>
  </si>
  <si>
    <t>Norway</t>
  </si>
  <si>
    <t>NOR</t>
  </si>
  <si>
    <t>0.602</t>
  </si>
  <si>
    <t>0.604</t>
  </si>
  <si>
    <t>0.544</t>
  </si>
  <si>
    <t>0.534</t>
  </si>
  <si>
    <t>0.491</t>
  </si>
  <si>
    <t>Qatar</t>
  </si>
  <si>
    <t>0.368</t>
  </si>
  <si>
    <t>QAT</t>
  </si>
  <si>
    <t>0.41500000000000004</t>
  </si>
  <si>
    <t>0.459</t>
  </si>
  <si>
    <t>0.438</t>
  </si>
  <si>
    <t>0.503</t>
  </si>
  <si>
    <t>0.41400000000000003</t>
  </si>
  <si>
    <t>0.403</t>
  </si>
  <si>
    <t>0.443</t>
  </si>
  <si>
    <t>Zimbabwe</t>
  </si>
  <si>
    <t>0.363</t>
  </si>
  <si>
    <t>ZWE</t>
  </si>
  <si>
    <t>0.388</t>
  </si>
  <si>
    <t>0.366</t>
  </si>
  <si>
    <t>0.319</t>
  </si>
  <si>
    <t>Switzerland</t>
  </si>
  <si>
    <t>0.637</t>
  </si>
  <si>
    <t>CHE</t>
  </si>
  <si>
    <t>0.656</t>
  </si>
  <si>
    <t>0.642</t>
  </si>
  <si>
    <t>0.655</t>
  </si>
  <si>
    <t>0.584</t>
  </si>
  <si>
    <t>0.562</t>
  </si>
  <si>
    <t>Tanzania, United Republic of</t>
  </si>
  <si>
    <t>0.448</t>
  </si>
  <si>
    <t>TZA</t>
  </si>
  <si>
    <t>0.483</t>
  </si>
  <si>
    <t>0.51</t>
  </si>
  <si>
    <t>Trinidad and Tobago</t>
  </si>
  <si>
    <t>TTO</t>
  </si>
  <si>
    <t>0.518</t>
  </si>
  <si>
    <t>0.39</t>
  </si>
  <si>
    <t>0.395</t>
  </si>
  <si>
    <t>0.47200000000000003</t>
  </si>
  <si>
    <t>United Arab Emirates</t>
  </si>
  <si>
    <t>ARE</t>
  </si>
  <si>
    <t>0.488</t>
  </si>
  <si>
    <t>0.513</t>
  </si>
  <si>
    <t>0.421</t>
  </si>
  <si>
    <t>Turkey</t>
  </si>
  <si>
    <t>TUR</t>
  </si>
  <si>
    <t>0.46900000000000003</t>
  </si>
  <si>
    <t>0.452</t>
  </si>
  <si>
    <t>0.445</t>
  </si>
  <si>
    <t>Uganda</t>
  </si>
  <si>
    <t>UGA</t>
  </si>
  <si>
    <t>0.389</t>
  </si>
  <si>
    <t>0.436</t>
  </si>
  <si>
    <t>Egypt</t>
  </si>
  <si>
    <t>EGY</t>
  </si>
  <si>
    <t>0.453</t>
  </si>
  <si>
    <t>0.375</t>
  </si>
  <si>
    <t>United States of America</t>
  </si>
  <si>
    <t>0.38</t>
  </si>
  <si>
    <t>USA</t>
  </si>
  <si>
    <t>0.387</t>
  </si>
  <si>
    <t>0.341</t>
  </si>
  <si>
    <t>0.335</t>
  </si>
  <si>
    <t>0.34</t>
  </si>
  <si>
    <t>Australia</t>
  </si>
  <si>
    <t>0.33</t>
  </si>
  <si>
    <t>AUS</t>
  </si>
  <si>
    <t>0.307</t>
  </si>
  <si>
    <t>0.374</t>
  </si>
  <si>
    <t>0.334</t>
  </si>
  <si>
    <t>0.326</t>
  </si>
  <si>
    <t>0.332</t>
  </si>
  <si>
    <t>Botswana</t>
  </si>
  <si>
    <t>BWA</t>
  </si>
  <si>
    <t>Brunei Darussalam</t>
  </si>
  <si>
    <t>0.647</t>
  </si>
  <si>
    <t>BRN</t>
  </si>
  <si>
    <t>0.5740000000000001</t>
  </si>
  <si>
    <t>0.579</t>
  </si>
  <si>
    <t>0.553</t>
  </si>
  <si>
    <t>0.497</t>
  </si>
  <si>
    <t>China</t>
  </si>
  <si>
    <t>0.5750000000000001</t>
  </si>
  <si>
    <t>CHN</t>
  </si>
  <si>
    <t>0.596</t>
  </si>
  <si>
    <t>0.607</t>
  </si>
  <si>
    <t>0.524</t>
  </si>
  <si>
    <t>Indonesia</t>
  </si>
  <si>
    <t>0.538</t>
  </si>
  <si>
    <t>IDN</t>
  </si>
  <si>
    <t>0.545</t>
  </si>
  <si>
    <t>0.47500000000000003</t>
  </si>
  <si>
    <t>Iran, Islamic Republic of</t>
  </si>
  <si>
    <t>0.504</t>
  </si>
  <si>
    <t>IRN</t>
  </si>
  <si>
    <t>0.481</t>
  </si>
  <si>
    <t>0.482</t>
  </si>
  <si>
    <t>0.381</t>
  </si>
  <si>
    <t>Israel</t>
  </si>
  <si>
    <t>ISR</t>
  </si>
  <si>
    <t>0.45</t>
  </si>
  <si>
    <t>Korea, Republic of</t>
  </si>
  <si>
    <t>0.519</t>
  </si>
  <si>
    <t>KOR</t>
  </si>
  <si>
    <t>0.556</t>
  </si>
  <si>
    <t>0.49</t>
  </si>
  <si>
    <t>Lebanon</t>
  </si>
  <si>
    <t>LBN</t>
  </si>
  <si>
    <t>0.354</t>
  </si>
  <si>
    <t>0.377</t>
  </si>
  <si>
    <t>0.325</t>
  </si>
  <si>
    <t>Malaysia</t>
  </si>
  <si>
    <t>MYS</t>
  </si>
  <si>
    <t>0.66</t>
  </si>
  <si>
    <t>0.643</t>
  </si>
  <si>
    <t>0.593</t>
  </si>
  <si>
    <t>0.597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</si>
  <si>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</si>
  <si>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</si>
  <si>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</si>
  <si>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</si>
  <si>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</si>
  <si>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</si>
  <si>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</si>
  <si>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</si>
  <si>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</si>
  <si>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</si>
  <si>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</si>
  <si>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</si>
  <si>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</si>
  <si>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</si>
  <si>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</si>
  <si>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</si>
  <si>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</si>
  <si>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</si>
  <si>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</si>
  <si>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</si>
  <si>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</si>
  <si>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</si>
  <si>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</si>
  <si>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</si>
  <si>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</si>
  <si>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</si>
  <si>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</si>
  <si>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</si>
  <si>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</si>
  <si>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</si>
  <si>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</si>
  <si>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</si>
  <si>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</si>
  <si>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</si>
  <si>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</si>
  <si>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</si>
  <si>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</si>
  <si>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</si>
  <si>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</si>
  <si>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</si>
  <si>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</si>
  <si>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</si>
  <si>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</si>
  <si>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</si>
  <si>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</si>
  <si>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</si>
  <si>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</si>
  <si>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</si>
  <si>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</si>
  <si>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</si>
  <si>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</si>
  <si>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</si>
  <si>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</si>
  <si>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</si>
  <si>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</si>
  <si>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</si>
  <si>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</si>
  <si>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</si>
  <si>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</si>
  <si>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</si>
  <si>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</si>
  <si>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</si>
  <si>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</si>
  <si>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</si>
  <si>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</si>
  <si>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</si>
  <si>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</si>
  <si>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</si>
  <si>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</si>
  <si>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</si>
  <si>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Central African Republic</t>
  </si>
  <si>
    <t>CAF</t>
  </si>
  <si>
    <t>Canada</t>
  </si>
  <si>
    <t>CAN</t>
  </si>
  <si>
    <t>Central Europe and the Baltics</t>
  </si>
  <si>
    <t>CEB</t>
  </si>
  <si>
    <t>Channel Islands</t>
  </si>
  <si>
    <t>CHI</t>
  </si>
  <si>
    <t>Chile</t>
  </si>
  <si>
    <t>CHL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</si>
  <si>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</si>
  <si>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</si>
  <si>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</si>
  <si>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</si>
  <si>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</si>
  <si>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</si>
  <si>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</si>
  <si>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</si>
  <si>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</si>
  <si>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</si>
  <si>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</si>
  <si>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</si>
  <si>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</si>
  <si>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</si>
  <si>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</si>
  <si>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</si>
  <si>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</si>
  <si>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</si>
  <si>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</si>
  <si>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</si>
  <si>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</si>
  <si>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</si>
  <si>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</si>
  <si>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</si>
  <si>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</si>
  <si>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Czechia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</si>
  <si>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</si>
  <si>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</si>
  <si>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</si>
  <si>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</si>
  <si>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</si>
  <si>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</si>
  <si>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</si>
  <si>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</si>
  <si>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</si>
  <si>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</si>
  <si>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</si>
  <si>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</si>
  <si>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</si>
  <si>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</si>
  <si>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</si>
  <si>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</si>
  <si>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</si>
  <si>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</si>
  <si>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</si>
  <si>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</si>
  <si>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</si>
  <si>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Euro area</t>
  </si>
  <si>
    <t>EMU</t>
  </si>
  <si>
    <t>Eritrea</t>
  </si>
  <si>
    <t>ERI</t>
  </si>
  <si>
    <t>Ethiopia</t>
  </si>
  <si>
    <t>ETH</t>
  </si>
  <si>
    <t>European Union</t>
  </si>
  <si>
    <t>EUU</t>
  </si>
  <si>
    <t>Fiji</t>
  </si>
  <si>
    <t>FJI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</si>
  <si>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</si>
  <si>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</si>
  <si>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</si>
  <si>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</si>
  <si>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</si>
  <si>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</si>
  <si>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</si>
  <si>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</si>
  <si>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</si>
  <si>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</si>
  <si>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</si>
  <si>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</si>
  <si>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</si>
  <si>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</si>
  <si>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</si>
  <si>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</si>
  <si>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</si>
  <si>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</si>
  <si>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</si>
  <si>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</si>
  <si>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</si>
  <si>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</si>
  <si>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</si>
  <si>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</si>
  <si>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</si>
  <si>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</si>
  <si>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</si>
  <si>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</si>
  <si>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</si>
  <si>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</si>
  <si>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</si>
  <si>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</si>
  <si>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</si>
  <si>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</si>
  <si>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</si>
  <si>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</si>
  <si>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</si>
  <si>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</si>
  <si>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</si>
  <si>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</si>
  <si>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Haiti</t>
  </si>
  <si>
    <t>HTI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</si>
  <si>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</si>
  <si>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</si>
  <si>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</si>
  <si>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</si>
  <si>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</si>
  <si>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</si>
  <si>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</si>
  <si>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</si>
  <si>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</si>
  <si>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</si>
  <si>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</si>
  <si>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</si>
  <si>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</si>
  <si>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</si>
  <si>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</si>
  <si>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</si>
  <si>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Iran, Islamic Rep.</t>
  </si>
  <si>
    <t>Iraq</t>
  </si>
  <si>
    <t>IRQ</t>
  </si>
  <si>
    <t>Iceland</t>
  </si>
  <si>
    <t>ISL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</si>
  <si>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</si>
  <si>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</si>
  <si>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</si>
  <si>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</si>
  <si>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</si>
  <si>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</si>
  <si>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</si>
  <si>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</si>
  <si>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</si>
  <si>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</si>
  <si>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</si>
  <si>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</si>
  <si>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</si>
  <si>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</si>
  <si>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</si>
  <si>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</si>
  <si>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</si>
  <si>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</si>
  <si>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</si>
  <si>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Kuwait</t>
  </si>
  <si>
    <t>KWT</t>
  </si>
  <si>
    <t>Latin America &amp; Caribbean (excluding high income)</t>
  </si>
  <si>
    <t>LAC</t>
  </si>
  <si>
    <t>Lao PDR</t>
  </si>
  <si>
    <t>LAO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</si>
  <si>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</si>
  <si>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</si>
  <si>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</si>
  <si>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</si>
  <si>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</si>
  <si>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</si>
  <si>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</si>
  <si>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</si>
  <si>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</si>
  <si>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</si>
  <si>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</si>
  <si>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</si>
  <si>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</si>
  <si>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</si>
  <si>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</si>
  <si>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</si>
  <si>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</si>
  <si>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</si>
  <si>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</si>
  <si>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</si>
  <si>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</si>
  <si>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</si>
  <si>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</si>
  <si>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</si>
  <si>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</si>
  <si>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</si>
  <si>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</si>
  <si>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</si>
  <si>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</si>
  <si>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</si>
  <si>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</si>
  <si>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</si>
  <si>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</si>
  <si>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</si>
  <si>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</si>
  <si>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</si>
  <si>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</si>
  <si>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</si>
  <si>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</si>
  <si>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</si>
  <si>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</si>
  <si>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</si>
  <si>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</si>
  <si>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</si>
  <si>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</si>
  <si>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</si>
  <si>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</si>
  <si>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</si>
  <si>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</si>
  <si>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</si>
  <si>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</si>
  <si>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</si>
  <si>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</si>
  <si>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</si>
  <si>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</si>
  <si>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</si>
  <si>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</si>
  <si>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</si>
  <si>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</si>
  <si>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</si>
  <si>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</si>
  <si>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</si>
  <si>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Malawi</t>
  </si>
  <si>
    <t>MWI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</si>
  <si>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</si>
  <si>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</si>
  <si>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</si>
  <si>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</si>
  <si>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</si>
  <si>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</si>
  <si>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</si>
  <si>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</si>
  <si>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</si>
  <si>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</si>
  <si>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</si>
  <si>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</si>
  <si>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Nepal</t>
  </si>
  <si>
    <t>NPL</t>
  </si>
  <si>
    <t>Naoero</t>
  </si>
  <si>
    <t>NRU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</si>
  <si>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</si>
  <si>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</si>
  <si>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</si>
  <si>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</si>
  <si>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</si>
  <si>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</si>
  <si>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</si>
  <si>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</si>
  <si>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</si>
  <si>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</si>
  <si>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</si>
  <si>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</si>
  <si>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</si>
  <si>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</si>
  <si>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</si>
  <si>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</si>
  <si>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</si>
  <si>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</si>
  <si>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Pre-demographic dividend</t>
  </si>
  <si>
    <t>PRE</t>
  </si>
  <si>
    <t>Puerto Rico (US)</t>
  </si>
  <si>
    <t>PRI</t>
  </si>
  <si>
    <t>Korea, Dem. People's Rep.</t>
  </si>
  <si>
    <t>PRK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</si>
  <si>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</si>
  <si>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</si>
  <si>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</si>
  <si>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</si>
  <si>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</si>
  <si>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</si>
  <si>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</si>
  <si>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</si>
  <si>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</si>
  <si>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</si>
  <si>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</si>
  <si>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</si>
  <si>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</si>
  <si>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</si>
  <si>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</si>
  <si>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</si>
  <si>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</si>
  <si>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</si>
  <si>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</si>
  <si>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</si>
  <si>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</si>
  <si>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</si>
  <si>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</si>
  <si>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</si>
  <si>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</si>
  <si>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</si>
  <si>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</si>
  <si>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</si>
  <si>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</si>
  <si>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</si>
  <si>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</si>
  <si>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</si>
  <si>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</si>
  <si>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</si>
  <si>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</si>
  <si>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</si>
  <si>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</si>
  <si>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</si>
  <si>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</si>
  <si>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</si>
  <si>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</si>
  <si>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</si>
  <si>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</si>
  <si>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</si>
  <si>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</si>
  <si>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</si>
  <si>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</si>
  <si>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</si>
  <si>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</si>
  <si>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</si>
  <si>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</si>
  <si>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</si>
  <si>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</si>
  <si>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</si>
  <si>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</si>
  <si>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</si>
  <si>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</si>
  <si>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</si>
  <si>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</si>
  <si>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</si>
  <si>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</si>
  <si>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</si>
  <si>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</si>
  <si>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</si>
  <si>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</si>
  <si>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</si>
  <si>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</si>
  <si>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</si>
  <si>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</si>
  <si>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</si>
  <si>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</si>
  <si>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</si>
  <si>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</si>
  <si>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</si>
  <si>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</si>
  <si>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</si>
  <si>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</si>
  <si>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</si>
  <si>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</si>
  <si>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</si>
  <si>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</si>
  <si>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</si>
  <si>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</si>
  <si>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Tunisia</t>
  </si>
  <si>
    <t>TUN</t>
  </si>
  <si>
    <t>Turkiye</t>
  </si>
  <si>
    <t>Tuvalu</t>
  </si>
  <si>
    <t>TUV</t>
  </si>
  <si>
    <t>Tanzania</t>
  </si>
  <si>
    <t>Ukraine</t>
  </si>
  <si>
    <t>UKR</t>
  </si>
  <si>
    <t>Upper middle income</t>
  </si>
  <si>
    <t>UMC</t>
  </si>
  <si>
    <t>Uruguay</t>
  </si>
  <si>
    <t>URY</t>
  </si>
  <si>
    <t>United States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</si>
  <si>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</si>
  <si>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</si>
  <si>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</si>
  <si>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</si>
  <si>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</si>
  <si>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</si>
  <si>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</si>
  <si>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</si>
  <si>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</si>
  <si>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</si>
  <si>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</si>
  <si>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</si>
  <si>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</si>
  <si>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</si>
  <si>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</si>
  <si>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</si>
  <si>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</si>
  <si>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</si>
  <si>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</si>
  <si>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</si>
  <si>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</si>
  <si>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</si>
  <si>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</si>
  <si>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</si>
  <si>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</si>
  <si>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</si>
  <si>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GDP_ISO3c</t>
  </si>
  <si>
    <t>GDP_CN</t>
  </si>
  <si>
    <t>GDP_SOURCE</t>
  </si>
  <si>
    <t>Unemployment, youth total (% of total labor force ages 15-24) (modeled ILO estimate)</t>
  </si>
  <si>
    <t>Pop_SOURCE</t>
  </si>
  <si>
    <t>YU_SOURCE</t>
  </si>
  <si>
    <t>Population ages 15-64, total</t>
  </si>
  <si>
    <t>lN_GDP_SR</t>
  </si>
  <si>
    <t>C_lN_GDP_SR</t>
  </si>
  <si>
    <t>Check GDP</t>
  </si>
  <si>
    <t>Check POP</t>
  </si>
  <si>
    <t>CHECK YU</t>
  </si>
  <si>
    <t>England</t>
  </si>
  <si>
    <t>0.808</t>
  </si>
  <si>
    <t>0.8290000000000001</t>
  </si>
  <si>
    <t>0.837</t>
  </si>
  <si>
    <t>0.84</t>
  </si>
  <si>
    <t>0.858</t>
  </si>
  <si>
    <t>0.8270000000000001</t>
  </si>
  <si>
    <t>0.809</t>
  </si>
  <si>
    <t>0.81</t>
  </si>
  <si>
    <t>0.8250000000000001</t>
  </si>
  <si>
    <t>0.838</t>
  </si>
  <si>
    <t>Northern Ireland</t>
  </si>
  <si>
    <t>0.739</t>
  </si>
  <si>
    <t>0.761</t>
  </si>
  <si>
    <t>Scotland</t>
  </si>
  <si>
    <t>0.685</t>
  </si>
  <si>
    <t>0.709</t>
  </si>
  <si>
    <t>0.721</t>
  </si>
  <si>
    <t>0.719</t>
  </si>
  <si>
    <t>0.76</t>
  </si>
  <si>
    <t>0.737</t>
  </si>
  <si>
    <t>0.774</t>
  </si>
  <si>
    <t>0.804</t>
  </si>
  <si>
    <t>0.788</t>
  </si>
  <si>
    <t>Wales</t>
  </si>
  <si>
    <t>0.8210000000000001</t>
  </si>
  <si>
    <t>0.844</t>
  </si>
  <si>
    <t>0.839</t>
  </si>
  <si>
    <t>0.859</t>
  </si>
  <si>
    <t>0.8160000000000001</t>
  </si>
  <si>
    <t>0.795</t>
  </si>
  <si>
    <t>0.8180000000000001</t>
  </si>
  <si>
    <t>0.8230000000000001</t>
  </si>
  <si>
    <t>0.8320000000000001</t>
  </si>
  <si>
    <t>Cyprus (Not otherwise specified)</t>
  </si>
  <si>
    <t>0.611</t>
  </si>
  <si>
    <t>0.791</t>
  </si>
  <si>
    <t xml:space="preserve"> </t>
  </si>
  <si>
    <t>0.87</t>
  </si>
  <si>
    <t>0.47000000000000003</t>
  </si>
  <si>
    <t>French Guiana</t>
  </si>
  <si>
    <t>French West Indies (Not In Use)</t>
  </si>
  <si>
    <t>Reunion</t>
  </si>
  <si>
    <t>0.34500000000000003</t>
  </si>
  <si>
    <t>0.358</t>
  </si>
  <si>
    <t>Aland Islands</t>
  </si>
  <si>
    <t>Canary Islands</t>
  </si>
  <si>
    <t>0.784</t>
  </si>
  <si>
    <t>0.712</t>
  </si>
  <si>
    <t>0.747</t>
  </si>
  <si>
    <t>0.8200000000000001</t>
  </si>
  <si>
    <t>0.806</t>
  </si>
  <si>
    <t>0.7000000000000001</t>
  </si>
  <si>
    <t>Guadeloupe</t>
  </si>
  <si>
    <t>Martinique</t>
  </si>
  <si>
    <t>St Martin (French part)</t>
  </si>
  <si>
    <t>St Barthelemy</t>
  </si>
  <si>
    <t>1</t>
  </si>
  <si>
    <t>Alderney</t>
  </si>
  <si>
    <t>Guernsey</t>
  </si>
  <si>
    <t>0.846</t>
  </si>
  <si>
    <t>0.861</t>
  </si>
  <si>
    <t>0.807</t>
  </si>
  <si>
    <t>0.792</t>
  </si>
  <si>
    <t>0.899</t>
  </si>
  <si>
    <t>Jersey</t>
  </si>
  <si>
    <t>0.799</t>
  </si>
  <si>
    <t>0.8140000000000001</t>
  </si>
  <si>
    <t>0.842</t>
  </si>
  <si>
    <t>0.811</t>
  </si>
  <si>
    <t>0.803</t>
  </si>
  <si>
    <t>0.836</t>
  </si>
  <si>
    <t>0.865</t>
  </si>
  <si>
    <t>0.763</t>
  </si>
  <si>
    <t>Virgin Islands (US)</t>
  </si>
  <si>
    <t>British Antarctic Territory</t>
  </si>
  <si>
    <t>0.875</t>
  </si>
  <si>
    <t>0.733</t>
  </si>
  <si>
    <t>0.64</t>
  </si>
  <si>
    <t>Anguilla</t>
  </si>
  <si>
    <t>0.8240000000000001</t>
  </si>
  <si>
    <t>0.532</t>
  </si>
  <si>
    <t>British Indian Ocean Territory</t>
  </si>
  <si>
    <t>0.508</t>
  </si>
  <si>
    <t>0.34700000000000003</t>
  </si>
  <si>
    <t>0.262</t>
  </si>
  <si>
    <t>0.359</t>
  </si>
  <si>
    <t>0.333</t>
  </si>
  <si>
    <t>0.509</t>
  </si>
  <si>
    <t>0.75</t>
  </si>
  <si>
    <t>0.462</t>
  </si>
  <si>
    <t>0.618</t>
  </si>
  <si>
    <t>0.461</t>
  </si>
  <si>
    <t>Kyrgyzstan</t>
  </si>
  <si>
    <t>0.65</t>
  </si>
  <si>
    <t>0.528</t>
  </si>
  <si>
    <t>0.306</t>
  </si>
  <si>
    <t>0.558</t>
  </si>
  <si>
    <t>0.254</t>
  </si>
  <si>
    <t>0.621</t>
  </si>
  <si>
    <t>0.648</t>
  </si>
  <si>
    <t>0.336</t>
  </si>
  <si>
    <t>0.28600000000000003</t>
  </si>
  <si>
    <t>0.317</t>
  </si>
  <si>
    <t>0.34400000000000003</t>
  </si>
  <si>
    <t>0.34600000000000003</t>
  </si>
  <si>
    <t>0.47800000000000004</t>
  </si>
  <si>
    <t>0.386</t>
  </si>
  <si>
    <t>0.43</t>
  </si>
  <si>
    <t>0.372</t>
  </si>
  <si>
    <t>0.275</t>
  </si>
  <si>
    <t>0.36</t>
  </si>
  <si>
    <t>0.277</t>
  </si>
  <si>
    <t>0.25</t>
  </si>
  <si>
    <t>0.22</t>
  </si>
  <si>
    <t>0.369</t>
  </si>
  <si>
    <t>0.6</t>
  </si>
  <si>
    <t>0.786</t>
  </si>
  <si>
    <t>Palestinian, State of</t>
  </si>
  <si>
    <t>0.34900000000000003</t>
  </si>
  <si>
    <t>0.274</t>
  </si>
  <si>
    <t>0.157</t>
  </si>
  <si>
    <t>0.314</t>
  </si>
  <si>
    <t>Norfolk Island</t>
  </si>
  <si>
    <t>0.435</t>
  </si>
  <si>
    <t>Cyprus (Non-European Union)</t>
  </si>
  <si>
    <t>0.577</t>
  </si>
  <si>
    <t>0.293</t>
  </si>
  <si>
    <t>Sint Maarten (Dutch Part)</t>
  </si>
  <si>
    <t>No information provided (Overseas)</t>
  </si>
  <si>
    <t>0.969</t>
  </si>
  <si>
    <t>0.328</t>
  </si>
  <si>
    <t>0.278</t>
  </si>
  <si>
    <t>0.31</t>
  </si>
  <si>
    <t>0.245</t>
  </si>
  <si>
    <t>Montserrat</t>
  </si>
  <si>
    <t>0.342</t>
  </si>
  <si>
    <t>0.312</t>
  </si>
  <si>
    <t>0.329</t>
  </si>
  <si>
    <t>0.352</t>
  </si>
  <si>
    <t>0.298</t>
  </si>
  <si>
    <t>0.28500000000000003</t>
  </si>
  <si>
    <t>0.321</t>
  </si>
  <si>
    <t>0.271</t>
  </si>
  <si>
    <t>0.467</t>
  </si>
  <si>
    <t>0.297</t>
  </si>
  <si>
    <t>0.496</t>
  </si>
  <si>
    <t>0.867</t>
  </si>
  <si>
    <t>0.883</t>
  </si>
  <si>
    <t>0.9390000000000001</t>
  </si>
  <si>
    <t>0.3</t>
  </si>
  <si>
    <t>0.56</t>
  </si>
  <si>
    <t>0.397</t>
  </si>
  <si>
    <t>0.331</t>
  </si>
  <si>
    <t>0.315</t>
  </si>
  <si>
    <t>0.343</t>
  </si>
  <si>
    <t>0.468</t>
  </si>
  <si>
    <t>0.5640000000000001</t>
  </si>
  <si>
    <t>0.526</t>
  </si>
  <si>
    <t>0.454</t>
  </si>
  <si>
    <t>Puerto Rico</t>
  </si>
  <si>
    <t>0.522</t>
  </si>
  <si>
    <t>0.276</t>
  </si>
  <si>
    <t>0.189</t>
  </si>
  <si>
    <t>0.231</t>
  </si>
  <si>
    <t>St Helena, Ascension &amp; Tristan da Cunha</t>
  </si>
  <si>
    <t>St. Kitts-Nevis</t>
  </si>
  <si>
    <t>St Lucia</t>
  </si>
  <si>
    <t>Saint Vincent and the Grenadines</t>
  </si>
  <si>
    <t>0.34800000000000003</t>
  </si>
  <si>
    <t>0.717</t>
  </si>
  <si>
    <t>0.376</t>
  </si>
  <si>
    <t>Somalia</t>
  </si>
  <si>
    <t>0.561</t>
  </si>
  <si>
    <t>0.17500000000000002</t>
  </si>
  <si>
    <t>0.14400000000000002</t>
  </si>
  <si>
    <t>Syrian Arab Republic (Syria)</t>
  </si>
  <si>
    <t>0.181</t>
  </si>
  <si>
    <t>0.20800000000000002</t>
  </si>
  <si>
    <t>0.663</t>
  </si>
  <si>
    <t>0.6900000000000001</t>
  </si>
  <si>
    <t>0.614</t>
  </si>
  <si>
    <t>0.378</t>
  </si>
  <si>
    <t>0.257</t>
  </si>
  <si>
    <t>0.365</t>
  </si>
  <si>
    <t>USSR (Not In Use)</t>
  </si>
  <si>
    <t>Venezuela (Bolivarian Republic of)</t>
  </si>
  <si>
    <t>0.323</t>
  </si>
  <si>
    <t>Vietnam [Viet Nam]</t>
  </si>
  <si>
    <t>0.5730000000000001</t>
  </si>
  <si>
    <t>0.61</t>
  </si>
  <si>
    <t>0.667</t>
  </si>
  <si>
    <t>0.722</t>
  </si>
  <si>
    <t>0.673</t>
  </si>
  <si>
    <t>0.367</t>
  </si>
  <si>
    <t>0.465</t>
  </si>
  <si>
    <t>Not Known</t>
  </si>
  <si>
    <t>0.8280000000000001</t>
  </si>
  <si>
    <t>0.894</t>
  </si>
  <si>
    <t>0.877</t>
  </si>
  <si>
    <t>0.798</t>
  </si>
  <si>
    <t>0.907</t>
  </si>
  <si>
    <t>0.909</t>
  </si>
  <si>
    <t>0.996</t>
  </si>
  <si>
    <t>0.9530000000000001</t>
  </si>
  <si>
    <t>0.979</t>
  </si>
  <si>
    <t>0.991</t>
  </si>
  <si>
    <t>0.268</t>
  </si>
  <si>
    <t>0.259</t>
  </si>
  <si>
    <t>0.195</t>
  </si>
  <si>
    <t>0.182</t>
  </si>
  <si>
    <t>East Timor (Timor-Leste)</t>
  </si>
  <si>
    <t>Cape Verde</t>
  </si>
  <si>
    <t>0.687</t>
  </si>
  <si>
    <t>0.715</t>
  </si>
  <si>
    <t>0.678</t>
  </si>
  <si>
    <t>0.639</t>
  </si>
  <si>
    <t>0.6950000000000001</t>
  </si>
  <si>
    <t>0.704</t>
  </si>
  <si>
    <t>0.6890000000000001</t>
  </si>
  <si>
    <t>0.313</t>
  </si>
  <si>
    <t>0.28300000000000003</t>
  </si>
  <si>
    <t>0.356</t>
  </si>
  <si>
    <t>0.19</t>
  </si>
  <si>
    <t>0.615</t>
  </si>
  <si>
    <t>Yemen</t>
  </si>
  <si>
    <t>0.14</t>
  </si>
  <si>
    <t>0.47900000000000004</t>
  </si>
  <si>
    <t>0.6880000000000001</t>
  </si>
  <si>
    <t>0.47600000000000003</t>
  </si>
  <si>
    <t>0.619</t>
  </si>
  <si>
    <t>Bahamas</t>
  </si>
  <si>
    <t>0.582</t>
  </si>
  <si>
    <t>0.616</t>
  </si>
  <si>
    <t>0.657</t>
  </si>
  <si>
    <t>0.68</t>
  </si>
  <si>
    <t>0.67</t>
  </si>
  <si>
    <t>0.392</t>
  </si>
  <si>
    <t>Burma (Myanmar)</t>
  </si>
  <si>
    <t>0.586</t>
  </si>
  <si>
    <t>0.5690000000000001</t>
  </si>
  <si>
    <t>0.304</t>
  </si>
  <si>
    <t>0.28200000000000003</t>
  </si>
  <si>
    <t>0.296</t>
  </si>
  <si>
    <t>0.303</t>
  </si>
  <si>
    <t>0.295</t>
  </si>
  <si>
    <t>0.495</t>
  </si>
  <si>
    <t>0.423</t>
  </si>
  <si>
    <t>0.222</t>
  </si>
  <si>
    <t>Congo (Democratic Republic)</t>
  </si>
  <si>
    <t>Congo</t>
  </si>
  <si>
    <t>Netherlands Antilles</t>
  </si>
  <si>
    <t>0.622</t>
  </si>
  <si>
    <t>0.241</t>
  </si>
  <si>
    <t>0.273</t>
  </si>
  <si>
    <t>0.158</t>
  </si>
  <si>
    <t>0.156</t>
  </si>
  <si>
    <t>0.228</t>
  </si>
  <si>
    <t>Falkland Islands (Malvinas)</t>
  </si>
  <si>
    <t>Taiwan</t>
  </si>
  <si>
    <t>0.587</t>
  </si>
  <si>
    <t>0.458</t>
  </si>
  <si>
    <t>Gambia</t>
  </si>
  <si>
    <t>0.364</t>
  </si>
  <si>
    <t>0.266</t>
  </si>
  <si>
    <t>0.21</t>
  </si>
  <si>
    <t>0.88</t>
  </si>
  <si>
    <t>0.874</t>
  </si>
  <si>
    <t>0.895</t>
  </si>
  <si>
    <t>0.922</t>
  </si>
  <si>
    <t>0.892</t>
  </si>
  <si>
    <t>0.8310000000000001</t>
  </si>
  <si>
    <t>0.85</t>
  </si>
  <si>
    <t>Hong Kong</t>
  </si>
  <si>
    <t>0.264</t>
  </si>
  <si>
    <t>0.29</t>
  </si>
  <si>
    <t>0.35100000000000003</t>
  </si>
  <si>
    <t>Ivory Coast (Cote d'Ivoire)</t>
  </si>
  <si>
    <t>0.32</t>
  </si>
  <si>
    <t>0.243</t>
  </si>
  <si>
    <t>0.23800000000000002</t>
  </si>
  <si>
    <t>0.308</t>
  </si>
  <si>
    <t>0.248</t>
  </si>
  <si>
    <t>0.253</t>
  </si>
  <si>
    <t>0.212</t>
  </si>
  <si>
    <t>0.612</t>
  </si>
  <si>
    <t>0.606</t>
  </si>
  <si>
    <t>Korea, Democratic People's Republic of</t>
  </si>
  <si>
    <t>0.897</t>
  </si>
  <si>
    <t>0.294</t>
  </si>
  <si>
    <t>0.559</t>
  </si>
  <si>
    <t>Macao</t>
  </si>
  <si>
    <t>0.707</t>
  </si>
  <si>
    <t>0.5680000000000001</t>
  </si>
  <si>
    <t>0.594</t>
  </si>
  <si>
    <t>All</t>
  </si>
  <si>
    <t>0.794</t>
  </si>
  <si>
    <t>0.8220000000000001</t>
  </si>
  <si>
    <t>0.8260000000000001</t>
  </si>
  <si>
    <t>0.848</t>
  </si>
  <si>
    <t>0.8150000000000001</t>
  </si>
  <si>
    <t>0.8</t>
  </si>
  <si>
    <t>0.805</t>
  </si>
  <si>
    <t>CHECK_APP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</si>
</sst>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Fill="1"/>
    <xf numFmtId="0" fontId="1" fillId="0" borderId="0" xfId="0" applyFont="1" applyFill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0" fontId="0" fillId="3" borderId="0" xfId="0" applyFill="1"/>
    <xf numFmtId="2" fontId="0" fillId="0" borderId="0" xfId="0" applyNumberFormat="1" applyFont="1" applyFill="1" applyAlignment="1">
      <alignment horizontal="center"/>
    </xf>
    <xf numFmtId="2" fontId="0" fillId="0" borderId="0" xfId="0" applyNumberFormat="1" applyFont="1" applyFill="1"/>
    <xf numFmtId="168" fontId="0" fillId="0" borderId="0" xfId="0" applyNumberFormat="1" applyFill="1"/>
    <xf numFmtId="168" fontId="0" fillId="0" borderId="0" xfId="0" applyNumberFormat="1" applyFont="1" applyFill="1" applyAlignment="1">
      <alignment horizontal="center"/>
    </xf>
    <xf numFmtId="16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569618</xdr:colOff>
          <xdr:row>1</xdr:row>
          <xdr:rowOff>75730</xdr:rowOff>
        </xdr:from>
        <xdr:to>
          <xdr:col>48</xdr:col>
          <xdr:colOff>277517</xdr:colOff>
          <xdr:row>28</xdr:row>
          <xdr:rowOff>185797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0FE62C0-68A7-56B0-A927-DE00684BF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1"/>
  <sheetViews>
    <sheetView topLeftCell="A156" zoomScale="37" workbookViewId="0">
      <selection activeCell="R380" sqref="R380"/>
    </sheetView>
  </sheetViews>
  <sheetFormatPr baseColWidth="10" defaultColWidth="8.83203125" defaultRowHeight="15" x14ac:dyDescent="0.2"/>
  <cols>
    <col min="1" max="1" width="9" bestFit="1" customWidth="1"/>
    <col min="2" max="3" width="17.33203125" customWidth="1"/>
    <col min="4" max="16" width="8.83203125" customWidth="1"/>
    <col min="18" max="18" width="11.1640625" customWidth="1"/>
    <col min="19" max="19" width="16" customWidth="1"/>
    <col min="20" max="20" width="13" customWidth="1"/>
    <col min="21" max="21" width="9" style="4" bestFit="1" customWidth="1"/>
    <col min="22" max="22" width="12" style="5" customWidth="1"/>
    <col min="23" max="23" width="10.1640625" style="4" bestFit="1" customWidth="1"/>
    <col min="24" max="24" width="10.1640625" customWidth="1"/>
    <col min="25" max="25" width="13.5" style="4" customWidth="1"/>
    <col min="26" max="26" width="13.33203125" customWidth="1"/>
    <col min="27" max="28" width="14.5" customWidth="1"/>
    <col min="29" max="29" width="9" style="4" bestFit="1" customWidth="1"/>
    <col min="30" max="31" width="9" bestFit="1" customWidth="1"/>
    <col min="33" max="34" width="8.83203125" style="5"/>
    <col min="35" max="35" width="8.83203125" style="11"/>
    <col min="36" max="36" width="8.83203125" style="7"/>
  </cols>
  <sheetData>
    <row r="1" spans="1:36" s="1" customFormat="1" x14ac:dyDescent="0.2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861</v>
      </c>
      <c r="S1" s="1" t="s">
        <v>862</v>
      </c>
      <c r="T1" s="1" t="s">
        <v>863</v>
      </c>
      <c r="U1" s="3" t="s">
        <v>16</v>
      </c>
      <c r="V1" s="6" t="s">
        <v>865</v>
      </c>
      <c r="W1" s="3" t="s">
        <v>17</v>
      </c>
      <c r="X1" s="1" t="s">
        <v>866</v>
      </c>
      <c r="Y1" s="3" t="s">
        <v>18</v>
      </c>
      <c r="Z1" s="1" t="s">
        <v>19</v>
      </c>
      <c r="AA1" s="1" t="s">
        <v>868</v>
      </c>
      <c r="AB1" s="1" t="s">
        <v>869</v>
      </c>
      <c r="AC1" s="3" t="s">
        <v>20</v>
      </c>
      <c r="AD1" s="1" t="s">
        <v>21</v>
      </c>
      <c r="AE1" s="1" t="s">
        <v>22</v>
      </c>
      <c r="AG1" s="6" t="s">
        <v>870</v>
      </c>
      <c r="AH1" s="6" t="s">
        <v>871</v>
      </c>
      <c r="AI1" s="10" t="s">
        <v>872</v>
      </c>
      <c r="AJ1" s="8" t="s">
        <v>1176</v>
      </c>
    </row>
    <row r="2" spans="1:36" x14ac:dyDescent="0.2">
      <c r="A2">
        <v>2016</v>
      </c>
      <c r="B2" t="s">
        <v>23</v>
      </c>
      <c r="C2">
        <f>VLOOKUP(B2,Sheet5!$B$2:$C$2166,2,FALSE)</f>
        <v>650</v>
      </c>
      <c r="D2">
        <v>650</v>
      </c>
      <c r="E2">
        <v>370</v>
      </c>
      <c r="F2" t="s">
        <v>24</v>
      </c>
      <c r="G2">
        <v>5</v>
      </c>
      <c r="H2">
        <v>6.4769723628896827</v>
      </c>
      <c r="I2">
        <v>1</v>
      </c>
      <c r="J2">
        <v>1</v>
      </c>
      <c r="K2">
        <v>0</v>
      </c>
      <c r="L2">
        <v>-4</v>
      </c>
      <c r="M2" t="s">
        <v>25</v>
      </c>
      <c r="N2" t="s">
        <v>23</v>
      </c>
      <c r="O2">
        <v>1</v>
      </c>
      <c r="P2">
        <v>0</v>
      </c>
      <c r="Q2" t="s">
        <v>26</v>
      </c>
      <c r="R2" t="str">
        <f>VLOOKUP(Q2,GDP!$A$2:$B$266,1,FALSE)</f>
        <v>AUT</v>
      </c>
      <c r="S2" t="str">
        <f>VLOOKUP(Q2,GDP!$A$2:$B$266,2,FALSE)</f>
        <v>Austria</v>
      </c>
      <c r="T2">
        <f>VLOOKUP(Q2,GDP!$A$1:$C$266,3,FALSE)</f>
        <v>61572.625740240415</v>
      </c>
      <c r="U2" s="4">
        <v>61572.625740240401</v>
      </c>
      <c r="V2" s="5">
        <f>VLOOKUP(Q2,POP!$B$5:$M$269,3,FALSE)</f>
        <v>5865273</v>
      </c>
      <c r="W2" s="4">
        <v>5865273</v>
      </c>
      <c r="X2">
        <f>VLOOKUP(Q2,YU!$B$1:$D$266,3,FALSE)</f>
        <v>11.423999999999999</v>
      </c>
      <c r="Y2" s="4">
        <v>11.423999999999999</v>
      </c>
      <c r="Z2">
        <v>5.5095400810241699</v>
      </c>
      <c r="AA2">
        <f>LN(T2)</f>
        <v>11.027972663418538</v>
      </c>
      <c r="AB2">
        <f>AA2-AVERAGE($AA$2:$AA$469)</f>
        <v>0.50357596130610816</v>
      </c>
      <c r="AC2" s="4">
        <v>0.50357596130611348</v>
      </c>
      <c r="AD2">
        <v>-0.3273255217401978</v>
      </c>
      <c r="AE2">
        <v>-3.8914059829059831</v>
      </c>
      <c r="AG2" s="12">
        <f>T2-U2</f>
        <v>0</v>
      </c>
      <c r="AH2" s="12">
        <f>V2-W2</f>
        <v>0</v>
      </c>
      <c r="AI2" s="13">
        <f>X2-Y2</f>
        <v>0</v>
      </c>
      <c r="AJ2" s="14">
        <f>LN(C2)-H2</f>
        <v>0</v>
      </c>
    </row>
    <row r="3" spans="1:36" x14ac:dyDescent="0.2">
      <c r="A3">
        <v>2017</v>
      </c>
      <c r="B3" t="s">
        <v>23</v>
      </c>
      <c r="C3">
        <f>VLOOKUP(B3,Sheet5!$B$2:$C$2166,2,FALSE)</f>
        <v>650</v>
      </c>
      <c r="D3">
        <v>590</v>
      </c>
      <c r="E3">
        <v>340</v>
      </c>
      <c r="F3" t="s">
        <v>27</v>
      </c>
      <c r="G3">
        <v>0</v>
      </c>
      <c r="H3">
        <v>6.3801225368997647</v>
      </c>
      <c r="I3">
        <v>1</v>
      </c>
      <c r="J3">
        <v>1</v>
      </c>
      <c r="K3">
        <v>0</v>
      </c>
      <c r="L3">
        <v>-3</v>
      </c>
      <c r="M3" t="s">
        <v>25</v>
      </c>
      <c r="N3" t="s">
        <v>23</v>
      </c>
      <c r="O3">
        <v>1</v>
      </c>
      <c r="P3">
        <v>0</v>
      </c>
      <c r="Q3" t="s">
        <v>26</v>
      </c>
      <c r="R3" t="str">
        <f>VLOOKUP(Q3,GDP!$A$2:$B$266,1,FALSE)</f>
        <v>AUT</v>
      </c>
      <c r="S3" t="str">
        <f>VLOOKUP(Q3,GDP!$A$2:$B$266,2,FALSE)</f>
        <v>Austria</v>
      </c>
      <c r="T3">
        <f>VLOOKUP(Q3,GDP!$A$1:$L$266,4,FALSE)</f>
        <v>62535.810571134461</v>
      </c>
      <c r="U3" s="4">
        <v>62535.810571134498</v>
      </c>
      <c r="V3" s="5">
        <f>VLOOKUP(Q3,POP!$B$5:$M$269,4,FALSE)</f>
        <v>5892111</v>
      </c>
      <c r="W3" s="4">
        <v>5892111</v>
      </c>
      <c r="X3">
        <f>VLOOKUP(Q3,YU!$B$1:$M$266,4,FALSE)</f>
        <v>9.9710000000000001</v>
      </c>
      <c r="Y3" s="4">
        <v>9.9710000000000001</v>
      </c>
      <c r="Z3">
        <v>5.4018101692199698</v>
      </c>
      <c r="AA3">
        <f t="shared" ref="AA3:AA66" si="0">LN(T3)</f>
        <v>11.043494640778501</v>
      </c>
      <c r="AB3">
        <f t="shared" ref="AB3:AB66" si="1">AA3-AVERAGE($AA$2:$AA$469)</f>
        <v>0.51909793866607146</v>
      </c>
      <c r="AC3" s="4">
        <v>0.51909793866607679</v>
      </c>
      <c r="AD3">
        <v>-0.32276021255012211</v>
      </c>
      <c r="AE3">
        <v>-5.3444059829059816</v>
      </c>
      <c r="AG3" s="12">
        <f t="shared" ref="AG3:AG66" si="2">T3-U3</f>
        <v>0</v>
      </c>
      <c r="AH3" s="12">
        <f t="shared" ref="AH3:AH66" si="3">V3-W3</f>
        <v>0</v>
      </c>
      <c r="AI3" s="13">
        <f t="shared" ref="AI3:AI66" si="4">X3-Y3</f>
        <v>0</v>
      </c>
      <c r="AJ3" s="14">
        <f t="shared" ref="AJ3:AJ66" si="5">LN(C3)-H3</f>
        <v>9.6849825989917981E-2</v>
      </c>
    </row>
    <row r="4" spans="1:36" x14ac:dyDescent="0.2">
      <c r="A4">
        <v>2018</v>
      </c>
      <c r="B4" t="s">
        <v>23</v>
      </c>
      <c r="C4">
        <f>VLOOKUP(B4,Sheet5!$B$2:$C$2166,2,FALSE)</f>
        <v>650</v>
      </c>
      <c r="D4">
        <v>625</v>
      </c>
      <c r="E4">
        <v>335</v>
      </c>
      <c r="F4" t="s">
        <v>28</v>
      </c>
      <c r="G4">
        <v>0</v>
      </c>
      <c r="H4">
        <v>6.4377516497364011</v>
      </c>
      <c r="I4">
        <v>1</v>
      </c>
      <c r="J4">
        <v>1</v>
      </c>
      <c r="K4">
        <v>0</v>
      </c>
      <c r="L4">
        <v>-2</v>
      </c>
      <c r="M4" t="s">
        <v>25</v>
      </c>
      <c r="N4" t="s">
        <v>23</v>
      </c>
      <c r="O4">
        <v>1</v>
      </c>
      <c r="P4">
        <v>0</v>
      </c>
      <c r="Q4" t="s">
        <v>26</v>
      </c>
      <c r="R4" t="str">
        <f>VLOOKUP(Q4,GDP!$A$2:$B$266,1,FALSE)</f>
        <v>AUT</v>
      </c>
      <c r="S4" t="str">
        <f>VLOOKUP(Q4,GDP!$A$2:$B$266,2,FALSE)</f>
        <v>Austria</v>
      </c>
      <c r="T4">
        <f>VLOOKUP(Q4,GDP!$A$1:$L$266,5,FALSE)</f>
        <v>63777.936215747599</v>
      </c>
      <c r="U4" s="4">
        <v>63777.936215747599</v>
      </c>
      <c r="V4" s="5">
        <f>VLOOKUP(Q4,POP!$B$5:$M$269,5,FALSE)</f>
        <v>5906127</v>
      </c>
      <c r="W4" s="4">
        <v>5906127</v>
      </c>
      <c r="X4">
        <f>VLOOKUP(Q4,YU!$B$1:$M$266,5,FALSE)</f>
        <v>9.5719999999999992</v>
      </c>
      <c r="Y4" s="4">
        <v>9.5719999999999992</v>
      </c>
      <c r="Z4">
        <v>5.2543702125549299</v>
      </c>
      <c r="AA4">
        <f t="shared" si="0"/>
        <v>11.063162582181437</v>
      </c>
      <c r="AB4">
        <f t="shared" si="1"/>
        <v>0.53876588006900761</v>
      </c>
      <c r="AC4" s="4">
        <v>0.53876588006901294</v>
      </c>
      <c r="AD4">
        <v>-0.32038426343068238</v>
      </c>
      <c r="AE4">
        <v>-5.7434059829059834</v>
      </c>
      <c r="AG4" s="12">
        <f t="shared" si="2"/>
        <v>0</v>
      </c>
      <c r="AH4" s="12">
        <f t="shared" si="3"/>
        <v>0</v>
      </c>
      <c r="AI4" s="13">
        <f t="shared" si="4"/>
        <v>0</v>
      </c>
      <c r="AJ4" s="14">
        <f t="shared" si="5"/>
        <v>3.9220713153281572E-2</v>
      </c>
    </row>
    <row r="5" spans="1:36" x14ac:dyDescent="0.2">
      <c r="A5">
        <v>2019</v>
      </c>
      <c r="B5" t="s">
        <v>23</v>
      </c>
      <c r="C5">
        <f>VLOOKUP(B5,Sheet5!$B$2:$C$2166,2,FALSE)</f>
        <v>650</v>
      </c>
      <c r="D5">
        <v>625</v>
      </c>
      <c r="E5">
        <v>345</v>
      </c>
      <c r="F5" t="s">
        <v>29</v>
      </c>
      <c r="G5">
        <v>0</v>
      </c>
      <c r="H5">
        <v>6.4377516497364011</v>
      </c>
      <c r="I5">
        <v>1</v>
      </c>
      <c r="J5">
        <v>1</v>
      </c>
      <c r="K5">
        <v>0</v>
      </c>
      <c r="L5">
        <v>-1</v>
      </c>
      <c r="M5" t="s">
        <v>25</v>
      </c>
      <c r="N5" t="s">
        <v>23</v>
      </c>
      <c r="O5">
        <v>1</v>
      </c>
      <c r="P5">
        <v>0</v>
      </c>
      <c r="Q5" t="s">
        <v>26</v>
      </c>
      <c r="R5" t="str">
        <f>VLOOKUP(Q5,GDP!$A$2:$B$266,1,FALSE)</f>
        <v>AUT</v>
      </c>
      <c r="S5" t="str">
        <f>VLOOKUP(Q5,GDP!$A$2:$B$266,2,FALSE)</f>
        <v>Austria</v>
      </c>
      <c r="T5">
        <f>VLOOKUP(Q5,GDP!$A$1:$L$266,6,FALSE)</f>
        <v>64609.283639689456</v>
      </c>
      <c r="U5" s="4">
        <v>64609.2836396895</v>
      </c>
      <c r="V5" s="5">
        <f>VLOOKUP(Q5,POP!$B$5:$M$269,6,FALSE)</f>
        <v>5917299</v>
      </c>
      <c r="W5" s="4">
        <v>5917299</v>
      </c>
      <c r="X5">
        <f>VLOOKUP(Q5,YU!$B$1:$M$266,6,FALSE)</f>
        <v>8.7669999999999995</v>
      </c>
      <c r="Y5" s="4">
        <v>8.7669999999999995</v>
      </c>
      <c r="Z5">
        <v>5.2367801666259801</v>
      </c>
      <c r="AA5">
        <f t="shared" si="0"/>
        <v>11.076113389038175</v>
      </c>
      <c r="AB5">
        <f t="shared" si="1"/>
        <v>0.55171668692574549</v>
      </c>
      <c r="AC5" s="4">
        <v>0.55171668692575082</v>
      </c>
      <c r="AD5">
        <v>-0.31849445529470799</v>
      </c>
      <c r="AE5">
        <v>-6.5484059829059831</v>
      </c>
      <c r="AG5" s="12">
        <f t="shared" si="2"/>
        <v>0</v>
      </c>
      <c r="AH5" s="12">
        <f t="shared" si="3"/>
        <v>0</v>
      </c>
      <c r="AI5" s="13">
        <f t="shared" si="4"/>
        <v>0</v>
      </c>
      <c r="AJ5" s="14">
        <f t="shared" si="5"/>
        <v>3.9220713153281572E-2</v>
      </c>
    </row>
    <row r="6" spans="1:36" x14ac:dyDescent="0.2">
      <c r="A6">
        <v>2020</v>
      </c>
      <c r="B6" t="s">
        <v>23</v>
      </c>
      <c r="C6">
        <f>VLOOKUP(B6,Sheet5!$B$2:$C$2166,2,FALSE)</f>
        <v>650</v>
      </c>
      <c r="D6">
        <v>550</v>
      </c>
      <c r="E6">
        <v>295</v>
      </c>
      <c r="F6" t="s">
        <v>30</v>
      </c>
      <c r="G6">
        <v>0</v>
      </c>
      <c r="H6">
        <v>6.3099182782265162</v>
      </c>
      <c r="I6">
        <v>1</v>
      </c>
      <c r="J6">
        <v>1</v>
      </c>
      <c r="K6">
        <v>0</v>
      </c>
      <c r="L6">
        <v>0</v>
      </c>
      <c r="M6" t="s">
        <v>25</v>
      </c>
      <c r="N6" t="s">
        <v>23</v>
      </c>
      <c r="O6">
        <v>1</v>
      </c>
      <c r="P6">
        <v>0</v>
      </c>
      <c r="Q6" t="s">
        <v>26</v>
      </c>
      <c r="R6" t="str">
        <f>VLOOKUP(Q6,GDP!$A$2:$B$266,1,FALSE)</f>
        <v>AUT</v>
      </c>
      <c r="S6" t="str">
        <f>VLOOKUP(Q6,GDP!$A$2:$B$266,2,FALSE)</f>
        <v>Austria</v>
      </c>
      <c r="T6">
        <f>VLOOKUP(Q6,GDP!$A$1:$L$266,7,FALSE)</f>
        <v>60276.330769732624</v>
      </c>
      <c r="U6" s="4">
        <v>60276.330769732602</v>
      </c>
      <c r="V6" s="5">
        <f>VLOOKUP(Q6,POP!$B$5:$M$269,7,FALSE)</f>
        <v>5924102</v>
      </c>
      <c r="W6" s="4">
        <v>5924102</v>
      </c>
      <c r="X6">
        <f>VLOOKUP(Q6,YU!$B$1:$M$266,7,FALSE)</f>
        <v>10.324999999999999</v>
      </c>
      <c r="Y6" s="4">
        <v>10.324999999999999</v>
      </c>
      <c r="Z6">
        <v>5.5796198844909703</v>
      </c>
      <c r="AA6">
        <f t="shared" si="0"/>
        <v>11.006694781108969</v>
      </c>
      <c r="AB6">
        <f t="shared" si="1"/>
        <v>0.4822980789965392</v>
      </c>
      <c r="AC6" s="4">
        <v>0.48229807899654448</v>
      </c>
      <c r="AD6">
        <v>-0.31734543572371798</v>
      </c>
      <c r="AE6">
        <v>-4.9904059829059833</v>
      </c>
      <c r="AG6" s="12">
        <f t="shared" si="2"/>
        <v>0</v>
      </c>
      <c r="AH6" s="12">
        <f t="shared" si="3"/>
        <v>0</v>
      </c>
      <c r="AI6" s="13">
        <f t="shared" si="4"/>
        <v>0</v>
      </c>
      <c r="AJ6" s="14">
        <f t="shared" si="5"/>
        <v>0.16705408466316651</v>
      </c>
    </row>
    <row r="7" spans="1:36" x14ac:dyDescent="0.2">
      <c r="A7">
        <v>2021</v>
      </c>
      <c r="B7" t="s">
        <v>23</v>
      </c>
      <c r="C7">
        <f>VLOOKUP(B7,Sheet5!$B$2:$C$2166,2,FALSE)</f>
        <v>650</v>
      </c>
      <c r="D7">
        <v>405</v>
      </c>
      <c r="E7">
        <v>165</v>
      </c>
      <c r="F7" t="s">
        <v>31</v>
      </c>
      <c r="G7">
        <v>0</v>
      </c>
      <c r="H7">
        <v>6.0038870671065387</v>
      </c>
      <c r="I7">
        <v>1</v>
      </c>
      <c r="J7">
        <v>1</v>
      </c>
      <c r="K7">
        <v>1</v>
      </c>
      <c r="L7">
        <v>1</v>
      </c>
      <c r="M7" t="s">
        <v>25</v>
      </c>
      <c r="N7" t="s">
        <v>23</v>
      </c>
      <c r="O7">
        <v>1</v>
      </c>
      <c r="P7">
        <v>1</v>
      </c>
      <c r="Q7" t="s">
        <v>26</v>
      </c>
      <c r="R7" t="str">
        <f>VLOOKUP(Q7,GDP!$A$2:$B$266,1,FALSE)</f>
        <v>AUT</v>
      </c>
      <c r="S7" t="str">
        <f>VLOOKUP(Q7,GDP!$A$2:$B$266,2,FALSE)</f>
        <v>Austria</v>
      </c>
      <c r="T7">
        <f>VLOOKUP(Q7,GDP!$A$1:$L$266,8,FALSE)</f>
        <v>62968.853877018628</v>
      </c>
      <c r="U7" s="4">
        <v>62968.853877018599</v>
      </c>
      <c r="V7" s="5">
        <f>VLOOKUP(Q7,POP!$B$5:$M$269,8,FALSE)</f>
        <v>5926631</v>
      </c>
      <c r="W7" s="4">
        <v>5926631</v>
      </c>
      <c r="X7">
        <f>VLOOKUP(Q7,YU!$B$1:$M$266,8,FALSE)</f>
        <v>12.023</v>
      </c>
      <c r="Y7" s="4">
        <v>12.023</v>
      </c>
      <c r="Z7">
        <v>5.4807100296020499</v>
      </c>
      <c r="AA7">
        <f t="shared" si="0"/>
        <v>11.050395500221683</v>
      </c>
      <c r="AB7">
        <f t="shared" si="1"/>
        <v>0.52599879810925287</v>
      </c>
      <c r="AC7" s="4">
        <v>0.5259987981092582</v>
      </c>
      <c r="AD7">
        <v>-0.31691862667513071</v>
      </c>
      <c r="AE7">
        <v>-3.2924059829059829</v>
      </c>
      <c r="AG7" s="12">
        <f t="shared" si="2"/>
        <v>0</v>
      </c>
      <c r="AH7" s="12">
        <f t="shared" si="3"/>
        <v>0</v>
      </c>
      <c r="AI7" s="13">
        <f t="shared" si="4"/>
        <v>0</v>
      </c>
      <c r="AJ7" s="14">
        <f t="shared" si="5"/>
        <v>0.47308529578314396</v>
      </c>
    </row>
    <row r="8" spans="1:36" x14ac:dyDescent="0.2">
      <c r="A8">
        <v>2022</v>
      </c>
      <c r="B8" t="s">
        <v>23</v>
      </c>
      <c r="C8">
        <f>VLOOKUP(B8,Sheet5!$B$2:$C$2166,2,FALSE)</f>
        <v>650</v>
      </c>
      <c r="D8">
        <v>365</v>
      </c>
      <c r="E8">
        <v>170</v>
      </c>
      <c r="F8" t="s">
        <v>32</v>
      </c>
      <c r="G8">
        <v>0</v>
      </c>
      <c r="H8">
        <v>5.8998973535824906</v>
      </c>
      <c r="I8">
        <v>1</v>
      </c>
      <c r="J8">
        <v>1</v>
      </c>
      <c r="K8">
        <v>1</v>
      </c>
      <c r="L8">
        <v>2</v>
      </c>
      <c r="M8" t="s">
        <v>25</v>
      </c>
      <c r="N8" t="s">
        <v>23</v>
      </c>
      <c r="O8">
        <v>1</v>
      </c>
      <c r="P8">
        <v>1</v>
      </c>
      <c r="Q8" t="s">
        <v>26</v>
      </c>
      <c r="R8" t="str">
        <f>VLOOKUP(Q8,GDP!$A$2:$B$266,1,FALSE)</f>
        <v>AUT</v>
      </c>
      <c r="S8" t="str">
        <f>VLOOKUP(Q8,GDP!$A$2:$B$266,2,FALSE)</f>
        <v>Austria</v>
      </c>
      <c r="T8">
        <f>VLOOKUP(Q8,GDP!$A$1:$L$266,9,FALSE)</f>
        <v>65694.459150146766</v>
      </c>
      <c r="U8" s="4">
        <v>65694.459150146795</v>
      </c>
      <c r="V8" s="5">
        <f>VLOOKUP(Q8,POP!$B$5:$M$269,9,FALSE)</f>
        <v>5955333</v>
      </c>
      <c r="W8" s="4">
        <v>5955333</v>
      </c>
      <c r="X8">
        <f>VLOOKUP(Q8,YU!$B$1:$M$266,9,FALSE)</f>
        <v>10.327</v>
      </c>
      <c r="Y8" s="4">
        <v>10.327</v>
      </c>
      <c r="Z8">
        <v>5.2774901390075701</v>
      </c>
      <c r="AA8">
        <f t="shared" si="0"/>
        <v>11.092769865302049</v>
      </c>
      <c r="AB8">
        <f t="shared" si="1"/>
        <v>0.56837316318961939</v>
      </c>
      <c r="AC8" s="4">
        <v>0.56837316318962472</v>
      </c>
      <c r="AD8">
        <v>-0.31208742943762319</v>
      </c>
      <c r="AE8">
        <v>-4.9884059829059826</v>
      </c>
      <c r="AG8" s="12">
        <f t="shared" si="2"/>
        <v>0</v>
      </c>
      <c r="AH8" s="12">
        <f t="shared" si="3"/>
        <v>0</v>
      </c>
      <c r="AI8" s="13">
        <f t="shared" si="4"/>
        <v>0</v>
      </c>
      <c r="AJ8" s="14">
        <f t="shared" si="5"/>
        <v>0.57707500930719213</v>
      </c>
    </row>
    <row r="9" spans="1:36" x14ac:dyDescent="0.2">
      <c r="A9">
        <v>2023</v>
      </c>
      <c r="B9" t="s">
        <v>23</v>
      </c>
      <c r="C9">
        <f>VLOOKUP(B9,Sheet5!$B$2:$C$2166,2,FALSE)</f>
        <v>650</v>
      </c>
      <c r="D9">
        <v>340</v>
      </c>
      <c r="E9">
        <v>155</v>
      </c>
      <c r="F9" t="s">
        <v>33</v>
      </c>
      <c r="G9">
        <v>0</v>
      </c>
      <c r="H9">
        <v>5.8289456176102066</v>
      </c>
      <c r="I9">
        <v>1</v>
      </c>
      <c r="J9">
        <v>1</v>
      </c>
      <c r="K9">
        <v>1</v>
      </c>
      <c r="L9">
        <v>3</v>
      </c>
      <c r="M9" t="s">
        <v>25</v>
      </c>
      <c r="N9" t="s">
        <v>23</v>
      </c>
      <c r="O9">
        <v>1</v>
      </c>
      <c r="P9">
        <v>1</v>
      </c>
      <c r="Q9" t="s">
        <v>26</v>
      </c>
      <c r="R9" t="str">
        <f>VLOOKUP(Q9,GDP!$A$2:$B$266,1,FALSE)</f>
        <v>AUT</v>
      </c>
      <c r="S9" t="str">
        <f>VLOOKUP(Q9,GDP!$A$2:$B$266,2,FALSE)</f>
        <v>Austria</v>
      </c>
      <c r="T9">
        <f>VLOOKUP(Q9,GDP!$A$1:$L$266,10,FALSE)</f>
        <v>64536.207630754703</v>
      </c>
      <c r="U9" s="4">
        <v>64536.207630754703</v>
      </c>
      <c r="V9" s="5">
        <f>VLOOKUP(Q9,POP!$B$5:$M$269,10,FALSE)</f>
        <v>5984348</v>
      </c>
      <c r="W9" s="4">
        <v>5984348</v>
      </c>
      <c r="X9">
        <f>VLOOKUP(Q9,YU!$B$1:$M$266,10,FALSE)</f>
        <v>10.98</v>
      </c>
      <c r="Y9" s="4">
        <v>10.98</v>
      </c>
      <c r="AA9">
        <f t="shared" si="0"/>
        <v>11.074981703897409</v>
      </c>
      <c r="AB9">
        <f t="shared" si="1"/>
        <v>0.55058500178497916</v>
      </c>
      <c r="AC9" s="4">
        <v>0.55058500178498448</v>
      </c>
      <c r="AD9">
        <v>-0.30722715601547179</v>
      </c>
      <c r="AE9">
        <v>-4.3354059829059821</v>
      </c>
      <c r="AG9" s="12">
        <f t="shared" si="2"/>
        <v>0</v>
      </c>
      <c r="AH9" s="12">
        <f t="shared" si="3"/>
        <v>0</v>
      </c>
      <c r="AI9" s="13">
        <f t="shared" si="4"/>
        <v>0</v>
      </c>
      <c r="AJ9" s="14">
        <f t="shared" si="5"/>
        <v>0.64802674527947612</v>
      </c>
    </row>
    <row r="10" spans="1:36" x14ac:dyDescent="0.2">
      <c r="A10">
        <v>2024</v>
      </c>
      <c r="B10" t="s">
        <v>23</v>
      </c>
      <c r="C10">
        <f>VLOOKUP(B10,Sheet5!$B$2:$C$2166,2,FALSE)</f>
        <v>650</v>
      </c>
      <c r="D10">
        <v>365</v>
      </c>
      <c r="E10">
        <v>160</v>
      </c>
      <c r="F10" t="s">
        <v>34</v>
      </c>
      <c r="G10">
        <v>0</v>
      </c>
      <c r="H10">
        <v>5.8998973535824906</v>
      </c>
      <c r="I10">
        <v>1</v>
      </c>
      <c r="J10">
        <v>1</v>
      </c>
      <c r="K10">
        <v>1</v>
      </c>
      <c r="L10">
        <v>4</v>
      </c>
      <c r="M10" t="s">
        <v>25</v>
      </c>
      <c r="N10" t="s">
        <v>23</v>
      </c>
      <c r="O10">
        <v>1</v>
      </c>
      <c r="P10">
        <v>1</v>
      </c>
      <c r="Q10" t="s">
        <v>26</v>
      </c>
      <c r="R10" t="str">
        <f>VLOOKUP(Q10,GDP!$A$2:$B$266,1,FALSE)</f>
        <v>AUT</v>
      </c>
      <c r="S10" t="str">
        <f>VLOOKUP(Q10,GDP!$A$2:$B$266,2,FALSE)</f>
        <v>Austria</v>
      </c>
      <c r="T10">
        <f>VLOOKUP(Q10,GDP!$A$1:$L$266,11,FALSE)</f>
        <v>63787.989174946197</v>
      </c>
      <c r="U10" s="4">
        <v>63787.989174946197</v>
      </c>
      <c r="V10" s="5">
        <f>VLOOKUP(Q10,POP!$B$5:$M$269,11,FALSE)</f>
        <v>5980887</v>
      </c>
      <c r="W10" s="4">
        <v>5980887</v>
      </c>
      <c r="X10">
        <f>VLOOKUP(Q10,YU!$B$1:$M$266,11,FALSE)</f>
        <v>10.428000000000001</v>
      </c>
      <c r="Y10" s="4">
        <v>10.428000000000001</v>
      </c>
      <c r="AA10">
        <f t="shared" si="0"/>
        <v>11.063320194164239</v>
      </c>
      <c r="AB10">
        <f t="shared" si="1"/>
        <v>0.53892349205180956</v>
      </c>
      <c r="AC10" s="4">
        <v>0.53892349205181489</v>
      </c>
      <c r="AD10">
        <v>-0.30780566535465859</v>
      </c>
      <c r="AE10">
        <v>-4.8874059829059817</v>
      </c>
      <c r="AG10" s="12">
        <f t="shared" si="2"/>
        <v>0</v>
      </c>
      <c r="AH10" s="12">
        <f t="shared" si="3"/>
        <v>0</v>
      </c>
      <c r="AI10" s="13">
        <f t="shared" si="4"/>
        <v>0</v>
      </c>
      <c r="AJ10" s="14">
        <f t="shared" si="5"/>
        <v>0.57707500930719213</v>
      </c>
    </row>
    <row r="11" spans="1:36" x14ac:dyDescent="0.2">
      <c r="A11">
        <v>2016</v>
      </c>
      <c r="B11" t="s">
        <v>35</v>
      </c>
      <c r="C11">
        <f>VLOOKUP(B11,Sheet5!$B$2:$C$2166,2,FALSE)</f>
        <v>1135</v>
      </c>
      <c r="D11">
        <v>1135</v>
      </c>
      <c r="E11">
        <v>645</v>
      </c>
      <c r="F11" t="s">
        <v>36</v>
      </c>
      <c r="G11">
        <v>0</v>
      </c>
      <c r="H11">
        <v>7.0343879299155034</v>
      </c>
      <c r="I11">
        <v>1</v>
      </c>
      <c r="J11">
        <v>1</v>
      </c>
      <c r="K11">
        <v>0</v>
      </c>
      <c r="L11">
        <v>-4</v>
      </c>
      <c r="M11" t="s">
        <v>25</v>
      </c>
      <c r="N11" t="s">
        <v>35</v>
      </c>
      <c r="O11">
        <v>1</v>
      </c>
      <c r="P11">
        <v>0</v>
      </c>
      <c r="Q11" t="s">
        <v>37</v>
      </c>
      <c r="R11" t="str">
        <f>VLOOKUP(Q11,GDP!$A$2:$B$266,1,FALSE)</f>
        <v>BEL</v>
      </c>
      <c r="S11" t="str">
        <f>VLOOKUP(Q11,GDP!$A$2:$B$266,2,FALSE)</f>
        <v>Belgium</v>
      </c>
      <c r="T11">
        <f>VLOOKUP(Q11,GDP!$A$1:$C$266,3,FALSE)</f>
        <v>57901.497690315045</v>
      </c>
      <c r="U11" s="4">
        <v>57901.497690315002</v>
      </c>
      <c r="V11" s="5">
        <f>VLOOKUP(Q11,POP!$B$5:$M$269,3,FALSE)</f>
        <v>7326984</v>
      </c>
      <c r="W11" s="4">
        <v>7326984</v>
      </c>
      <c r="X11">
        <f>VLOOKUP(Q11,YU!$B$1:$D$266,3,FALSE)</f>
        <v>20.108000000000001</v>
      </c>
      <c r="Y11" s="4">
        <v>20.108000000000001</v>
      </c>
      <c r="Z11">
        <v>6.4861302375793501</v>
      </c>
      <c r="AA11">
        <f t="shared" si="0"/>
        <v>10.966498530071364</v>
      </c>
      <c r="AB11">
        <f t="shared" si="1"/>
        <v>0.44210182795893438</v>
      </c>
      <c r="AC11" s="4">
        <v>0.44210182795893971</v>
      </c>
      <c r="AD11">
        <v>-0.1048105786055871</v>
      </c>
      <c r="AE11">
        <v>4.792594017094018</v>
      </c>
      <c r="AG11" s="12">
        <f t="shared" si="2"/>
        <v>0</v>
      </c>
      <c r="AH11" s="12">
        <f t="shared" si="3"/>
        <v>0</v>
      </c>
      <c r="AI11" s="13">
        <f t="shared" si="4"/>
        <v>0</v>
      </c>
      <c r="AJ11" s="14">
        <f t="shared" si="5"/>
        <v>0</v>
      </c>
    </row>
    <row r="12" spans="1:36" x14ac:dyDescent="0.2">
      <c r="A12">
        <v>2017</v>
      </c>
      <c r="B12" t="s">
        <v>35</v>
      </c>
      <c r="C12">
        <f>VLOOKUP(B12,Sheet5!$B$2:$C$2166,2,FALSE)</f>
        <v>1135</v>
      </c>
      <c r="D12">
        <v>1105</v>
      </c>
      <c r="E12">
        <v>650</v>
      </c>
      <c r="F12" t="s">
        <v>38</v>
      </c>
      <c r="G12">
        <v>5</v>
      </c>
      <c r="H12">
        <v>7.007600613951853</v>
      </c>
      <c r="I12">
        <v>1</v>
      </c>
      <c r="J12">
        <v>1</v>
      </c>
      <c r="K12">
        <v>0</v>
      </c>
      <c r="L12">
        <v>-3</v>
      </c>
      <c r="M12" t="s">
        <v>25</v>
      </c>
      <c r="N12" t="s">
        <v>35</v>
      </c>
      <c r="O12">
        <v>1</v>
      </c>
      <c r="P12">
        <v>0</v>
      </c>
      <c r="Q12" t="s">
        <v>37</v>
      </c>
      <c r="R12" t="str">
        <f>VLOOKUP(Q12,GDP!$A$2:$B$266,1,FALSE)</f>
        <v>BEL</v>
      </c>
      <c r="S12" t="str">
        <f>VLOOKUP(Q12,GDP!$A$2:$B$266,2,FALSE)</f>
        <v>Belgium</v>
      </c>
      <c r="T12">
        <f>VLOOKUP(Q12,GDP!$A$1:$L$266,4,FALSE)</f>
        <v>58529.330295753665</v>
      </c>
      <c r="U12" s="4">
        <v>58529.330295753702</v>
      </c>
      <c r="V12" s="5">
        <f>VLOOKUP(Q12,POP!$B$5:$M$269,4,FALSE)</f>
        <v>7330451</v>
      </c>
      <c r="W12" s="4">
        <v>7330451</v>
      </c>
      <c r="X12">
        <f>VLOOKUP(Q12,YU!$B$1:$M$266,4,FALSE)</f>
        <v>19.236000000000001</v>
      </c>
      <c r="Y12" s="4">
        <v>19.236000000000001</v>
      </c>
      <c r="Z12">
        <v>6.4491500854492196</v>
      </c>
      <c r="AA12">
        <f t="shared" si="0"/>
        <v>10.977283280151697</v>
      </c>
      <c r="AB12">
        <f t="shared" si="1"/>
        <v>0.45288657803926746</v>
      </c>
      <c r="AC12" s="4">
        <v>0.45288657803927462</v>
      </c>
      <c r="AD12">
        <v>-0.1043375081038711</v>
      </c>
      <c r="AE12">
        <v>3.9205940170940181</v>
      </c>
      <c r="AG12" s="12">
        <f t="shared" si="2"/>
        <v>0</v>
      </c>
      <c r="AH12" s="12">
        <f t="shared" si="3"/>
        <v>0</v>
      </c>
      <c r="AI12" s="13">
        <f t="shared" si="4"/>
        <v>0</v>
      </c>
      <c r="AJ12" s="14">
        <f t="shared" si="5"/>
        <v>2.6787315963650471E-2</v>
      </c>
    </row>
    <row r="13" spans="1:36" x14ac:dyDescent="0.2">
      <c r="A13">
        <v>2018</v>
      </c>
      <c r="B13" t="s">
        <v>35</v>
      </c>
      <c r="C13">
        <f>VLOOKUP(B13,Sheet5!$B$2:$C$2166,2,FALSE)</f>
        <v>1135</v>
      </c>
      <c r="D13">
        <v>1110</v>
      </c>
      <c r="E13">
        <v>670</v>
      </c>
      <c r="F13" t="s">
        <v>39</v>
      </c>
      <c r="G13">
        <v>5</v>
      </c>
      <c r="H13">
        <v>7.0121152943063798</v>
      </c>
      <c r="I13">
        <v>1</v>
      </c>
      <c r="J13">
        <v>1</v>
      </c>
      <c r="K13">
        <v>0</v>
      </c>
      <c r="L13">
        <v>-2</v>
      </c>
      <c r="M13" t="s">
        <v>25</v>
      </c>
      <c r="N13" t="s">
        <v>35</v>
      </c>
      <c r="O13">
        <v>1</v>
      </c>
      <c r="P13">
        <v>0</v>
      </c>
      <c r="Q13" t="s">
        <v>37</v>
      </c>
      <c r="R13" t="str">
        <f>VLOOKUP(Q13,GDP!$A$2:$B$266,1,FALSE)</f>
        <v>BEL</v>
      </c>
      <c r="S13" t="str">
        <f>VLOOKUP(Q13,GDP!$A$2:$B$266,2,FALSE)</f>
        <v>Belgium</v>
      </c>
      <c r="T13">
        <f>VLOOKUP(Q13,GDP!$A$1:$L$266,5,FALSE)</f>
        <v>59357.689688439612</v>
      </c>
      <c r="U13" s="4">
        <v>59357.689688439597</v>
      </c>
      <c r="V13" s="5">
        <f>VLOOKUP(Q13,POP!$B$5:$M$269,5,FALSE)</f>
        <v>7341283</v>
      </c>
      <c r="W13" s="4">
        <v>7341283</v>
      </c>
      <c r="X13">
        <f>VLOOKUP(Q13,YU!$B$1:$M$266,5,FALSE)</f>
        <v>15.747999999999999</v>
      </c>
      <c r="Y13" s="4">
        <v>15.747999999999999</v>
      </c>
      <c r="Z13">
        <v>6.3888301849365199</v>
      </c>
      <c r="AA13">
        <f t="shared" si="0"/>
        <v>10.991336956740847</v>
      </c>
      <c r="AB13">
        <f t="shared" si="1"/>
        <v>0.46694025462841715</v>
      </c>
      <c r="AC13" s="4">
        <v>0.46694025462842248</v>
      </c>
      <c r="AD13">
        <v>-0.10286092708514789</v>
      </c>
      <c r="AE13">
        <v>0.43259401709401679</v>
      </c>
      <c r="AG13" s="12">
        <f t="shared" si="2"/>
        <v>0</v>
      </c>
      <c r="AH13" s="12">
        <f t="shared" si="3"/>
        <v>0</v>
      </c>
      <c r="AI13" s="13">
        <f t="shared" si="4"/>
        <v>0</v>
      </c>
      <c r="AJ13" s="14">
        <f t="shared" si="5"/>
        <v>2.2272635609123625E-2</v>
      </c>
    </row>
    <row r="14" spans="1:36" x14ac:dyDescent="0.2">
      <c r="A14">
        <v>2019</v>
      </c>
      <c r="B14" t="s">
        <v>35</v>
      </c>
      <c r="C14">
        <f>VLOOKUP(B14,Sheet5!$B$2:$C$2166,2,FALSE)</f>
        <v>1135</v>
      </c>
      <c r="D14">
        <v>1055</v>
      </c>
      <c r="E14">
        <v>605</v>
      </c>
      <c r="F14" t="s">
        <v>27</v>
      </c>
      <c r="G14">
        <v>5</v>
      </c>
      <c r="H14">
        <v>6.9612960459101672</v>
      </c>
      <c r="I14">
        <v>1</v>
      </c>
      <c r="J14">
        <v>1</v>
      </c>
      <c r="K14">
        <v>0</v>
      </c>
      <c r="L14">
        <v>-1</v>
      </c>
      <c r="M14" t="s">
        <v>25</v>
      </c>
      <c r="N14" t="s">
        <v>35</v>
      </c>
      <c r="O14">
        <v>1</v>
      </c>
      <c r="P14">
        <v>0</v>
      </c>
      <c r="Q14" t="s">
        <v>37</v>
      </c>
      <c r="R14" t="str">
        <f>VLOOKUP(Q14,GDP!$A$2:$B$266,1,FALSE)</f>
        <v>BEL</v>
      </c>
      <c r="S14" t="str">
        <f>VLOOKUP(Q14,GDP!$A$2:$B$266,2,FALSE)</f>
        <v>Belgium</v>
      </c>
      <c r="T14">
        <f>VLOOKUP(Q14,GDP!$A$1:$L$266,6,FALSE)</f>
        <v>60479.976995546858</v>
      </c>
      <c r="U14" s="4">
        <v>60479.976995546902</v>
      </c>
      <c r="V14" s="5">
        <f>VLOOKUP(Q14,POP!$B$5:$M$269,6,FALSE)</f>
        <v>7362072</v>
      </c>
      <c r="W14" s="4">
        <v>7362072</v>
      </c>
      <c r="X14">
        <f>VLOOKUP(Q14,YU!$B$1:$M$266,6,FALSE)</f>
        <v>14.236000000000001</v>
      </c>
      <c r="Y14" s="4">
        <v>14.236000000000001</v>
      </c>
      <c r="Z14">
        <v>6.3238101005554199</v>
      </c>
      <c r="AA14">
        <f t="shared" si="0"/>
        <v>11.010067630488708</v>
      </c>
      <c r="AB14">
        <f t="shared" si="1"/>
        <v>0.4856709283762779</v>
      </c>
      <c r="AC14" s="4">
        <v>0.48567092837628317</v>
      </c>
      <c r="AD14">
        <v>-0.1000331352168153</v>
      </c>
      <c r="AE14">
        <v>-1.0794059829059821</v>
      </c>
      <c r="AG14" s="12">
        <f t="shared" si="2"/>
        <v>0</v>
      </c>
      <c r="AH14" s="12">
        <f t="shared" si="3"/>
        <v>0</v>
      </c>
      <c r="AI14" s="13">
        <f t="shared" si="4"/>
        <v>0</v>
      </c>
      <c r="AJ14" s="14">
        <f t="shared" si="5"/>
        <v>7.3091884005336283E-2</v>
      </c>
    </row>
    <row r="15" spans="1:36" x14ac:dyDescent="0.2">
      <c r="A15">
        <v>2020</v>
      </c>
      <c r="B15" t="s">
        <v>35</v>
      </c>
      <c r="C15">
        <f>VLOOKUP(B15,Sheet5!$B$2:$C$2166,2,FALSE)</f>
        <v>1135</v>
      </c>
      <c r="D15">
        <v>1025</v>
      </c>
      <c r="E15">
        <v>595</v>
      </c>
      <c r="F15" t="s">
        <v>40</v>
      </c>
      <c r="G15">
        <v>10</v>
      </c>
      <c r="H15">
        <v>6.932447891572509</v>
      </c>
      <c r="I15">
        <v>1</v>
      </c>
      <c r="J15">
        <v>1</v>
      </c>
      <c r="K15">
        <v>0</v>
      </c>
      <c r="L15">
        <v>0</v>
      </c>
      <c r="M15" t="s">
        <v>25</v>
      </c>
      <c r="N15" t="s">
        <v>35</v>
      </c>
      <c r="O15">
        <v>1</v>
      </c>
      <c r="P15">
        <v>0</v>
      </c>
      <c r="Q15" t="s">
        <v>37</v>
      </c>
      <c r="R15" t="str">
        <f>VLOOKUP(Q15,GDP!$A$2:$B$266,1,FALSE)</f>
        <v>BEL</v>
      </c>
      <c r="S15" t="str">
        <f>VLOOKUP(Q15,GDP!$A$2:$B$266,2,FALSE)</f>
        <v>Belgium</v>
      </c>
      <c r="T15">
        <f>VLOOKUP(Q15,GDP!$A$1:$L$266,7,FALSE)</f>
        <v>57333.542413792406</v>
      </c>
      <c r="U15" s="4">
        <v>57333.542413792398</v>
      </c>
      <c r="V15" s="5">
        <f>VLOOKUP(Q15,POP!$B$5:$M$269,7,FALSE)</f>
        <v>7381890</v>
      </c>
      <c r="W15" s="4">
        <v>7381890</v>
      </c>
      <c r="X15">
        <f>VLOOKUP(Q15,YU!$B$1:$M$266,7,FALSE)</f>
        <v>15.326000000000001</v>
      </c>
      <c r="Y15" s="4">
        <v>15.326000000000001</v>
      </c>
      <c r="Z15">
        <v>6.75470018386841</v>
      </c>
      <c r="AA15">
        <f t="shared" si="0"/>
        <v>10.956641113873024</v>
      </c>
      <c r="AB15">
        <f t="shared" si="1"/>
        <v>0.43224441176059436</v>
      </c>
      <c r="AC15" s="4">
        <v>0.43224441176059969</v>
      </c>
      <c r="AD15">
        <v>-9.7344846690946341E-2</v>
      </c>
      <c r="AE15">
        <v>1.0594017094017969E-2</v>
      </c>
      <c r="AG15" s="12">
        <f t="shared" si="2"/>
        <v>0</v>
      </c>
      <c r="AH15" s="12">
        <f t="shared" si="3"/>
        <v>0</v>
      </c>
      <c r="AI15" s="13">
        <f t="shared" si="4"/>
        <v>0</v>
      </c>
      <c r="AJ15" s="14">
        <f t="shared" si="5"/>
        <v>0.10194003834299448</v>
      </c>
    </row>
    <row r="16" spans="1:36" x14ac:dyDescent="0.2">
      <c r="A16">
        <v>2021</v>
      </c>
      <c r="B16" t="s">
        <v>35</v>
      </c>
      <c r="C16">
        <f>VLOOKUP(B16,Sheet5!$B$2:$C$2166,2,FALSE)</f>
        <v>1135</v>
      </c>
      <c r="D16">
        <v>725</v>
      </c>
      <c r="E16">
        <v>345</v>
      </c>
      <c r="F16" t="s">
        <v>41</v>
      </c>
      <c r="G16">
        <v>0</v>
      </c>
      <c r="H16">
        <v>6.5861716548546747</v>
      </c>
      <c r="I16">
        <v>1</v>
      </c>
      <c r="J16">
        <v>1</v>
      </c>
      <c r="K16">
        <v>1</v>
      </c>
      <c r="L16">
        <v>1</v>
      </c>
      <c r="M16" t="s">
        <v>25</v>
      </c>
      <c r="N16" t="s">
        <v>35</v>
      </c>
      <c r="O16">
        <v>1</v>
      </c>
      <c r="P16">
        <v>1</v>
      </c>
      <c r="Q16" t="s">
        <v>37</v>
      </c>
      <c r="R16" t="str">
        <f>VLOOKUP(Q16,GDP!$A$2:$B$266,1,FALSE)</f>
        <v>BEL</v>
      </c>
      <c r="S16" t="str">
        <f>VLOOKUP(Q16,GDP!$A$2:$B$266,2,FALSE)</f>
        <v>Belgium</v>
      </c>
      <c r="T16">
        <f>VLOOKUP(Q16,GDP!$A$1:$L$266,8,FALSE)</f>
        <v>60669.213774653363</v>
      </c>
      <c r="U16" s="4">
        <v>60669.213774653399</v>
      </c>
      <c r="V16" s="5">
        <f>VLOOKUP(Q16,POP!$B$5:$M$269,8,FALSE)</f>
        <v>7399545</v>
      </c>
      <c r="W16" s="4">
        <v>7399545</v>
      </c>
      <c r="X16">
        <f>VLOOKUP(Q16,YU!$B$1:$M$266,8,FALSE)</f>
        <v>18.206</v>
      </c>
      <c r="Y16" s="4">
        <v>18.206</v>
      </c>
      <c r="Z16">
        <v>6.38081979751587</v>
      </c>
      <c r="AA16">
        <f t="shared" si="0"/>
        <v>11.01319166180595</v>
      </c>
      <c r="AB16">
        <f t="shared" si="1"/>
        <v>0.48879495969351971</v>
      </c>
      <c r="AC16" s="4">
        <v>0.48879495969352499</v>
      </c>
      <c r="AD16">
        <v>-9.4956038243655172E-2</v>
      </c>
      <c r="AE16">
        <v>2.890594017094017</v>
      </c>
      <c r="AG16" s="12">
        <f t="shared" si="2"/>
        <v>0</v>
      </c>
      <c r="AH16" s="12">
        <f t="shared" si="3"/>
        <v>0</v>
      </c>
      <c r="AI16" s="13">
        <f t="shared" si="4"/>
        <v>0</v>
      </c>
      <c r="AJ16" s="14">
        <f t="shared" si="5"/>
        <v>0.44821627506082873</v>
      </c>
    </row>
    <row r="17" spans="1:36" x14ac:dyDescent="0.2">
      <c r="A17">
        <v>2022</v>
      </c>
      <c r="B17" t="s">
        <v>35</v>
      </c>
      <c r="C17">
        <f>VLOOKUP(B17,Sheet5!$B$2:$C$2166,2,FALSE)</f>
        <v>1135</v>
      </c>
      <c r="D17">
        <v>620</v>
      </c>
      <c r="E17">
        <v>305</v>
      </c>
      <c r="F17" t="s">
        <v>42</v>
      </c>
      <c r="G17">
        <v>5</v>
      </c>
      <c r="H17">
        <v>6.4297194780391376</v>
      </c>
      <c r="I17">
        <v>1</v>
      </c>
      <c r="J17">
        <v>1</v>
      </c>
      <c r="K17">
        <v>1</v>
      </c>
      <c r="L17">
        <v>2</v>
      </c>
      <c r="M17" t="s">
        <v>25</v>
      </c>
      <c r="N17" t="s">
        <v>35</v>
      </c>
      <c r="O17">
        <v>1</v>
      </c>
      <c r="P17">
        <v>1</v>
      </c>
      <c r="Q17" t="s">
        <v>37</v>
      </c>
      <c r="R17" t="str">
        <f>VLOOKUP(Q17,GDP!$A$2:$B$266,1,FALSE)</f>
        <v>BEL</v>
      </c>
      <c r="S17" t="str">
        <f>VLOOKUP(Q17,GDP!$A$2:$B$266,2,FALSE)</f>
        <v>Belgium</v>
      </c>
      <c r="T17">
        <f>VLOOKUP(Q17,GDP!$A$1:$L$266,9,FALSE)</f>
        <v>62602.927046976532</v>
      </c>
      <c r="U17" s="4">
        <v>62602.927046976503</v>
      </c>
      <c r="V17" s="5">
        <f>VLOOKUP(Q17,POP!$B$5:$M$269,9,FALSE)</f>
        <v>7440659</v>
      </c>
      <c r="W17" s="4">
        <v>7440659</v>
      </c>
      <c r="X17">
        <f>VLOOKUP(Q17,YU!$B$1:$M$266,9,FALSE)</f>
        <v>16.41</v>
      </c>
      <c r="Y17" s="4">
        <v>16.41</v>
      </c>
      <c r="Z17">
        <v>6.2761101722717303</v>
      </c>
      <c r="AA17">
        <f t="shared" si="0"/>
        <v>11.044567313933994</v>
      </c>
      <c r="AB17">
        <f t="shared" si="1"/>
        <v>0.52017061182156432</v>
      </c>
      <c r="AC17" s="4">
        <v>0.52017061182156965</v>
      </c>
      <c r="AD17">
        <v>-8.9415129885660249E-2</v>
      </c>
      <c r="AE17">
        <v>1.094594017094018</v>
      </c>
      <c r="AG17" s="12">
        <f t="shared" si="2"/>
        <v>0</v>
      </c>
      <c r="AH17" s="12">
        <f t="shared" si="3"/>
        <v>0</v>
      </c>
      <c r="AI17" s="13">
        <f t="shared" si="4"/>
        <v>0</v>
      </c>
      <c r="AJ17" s="14">
        <f t="shared" si="5"/>
        <v>0.60466845187636586</v>
      </c>
    </row>
    <row r="18" spans="1:36" x14ac:dyDescent="0.2">
      <c r="A18">
        <v>2023</v>
      </c>
      <c r="B18" t="s">
        <v>35</v>
      </c>
      <c r="C18">
        <f>VLOOKUP(B18,Sheet5!$B$2:$C$2166,2,FALSE)</f>
        <v>1135</v>
      </c>
      <c r="D18">
        <v>590</v>
      </c>
      <c r="E18">
        <v>295</v>
      </c>
      <c r="F18" t="s">
        <v>43</v>
      </c>
      <c r="G18">
        <v>5</v>
      </c>
      <c r="H18">
        <v>6.3801225368997647</v>
      </c>
      <c r="I18">
        <v>1</v>
      </c>
      <c r="J18">
        <v>1</v>
      </c>
      <c r="K18">
        <v>1</v>
      </c>
      <c r="L18">
        <v>3</v>
      </c>
      <c r="M18" t="s">
        <v>25</v>
      </c>
      <c r="N18" t="s">
        <v>35</v>
      </c>
      <c r="O18">
        <v>1</v>
      </c>
      <c r="P18">
        <v>1</v>
      </c>
      <c r="Q18" t="s">
        <v>37</v>
      </c>
      <c r="R18" t="str">
        <f>VLOOKUP(Q18,GDP!$A$2:$B$266,1,FALSE)</f>
        <v>BEL</v>
      </c>
      <c r="S18" t="str">
        <f>VLOOKUP(Q18,GDP!$A$2:$B$266,2,FALSE)</f>
        <v>Belgium</v>
      </c>
      <c r="T18">
        <f>VLOOKUP(Q18,GDP!$A$1:$L$266,10,FALSE)</f>
        <v>63042.009987630867</v>
      </c>
      <c r="U18" s="4">
        <v>63042.009987630903</v>
      </c>
      <c r="V18" s="5">
        <f>VLOOKUP(Q18,POP!$B$5:$M$269,10,FALSE)</f>
        <v>7487803</v>
      </c>
      <c r="W18" s="4">
        <v>7487803</v>
      </c>
      <c r="X18">
        <f>VLOOKUP(Q18,YU!$B$1:$M$266,10,FALSE)</f>
        <v>16.119</v>
      </c>
      <c r="Y18" s="4">
        <v>16.119</v>
      </c>
      <c r="AA18">
        <f t="shared" si="0"/>
        <v>11.051556608345022</v>
      </c>
      <c r="AB18">
        <f t="shared" si="1"/>
        <v>0.52715990623259223</v>
      </c>
      <c r="AC18" s="4">
        <v>0.52715990623259756</v>
      </c>
      <c r="AD18">
        <v>-8.3099120008395033E-2</v>
      </c>
      <c r="AE18">
        <v>0.80359401709401723</v>
      </c>
      <c r="AG18" s="12">
        <f t="shared" si="2"/>
        <v>0</v>
      </c>
      <c r="AH18" s="12">
        <f t="shared" si="3"/>
        <v>0</v>
      </c>
      <c r="AI18" s="13">
        <f t="shared" si="4"/>
        <v>0</v>
      </c>
      <c r="AJ18" s="14">
        <f t="shared" si="5"/>
        <v>0.65426539301573872</v>
      </c>
    </row>
    <row r="19" spans="1:36" x14ac:dyDescent="0.2">
      <c r="A19">
        <v>2024</v>
      </c>
      <c r="B19" t="s">
        <v>35</v>
      </c>
      <c r="C19">
        <f>VLOOKUP(B19,Sheet5!$B$2:$C$2166,2,FALSE)</f>
        <v>1135</v>
      </c>
      <c r="D19">
        <v>575</v>
      </c>
      <c r="E19">
        <v>285</v>
      </c>
      <c r="F19" t="s">
        <v>44</v>
      </c>
      <c r="G19">
        <v>5</v>
      </c>
      <c r="H19">
        <v>6.3543700407973507</v>
      </c>
      <c r="I19">
        <v>1</v>
      </c>
      <c r="J19">
        <v>1</v>
      </c>
      <c r="K19">
        <v>1</v>
      </c>
      <c r="L19">
        <v>4</v>
      </c>
      <c r="M19" t="s">
        <v>25</v>
      </c>
      <c r="N19" t="s">
        <v>35</v>
      </c>
      <c r="O19">
        <v>1</v>
      </c>
      <c r="P19">
        <v>1</v>
      </c>
      <c r="Q19" t="s">
        <v>37</v>
      </c>
      <c r="R19" t="str">
        <f>VLOOKUP(Q19,GDP!$A$2:$B$266,1,FALSE)</f>
        <v>BEL</v>
      </c>
      <c r="S19" t="str">
        <f>VLOOKUP(Q19,GDP!$A$2:$B$266,2,FALSE)</f>
        <v>Belgium</v>
      </c>
      <c r="T19">
        <f>VLOOKUP(Q19,GDP!$A$1:$L$266,11,FALSE)</f>
        <v>63311.276691717831</v>
      </c>
      <c r="U19" s="4">
        <v>63311.276691717801</v>
      </c>
      <c r="V19" s="5">
        <f>VLOOKUP(Q19,POP!$B$5:$M$269,11,FALSE)</f>
        <v>7523789</v>
      </c>
      <c r="W19" s="4">
        <v>7523789</v>
      </c>
      <c r="X19">
        <f>VLOOKUP(Q19,YU!$B$1:$M$266,11,FALSE)</f>
        <v>17.343</v>
      </c>
      <c r="Y19" s="4">
        <v>17.343</v>
      </c>
      <c r="AA19">
        <f t="shared" si="0"/>
        <v>11.055818739054605</v>
      </c>
      <c r="AB19">
        <f t="shared" si="1"/>
        <v>0.53142203694217471</v>
      </c>
      <c r="AC19" s="4">
        <v>0.53142203694217827</v>
      </c>
      <c r="AD19">
        <v>-7.8304682625200073E-2</v>
      </c>
      <c r="AE19">
        <v>2.027594017094017</v>
      </c>
      <c r="AG19" s="12">
        <f t="shared" si="2"/>
        <v>0</v>
      </c>
      <c r="AH19" s="12">
        <f t="shared" si="3"/>
        <v>0</v>
      </c>
      <c r="AI19" s="13">
        <f t="shared" si="4"/>
        <v>0</v>
      </c>
      <c r="AJ19" s="14">
        <f t="shared" si="5"/>
        <v>0.68001788911815275</v>
      </c>
    </row>
    <row r="20" spans="1:36" x14ac:dyDescent="0.2">
      <c r="A20">
        <v>2016</v>
      </c>
      <c r="B20" t="s">
        <v>45</v>
      </c>
      <c r="C20">
        <f>VLOOKUP(B20,Sheet5!$B$2:$C$2166,2,FALSE)</f>
        <v>2515</v>
      </c>
      <c r="D20">
        <v>2515</v>
      </c>
      <c r="E20">
        <v>1830</v>
      </c>
      <c r="F20" t="s">
        <v>46</v>
      </c>
      <c r="G20">
        <v>5</v>
      </c>
      <c r="H20">
        <v>7.8300280825338398</v>
      </c>
      <c r="I20">
        <v>1</v>
      </c>
      <c r="J20">
        <v>1</v>
      </c>
      <c r="K20">
        <v>0</v>
      </c>
      <c r="L20">
        <v>-4</v>
      </c>
      <c r="M20" t="s">
        <v>25</v>
      </c>
      <c r="N20" t="s">
        <v>45</v>
      </c>
      <c r="O20">
        <v>1</v>
      </c>
      <c r="P20">
        <v>0</v>
      </c>
      <c r="Q20" t="s">
        <v>47</v>
      </c>
      <c r="R20" t="str">
        <f>VLOOKUP(Q20,GDP!$A$2:$B$266,1,FALSE)</f>
        <v>BGR</v>
      </c>
      <c r="S20" t="str">
        <f>VLOOKUP(Q20,GDP!$A$2:$B$266,2,FALSE)</f>
        <v>Bulgaria</v>
      </c>
      <c r="T20">
        <f>VLOOKUP(Q20,GDP!$A$1:$C$266,3,FALSE)</f>
        <v>25636.744390347849</v>
      </c>
      <c r="U20" s="4">
        <v>25636.744390347802</v>
      </c>
      <c r="V20" s="5">
        <f>VLOOKUP(Q20,POP!$B$5:$M$269,3,FALSE)</f>
        <v>4508700</v>
      </c>
      <c r="W20" s="4">
        <v>4508700</v>
      </c>
      <c r="X20">
        <f>VLOOKUP(Q20,YU!$B$1:$D$266,3,FALSE)</f>
        <v>17.224</v>
      </c>
      <c r="Y20" s="4">
        <v>17.224</v>
      </c>
      <c r="Z20">
        <v>3.81435990333557</v>
      </c>
      <c r="AA20">
        <f t="shared" si="0"/>
        <v>10.151781929117355</v>
      </c>
      <c r="AB20">
        <f t="shared" si="1"/>
        <v>-0.37261477299507462</v>
      </c>
      <c r="AC20" s="4">
        <v>-0.37261477299507112</v>
      </c>
      <c r="AD20">
        <v>-0.59036568645089993</v>
      </c>
      <c r="AE20">
        <v>1.9085940170940181</v>
      </c>
      <c r="AG20" s="12">
        <f t="shared" si="2"/>
        <v>4.7293724492192268E-11</v>
      </c>
      <c r="AH20" s="12">
        <f t="shared" si="3"/>
        <v>0</v>
      </c>
      <c r="AI20" s="13">
        <f t="shared" si="4"/>
        <v>0</v>
      </c>
      <c r="AJ20" s="14">
        <f t="shared" si="5"/>
        <v>0</v>
      </c>
    </row>
    <row r="21" spans="1:36" x14ac:dyDescent="0.2">
      <c r="A21">
        <v>2017</v>
      </c>
      <c r="B21" t="s">
        <v>45</v>
      </c>
      <c r="C21">
        <f>VLOOKUP(B21,Sheet5!$B$2:$C$2166,2,FALSE)</f>
        <v>2515</v>
      </c>
      <c r="D21">
        <v>2265</v>
      </c>
      <c r="E21">
        <v>1625</v>
      </c>
      <c r="F21" t="s">
        <v>48</v>
      </c>
      <c r="G21">
        <v>5</v>
      </c>
      <c r="H21">
        <v>7.7253300379171348</v>
      </c>
      <c r="I21">
        <v>1</v>
      </c>
      <c r="J21">
        <v>1</v>
      </c>
      <c r="K21">
        <v>0</v>
      </c>
      <c r="L21">
        <v>-3</v>
      </c>
      <c r="M21" t="s">
        <v>25</v>
      </c>
      <c r="N21" t="s">
        <v>45</v>
      </c>
      <c r="O21">
        <v>1</v>
      </c>
      <c r="P21">
        <v>0</v>
      </c>
      <c r="Q21" t="s">
        <v>47</v>
      </c>
      <c r="R21" t="str">
        <f>VLOOKUP(Q21,GDP!$A$2:$B$266,1,FALSE)</f>
        <v>BGR</v>
      </c>
      <c r="S21" t="str">
        <f>VLOOKUP(Q21,GDP!$A$2:$B$266,2,FALSE)</f>
        <v>Bulgaria</v>
      </c>
      <c r="T21">
        <f>VLOOKUP(Q21,GDP!$A$1:$L$266,4,FALSE)</f>
        <v>26691.758001901977</v>
      </c>
      <c r="U21" s="4">
        <v>26691.758001901999</v>
      </c>
      <c r="V21" s="5">
        <f>VLOOKUP(Q21,POP!$B$5:$M$269,4,FALSE)</f>
        <v>4419454</v>
      </c>
      <c r="W21" s="4">
        <v>4419454</v>
      </c>
      <c r="X21">
        <f>VLOOKUP(Q21,YU!$B$1:$M$266,4,FALSE)</f>
        <v>12.927</v>
      </c>
      <c r="Y21" s="4">
        <v>12.927</v>
      </c>
      <c r="Z21">
        <v>4.0775499343872097</v>
      </c>
      <c r="AA21">
        <f t="shared" si="0"/>
        <v>10.192110107666721</v>
      </c>
      <c r="AB21">
        <f t="shared" si="1"/>
        <v>-0.33228659444570852</v>
      </c>
      <c r="AC21" s="4">
        <v>-0.33228659444570141</v>
      </c>
      <c r="AD21">
        <v>-0.61035839102946454</v>
      </c>
      <c r="AE21">
        <v>-2.3884059829059829</v>
      </c>
      <c r="AG21" s="12">
        <f t="shared" si="2"/>
        <v>0</v>
      </c>
      <c r="AH21" s="12">
        <f t="shared" si="3"/>
        <v>0</v>
      </c>
      <c r="AI21" s="13">
        <f t="shared" si="4"/>
        <v>0</v>
      </c>
      <c r="AJ21" s="14">
        <f t="shared" si="5"/>
        <v>0.10469804461670495</v>
      </c>
    </row>
    <row r="22" spans="1:36" x14ac:dyDescent="0.2">
      <c r="A22">
        <v>2018</v>
      </c>
      <c r="B22" t="s">
        <v>45</v>
      </c>
      <c r="C22">
        <f>VLOOKUP(B22,Sheet5!$B$2:$C$2166,2,FALSE)</f>
        <v>2515</v>
      </c>
      <c r="D22">
        <v>2265</v>
      </c>
      <c r="E22">
        <v>1650</v>
      </c>
      <c r="F22" t="s">
        <v>46</v>
      </c>
      <c r="G22">
        <v>5</v>
      </c>
      <c r="H22">
        <v>7.7253300379171348</v>
      </c>
      <c r="I22">
        <v>1</v>
      </c>
      <c r="J22">
        <v>1</v>
      </c>
      <c r="K22">
        <v>0</v>
      </c>
      <c r="L22">
        <v>-2</v>
      </c>
      <c r="M22" t="s">
        <v>25</v>
      </c>
      <c r="N22" t="s">
        <v>45</v>
      </c>
      <c r="O22">
        <v>1</v>
      </c>
      <c r="P22">
        <v>0</v>
      </c>
      <c r="Q22" t="s">
        <v>47</v>
      </c>
      <c r="R22" t="str">
        <f>VLOOKUP(Q22,GDP!$A$2:$B$266,1,FALSE)</f>
        <v>BGR</v>
      </c>
      <c r="S22" t="str">
        <f>VLOOKUP(Q22,GDP!$A$2:$B$266,2,FALSE)</f>
        <v>Bulgaria</v>
      </c>
      <c r="T22">
        <f>VLOOKUP(Q22,GDP!$A$1:$L$266,5,FALSE)</f>
        <v>27690.893655004991</v>
      </c>
      <c r="U22" s="4">
        <v>27690.893655004998</v>
      </c>
      <c r="V22" s="5">
        <f>VLOOKUP(Q22,POP!$B$5:$M$269,5,FALSE)</f>
        <v>4330344</v>
      </c>
      <c r="W22" s="4">
        <v>4330344</v>
      </c>
      <c r="X22">
        <f>VLOOKUP(Q22,YU!$B$1:$M$266,5,FALSE)</f>
        <v>12.676</v>
      </c>
      <c r="Y22" s="4">
        <v>12.676</v>
      </c>
      <c r="Z22">
        <v>4.0520100593566903</v>
      </c>
      <c r="AA22">
        <f t="shared" si="0"/>
        <v>10.228858889208871</v>
      </c>
      <c r="AB22">
        <f t="shared" si="1"/>
        <v>-0.29553781290355907</v>
      </c>
      <c r="AC22" s="4">
        <v>-0.29553781290355369</v>
      </c>
      <c r="AD22">
        <v>-0.63072756549068565</v>
      </c>
      <c r="AE22">
        <v>-2.6394059829059819</v>
      </c>
      <c r="AG22" s="12">
        <f t="shared" si="2"/>
        <v>0</v>
      </c>
      <c r="AH22" s="12">
        <f t="shared" si="3"/>
        <v>0</v>
      </c>
      <c r="AI22" s="13">
        <f t="shared" si="4"/>
        <v>0</v>
      </c>
      <c r="AJ22" s="14">
        <f t="shared" si="5"/>
        <v>0.10469804461670495</v>
      </c>
    </row>
    <row r="23" spans="1:36" x14ac:dyDescent="0.2">
      <c r="A23">
        <v>2019</v>
      </c>
      <c r="B23" t="s">
        <v>45</v>
      </c>
      <c r="C23">
        <f>VLOOKUP(B23,Sheet5!$B$2:$C$2166,2,FALSE)</f>
        <v>2515</v>
      </c>
      <c r="D23">
        <v>2120</v>
      </c>
      <c r="E23">
        <v>1495</v>
      </c>
      <c r="F23" t="s">
        <v>49</v>
      </c>
      <c r="G23">
        <v>5</v>
      </c>
      <c r="H23">
        <v>7.6591713676660582</v>
      </c>
      <c r="I23">
        <v>1</v>
      </c>
      <c r="J23">
        <v>1</v>
      </c>
      <c r="K23">
        <v>0</v>
      </c>
      <c r="L23">
        <v>-1</v>
      </c>
      <c r="M23" t="s">
        <v>25</v>
      </c>
      <c r="N23" t="s">
        <v>45</v>
      </c>
      <c r="O23">
        <v>1</v>
      </c>
      <c r="P23">
        <v>0</v>
      </c>
      <c r="Q23" t="s">
        <v>47</v>
      </c>
      <c r="R23" t="str">
        <f>VLOOKUP(Q23,GDP!$A$2:$B$266,1,FALSE)</f>
        <v>BGR</v>
      </c>
      <c r="S23" t="str">
        <f>VLOOKUP(Q23,GDP!$A$2:$B$266,2,FALSE)</f>
        <v>Bulgaria</v>
      </c>
      <c r="T23">
        <f>VLOOKUP(Q23,GDP!$A$1:$L$266,6,FALSE)</f>
        <v>29149.921509976022</v>
      </c>
      <c r="U23" s="4">
        <v>29149.921509976</v>
      </c>
      <c r="V23" s="5">
        <f>VLOOKUP(Q23,POP!$B$5:$M$269,6,FALSE)</f>
        <v>4243540</v>
      </c>
      <c r="W23" s="4">
        <v>4243540</v>
      </c>
      <c r="X23">
        <f>VLOOKUP(Q23,YU!$B$1:$M$266,6,FALSE)</f>
        <v>8.7769999999999992</v>
      </c>
      <c r="Y23" s="4">
        <v>8.7769999999999992</v>
      </c>
      <c r="Z23">
        <v>4.2143001556396502</v>
      </c>
      <c r="AA23">
        <f t="shared" si="0"/>
        <v>10.280207499149833</v>
      </c>
      <c r="AB23">
        <f t="shared" si="1"/>
        <v>-0.2441892029625965</v>
      </c>
      <c r="AC23" s="4">
        <v>-0.2441892029625912</v>
      </c>
      <c r="AD23">
        <v>-0.65097672351253522</v>
      </c>
      <c r="AE23">
        <v>-6.5384059829059833</v>
      </c>
      <c r="AG23" s="12">
        <f t="shared" si="2"/>
        <v>0</v>
      </c>
      <c r="AH23" s="12">
        <f t="shared" si="3"/>
        <v>0</v>
      </c>
      <c r="AI23" s="13">
        <f t="shared" si="4"/>
        <v>0</v>
      </c>
      <c r="AJ23" s="14">
        <f t="shared" si="5"/>
        <v>0.17085671486778153</v>
      </c>
    </row>
    <row r="24" spans="1:36" x14ac:dyDescent="0.2">
      <c r="A24">
        <v>2020</v>
      </c>
      <c r="B24" t="s">
        <v>45</v>
      </c>
      <c r="C24">
        <f>VLOOKUP(B24,Sheet5!$B$2:$C$2166,2,FALSE)</f>
        <v>2515</v>
      </c>
      <c r="D24">
        <v>1935</v>
      </c>
      <c r="E24">
        <v>1350</v>
      </c>
      <c r="F24" t="s">
        <v>50</v>
      </c>
      <c r="G24">
        <v>5</v>
      </c>
      <c r="H24">
        <v>7.5678626054638816</v>
      </c>
      <c r="I24">
        <v>1</v>
      </c>
      <c r="J24">
        <v>1</v>
      </c>
      <c r="K24">
        <v>0</v>
      </c>
      <c r="L24">
        <v>0</v>
      </c>
      <c r="M24" t="s">
        <v>25</v>
      </c>
      <c r="N24" t="s">
        <v>45</v>
      </c>
      <c r="O24">
        <v>1</v>
      </c>
      <c r="P24">
        <v>0</v>
      </c>
      <c r="Q24" t="s">
        <v>47</v>
      </c>
      <c r="R24" t="str">
        <f>VLOOKUP(Q24,GDP!$A$2:$B$266,1,FALSE)</f>
        <v>BGR</v>
      </c>
      <c r="S24" t="str">
        <f>VLOOKUP(Q24,GDP!$A$2:$B$266,2,FALSE)</f>
        <v>Bulgaria</v>
      </c>
      <c r="T24">
        <f>VLOOKUP(Q24,GDP!$A$1:$L$266,7,FALSE)</f>
        <v>28521.206248259619</v>
      </c>
      <c r="U24" s="4">
        <v>28521.206248259601</v>
      </c>
      <c r="V24" s="5">
        <f>VLOOKUP(Q24,POP!$B$5:$M$269,7,FALSE)</f>
        <v>4184680</v>
      </c>
      <c r="W24" s="4">
        <v>4184680</v>
      </c>
      <c r="X24">
        <f>VLOOKUP(Q24,YU!$B$1:$M$266,7,FALSE)</f>
        <v>14.143000000000001</v>
      </c>
      <c r="Y24" s="4">
        <v>14.143000000000001</v>
      </c>
      <c r="Z24">
        <v>4.4829897880554199</v>
      </c>
      <c r="AA24">
        <f t="shared" si="0"/>
        <v>10.258403168453594</v>
      </c>
      <c r="AB24">
        <f t="shared" si="1"/>
        <v>-0.26599353365883616</v>
      </c>
      <c r="AC24" s="4">
        <v>-0.26599353365883083</v>
      </c>
      <c r="AD24">
        <v>-0.66494431261930487</v>
      </c>
      <c r="AE24">
        <v>-1.1724059829059821</v>
      </c>
      <c r="AG24" s="12">
        <f t="shared" si="2"/>
        <v>0</v>
      </c>
      <c r="AH24" s="12">
        <f t="shared" si="3"/>
        <v>0</v>
      </c>
      <c r="AI24" s="13">
        <f t="shared" si="4"/>
        <v>0</v>
      </c>
      <c r="AJ24" s="14">
        <f t="shared" si="5"/>
        <v>0.26216547706995819</v>
      </c>
    </row>
    <row r="25" spans="1:36" x14ac:dyDescent="0.2">
      <c r="A25">
        <v>2021</v>
      </c>
      <c r="B25" t="s">
        <v>45</v>
      </c>
      <c r="C25">
        <f>VLOOKUP(B25,Sheet5!$B$2:$C$2166,2,FALSE)</f>
        <v>2515</v>
      </c>
      <c r="D25">
        <v>525</v>
      </c>
      <c r="E25">
        <v>255</v>
      </c>
      <c r="F25" t="s">
        <v>51</v>
      </c>
      <c r="G25">
        <v>0</v>
      </c>
      <c r="H25">
        <v>6.2633982625916236</v>
      </c>
      <c r="I25">
        <v>1</v>
      </c>
      <c r="J25">
        <v>1</v>
      </c>
      <c r="K25">
        <v>1</v>
      </c>
      <c r="L25">
        <v>1</v>
      </c>
      <c r="M25" t="s">
        <v>25</v>
      </c>
      <c r="N25" t="s">
        <v>45</v>
      </c>
      <c r="O25">
        <v>1</v>
      </c>
      <c r="P25">
        <v>1</v>
      </c>
      <c r="Q25" t="s">
        <v>47</v>
      </c>
      <c r="R25" t="str">
        <f>VLOOKUP(Q25,GDP!$A$2:$B$266,1,FALSE)</f>
        <v>BGR</v>
      </c>
      <c r="S25" t="str">
        <f>VLOOKUP(Q25,GDP!$A$2:$B$266,2,FALSE)</f>
        <v>Bulgaria</v>
      </c>
      <c r="T25">
        <f>VLOOKUP(Q25,GDP!$A$1:$L$266,8,FALSE)</f>
        <v>30958.983023833225</v>
      </c>
      <c r="U25" s="4">
        <v>30958.9830238332</v>
      </c>
      <c r="V25" s="5">
        <f>VLOOKUP(Q25,POP!$B$5:$M$269,8,FALSE)</f>
        <v>4152537</v>
      </c>
      <c r="W25" s="4">
        <v>4152537</v>
      </c>
      <c r="X25">
        <f>VLOOKUP(Q25,YU!$B$1:$M$266,8,FALSE)</f>
        <v>15.701000000000001</v>
      </c>
      <c r="Y25" s="4">
        <v>15.701000000000001</v>
      </c>
      <c r="Z25">
        <v>4.7092399597168004</v>
      </c>
      <c r="AA25">
        <f t="shared" si="0"/>
        <v>10.340418479096751</v>
      </c>
      <c r="AB25">
        <f t="shared" si="1"/>
        <v>-0.18397822301567857</v>
      </c>
      <c r="AC25" s="4">
        <v>-0.18397822301567321</v>
      </c>
      <c r="AD25">
        <v>-0.67265507731630159</v>
      </c>
      <c r="AE25">
        <v>0.38559401709401803</v>
      </c>
      <c r="AG25" s="12">
        <f t="shared" si="2"/>
        <v>0</v>
      </c>
      <c r="AH25" s="12">
        <f t="shared" si="3"/>
        <v>0</v>
      </c>
      <c r="AI25" s="13">
        <f t="shared" si="4"/>
        <v>0</v>
      </c>
      <c r="AJ25" s="14">
        <f t="shared" si="5"/>
        <v>1.5666298199422162</v>
      </c>
    </row>
    <row r="26" spans="1:36" x14ac:dyDescent="0.2">
      <c r="A26">
        <v>2022</v>
      </c>
      <c r="B26" t="s">
        <v>45</v>
      </c>
      <c r="C26">
        <f>VLOOKUP(B26,Sheet5!$B$2:$C$2166,2,FALSE)</f>
        <v>2515</v>
      </c>
      <c r="D26">
        <v>305</v>
      </c>
      <c r="E26">
        <v>150</v>
      </c>
      <c r="F26" t="s">
        <v>52</v>
      </c>
      <c r="G26">
        <v>0</v>
      </c>
      <c r="H26">
        <v>5.7203117766074119</v>
      </c>
      <c r="I26">
        <v>1</v>
      </c>
      <c r="J26">
        <v>1</v>
      </c>
      <c r="K26">
        <v>1</v>
      </c>
      <c r="L26">
        <v>2</v>
      </c>
      <c r="M26" t="s">
        <v>25</v>
      </c>
      <c r="N26" t="s">
        <v>45</v>
      </c>
      <c r="O26">
        <v>1</v>
      </c>
      <c r="P26">
        <v>1</v>
      </c>
      <c r="Q26" t="s">
        <v>47</v>
      </c>
      <c r="R26" t="str">
        <f>VLOOKUP(Q26,GDP!$A$2:$B$266,1,FALSE)</f>
        <v>BGR</v>
      </c>
      <c r="S26" t="str">
        <f>VLOOKUP(Q26,GDP!$A$2:$B$266,2,FALSE)</f>
        <v>Bulgaria</v>
      </c>
      <c r="T26">
        <f>VLOOKUP(Q26,GDP!$A$1:$L$266,9,FALSE)</f>
        <v>32433.658756962646</v>
      </c>
      <c r="U26" s="4">
        <v>32433.658756962599</v>
      </c>
      <c r="V26" s="5">
        <f>VLOOKUP(Q26,POP!$B$5:$M$269,9,FALSE)</f>
        <v>4122370</v>
      </c>
      <c r="W26" s="4">
        <v>4122370</v>
      </c>
      <c r="X26">
        <f>VLOOKUP(Q26,YU!$B$1:$M$266,9,FALSE)</f>
        <v>10.582000000000001</v>
      </c>
      <c r="Y26" s="4">
        <v>10.582000000000001</v>
      </c>
      <c r="Z26">
        <v>4.5010900497436497</v>
      </c>
      <c r="AA26">
        <f t="shared" si="0"/>
        <v>10.386952013072175</v>
      </c>
      <c r="AB26">
        <f t="shared" si="1"/>
        <v>-0.13744468904025453</v>
      </c>
      <c r="AC26" s="4">
        <v>-0.1374446890402492</v>
      </c>
      <c r="AD26">
        <v>-0.67994630938570921</v>
      </c>
      <c r="AE26">
        <v>-4.7334059829059818</v>
      </c>
      <c r="AG26" s="12">
        <f t="shared" si="2"/>
        <v>4.7293724492192268E-11</v>
      </c>
      <c r="AH26" s="12">
        <f t="shared" si="3"/>
        <v>0</v>
      </c>
      <c r="AI26" s="13">
        <f t="shared" si="4"/>
        <v>0</v>
      </c>
      <c r="AJ26" s="14">
        <f t="shared" si="5"/>
        <v>2.1097163059264279</v>
      </c>
    </row>
    <row r="27" spans="1:36" x14ac:dyDescent="0.2">
      <c r="A27">
        <v>2023</v>
      </c>
      <c r="B27" t="s">
        <v>45</v>
      </c>
      <c r="C27">
        <f>VLOOKUP(B27,Sheet5!$B$2:$C$2166,2,FALSE)</f>
        <v>2515</v>
      </c>
      <c r="D27">
        <v>335</v>
      </c>
      <c r="E27">
        <v>150</v>
      </c>
      <c r="F27" t="s">
        <v>53</v>
      </c>
      <c r="G27">
        <v>0</v>
      </c>
      <c r="H27">
        <v>5.8141305318250662</v>
      </c>
      <c r="I27">
        <v>1</v>
      </c>
      <c r="J27">
        <v>1</v>
      </c>
      <c r="K27">
        <v>1</v>
      </c>
      <c r="L27">
        <v>3</v>
      </c>
      <c r="M27" t="s">
        <v>25</v>
      </c>
      <c r="N27" t="s">
        <v>45</v>
      </c>
      <c r="O27">
        <v>1</v>
      </c>
      <c r="P27">
        <v>1</v>
      </c>
      <c r="Q27" t="s">
        <v>47</v>
      </c>
      <c r="R27" t="str">
        <f>VLOOKUP(Q27,GDP!$A$2:$B$266,1,FALSE)</f>
        <v>BGR</v>
      </c>
      <c r="S27" t="str">
        <f>VLOOKUP(Q27,GDP!$A$2:$B$266,2,FALSE)</f>
        <v>Bulgaria</v>
      </c>
      <c r="T27">
        <f>VLOOKUP(Q27,GDP!$A$1:$L$266,10,FALSE)</f>
        <v>33073.680309345327</v>
      </c>
      <c r="U27" s="4">
        <v>33073.680309345298</v>
      </c>
      <c r="V27" s="5">
        <f>VLOOKUP(Q27,POP!$B$5:$M$269,10,FALSE)</f>
        <v>4101928</v>
      </c>
      <c r="W27" s="4">
        <v>4101928</v>
      </c>
      <c r="X27">
        <f>VLOOKUP(Q27,YU!$B$1:$M$266,10,FALSE)</f>
        <v>12.048999999999999</v>
      </c>
      <c r="Y27" s="4">
        <v>12.048999999999999</v>
      </c>
      <c r="AA27">
        <f t="shared" si="0"/>
        <v>10.406493088242925</v>
      </c>
      <c r="AB27">
        <f t="shared" si="1"/>
        <v>-0.11790361386950465</v>
      </c>
      <c r="AC27" s="4">
        <v>-0.1179036138695011</v>
      </c>
      <c r="AD27">
        <v>-0.68491744299423551</v>
      </c>
      <c r="AE27">
        <v>-3.2664059829059831</v>
      </c>
      <c r="AG27" s="12">
        <f t="shared" si="2"/>
        <v>0</v>
      </c>
      <c r="AH27" s="12">
        <f t="shared" si="3"/>
        <v>0</v>
      </c>
      <c r="AI27" s="13">
        <f t="shared" si="4"/>
        <v>0</v>
      </c>
      <c r="AJ27" s="14">
        <f t="shared" si="5"/>
        <v>2.0158975507087735</v>
      </c>
    </row>
    <row r="28" spans="1:36" x14ac:dyDescent="0.2">
      <c r="A28">
        <v>2024</v>
      </c>
      <c r="B28" t="s">
        <v>45</v>
      </c>
      <c r="C28">
        <f>VLOOKUP(B28,Sheet5!$B$2:$C$2166,2,FALSE)</f>
        <v>2515</v>
      </c>
      <c r="D28">
        <v>300</v>
      </c>
      <c r="E28">
        <v>150</v>
      </c>
      <c r="F28" t="s">
        <v>54</v>
      </c>
      <c r="G28">
        <v>0</v>
      </c>
      <c r="H28">
        <v>5.7037824746562009</v>
      </c>
      <c r="I28">
        <v>1</v>
      </c>
      <c r="J28">
        <v>1</v>
      </c>
      <c r="K28">
        <v>1</v>
      </c>
      <c r="L28">
        <v>4</v>
      </c>
      <c r="M28" t="s">
        <v>25</v>
      </c>
      <c r="N28" t="s">
        <v>45</v>
      </c>
      <c r="O28">
        <v>1</v>
      </c>
      <c r="P28">
        <v>1</v>
      </c>
      <c r="Q28" t="s">
        <v>47</v>
      </c>
      <c r="R28" t="str">
        <f>VLOOKUP(Q28,GDP!$A$2:$B$266,1,FALSE)</f>
        <v>BGR</v>
      </c>
      <c r="S28" t="str">
        <f>VLOOKUP(Q28,GDP!$A$2:$B$266,2,FALSE)</f>
        <v>Bulgaria</v>
      </c>
      <c r="T28">
        <f>VLOOKUP(Q28,GDP!$A$1:$L$266,11,FALSE)</f>
        <v>34221.38669403625</v>
      </c>
      <c r="U28" s="4">
        <v>34221.386694036199</v>
      </c>
      <c r="V28" s="5">
        <f>VLOOKUP(Q28,POP!$B$5:$M$269,11,FALSE)</f>
        <v>4089993</v>
      </c>
      <c r="W28" s="4">
        <v>4089993</v>
      </c>
      <c r="X28">
        <f>VLOOKUP(Q28,YU!$B$1:$M$266,11,FALSE)</f>
        <v>12.493</v>
      </c>
      <c r="Y28" s="4">
        <v>12.493</v>
      </c>
      <c r="AA28">
        <f t="shared" si="0"/>
        <v>10.440606069536791</v>
      </c>
      <c r="AB28">
        <f t="shared" si="1"/>
        <v>-8.3790632575638568E-2</v>
      </c>
      <c r="AC28" s="4">
        <v>-8.3790632575635016E-2</v>
      </c>
      <c r="AD28">
        <v>-0.68783129151511879</v>
      </c>
      <c r="AE28">
        <v>-2.8224059829059822</v>
      </c>
      <c r="AG28" s="12">
        <f t="shared" si="2"/>
        <v>0</v>
      </c>
      <c r="AH28" s="12">
        <f t="shared" si="3"/>
        <v>0</v>
      </c>
      <c r="AI28" s="13">
        <f t="shared" si="4"/>
        <v>0</v>
      </c>
      <c r="AJ28" s="14">
        <f t="shared" si="5"/>
        <v>2.1262456078776388</v>
      </c>
    </row>
    <row r="29" spans="1:36" x14ac:dyDescent="0.2">
      <c r="A29">
        <v>2016</v>
      </c>
      <c r="B29" t="s">
        <v>55</v>
      </c>
      <c r="C29">
        <f>VLOOKUP(B29,Sheet5!$B$2:$C$2166,2,FALSE)</f>
        <v>520</v>
      </c>
      <c r="D29">
        <v>520</v>
      </c>
      <c r="E29">
        <v>285</v>
      </c>
      <c r="F29" t="s">
        <v>56</v>
      </c>
      <c r="G29">
        <v>0</v>
      </c>
      <c r="H29">
        <v>6.253828811575473</v>
      </c>
      <c r="I29">
        <v>1</v>
      </c>
      <c r="J29">
        <v>1</v>
      </c>
      <c r="K29">
        <v>0</v>
      </c>
      <c r="L29">
        <v>-4</v>
      </c>
      <c r="M29" t="s">
        <v>25</v>
      </c>
      <c r="N29" t="s">
        <v>55</v>
      </c>
      <c r="O29">
        <v>1</v>
      </c>
      <c r="P29">
        <v>0</v>
      </c>
      <c r="Q29" t="s">
        <v>57</v>
      </c>
      <c r="R29" t="str">
        <f>VLOOKUP(Q29,GDP!$A$2:$B$266,1,FALSE)</f>
        <v>DNK</v>
      </c>
      <c r="S29" t="str">
        <f>VLOOKUP(Q29,GDP!$A$2:$B$266,2,FALSE)</f>
        <v>Denmark</v>
      </c>
      <c r="T29">
        <f>VLOOKUP(Q29,GDP!$A$1:$C$266,3,FALSE)</f>
        <v>63468.988824681372</v>
      </c>
      <c r="U29" s="4">
        <v>63468.988824681401</v>
      </c>
      <c r="V29" s="5">
        <f>VLOOKUP(Q29,POP!$B$5:$M$269,3,FALSE)</f>
        <v>3682112</v>
      </c>
      <c r="W29" s="4">
        <v>3682112</v>
      </c>
      <c r="X29">
        <f>VLOOKUP(Q29,YU!$B$1:$D$266,3,FALSE)</f>
        <v>12.147</v>
      </c>
      <c r="Y29" s="4">
        <v>12.147</v>
      </c>
      <c r="Z29">
        <v>7.7153401374816903</v>
      </c>
      <c r="AA29">
        <f t="shared" si="0"/>
        <v>11.058306700626126</v>
      </c>
      <c r="AB29">
        <f t="shared" si="1"/>
        <v>0.53390999851369614</v>
      </c>
      <c r="AC29" s="4">
        <v>0.53390999851370147</v>
      </c>
      <c r="AD29">
        <v>-0.79288804947771041</v>
      </c>
      <c r="AE29">
        <v>-3.1684059829059819</v>
      </c>
      <c r="AG29" s="12">
        <f t="shared" si="2"/>
        <v>0</v>
      </c>
      <c r="AH29" s="12">
        <f t="shared" si="3"/>
        <v>0</v>
      </c>
      <c r="AI29" s="13">
        <f t="shared" si="4"/>
        <v>0</v>
      </c>
      <c r="AJ29" s="14">
        <f t="shared" si="5"/>
        <v>0</v>
      </c>
    </row>
    <row r="30" spans="1:36" x14ac:dyDescent="0.2">
      <c r="A30">
        <v>2017</v>
      </c>
      <c r="B30" t="s">
        <v>55</v>
      </c>
      <c r="C30">
        <f>VLOOKUP(B30,Sheet5!$B$2:$C$2166,2,FALSE)</f>
        <v>520</v>
      </c>
      <c r="D30">
        <v>545</v>
      </c>
      <c r="E30">
        <v>275</v>
      </c>
      <c r="F30" t="s">
        <v>58</v>
      </c>
      <c r="G30">
        <v>0</v>
      </c>
      <c r="H30">
        <v>6.300785794663244</v>
      </c>
      <c r="I30">
        <v>1</v>
      </c>
      <c r="J30">
        <v>1</v>
      </c>
      <c r="K30">
        <v>0</v>
      </c>
      <c r="L30">
        <v>-3</v>
      </c>
      <c r="M30" t="s">
        <v>25</v>
      </c>
      <c r="N30" t="s">
        <v>55</v>
      </c>
      <c r="O30">
        <v>1</v>
      </c>
      <c r="P30">
        <v>0</v>
      </c>
      <c r="Q30" t="s">
        <v>57</v>
      </c>
      <c r="R30" t="str">
        <f>VLOOKUP(Q30,GDP!$A$2:$B$266,1,FALSE)</f>
        <v>DNK</v>
      </c>
      <c r="S30" t="str">
        <f>VLOOKUP(Q30,GDP!$A$2:$B$266,2,FALSE)</f>
        <v>Denmark</v>
      </c>
      <c r="T30">
        <f>VLOOKUP(Q30,GDP!$A$1:$L$266,4,FALSE)</f>
        <v>64989.445987234663</v>
      </c>
      <c r="U30" s="4">
        <v>64989.4459872347</v>
      </c>
      <c r="V30" s="5">
        <f>VLOOKUP(Q30,POP!$B$5:$M$269,4,FALSE)</f>
        <v>3698112</v>
      </c>
      <c r="W30" s="4">
        <v>3698112</v>
      </c>
      <c r="X30">
        <f>VLOOKUP(Q30,YU!$B$1:$M$266,4,FALSE)</f>
        <v>12.384</v>
      </c>
      <c r="Y30" s="4">
        <v>12.384</v>
      </c>
      <c r="Z30">
        <v>7.3700098991393999</v>
      </c>
      <c r="AA30">
        <f t="shared" si="0"/>
        <v>11.081980166267273</v>
      </c>
      <c r="AB30">
        <f t="shared" si="1"/>
        <v>0.55758346415484361</v>
      </c>
      <c r="AC30" s="4">
        <v>0.55758346415484894</v>
      </c>
      <c r="AD30">
        <v>-0.78855213092919207</v>
      </c>
      <c r="AE30">
        <v>-2.9314059829059822</v>
      </c>
      <c r="AG30" s="12">
        <f t="shared" si="2"/>
        <v>0</v>
      </c>
      <c r="AH30" s="12">
        <f t="shared" si="3"/>
        <v>0</v>
      </c>
      <c r="AI30" s="13">
        <f t="shared" si="4"/>
        <v>0</v>
      </c>
      <c r="AJ30" s="14">
        <f t="shared" si="5"/>
        <v>-4.6956983087770965E-2</v>
      </c>
    </row>
    <row r="31" spans="1:36" x14ac:dyDescent="0.2">
      <c r="A31">
        <v>2018</v>
      </c>
      <c r="B31" t="s">
        <v>55</v>
      </c>
      <c r="C31">
        <f>VLOOKUP(B31,Sheet5!$B$2:$C$2166,2,FALSE)</f>
        <v>520</v>
      </c>
      <c r="D31">
        <v>550</v>
      </c>
      <c r="E31">
        <v>285</v>
      </c>
      <c r="F31" t="s">
        <v>59</v>
      </c>
      <c r="G31">
        <v>0</v>
      </c>
      <c r="H31">
        <v>6.3099182782265162</v>
      </c>
      <c r="I31">
        <v>1</v>
      </c>
      <c r="J31">
        <v>1</v>
      </c>
      <c r="K31">
        <v>0</v>
      </c>
      <c r="L31">
        <v>-2</v>
      </c>
      <c r="M31" t="s">
        <v>25</v>
      </c>
      <c r="N31" t="s">
        <v>55</v>
      </c>
      <c r="O31">
        <v>1</v>
      </c>
      <c r="P31">
        <v>0</v>
      </c>
      <c r="Q31" t="s">
        <v>57</v>
      </c>
      <c r="R31" t="str">
        <f>VLOOKUP(Q31,GDP!$A$2:$B$266,1,FALSE)</f>
        <v>DNK</v>
      </c>
      <c r="S31" t="str">
        <f>VLOOKUP(Q31,GDP!$A$2:$B$266,2,FALSE)</f>
        <v>Denmark</v>
      </c>
      <c r="T31">
        <f>VLOOKUP(Q31,GDP!$A$1:$L$266,5,FALSE)</f>
        <v>65870.830255434121</v>
      </c>
      <c r="U31" s="4">
        <v>65870.830255434106</v>
      </c>
      <c r="V31" s="5">
        <f>VLOOKUP(Q31,POP!$B$5:$M$269,5,FALSE)</f>
        <v>3708367</v>
      </c>
      <c r="W31" s="4">
        <v>3708367</v>
      </c>
      <c r="X31">
        <f>VLOOKUP(Q31,YU!$B$1:$M$266,5,FALSE)</f>
        <v>10.52</v>
      </c>
      <c r="Y31" s="4">
        <v>10.52</v>
      </c>
      <c r="Z31">
        <v>7.3274798393249503</v>
      </c>
      <c r="AA31">
        <f t="shared" si="0"/>
        <v>11.095450986010048</v>
      </c>
      <c r="AB31">
        <f t="shared" si="1"/>
        <v>0.57105428389761848</v>
      </c>
      <c r="AC31" s="4">
        <v>0.5710542838976238</v>
      </c>
      <c r="AD31">
        <v>-0.78578293208225247</v>
      </c>
      <c r="AE31">
        <v>-4.795405982905983</v>
      </c>
      <c r="AG31" s="12">
        <f t="shared" si="2"/>
        <v>0</v>
      </c>
      <c r="AH31" s="12">
        <f t="shared" si="3"/>
        <v>0</v>
      </c>
      <c r="AI31" s="13">
        <f t="shared" si="4"/>
        <v>0</v>
      </c>
      <c r="AJ31" s="14">
        <f t="shared" si="5"/>
        <v>-5.6089466651043196E-2</v>
      </c>
    </row>
    <row r="32" spans="1:36" x14ac:dyDescent="0.2">
      <c r="A32">
        <v>2019</v>
      </c>
      <c r="B32" t="s">
        <v>55</v>
      </c>
      <c r="C32">
        <f>VLOOKUP(B32,Sheet5!$B$2:$C$2166,2,FALSE)</f>
        <v>520</v>
      </c>
      <c r="D32">
        <v>530</v>
      </c>
      <c r="E32">
        <v>285</v>
      </c>
      <c r="F32" t="s">
        <v>28</v>
      </c>
      <c r="G32">
        <v>0</v>
      </c>
      <c r="H32">
        <v>6.2728770065461674</v>
      </c>
      <c r="I32">
        <v>1</v>
      </c>
      <c r="J32">
        <v>1</v>
      </c>
      <c r="K32">
        <v>0</v>
      </c>
      <c r="L32">
        <v>-1</v>
      </c>
      <c r="M32" t="s">
        <v>25</v>
      </c>
      <c r="N32" t="s">
        <v>55</v>
      </c>
      <c r="O32">
        <v>1</v>
      </c>
      <c r="P32">
        <v>0</v>
      </c>
      <c r="Q32" t="s">
        <v>57</v>
      </c>
      <c r="R32" t="str">
        <f>VLOOKUP(Q32,GDP!$A$2:$B$266,1,FALSE)</f>
        <v>DNK</v>
      </c>
      <c r="S32" t="str">
        <f>VLOOKUP(Q32,GDP!$A$2:$B$266,2,FALSE)</f>
        <v>Denmark</v>
      </c>
      <c r="T32">
        <f>VLOOKUP(Q32,GDP!$A$1:$L$266,6,FALSE)</f>
        <v>66758.632334613067</v>
      </c>
      <c r="U32" s="4">
        <v>66758.632334613096</v>
      </c>
      <c r="V32" s="5">
        <f>VLOOKUP(Q32,POP!$B$5:$M$269,6,FALSE)</f>
        <v>3712914</v>
      </c>
      <c r="W32" s="4">
        <v>3712914</v>
      </c>
      <c r="X32">
        <f>VLOOKUP(Q32,YU!$B$1:$M$266,6,FALSE)</f>
        <v>10.041</v>
      </c>
      <c r="Y32" s="4">
        <v>10.041</v>
      </c>
      <c r="Z32">
        <v>7.2758598327636701</v>
      </c>
      <c r="AA32">
        <f t="shared" si="0"/>
        <v>11.10883889126594</v>
      </c>
      <c r="AB32">
        <f t="shared" si="1"/>
        <v>0.58444218915350987</v>
      </c>
      <c r="AC32" s="4">
        <v>0.58444218915351698</v>
      </c>
      <c r="AD32">
        <v>-0.78455753701394038</v>
      </c>
      <c r="AE32">
        <v>-5.2744059829059822</v>
      </c>
      <c r="AG32" s="12">
        <f t="shared" si="2"/>
        <v>0</v>
      </c>
      <c r="AH32" s="12">
        <f t="shared" si="3"/>
        <v>0</v>
      </c>
      <c r="AI32" s="13">
        <f t="shared" si="4"/>
        <v>0</v>
      </c>
      <c r="AJ32" s="14">
        <f t="shared" si="5"/>
        <v>-1.9048194970694432E-2</v>
      </c>
    </row>
    <row r="33" spans="1:36" x14ac:dyDescent="0.2">
      <c r="A33">
        <v>2020</v>
      </c>
      <c r="B33" t="s">
        <v>55</v>
      </c>
      <c r="C33">
        <f>VLOOKUP(B33,Sheet5!$B$2:$C$2166,2,FALSE)</f>
        <v>520</v>
      </c>
      <c r="D33">
        <v>470</v>
      </c>
      <c r="E33">
        <v>250</v>
      </c>
      <c r="F33" t="s">
        <v>60</v>
      </c>
      <c r="G33">
        <v>0</v>
      </c>
      <c r="H33">
        <v>6.1527326947041043</v>
      </c>
      <c r="I33">
        <v>1</v>
      </c>
      <c r="J33">
        <v>1</v>
      </c>
      <c r="K33">
        <v>0</v>
      </c>
      <c r="L33">
        <v>0</v>
      </c>
      <c r="M33" t="s">
        <v>25</v>
      </c>
      <c r="N33" t="s">
        <v>55</v>
      </c>
      <c r="O33">
        <v>1</v>
      </c>
      <c r="P33">
        <v>0</v>
      </c>
      <c r="Q33" t="s">
        <v>57</v>
      </c>
      <c r="R33" t="str">
        <f>VLOOKUP(Q33,GDP!$A$2:$B$266,1,FALSE)</f>
        <v>DNK</v>
      </c>
      <c r="S33" t="str">
        <f>VLOOKUP(Q33,GDP!$A$2:$B$266,2,FALSE)</f>
        <v>Denmark</v>
      </c>
      <c r="T33">
        <f>VLOOKUP(Q33,GDP!$A$1:$L$266,7,FALSE)</f>
        <v>65379.306612099535</v>
      </c>
      <c r="U33" s="4">
        <v>65379.306612099499</v>
      </c>
      <c r="V33" s="5">
        <f>VLOOKUP(Q33,POP!$B$5:$M$269,7,FALSE)</f>
        <v>3714181</v>
      </c>
      <c r="W33" s="4">
        <v>3714181</v>
      </c>
      <c r="X33">
        <f>VLOOKUP(Q33,YU!$B$1:$M$266,7,FALSE)</f>
        <v>11.634</v>
      </c>
      <c r="Y33" s="4">
        <v>11.634</v>
      </c>
      <c r="Z33">
        <v>7.3857498168945304</v>
      </c>
      <c r="AA33">
        <f t="shared" si="0"/>
        <v>11.087961074717214</v>
      </c>
      <c r="AB33">
        <f t="shared" si="1"/>
        <v>0.56356437260478387</v>
      </c>
      <c r="AC33" s="4">
        <v>0.5635643726047892</v>
      </c>
      <c r="AD33">
        <v>-0.78421635381585553</v>
      </c>
      <c r="AE33">
        <v>-3.6814059829059822</v>
      </c>
      <c r="AG33" s="12">
        <f t="shared" si="2"/>
        <v>0</v>
      </c>
      <c r="AH33" s="12">
        <f t="shared" si="3"/>
        <v>0</v>
      </c>
      <c r="AI33" s="13">
        <f t="shared" si="4"/>
        <v>0</v>
      </c>
      <c r="AJ33" s="14">
        <f t="shared" si="5"/>
        <v>0.10109611687136866</v>
      </c>
    </row>
    <row r="34" spans="1:36" x14ac:dyDescent="0.2">
      <c r="A34">
        <v>2021</v>
      </c>
      <c r="B34" t="s">
        <v>55</v>
      </c>
      <c r="C34">
        <f>VLOOKUP(B34,Sheet5!$B$2:$C$2166,2,FALSE)</f>
        <v>520</v>
      </c>
      <c r="D34">
        <v>235</v>
      </c>
      <c r="E34">
        <v>95</v>
      </c>
      <c r="F34" t="s">
        <v>61</v>
      </c>
      <c r="G34">
        <v>0</v>
      </c>
      <c r="H34">
        <v>5.4595855141441589</v>
      </c>
      <c r="I34">
        <v>1</v>
      </c>
      <c r="J34">
        <v>1</v>
      </c>
      <c r="K34">
        <v>1</v>
      </c>
      <c r="L34">
        <v>1</v>
      </c>
      <c r="M34" t="s">
        <v>25</v>
      </c>
      <c r="N34" t="s">
        <v>55</v>
      </c>
      <c r="O34">
        <v>1</v>
      </c>
      <c r="P34">
        <v>1</v>
      </c>
      <c r="Q34" t="s">
        <v>57</v>
      </c>
      <c r="R34" t="str">
        <f>VLOOKUP(Q34,GDP!$A$2:$B$266,1,FALSE)</f>
        <v>DNK</v>
      </c>
      <c r="S34" t="str">
        <f>VLOOKUP(Q34,GDP!$A$2:$B$266,2,FALSE)</f>
        <v>Denmark</v>
      </c>
      <c r="T34">
        <f>VLOOKUP(Q34,GDP!$A$1:$L$266,8,FALSE)</f>
        <v>69327.998216526961</v>
      </c>
      <c r="U34" s="4">
        <v>69327.998216527005</v>
      </c>
      <c r="V34" s="5">
        <f>VLOOKUP(Q34,POP!$B$5:$M$269,8,FALSE)</f>
        <v>3723590</v>
      </c>
      <c r="W34" s="4">
        <v>3723590</v>
      </c>
      <c r="X34">
        <f>VLOOKUP(Q34,YU!$B$1:$M$266,8,FALSE)</f>
        <v>10.8</v>
      </c>
      <c r="Y34" s="4">
        <v>10.8</v>
      </c>
      <c r="Z34">
        <v>6.9591598510742196</v>
      </c>
      <c r="AA34">
        <f t="shared" si="0"/>
        <v>11.146604118254542</v>
      </c>
      <c r="AB34">
        <f t="shared" si="1"/>
        <v>0.62220741614211228</v>
      </c>
      <c r="AC34" s="4">
        <v>0.62220741614211938</v>
      </c>
      <c r="AD34">
        <v>-0.78168629339343099</v>
      </c>
      <c r="AE34">
        <v>-4.5154059829059818</v>
      </c>
      <c r="AG34" s="12">
        <f t="shared" si="2"/>
        <v>0</v>
      </c>
      <c r="AH34" s="12">
        <f t="shared" si="3"/>
        <v>0</v>
      </c>
      <c r="AI34" s="13">
        <f t="shared" si="4"/>
        <v>0</v>
      </c>
      <c r="AJ34" s="14">
        <f t="shared" si="5"/>
        <v>0.79424329743131405</v>
      </c>
    </row>
    <row r="35" spans="1:36" x14ac:dyDescent="0.2">
      <c r="A35">
        <v>2022</v>
      </c>
      <c r="B35" t="s">
        <v>55</v>
      </c>
      <c r="C35">
        <f>VLOOKUP(B35,Sheet5!$B$2:$C$2166,2,FALSE)</f>
        <v>520</v>
      </c>
      <c r="D35">
        <v>215</v>
      </c>
      <c r="E35">
        <v>85</v>
      </c>
      <c r="F35" t="s">
        <v>62</v>
      </c>
      <c r="G35">
        <v>0</v>
      </c>
      <c r="H35">
        <v>5.3706380281276616</v>
      </c>
      <c r="I35">
        <v>1</v>
      </c>
      <c r="J35">
        <v>1</v>
      </c>
      <c r="K35">
        <v>1</v>
      </c>
      <c r="L35">
        <v>2</v>
      </c>
      <c r="M35" t="s">
        <v>25</v>
      </c>
      <c r="N35" t="s">
        <v>55</v>
      </c>
      <c r="O35">
        <v>1</v>
      </c>
      <c r="P35">
        <v>1</v>
      </c>
      <c r="Q35" t="s">
        <v>57</v>
      </c>
      <c r="R35" t="str">
        <f>VLOOKUP(Q35,GDP!$A$2:$B$266,1,FALSE)</f>
        <v>DNK</v>
      </c>
      <c r="S35" t="str">
        <f>VLOOKUP(Q35,GDP!$A$2:$B$266,2,FALSE)</f>
        <v>Denmark</v>
      </c>
      <c r="T35">
        <f>VLOOKUP(Q35,GDP!$A$1:$L$266,9,FALSE)</f>
        <v>69089.469249228918</v>
      </c>
      <c r="U35" s="4">
        <v>69089.469249228903</v>
      </c>
      <c r="V35" s="5">
        <f>VLOOKUP(Q35,POP!$B$5:$M$269,9,FALSE)</f>
        <v>3752146</v>
      </c>
      <c r="W35" s="4">
        <v>3752146</v>
      </c>
      <c r="X35">
        <f>VLOOKUP(Q35,YU!$B$1:$M$266,9,FALSE)</f>
        <v>10.532999999999999</v>
      </c>
      <c r="Y35" s="4">
        <v>10.532999999999999</v>
      </c>
      <c r="Z35">
        <v>6.3558602333068803</v>
      </c>
      <c r="AA35">
        <f t="shared" si="0"/>
        <v>11.143157599433199</v>
      </c>
      <c r="AB35">
        <f t="shared" si="1"/>
        <v>0.61876089732076878</v>
      </c>
      <c r="AC35" s="4">
        <v>0.61876089732077411</v>
      </c>
      <c r="AD35">
        <v>-0.77404660711006024</v>
      </c>
      <c r="AE35">
        <v>-4.7824059829059831</v>
      </c>
      <c r="AG35" s="12">
        <f t="shared" si="2"/>
        <v>0</v>
      </c>
      <c r="AH35" s="12">
        <f t="shared" si="3"/>
        <v>0</v>
      </c>
      <c r="AI35" s="13">
        <f t="shared" si="4"/>
        <v>0</v>
      </c>
      <c r="AJ35" s="14">
        <f t="shared" si="5"/>
        <v>0.88319078344781143</v>
      </c>
    </row>
    <row r="36" spans="1:36" x14ac:dyDescent="0.2">
      <c r="A36">
        <v>2023</v>
      </c>
      <c r="B36" t="s">
        <v>55</v>
      </c>
      <c r="C36">
        <f>VLOOKUP(B36,Sheet5!$B$2:$C$2166,2,FALSE)</f>
        <v>520</v>
      </c>
      <c r="D36">
        <v>170</v>
      </c>
      <c r="E36">
        <v>60</v>
      </c>
      <c r="F36" t="s">
        <v>63</v>
      </c>
      <c r="G36">
        <v>0</v>
      </c>
      <c r="H36">
        <v>5.1357984370502621</v>
      </c>
      <c r="I36">
        <v>1</v>
      </c>
      <c r="J36">
        <v>1</v>
      </c>
      <c r="K36">
        <v>1</v>
      </c>
      <c r="L36">
        <v>3</v>
      </c>
      <c r="M36" t="s">
        <v>25</v>
      </c>
      <c r="N36" t="s">
        <v>55</v>
      </c>
      <c r="O36">
        <v>1</v>
      </c>
      <c r="P36">
        <v>1</v>
      </c>
      <c r="Q36" t="s">
        <v>57</v>
      </c>
      <c r="R36" t="str">
        <f>VLOOKUP(Q36,GDP!$A$2:$B$266,1,FALSE)</f>
        <v>DNK</v>
      </c>
      <c r="S36" t="str">
        <f>VLOOKUP(Q36,GDP!$A$2:$B$266,2,FALSE)</f>
        <v>Denmark</v>
      </c>
      <c r="T36">
        <f>VLOOKUP(Q36,GDP!$A$1:$L$266,10,FALSE)</f>
        <v>68993.903110036161</v>
      </c>
      <c r="U36" s="4">
        <v>68993.903110036204</v>
      </c>
      <c r="V36" s="5">
        <f>VLOOKUP(Q36,POP!$B$5:$M$269,10,FALSE)</f>
        <v>3778269</v>
      </c>
      <c r="W36" s="4">
        <v>3778269</v>
      </c>
      <c r="X36">
        <f>VLOOKUP(Q36,YU!$B$1:$M$266,10,FALSE)</f>
        <v>11.499000000000001</v>
      </c>
      <c r="Y36" s="4">
        <v>11.499000000000001</v>
      </c>
      <c r="AA36">
        <f t="shared" si="0"/>
        <v>11.141773418951244</v>
      </c>
      <c r="AB36">
        <f t="shared" si="1"/>
        <v>0.61737671683881423</v>
      </c>
      <c r="AC36" s="4">
        <v>0.61737671683881956</v>
      </c>
      <c r="AD36">
        <v>-0.76710858183830588</v>
      </c>
      <c r="AE36">
        <v>-3.816405982905982</v>
      </c>
      <c r="AG36" s="12">
        <f t="shared" si="2"/>
        <v>0</v>
      </c>
      <c r="AH36" s="12">
        <f t="shared" si="3"/>
        <v>0</v>
      </c>
      <c r="AI36" s="13">
        <f t="shared" si="4"/>
        <v>0</v>
      </c>
      <c r="AJ36" s="14">
        <f t="shared" si="5"/>
        <v>1.1180303745252109</v>
      </c>
    </row>
    <row r="37" spans="1:36" x14ac:dyDescent="0.2">
      <c r="A37">
        <v>2024</v>
      </c>
      <c r="B37" t="s">
        <v>55</v>
      </c>
      <c r="C37">
        <f>VLOOKUP(B37,Sheet5!$B$2:$C$2166,2,FALSE)</f>
        <v>520</v>
      </c>
      <c r="D37">
        <v>155</v>
      </c>
      <c r="E37">
        <v>65</v>
      </c>
      <c r="F37" t="s">
        <v>64</v>
      </c>
      <c r="G37">
        <v>0</v>
      </c>
      <c r="H37">
        <v>5.0434251169192468</v>
      </c>
      <c r="I37">
        <v>1</v>
      </c>
      <c r="J37">
        <v>1</v>
      </c>
      <c r="K37">
        <v>1</v>
      </c>
      <c r="L37">
        <v>4</v>
      </c>
      <c r="M37" t="s">
        <v>25</v>
      </c>
      <c r="N37" t="s">
        <v>55</v>
      </c>
      <c r="O37">
        <v>1</v>
      </c>
      <c r="P37">
        <v>1</v>
      </c>
      <c r="Q37" t="s">
        <v>57</v>
      </c>
      <c r="R37" t="str">
        <f>VLOOKUP(Q37,GDP!$A$2:$B$266,1,FALSE)</f>
        <v>DNK</v>
      </c>
      <c r="S37" t="str">
        <f>VLOOKUP(Q37,GDP!$A$2:$B$266,2,FALSE)</f>
        <v>Denmark</v>
      </c>
      <c r="T37">
        <f>VLOOKUP(Q37,GDP!$A$1:$L$266,11,FALSE)</f>
        <v>71034.578966713845</v>
      </c>
      <c r="U37" s="4">
        <v>71034.578966713801</v>
      </c>
      <c r="V37" s="5">
        <f>VLOOKUP(Q37,POP!$B$5:$M$269,11,FALSE)</f>
        <v>3791657</v>
      </c>
      <c r="W37" s="4">
        <v>3791657</v>
      </c>
      <c r="X37">
        <f>VLOOKUP(Q37,YU!$B$1:$M$266,11,FALSE)</f>
        <v>11.786</v>
      </c>
      <c r="Y37" s="4">
        <v>11.786</v>
      </c>
      <c r="AA37">
        <f t="shared" si="0"/>
        <v>11.170922065164151</v>
      </c>
      <c r="AB37">
        <f t="shared" si="1"/>
        <v>0.6465253630517207</v>
      </c>
      <c r="AC37" s="4">
        <v>0.64652536305172426</v>
      </c>
      <c r="AD37">
        <v>-0.7635714233618156</v>
      </c>
      <c r="AE37">
        <v>-3.529405982905983</v>
      </c>
      <c r="AG37" s="12">
        <f t="shared" si="2"/>
        <v>0</v>
      </c>
      <c r="AH37" s="12">
        <f t="shared" si="3"/>
        <v>0</v>
      </c>
      <c r="AI37" s="13">
        <f t="shared" si="4"/>
        <v>0</v>
      </c>
      <c r="AJ37" s="14">
        <f t="shared" si="5"/>
        <v>1.2104036946562262</v>
      </c>
    </row>
    <row r="38" spans="1:36" x14ac:dyDescent="0.2">
      <c r="A38">
        <v>2016</v>
      </c>
      <c r="B38" t="s">
        <v>65</v>
      </c>
      <c r="C38">
        <f>VLOOKUP(B38,Sheet5!$B$2:$C$2166,2,FALSE)</f>
        <v>1010</v>
      </c>
      <c r="D38">
        <v>1010</v>
      </c>
      <c r="E38">
        <v>555</v>
      </c>
      <c r="F38" t="s">
        <v>66</v>
      </c>
      <c r="G38">
        <v>5</v>
      </c>
      <c r="H38">
        <v>6.9177056098353047</v>
      </c>
      <c r="I38">
        <v>1</v>
      </c>
      <c r="J38">
        <v>1</v>
      </c>
      <c r="K38">
        <v>0</v>
      </c>
      <c r="L38">
        <v>-4</v>
      </c>
      <c r="M38" t="s">
        <v>25</v>
      </c>
      <c r="N38" t="s">
        <v>65</v>
      </c>
      <c r="O38">
        <v>1</v>
      </c>
      <c r="P38">
        <v>0</v>
      </c>
      <c r="Q38" t="s">
        <v>67</v>
      </c>
      <c r="R38" t="str">
        <f>VLOOKUP(Q38,GDP!$A$2:$B$266,1,FALSE)</f>
        <v>FIN</v>
      </c>
      <c r="S38" t="str">
        <f>VLOOKUP(Q38,GDP!$A$2:$B$266,2,FALSE)</f>
        <v>Finland</v>
      </c>
      <c r="T38">
        <f>VLOOKUP(Q38,GDP!$A$1:$C$266,3,FALSE)</f>
        <v>53984.631625471498</v>
      </c>
      <c r="U38" s="4">
        <v>53984.631625471498</v>
      </c>
      <c r="V38" s="5">
        <f>VLOOKUP(Q38,POP!$B$5:$M$269,3,FALSE)</f>
        <v>3463591</v>
      </c>
      <c r="W38" s="4">
        <v>3463591</v>
      </c>
      <c r="X38">
        <f>VLOOKUP(Q38,YU!$B$1:$D$266,3,FALSE)</f>
        <v>20.056999999999999</v>
      </c>
      <c r="Y38" s="4">
        <v>20.056999999999999</v>
      </c>
      <c r="Z38">
        <v>6.90873003005981</v>
      </c>
      <c r="AA38">
        <f t="shared" si="0"/>
        <v>10.896454685511975</v>
      </c>
      <c r="AB38">
        <f t="shared" si="1"/>
        <v>0.37205798339954477</v>
      </c>
      <c r="AC38" s="4">
        <v>0.3720579833995501</v>
      </c>
      <c r="AD38">
        <v>-0.85406863794126586</v>
      </c>
      <c r="AE38">
        <v>4.7415940170940161</v>
      </c>
      <c r="AG38" s="12">
        <f t="shared" si="2"/>
        <v>0</v>
      </c>
      <c r="AH38" s="12">
        <f t="shared" si="3"/>
        <v>0</v>
      </c>
      <c r="AI38" s="13">
        <f t="shared" si="4"/>
        <v>0</v>
      </c>
      <c r="AJ38" s="14">
        <f t="shared" si="5"/>
        <v>0</v>
      </c>
    </row>
    <row r="39" spans="1:36" x14ac:dyDescent="0.2">
      <c r="A39">
        <v>2017</v>
      </c>
      <c r="B39" t="s">
        <v>65</v>
      </c>
      <c r="C39">
        <f>VLOOKUP(B39,Sheet5!$B$2:$C$2166,2,FALSE)</f>
        <v>1010</v>
      </c>
      <c r="D39">
        <v>875</v>
      </c>
      <c r="E39">
        <v>470</v>
      </c>
      <c r="F39" t="s">
        <v>68</v>
      </c>
      <c r="G39">
        <v>5</v>
      </c>
      <c r="H39">
        <v>6.7742238863576141</v>
      </c>
      <c r="I39">
        <v>1</v>
      </c>
      <c r="J39">
        <v>1</v>
      </c>
      <c r="K39">
        <v>0</v>
      </c>
      <c r="L39">
        <v>-3</v>
      </c>
      <c r="M39" t="s">
        <v>25</v>
      </c>
      <c r="N39" t="s">
        <v>65</v>
      </c>
      <c r="O39">
        <v>1</v>
      </c>
      <c r="P39">
        <v>0</v>
      </c>
      <c r="Q39" t="s">
        <v>67</v>
      </c>
      <c r="R39" t="str">
        <f>VLOOKUP(Q39,GDP!$A$2:$B$266,1,FALSE)</f>
        <v>FIN</v>
      </c>
      <c r="S39" t="str">
        <f>VLOOKUP(Q39,GDP!$A$2:$B$266,2,FALSE)</f>
        <v>Finland</v>
      </c>
      <c r="T39">
        <f>VLOOKUP(Q39,GDP!$A$1:$L$266,4,FALSE)</f>
        <v>55637.226278122303</v>
      </c>
      <c r="U39" s="4">
        <v>55637.226278122303</v>
      </c>
      <c r="V39" s="5">
        <f>VLOOKUP(Q39,POP!$B$5:$M$269,4,FALSE)</f>
        <v>3451187</v>
      </c>
      <c r="W39" s="4">
        <v>3451187</v>
      </c>
      <c r="X39">
        <f>VLOOKUP(Q39,YU!$B$1:$M$266,4,FALSE)</f>
        <v>20.041</v>
      </c>
      <c r="Y39" s="4">
        <v>20.041</v>
      </c>
      <c r="Z39">
        <v>6.4082698822021502</v>
      </c>
      <c r="AA39">
        <f t="shared" si="0"/>
        <v>10.926607793574822</v>
      </c>
      <c r="AB39">
        <f t="shared" si="1"/>
        <v>0.40221109146239264</v>
      </c>
      <c r="AC39" s="4">
        <v>0.40221109146239797</v>
      </c>
      <c r="AD39">
        <v>-0.85765632023700888</v>
      </c>
      <c r="AE39">
        <v>4.7255940170940178</v>
      </c>
      <c r="AG39" s="12">
        <f t="shared" si="2"/>
        <v>0</v>
      </c>
      <c r="AH39" s="12">
        <f t="shared" si="3"/>
        <v>0</v>
      </c>
      <c r="AI39" s="13">
        <f t="shared" si="4"/>
        <v>0</v>
      </c>
      <c r="AJ39" s="14">
        <f t="shared" si="5"/>
        <v>0.14348172347769061</v>
      </c>
    </row>
    <row r="40" spans="1:36" x14ac:dyDescent="0.2">
      <c r="A40">
        <v>2018</v>
      </c>
      <c r="B40" t="s">
        <v>65</v>
      </c>
      <c r="C40">
        <f>VLOOKUP(B40,Sheet5!$B$2:$C$2166,2,FALSE)</f>
        <v>1010</v>
      </c>
      <c r="D40">
        <v>920</v>
      </c>
      <c r="E40">
        <v>520</v>
      </c>
      <c r="F40" t="s">
        <v>69</v>
      </c>
      <c r="G40">
        <v>5</v>
      </c>
      <c r="H40">
        <v>6.8243736700430864</v>
      </c>
      <c r="I40">
        <v>1</v>
      </c>
      <c r="J40">
        <v>1</v>
      </c>
      <c r="K40">
        <v>0</v>
      </c>
      <c r="L40">
        <v>-2</v>
      </c>
      <c r="M40" t="s">
        <v>25</v>
      </c>
      <c r="N40" t="s">
        <v>65</v>
      </c>
      <c r="O40">
        <v>1</v>
      </c>
      <c r="P40">
        <v>0</v>
      </c>
      <c r="Q40" t="s">
        <v>67</v>
      </c>
      <c r="R40" t="str">
        <f>VLOOKUP(Q40,GDP!$A$2:$B$266,1,FALSE)</f>
        <v>FIN</v>
      </c>
      <c r="S40" t="str">
        <f>VLOOKUP(Q40,GDP!$A$2:$B$266,2,FALSE)</f>
        <v>Finland</v>
      </c>
      <c r="T40">
        <f>VLOOKUP(Q40,GDP!$A$1:$L$266,5,FALSE)</f>
        <v>56226.337241342953</v>
      </c>
      <c r="U40" s="4">
        <v>56226.337241342997</v>
      </c>
      <c r="V40" s="5">
        <f>VLOOKUP(Q40,POP!$B$5:$M$269,5,FALSE)</f>
        <v>3437018</v>
      </c>
      <c r="W40" s="4">
        <v>3437018</v>
      </c>
      <c r="X40">
        <f>VLOOKUP(Q40,YU!$B$1:$M$266,5,FALSE)</f>
        <v>16.957999999999998</v>
      </c>
      <c r="Y40" s="4">
        <v>16.957999999999998</v>
      </c>
      <c r="Z40">
        <v>6.3177199363708496</v>
      </c>
      <c r="AA40">
        <f t="shared" si="0"/>
        <v>10.937140560294674</v>
      </c>
      <c r="AB40">
        <f t="shared" si="1"/>
        <v>0.41274385818224424</v>
      </c>
      <c r="AC40" s="4">
        <v>0.41274385818224962</v>
      </c>
      <c r="AD40">
        <v>-0.86177031509753732</v>
      </c>
      <c r="AE40">
        <v>1.6425940170940161</v>
      </c>
      <c r="AG40" s="12">
        <f t="shared" si="2"/>
        <v>0</v>
      </c>
      <c r="AH40" s="12">
        <f t="shared" si="3"/>
        <v>0</v>
      </c>
      <c r="AI40" s="13">
        <f t="shared" si="4"/>
        <v>0</v>
      </c>
      <c r="AJ40" s="14">
        <f t="shared" si="5"/>
        <v>9.3331939792218321E-2</v>
      </c>
    </row>
    <row r="41" spans="1:36" x14ac:dyDescent="0.2">
      <c r="A41">
        <v>2019</v>
      </c>
      <c r="B41" t="s">
        <v>65</v>
      </c>
      <c r="C41">
        <f>VLOOKUP(B41,Sheet5!$B$2:$C$2166,2,FALSE)</f>
        <v>1010</v>
      </c>
      <c r="D41">
        <v>805</v>
      </c>
      <c r="E41">
        <v>395</v>
      </c>
      <c r="F41" t="s">
        <v>70</v>
      </c>
      <c r="G41">
        <v>5</v>
      </c>
      <c r="H41">
        <v>6.6908422774185636</v>
      </c>
      <c r="I41">
        <v>1</v>
      </c>
      <c r="J41">
        <v>1</v>
      </c>
      <c r="K41">
        <v>0</v>
      </c>
      <c r="L41">
        <v>-1</v>
      </c>
      <c r="M41" t="s">
        <v>25</v>
      </c>
      <c r="N41" t="s">
        <v>65</v>
      </c>
      <c r="O41">
        <v>1</v>
      </c>
      <c r="P41">
        <v>0</v>
      </c>
      <c r="Q41" t="s">
        <v>67</v>
      </c>
      <c r="R41" t="str">
        <f>VLOOKUP(Q41,GDP!$A$2:$B$266,1,FALSE)</f>
        <v>FIN</v>
      </c>
      <c r="S41" t="str">
        <f>VLOOKUP(Q41,GDP!$A$2:$B$266,2,FALSE)</f>
        <v>Finland</v>
      </c>
      <c r="T41">
        <f>VLOOKUP(Q41,GDP!$A$1:$L$266,6,FALSE)</f>
        <v>56922.487316310311</v>
      </c>
      <c r="U41" s="4">
        <v>56922.487316310297</v>
      </c>
      <c r="V41" s="5">
        <f>VLOOKUP(Q41,POP!$B$5:$M$269,6,FALSE)</f>
        <v>3426847</v>
      </c>
      <c r="W41" s="4">
        <v>3426847</v>
      </c>
      <c r="X41">
        <f>VLOOKUP(Q41,YU!$B$1:$M$266,6,FALSE)</f>
        <v>17.128</v>
      </c>
      <c r="Y41" s="4">
        <v>17.128</v>
      </c>
      <c r="Z41">
        <v>6.4530000686645499</v>
      </c>
      <c r="AA41">
        <f t="shared" si="0"/>
        <v>10.949445749708461</v>
      </c>
      <c r="AB41">
        <f t="shared" si="1"/>
        <v>0.42504904759603157</v>
      </c>
      <c r="AC41" s="4">
        <v>0.4250490475960369</v>
      </c>
      <c r="AD41">
        <v>-0.86473395364359185</v>
      </c>
      <c r="AE41">
        <v>1.812594017094018</v>
      </c>
      <c r="AG41" s="12">
        <f t="shared" si="2"/>
        <v>0</v>
      </c>
      <c r="AH41" s="12">
        <f t="shared" si="3"/>
        <v>0</v>
      </c>
      <c r="AI41" s="13">
        <f t="shared" si="4"/>
        <v>0</v>
      </c>
      <c r="AJ41" s="14">
        <f t="shared" si="5"/>
        <v>0.22686333241674106</v>
      </c>
    </row>
    <row r="42" spans="1:36" x14ac:dyDescent="0.2">
      <c r="A42">
        <v>2020</v>
      </c>
      <c r="B42" t="s">
        <v>65</v>
      </c>
      <c r="C42">
        <f>VLOOKUP(B42,Sheet5!$B$2:$C$2166,2,FALSE)</f>
        <v>1010</v>
      </c>
      <c r="D42">
        <v>730</v>
      </c>
      <c r="E42">
        <v>375</v>
      </c>
      <c r="F42" t="s">
        <v>71</v>
      </c>
      <c r="G42">
        <v>0</v>
      </c>
      <c r="H42">
        <v>6.5930445341424369</v>
      </c>
      <c r="I42">
        <v>1</v>
      </c>
      <c r="J42">
        <v>1</v>
      </c>
      <c r="K42">
        <v>0</v>
      </c>
      <c r="L42">
        <v>0</v>
      </c>
      <c r="M42" t="s">
        <v>25</v>
      </c>
      <c r="N42" t="s">
        <v>65</v>
      </c>
      <c r="O42">
        <v>1</v>
      </c>
      <c r="P42">
        <v>0</v>
      </c>
      <c r="Q42" t="s">
        <v>67</v>
      </c>
      <c r="R42" t="str">
        <f>VLOOKUP(Q42,GDP!$A$2:$B$266,1,FALSE)</f>
        <v>FIN</v>
      </c>
      <c r="S42" t="str">
        <f>VLOOKUP(Q42,GDP!$A$2:$B$266,2,FALSE)</f>
        <v>Finland</v>
      </c>
      <c r="T42">
        <f>VLOOKUP(Q42,GDP!$A$1:$L$266,7,FALSE)</f>
        <v>55424.857498920799</v>
      </c>
      <c r="U42" s="4">
        <v>55424.857498920799</v>
      </c>
      <c r="V42" s="5">
        <f>VLOOKUP(Q42,POP!$B$5:$M$269,7,FALSE)</f>
        <v>3419966</v>
      </c>
      <c r="W42" s="4">
        <v>3419966</v>
      </c>
      <c r="X42">
        <f>VLOOKUP(Q42,YU!$B$1:$M$266,7,FALSE)</f>
        <v>21.193000000000001</v>
      </c>
      <c r="Y42" s="4">
        <v>21.193000000000001</v>
      </c>
      <c r="Z42">
        <v>6.6812801361084002</v>
      </c>
      <c r="AA42">
        <f t="shared" si="0"/>
        <v>10.922783463419787</v>
      </c>
      <c r="AB42">
        <f t="shared" si="1"/>
        <v>0.39838676130735706</v>
      </c>
      <c r="AC42" s="4">
        <v>0.39838676130736239</v>
      </c>
      <c r="AD42">
        <v>-0.86674394057229343</v>
      </c>
      <c r="AE42">
        <v>5.8775940170940189</v>
      </c>
      <c r="AG42" s="12">
        <f t="shared" si="2"/>
        <v>0</v>
      </c>
      <c r="AH42" s="12">
        <f t="shared" si="3"/>
        <v>0</v>
      </c>
      <c r="AI42" s="13">
        <f t="shared" si="4"/>
        <v>0</v>
      </c>
      <c r="AJ42" s="14">
        <f t="shared" si="5"/>
        <v>0.32466107569286784</v>
      </c>
    </row>
    <row r="43" spans="1:36" x14ac:dyDescent="0.2">
      <c r="A43">
        <v>2021</v>
      </c>
      <c r="B43" t="s">
        <v>65</v>
      </c>
      <c r="C43">
        <f>VLOOKUP(B43,Sheet5!$B$2:$C$2166,2,FALSE)</f>
        <v>1010</v>
      </c>
      <c r="D43">
        <v>250</v>
      </c>
      <c r="E43">
        <v>90</v>
      </c>
      <c r="F43" t="s">
        <v>72</v>
      </c>
      <c r="G43">
        <v>0</v>
      </c>
      <c r="H43">
        <v>5.521460917862246</v>
      </c>
      <c r="I43">
        <v>1</v>
      </c>
      <c r="J43">
        <v>1</v>
      </c>
      <c r="K43">
        <v>1</v>
      </c>
      <c r="L43">
        <v>1</v>
      </c>
      <c r="M43" t="s">
        <v>25</v>
      </c>
      <c r="N43" t="s">
        <v>65</v>
      </c>
      <c r="O43">
        <v>1</v>
      </c>
      <c r="P43">
        <v>1</v>
      </c>
      <c r="Q43" t="s">
        <v>67</v>
      </c>
      <c r="R43" t="str">
        <f>VLOOKUP(Q43,GDP!$A$2:$B$266,1,FALSE)</f>
        <v>FIN</v>
      </c>
      <c r="S43" t="str">
        <f>VLOOKUP(Q43,GDP!$A$2:$B$266,2,FALSE)</f>
        <v>Finland</v>
      </c>
      <c r="T43">
        <f>VLOOKUP(Q43,GDP!$A$1:$L$266,8,FALSE)</f>
        <v>56790.376617769165</v>
      </c>
      <c r="U43" s="4">
        <v>56790.376617769201</v>
      </c>
      <c r="V43" s="5">
        <f>VLOOKUP(Q43,POP!$B$5:$M$269,8,FALSE)</f>
        <v>3417184</v>
      </c>
      <c r="W43" s="4">
        <v>3417184</v>
      </c>
      <c r="X43">
        <f>VLOOKUP(Q43,YU!$B$1:$M$266,8,FALSE)</f>
        <v>17.058</v>
      </c>
      <c r="Y43" s="4">
        <v>17.058</v>
      </c>
      <c r="Z43">
        <v>6.5882000923156703</v>
      </c>
      <c r="AA43">
        <f t="shared" si="0"/>
        <v>10.94712216461158</v>
      </c>
      <c r="AB43">
        <f t="shared" si="1"/>
        <v>0.42272546249914988</v>
      </c>
      <c r="AC43" s="4">
        <v>0.42272546249915521</v>
      </c>
      <c r="AD43">
        <v>-0.86755772998850667</v>
      </c>
      <c r="AE43">
        <v>1.7425940170940171</v>
      </c>
      <c r="AG43" s="12">
        <f t="shared" si="2"/>
        <v>0</v>
      </c>
      <c r="AH43" s="12">
        <f t="shared" si="3"/>
        <v>0</v>
      </c>
      <c r="AI43" s="13">
        <f t="shared" si="4"/>
        <v>0</v>
      </c>
      <c r="AJ43" s="14">
        <f t="shared" si="5"/>
        <v>1.3962446919730587</v>
      </c>
    </row>
    <row r="44" spans="1:36" x14ac:dyDescent="0.2">
      <c r="A44">
        <v>2022</v>
      </c>
      <c r="B44" t="s">
        <v>65</v>
      </c>
      <c r="C44">
        <f>VLOOKUP(B44,Sheet5!$B$2:$C$2166,2,FALSE)</f>
        <v>1010</v>
      </c>
      <c r="D44">
        <v>185</v>
      </c>
      <c r="E44">
        <v>80</v>
      </c>
      <c r="F44" t="s">
        <v>73</v>
      </c>
      <c r="G44">
        <v>0</v>
      </c>
      <c r="H44">
        <v>5.2203558250783244</v>
      </c>
      <c r="I44">
        <v>1</v>
      </c>
      <c r="J44">
        <v>1</v>
      </c>
      <c r="K44">
        <v>1</v>
      </c>
      <c r="L44">
        <v>2</v>
      </c>
      <c r="M44" t="s">
        <v>25</v>
      </c>
      <c r="N44" t="s">
        <v>65</v>
      </c>
      <c r="O44">
        <v>1</v>
      </c>
      <c r="P44">
        <v>1</v>
      </c>
      <c r="Q44" t="s">
        <v>67</v>
      </c>
      <c r="R44" t="str">
        <f>VLOOKUP(Q44,GDP!$A$2:$B$266,1,FALSE)</f>
        <v>FIN</v>
      </c>
      <c r="S44" t="str">
        <f>VLOOKUP(Q44,GDP!$A$2:$B$266,2,FALSE)</f>
        <v>Finland</v>
      </c>
      <c r="T44">
        <f>VLOOKUP(Q44,GDP!$A$1:$L$266,9,FALSE)</f>
        <v>57068.305647807356</v>
      </c>
      <c r="U44" s="4">
        <v>57068.3056478074</v>
      </c>
      <c r="V44" s="5">
        <f>VLOOKUP(Q44,POP!$B$5:$M$269,9,FALSE)</f>
        <v>3419799</v>
      </c>
      <c r="W44" s="4">
        <v>3419799</v>
      </c>
      <c r="X44">
        <f>VLOOKUP(Q44,YU!$B$1:$M$266,9,FALSE)</f>
        <v>14.138</v>
      </c>
      <c r="Y44" s="4">
        <v>14.138</v>
      </c>
      <c r="Z44">
        <v>6.3757801055908203</v>
      </c>
      <c r="AA44">
        <f t="shared" si="0"/>
        <v>10.952004174073158</v>
      </c>
      <c r="AB44">
        <f t="shared" si="1"/>
        <v>0.42760747196072835</v>
      </c>
      <c r="AC44" s="4">
        <v>0.42760747196073551</v>
      </c>
      <c r="AD44">
        <v>-0.8667927726593696</v>
      </c>
      <c r="AE44">
        <v>-1.1774059829059831</v>
      </c>
      <c r="AG44" s="12">
        <f t="shared" si="2"/>
        <v>0</v>
      </c>
      <c r="AH44" s="12">
        <f t="shared" si="3"/>
        <v>0</v>
      </c>
      <c r="AI44" s="13">
        <f t="shared" si="4"/>
        <v>0</v>
      </c>
      <c r="AJ44" s="14">
        <f t="shared" si="5"/>
        <v>1.6973497847569803</v>
      </c>
    </row>
    <row r="45" spans="1:36" x14ac:dyDescent="0.2">
      <c r="A45">
        <v>2023</v>
      </c>
      <c r="B45" t="s">
        <v>65</v>
      </c>
      <c r="C45">
        <f>VLOOKUP(B45,Sheet5!$B$2:$C$2166,2,FALSE)</f>
        <v>1010</v>
      </c>
      <c r="D45">
        <v>135</v>
      </c>
      <c r="E45">
        <v>55</v>
      </c>
      <c r="F45" t="s">
        <v>74</v>
      </c>
      <c r="G45">
        <v>0</v>
      </c>
      <c r="H45">
        <v>4.9052747784384296</v>
      </c>
      <c r="I45">
        <v>1</v>
      </c>
      <c r="J45">
        <v>1</v>
      </c>
      <c r="K45">
        <v>1</v>
      </c>
      <c r="L45">
        <v>3</v>
      </c>
      <c r="M45" t="s">
        <v>25</v>
      </c>
      <c r="N45" t="s">
        <v>65</v>
      </c>
      <c r="O45">
        <v>1</v>
      </c>
      <c r="P45">
        <v>1</v>
      </c>
      <c r="Q45" t="s">
        <v>67</v>
      </c>
      <c r="R45" t="str">
        <f>VLOOKUP(Q45,GDP!$A$2:$B$266,1,FALSE)</f>
        <v>FIN</v>
      </c>
      <c r="S45" t="str">
        <f>VLOOKUP(Q45,GDP!$A$2:$B$266,2,FALSE)</f>
        <v>Finland</v>
      </c>
      <c r="T45">
        <f>VLOOKUP(Q45,GDP!$A$1:$L$266,10,FALSE)</f>
        <v>56051.770112950064</v>
      </c>
      <c r="U45" s="4">
        <v>56051.7701129501</v>
      </c>
      <c r="V45" s="5">
        <f>VLOOKUP(Q45,POP!$B$5:$M$269,10,FALSE)</f>
        <v>3433386</v>
      </c>
      <c r="W45" s="4">
        <v>3433386</v>
      </c>
      <c r="X45">
        <f>VLOOKUP(Q45,YU!$B$1:$M$266,10,FALSE)</f>
        <v>16.106000000000002</v>
      </c>
      <c r="Y45" s="4">
        <v>16.106000000000002</v>
      </c>
      <c r="AA45">
        <f t="shared" si="0"/>
        <v>10.934031008964173</v>
      </c>
      <c r="AB45">
        <f t="shared" si="1"/>
        <v>0.40963430685174274</v>
      </c>
      <c r="AC45" s="4">
        <v>0.40963430685174812</v>
      </c>
      <c r="AD45">
        <v>-0.86282760382126966</v>
      </c>
      <c r="AE45">
        <v>0.79059401709401911</v>
      </c>
      <c r="AG45" s="12">
        <f t="shared" si="2"/>
        <v>0</v>
      </c>
      <c r="AH45" s="12">
        <f t="shared" si="3"/>
        <v>0</v>
      </c>
      <c r="AI45" s="13">
        <f t="shared" si="4"/>
        <v>0</v>
      </c>
      <c r="AJ45" s="14">
        <f t="shared" si="5"/>
        <v>2.0124308313968751</v>
      </c>
    </row>
    <row r="46" spans="1:36" x14ac:dyDescent="0.2">
      <c r="A46">
        <v>2024</v>
      </c>
      <c r="B46" t="s">
        <v>65</v>
      </c>
      <c r="C46">
        <f>VLOOKUP(B46,Sheet5!$B$2:$C$2166,2,FALSE)</f>
        <v>1010</v>
      </c>
      <c r="D46">
        <v>120</v>
      </c>
      <c r="E46">
        <v>50</v>
      </c>
      <c r="F46" t="s">
        <v>75</v>
      </c>
      <c r="G46">
        <v>0</v>
      </c>
      <c r="H46">
        <v>4.7874917427820458</v>
      </c>
      <c r="I46">
        <v>1</v>
      </c>
      <c r="J46">
        <v>1</v>
      </c>
      <c r="K46">
        <v>1</v>
      </c>
      <c r="L46">
        <v>4</v>
      </c>
      <c r="M46" t="s">
        <v>25</v>
      </c>
      <c r="N46" t="s">
        <v>65</v>
      </c>
      <c r="O46">
        <v>1</v>
      </c>
      <c r="P46">
        <v>1</v>
      </c>
      <c r="Q46" t="s">
        <v>67</v>
      </c>
      <c r="R46" t="str">
        <f>VLOOKUP(Q46,GDP!$A$2:$B$266,1,FALSE)</f>
        <v>FIN</v>
      </c>
      <c r="S46" t="str">
        <f>VLOOKUP(Q46,GDP!$A$2:$B$266,2,FALSE)</f>
        <v>Finland</v>
      </c>
      <c r="T46">
        <f>VLOOKUP(Q46,GDP!$A$1:$L$266,11,FALSE)</f>
        <v>55901.320229658828</v>
      </c>
      <c r="U46" s="4">
        <v>55901.320229658799</v>
      </c>
      <c r="V46" s="5">
        <f>VLOOKUP(Q46,POP!$B$5:$M$269,11,FALSE)</f>
        <v>3454536</v>
      </c>
      <c r="W46" s="4">
        <v>3454536</v>
      </c>
      <c r="X46">
        <f>VLOOKUP(Q46,YU!$B$1:$M$266,11,FALSE)</f>
        <v>18.68</v>
      </c>
      <c r="Y46" s="4">
        <v>18.68</v>
      </c>
      <c r="AA46">
        <f t="shared" si="0"/>
        <v>10.931343276568391</v>
      </c>
      <c r="AB46">
        <f t="shared" si="1"/>
        <v>0.4069465744559615</v>
      </c>
      <c r="AC46" s="4">
        <v>0.40694657445596499</v>
      </c>
      <c r="AD46">
        <v>-0.85668639999475715</v>
      </c>
      <c r="AE46">
        <v>3.3645940170940172</v>
      </c>
      <c r="AG46" s="12">
        <f t="shared" si="2"/>
        <v>0</v>
      </c>
      <c r="AH46" s="12">
        <f t="shared" si="3"/>
        <v>0</v>
      </c>
      <c r="AI46" s="13">
        <f t="shared" si="4"/>
        <v>0</v>
      </c>
      <c r="AJ46" s="14">
        <f t="shared" si="5"/>
        <v>2.1302138670532589</v>
      </c>
    </row>
    <row r="47" spans="1:36" x14ac:dyDescent="0.2">
      <c r="A47">
        <v>2016</v>
      </c>
      <c r="B47" t="s">
        <v>76</v>
      </c>
      <c r="C47">
        <f>VLOOKUP(B47,Sheet5!$B$2:$C$2166,2,FALSE)</f>
        <v>5445</v>
      </c>
      <c r="D47">
        <v>5445</v>
      </c>
      <c r="E47">
        <v>3135</v>
      </c>
      <c r="F47" t="s">
        <v>77</v>
      </c>
      <c r="G47">
        <v>10</v>
      </c>
      <c r="H47">
        <v>8.602453035367061</v>
      </c>
      <c r="I47">
        <v>1</v>
      </c>
      <c r="J47">
        <v>1</v>
      </c>
      <c r="K47">
        <v>0</v>
      </c>
      <c r="L47">
        <v>-4</v>
      </c>
      <c r="M47" t="s">
        <v>25</v>
      </c>
      <c r="N47" t="s">
        <v>76</v>
      </c>
      <c r="O47">
        <v>1</v>
      </c>
      <c r="P47">
        <v>0</v>
      </c>
      <c r="Q47" t="s">
        <v>78</v>
      </c>
      <c r="R47" t="str">
        <f>VLOOKUP(Q47,GDP!$A$2:$B$266,1,FALSE)</f>
        <v>FRA</v>
      </c>
      <c r="S47" t="str">
        <f>VLOOKUP(Q47,GDP!$A$2:$B$266,2,FALSE)</f>
        <v>France</v>
      </c>
      <c r="T47">
        <f>VLOOKUP(Q47,GDP!$A$1:$C$266,3,FALSE)</f>
        <v>50984.075297831965</v>
      </c>
      <c r="U47" s="4">
        <v>50984.075297832002</v>
      </c>
      <c r="V47" s="5">
        <f>VLOOKUP(Q47,POP!$B$5:$M$269,3,FALSE)</f>
        <v>41790756</v>
      </c>
      <c r="W47" s="4">
        <v>41790756</v>
      </c>
      <c r="X47">
        <f>VLOOKUP(Q47,YU!$B$1:$D$266,3,FALSE)</f>
        <v>24.937999999999999</v>
      </c>
      <c r="Y47" s="4">
        <v>24.937999999999999</v>
      </c>
      <c r="AA47">
        <f t="shared" si="0"/>
        <v>10.839268613884455</v>
      </c>
      <c r="AB47">
        <f t="shared" si="1"/>
        <v>0.31487191177202511</v>
      </c>
      <c r="AC47" s="4">
        <v>0.31487191177203222</v>
      </c>
      <c r="AD47">
        <v>1.636300616671535</v>
      </c>
      <c r="AE47">
        <v>9.6225940170940163</v>
      </c>
      <c r="AG47" s="12">
        <f t="shared" si="2"/>
        <v>0</v>
      </c>
      <c r="AH47" s="12">
        <f t="shared" si="3"/>
        <v>0</v>
      </c>
      <c r="AI47" s="13">
        <f t="shared" si="4"/>
        <v>0</v>
      </c>
      <c r="AJ47" s="14">
        <f t="shared" si="5"/>
        <v>0</v>
      </c>
    </row>
    <row r="48" spans="1:36" x14ac:dyDescent="0.2">
      <c r="A48">
        <v>2017</v>
      </c>
      <c r="B48" t="s">
        <v>76</v>
      </c>
      <c r="C48">
        <f>VLOOKUP(B48,Sheet5!$B$2:$C$2166,2,FALSE)</f>
        <v>5445</v>
      </c>
      <c r="D48">
        <v>5395</v>
      </c>
      <c r="E48">
        <v>3145</v>
      </c>
      <c r="F48" t="s">
        <v>79</v>
      </c>
      <c r="G48">
        <v>10</v>
      </c>
      <c r="H48">
        <v>8.5932278776922342</v>
      </c>
      <c r="I48">
        <v>1</v>
      </c>
      <c r="J48">
        <v>1</v>
      </c>
      <c r="K48">
        <v>0</v>
      </c>
      <c r="L48">
        <v>-3</v>
      </c>
      <c r="M48" t="s">
        <v>25</v>
      </c>
      <c r="N48" t="s">
        <v>76</v>
      </c>
      <c r="O48">
        <v>1</v>
      </c>
      <c r="P48">
        <v>0</v>
      </c>
      <c r="Q48" t="s">
        <v>78</v>
      </c>
      <c r="R48" t="str">
        <f>VLOOKUP(Q48,GDP!$A$2:$B$266,1,FALSE)</f>
        <v>FRA</v>
      </c>
      <c r="S48" t="str">
        <f>VLOOKUP(Q48,GDP!$A$2:$B$266,2,FALSE)</f>
        <v>France</v>
      </c>
      <c r="T48">
        <f>VLOOKUP(Q48,GDP!$A$1:$L$266,4,FALSE)</f>
        <v>51895.566298583777</v>
      </c>
      <c r="U48" s="4">
        <v>51895.566298583799</v>
      </c>
      <c r="V48" s="5">
        <f>VLOOKUP(Q48,POP!$B$5:$M$269,4,FALSE)</f>
        <v>41755557</v>
      </c>
      <c r="W48" s="4">
        <v>41755557</v>
      </c>
      <c r="X48">
        <f>VLOOKUP(Q48,YU!$B$1:$M$266,4,FALSE)</f>
        <v>22.571999999999999</v>
      </c>
      <c r="Y48" s="4">
        <v>22.571999999999999</v>
      </c>
      <c r="Z48">
        <v>5.4648299217224103</v>
      </c>
      <c r="AA48">
        <f t="shared" si="0"/>
        <v>10.856988637731869</v>
      </c>
      <c r="AB48">
        <f t="shared" si="1"/>
        <v>0.33259193561943867</v>
      </c>
      <c r="AC48" s="4">
        <v>0.332591935619444</v>
      </c>
      <c r="AD48">
        <v>1.6354579941590921</v>
      </c>
      <c r="AE48">
        <v>7.2565940170940166</v>
      </c>
      <c r="AG48" s="12">
        <f t="shared" si="2"/>
        <v>0</v>
      </c>
      <c r="AH48" s="12">
        <f t="shared" si="3"/>
        <v>0</v>
      </c>
      <c r="AI48" s="13">
        <f t="shared" si="4"/>
        <v>0</v>
      </c>
      <c r="AJ48" s="14">
        <f t="shared" si="5"/>
        <v>9.2251576748267894E-3</v>
      </c>
    </row>
    <row r="49" spans="1:36" x14ac:dyDescent="0.2">
      <c r="A49">
        <v>2018</v>
      </c>
      <c r="B49" t="s">
        <v>76</v>
      </c>
      <c r="C49">
        <f>VLOOKUP(B49,Sheet5!$B$2:$C$2166,2,FALSE)</f>
        <v>5445</v>
      </c>
      <c r="D49">
        <v>5365</v>
      </c>
      <c r="E49">
        <v>2975</v>
      </c>
      <c r="F49" t="s">
        <v>80</v>
      </c>
      <c r="G49">
        <v>20</v>
      </c>
      <c r="H49">
        <v>8.5876516550647981</v>
      </c>
      <c r="I49">
        <v>1</v>
      </c>
      <c r="J49">
        <v>1</v>
      </c>
      <c r="K49">
        <v>0</v>
      </c>
      <c r="L49">
        <v>-2</v>
      </c>
      <c r="M49" t="s">
        <v>25</v>
      </c>
      <c r="N49" t="s">
        <v>76</v>
      </c>
      <c r="O49">
        <v>1</v>
      </c>
      <c r="P49">
        <v>0</v>
      </c>
      <c r="Q49" t="s">
        <v>78</v>
      </c>
      <c r="R49" t="str">
        <f>VLOOKUP(Q49,GDP!$A$2:$B$266,1,FALSE)</f>
        <v>FRA</v>
      </c>
      <c r="S49" t="str">
        <f>VLOOKUP(Q49,GDP!$A$2:$B$266,2,FALSE)</f>
        <v>France</v>
      </c>
      <c r="T49">
        <f>VLOOKUP(Q49,GDP!$A$1:$L$266,5,FALSE)</f>
        <v>52560.953624384063</v>
      </c>
      <c r="U49" s="4">
        <v>52560.953624384099</v>
      </c>
      <c r="V49" s="5">
        <f>VLOOKUP(Q49,POP!$B$5:$M$269,5,FALSE)</f>
        <v>41758655</v>
      </c>
      <c r="W49" s="4">
        <v>41758655</v>
      </c>
      <c r="X49">
        <f>VLOOKUP(Q49,YU!$B$1:$M$266,5,FALSE)</f>
        <v>20.952999999999999</v>
      </c>
      <c r="Y49" s="4">
        <v>20.952999999999999</v>
      </c>
      <c r="Z49">
        <v>5.4254097938537598</v>
      </c>
      <c r="AA49">
        <f t="shared" si="0"/>
        <v>10.86972879653241</v>
      </c>
      <c r="AB49">
        <f t="shared" si="1"/>
        <v>0.34533209441998025</v>
      </c>
      <c r="AC49" s="4">
        <v>0.34533209441998558</v>
      </c>
      <c r="AD49">
        <v>1.63553218512437</v>
      </c>
      <c r="AE49">
        <v>5.6375940170940169</v>
      </c>
      <c r="AG49" s="12">
        <f t="shared" si="2"/>
        <v>0</v>
      </c>
      <c r="AH49" s="12">
        <f t="shared" si="3"/>
        <v>0</v>
      </c>
      <c r="AI49" s="13">
        <f t="shared" si="4"/>
        <v>0</v>
      </c>
      <c r="AJ49" s="14">
        <f t="shared" si="5"/>
        <v>1.4801380302262857E-2</v>
      </c>
    </row>
    <row r="50" spans="1:36" x14ac:dyDescent="0.2">
      <c r="A50">
        <v>2019</v>
      </c>
      <c r="B50" t="s">
        <v>76</v>
      </c>
      <c r="C50">
        <f>VLOOKUP(B50,Sheet5!$B$2:$C$2166,2,FALSE)</f>
        <v>5445</v>
      </c>
      <c r="D50">
        <v>5550</v>
      </c>
      <c r="E50">
        <v>3000</v>
      </c>
      <c r="F50" t="s">
        <v>81</v>
      </c>
      <c r="G50">
        <v>25</v>
      </c>
      <c r="H50">
        <v>8.6215532067404794</v>
      </c>
      <c r="I50">
        <v>1</v>
      </c>
      <c r="J50">
        <v>1</v>
      </c>
      <c r="K50">
        <v>0</v>
      </c>
      <c r="L50">
        <v>-1</v>
      </c>
      <c r="M50" t="s">
        <v>25</v>
      </c>
      <c r="N50" t="s">
        <v>76</v>
      </c>
      <c r="O50">
        <v>1</v>
      </c>
      <c r="P50">
        <v>0</v>
      </c>
      <c r="Q50" t="s">
        <v>78</v>
      </c>
      <c r="R50" t="str">
        <f>VLOOKUP(Q50,GDP!$A$2:$B$266,1,FALSE)</f>
        <v>FRA</v>
      </c>
      <c r="S50" t="str">
        <f>VLOOKUP(Q50,GDP!$A$2:$B$266,2,FALSE)</f>
        <v>France</v>
      </c>
      <c r="T50">
        <f>VLOOKUP(Q50,GDP!$A$1:$L$266,6,FALSE)</f>
        <v>53448.55488499433</v>
      </c>
      <c r="U50" s="4">
        <v>53448.554884994301</v>
      </c>
      <c r="V50" s="5">
        <f>VLOOKUP(Q50,POP!$B$5:$M$269,6,FALSE)</f>
        <v>41764187</v>
      </c>
      <c r="W50" s="4">
        <v>41764187</v>
      </c>
      <c r="X50">
        <f>VLOOKUP(Q50,YU!$B$1:$M$266,6,FALSE)</f>
        <v>19.928999999999998</v>
      </c>
      <c r="Y50" s="4">
        <v>19.928999999999998</v>
      </c>
      <c r="Z50">
        <v>5.3663802146911603</v>
      </c>
      <c r="AA50">
        <f t="shared" si="0"/>
        <v>10.886474879324256</v>
      </c>
      <c r="AB50">
        <f t="shared" si="1"/>
        <v>0.362078177211826</v>
      </c>
      <c r="AC50" s="4">
        <v>0.36207817721182961</v>
      </c>
      <c r="AD50">
        <v>1.6356646518813831</v>
      </c>
      <c r="AE50">
        <v>4.613594017094016</v>
      </c>
      <c r="AG50" s="12">
        <f t="shared" si="2"/>
        <v>0</v>
      </c>
      <c r="AH50" s="12">
        <f t="shared" si="3"/>
        <v>0</v>
      </c>
      <c r="AI50" s="13">
        <f t="shared" si="4"/>
        <v>0</v>
      </c>
      <c r="AJ50" s="14">
        <f t="shared" si="5"/>
        <v>-1.9100171373418462E-2</v>
      </c>
    </row>
    <row r="51" spans="1:36" x14ac:dyDescent="0.2">
      <c r="A51">
        <v>2020</v>
      </c>
      <c r="B51" t="s">
        <v>76</v>
      </c>
      <c r="C51">
        <f>VLOOKUP(B51,Sheet5!$B$2:$C$2166,2,FALSE)</f>
        <v>5445</v>
      </c>
      <c r="D51">
        <v>5320</v>
      </c>
      <c r="E51">
        <v>2930</v>
      </c>
      <c r="F51" t="s">
        <v>29</v>
      </c>
      <c r="G51">
        <v>10</v>
      </c>
      <c r="H51">
        <v>8.5792285823356895</v>
      </c>
      <c r="I51">
        <v>1</v>
      </c>
      <c r="J51">
        <v>1</v>
      </c>
      <c r="K51">
        <v>0</v>
      </c>
      <c r="L51">
        <v>0</v>
      </c>
      <c r="M51" t="s">
        <v>25</v>
      </c>
      <c r="N51" t="s">
        <v>76</v>
      </c>
      <c r="O51">
        <v>1</v>
      </c>
      <c r="P51">
        <v>0</v>
      </c>
      <c r="Q51" t="s">
        <v>78</v>
      </c>
      <c r="R51" t="str">
        <f>VLOOKUP(Q51,GDP!$A$2:$B$266,1,FALSE)</f>
        <v>FRA</v>
      </c>
      <c r="S51" t="str">
        <f>VLOOKUP(Q51,GDP!$A$2:$B$266,2,FALSE)</f>
        <v>France</v>
      </c>
      <c r="T51">
        <f>VLOOKUP(Q51,GDP!$A$1:$L$266,7,FALSE)</f>
        <v>49311.333409639032</v>
      </c>
      <c r="U51" s="4">
        <v>49311.333409639003</v>
      </c>
      <c r="V51" s="5">
        <f>VLOOKUP(Q51,POP!$B$5:$M$269,7,FALSE)</f>
        <v>41786545</v>
      </c>
      <c r="W51" s="4">
        <v>41786545</v>
      </c>
      <c r="X51">
        <f>VLOOKUP(Q51,YU!$B$1:$M$266,7,FALSE)</f>
        <v>20.398</v>
      </c>
      <c r="Y51" s="4">
        <v>20.398</v>
      </c>
      <c r="Z51">
        <v>5.6587100028991699</v>
      </c>
      <c r="AA51">
        <f t="shared" si="0"/>
        <v>10.80590922021616</v>
      </c>
      <c r="AB51">
        <f t="shared" si="1"/>
        <v>0.2815125181037299</v>
      </c>
      <c r="AC51" s="4">
        <v>0.28151251810373351</v>
      </c>
      <c r="AD51">
        <v>1.6361998476839461</v>
      </c>
      <c r="AE51">
        <v>5.0825940170940171</v>
      </c>
      <c r="AG51" s="12">
        <f t="shared" si="2"/>
        <v>0</v>
      </c>
      <c r="AH51" s="12">
        <f t="shared" si="3"/>
        <v>0</v>
      </c>
      <c r="AI51" s="13">
        <f t="shared" si="4"/>
        <v>0</v>
      </c>
      <c r="AJ51" s="14">
        <f t="shared" si="5"/>
        <v>2.3224453031371439E-2</v>
      </c>
    </row>
    <row r="52" spans="1:36" x14ac:dyDescent="0.2">
      <c r="A52">
        <v>2021</v>
      </c>
      <c r="B52" t="s">
        <v>76</v>
      </c>
      <c r="C52">
        <f>VLOOKUP(B52,Sheet5!$B$2:$C$2166,2,FALSE)</f>
        <v>5445</v>
      </c>
      <c r="D52">
        <v>3685</v>
      </c>
      <c r="E52">
        <v>1515</v>
      </c>
      <c r="F52" t="s">
        <v>82</v>
      </c>
      <c r="G52">
        <v>5</v>
      </c>
      <c r="H52">
        <v>8.2120258046234369</v>
      </c>
      <c r="I52">
        <v>1</v>
      </c>
      <c r="J52">
        <v>1</v>
      </c>
      <c r="K52">
        <v>1</v>
      </c>
      <c r="L52">
        <v>1</v>
      </c>
      <c r="M52" t="s">
        <v>25</v>
      </c>
      <c r="N52" t="s">
        <v>76</v>
      </c>
      <c r="O52">
        <v>1</v>
      </c>
      <c r="P52">
        <v>1</v>
      </c>
      <c r="Q52" t="s">
        <v>78</v>
      </c>
      <c r="R52" t="str">
        <f>VLOOKUP(Q52,GDP!$A$2:$B$266,1,FALSE)</f>
        <v>FRA</v>
      </c>
      <c r="S52" t="str">
        <f>VLOOKUP(Q52,GDP!$A$2:$B$266,2,FALSE)</f>
        <v>France</v>
      </c>
      <c r="T52">
        <f>VLOOKUP(Q52,GDP!$A$1:$L$266,8,FALSE)</f>
        <v>52517.335490585516</v>
      </c>
      <c r="U52" s="4">
        <v>52517.335490585501</v>
      </c>
      <c r="V52" s="5">
        <f>VLOOKUP(Q52,POP!$B$5:$M$269,8,FALSE)</f>
        <v>41861755</v>
      </c>
      <c r="W52" s="4">
        <v>41861755</v>
      </c>
      <c r="X52">
        <f>VLOOKUP(Q52,YU!$B$1:$M$266,8,FALSE)</f>
        <v>19.251999999999999</v>
      </c>
      <c r="Y52" s="4">
        <v>19.251999999999999</v>
      </c>
      <c r="Z52">
        <v>5.4174399375915501</v>
      </c>
      <c r="AA52">
        <f t="shared" si="0"/>
        <v>10.868898593896429</v>
      </c>
      <c r="AB52">
        <f t="shared" si="1"/>
        <v>0.34450189178399881</v>
      </c>
      <c r="AC52" s="4">
        <v>0.34450189178400409</v>
      </c>
      <c r="AD52">
        <v>1.637998091527924</v>
      </c>
      <c r="AE52">
        <v>3.9365940170940159</v>
      </c>
      <c r="AG52" s="12">
        <f t="shared" si="2"/>
        <v>0</v>
      </c>
      <c r="AH52" s="12">
        <f t="shared" si="3"/>
        <v>0</v>
      </c>
      <c r="AI52" s="13">
        <f t="shared" si="4"/>
        <v>0</v>
      </c>
      <c r="AJ52" s="14">
        <f t="shared" si="5"/>
        <v>0.39042723074362407</v>
      </c>
    </row>
    <row r="53" spans="1:36" x14ac:dyDescent="0.2">
      <c r="A53">
        <v>2022</v>
      </c>
      <c r="B53" t="s">
        <v>76</v>
      </c>
      <c r="C53">
        <f>VLOOKUP(B53,Sheet5!$B$2:$C$2166,2,FALSE)</f>
        <v>5445</v>
      </c>
      <c r="D53">
        <v>3070</v>
      </c>
      <c r="E53">
        <v>1360</v>
      </c>
      <c r="F53" t="s">
        <v>83</v>
      </c>
      <c r="G53">
        <v>15</v>
      </c>
      <c r="H53">
        <v>8.0294328405812436</v>
      </c>
      <c r="I53">
        <v>1</v>
      </c>
      <c r="J53">
        <v>1</v>
      </c>
      <c r="K53">
        <v>1</v>
      </c>
      <c r="L53">
        <v>2</v>
      </c>
      <c r="M53" t="s">
        <v>25</v>
      </c>
      <c r="N53" t="s">
        <v>76</v>
      </c>
      <c r="O53">
        <v>1</v>
      </c>
      <c r="P53">
        <v>1</v>
      </c>
      <c r="Q53" t="s">
        <v>78</v>
      </c>
      <c r="R53" t="str">
        <f>VLOOKUP(Q53,GDP!$A$2:$B$266,1,FALSE)</f>
        <v>FRA</v>
      </c>
      <c r="S53" t="str">
        <f>VLOOKUP(Q53,GDP!$A$2:$B$266,2,FALSE)</f>
        <v>France</v>
      </c>
      <c r="T53">
        <f>VLOOKUP(Q53,GDP!$A$1:$L$266,9,FALSE)</f>
        <v>53673.813740642152</v>
      </c>
      <c r="U53" s="4">
        <v>53673.813740642203</v>
      </c>
      <c r="V53" s="5">
        <f>VLOOKUP(Q53,POP!$B$5:$M$269,9,FALSE)</f>
        <v>41995649</v>
      </c>
      <c r="W53" s="4">
        <v>41995649</v>
      </c>
      <c r="X53">
        <f>VLOOKUP(Q53,YU!$B$1:$M$266,9,FALSE)</f>
        <v>17.856000000000002</v>
      </c>
      <c r="Y53" s="4">
        <v>17.856000000000002</v>
      </c>
      <c r="Z53">
        <v>5.3243498802185103</v>
      </c>
      <c r="AA53">
        <f t="shared" si="0"/>
        <v>10.890680521722917</v>
      </c>
      <c r="AB53">
        <f t="shared" si="1"/>
        <v>0.36628381961048717</v>
      </c>
      <c r="AC53" s="4">
        <v>0.36628381961049428</v>
      </c>
      <c r="AD53">
        <v>1.6411914676019941</v>
      </c>
      <c r="AE53">
        <v>2.5405940170940191</v>
      </c>
      <c r="AG53" s="12">
        <f t="shared" si="2"/>
        <v>0</v>
      </c>
      <c r="AH53" s="12">
        <f t="shared" si="3"/>
        <v>0</v>
      </c>
      <c r="AI53" s="13">
        <f t="shared" si="4"/>
        <v>0</v>
      </c>
      <c r="AJ53" s="14">
        <f t="shared" si="5"/>
        <v>0.57302019478581734</v>
      </c>
    </row>
    <row r="54" spans="1:36" x14ac:dyDescent="0.2">
      <c r="A54">
        <v>2023</v>
      </c>
      <c r="B54" t="s">
        <v>76</v>
      </c>
      <c r="C54">
        <f>VLOOKUP(B54,Sheet5!$B$2:$C$2166,2,FALSE)</f>
        <v>5445</v>
      </c>
      <c r="D54">
        <v>2985</v>
      </c>
      <c r="E54">
        <v>1330</v>
      </c>
      <c r="F54" t="s">
        <v>84</v>
      </c>
      <c r="G54">
        <v>15</v>
      </c>
      <c r="H54">
        <v>8.0013550258267028</v>
      </c>
      <c r="I54">
        <v>1</v>
      </c>
      <c r="J54">
        <v>1</v>
      </c>
      <c r="K54">
        <v>1</v>
      </c>
      <c r="L54">
        <v>3</v>
      </c>
      <c r="M54" t="s">
        <v>25</v>
      </c>
      <c r="N54" t="s">
        <v>76</v>
      </c>
      <c r="O54">
        <v>1</v>
      </c>
      <c r="P54">
        <v>1</v>
      </c>
      <c r="Q54" t="s">
        <v>78</v>
      </c>
      <c r="R54" t="str">
        <f>VLOOKUP(Q54,GDP!$A$2:$B$266,1,FALSE)</f>
        <v>FRA</v>
      </c>
      <c r="S54" t="str">
        <f>VLOOKUP(Q54,GDP!$A$2:$B$266,2,FALSE)</f>
        <v>France</v>
      </c>
      <c r="T54">
        <f>VLOOKUP(Q54,GDP!$A$1:$L$266,10,FALSE)</f>
        <v>54296.723089773055</v>
      </c>
      <c r="U54" s="4">
        <v>54296.723089773099</v>
      </c>
      <c r="V54" s="5">
        <f>VLOOKUP(Q54,POP!$B$5:$M$269,10,FALSE)</f>
        <v>42025764</v>
      </c>
      <c r="W54" s="4">
        <v>42025764</v>
      </c>
      <c r="X54">
        <f>VLOOKUP(Q54,YU!$B$1:$M$266,10,FALSE)</f>
        <v>17.419</v>
      </c>
      <c r="Y54" s="4">
        <v>17.419</v>
      </c>
      <c r="AA54">
        <f t="shared" si="0"/>
        <v>10.902219155846359</v>
      </c>
      <c r="AB54">
        <f t="shared" si="1"/>
        <v>0.37782245373392875</v>
      </c>
      <c r="AC54" s="4">
        <v>0.37782245373393408</v>
      </c>
      <c r="AD54">
        <v>1.6419083087074759</v>
      </c>
      <c r="AE54">
        <v>2.1035940170940179</v>
      </c>
      <c r="AG54" s="12">
        <f t="shared" si="2"/>
        <v>0</v>
      </c>
      <c r="AH54" s="12">
        <f t="shared" si="3"/>
        <v>0</v>
      </c>
      <c r="AI54" s="13">
        <f t="shared" si="4"/>
        <v>0</v>
      </c>
      <c r="AJ54" s="14">
        <f t="shared" si="5"/>
        <v>0.60109800954035819</v>
      </c>
    </row>
    <row r="55" spans="1:36" x14ac:dyDescent="0.2">
      <c r="A55">
        <v>2024</v>
      </c>
      <c r="B55" t="s">
        <v>76</v>
      </c>
      <c r="C55">
        <f>VLOOKUP(B55,Sheet5!$B$2:$C$2166,2,FALSE)</f>
        <v>5445</v>
      </c>
      <c r="D55">
        <v>2865</v>
      </c>
      <c r="E55">
        <v>1240</v>
      </c>
      <c r="F55" t="s">
        <v>85</v>
      </c>
      <c r="G55">
        <v>15</v>
      </c>
      <c r="H55">
        <v>7.9603236291488404</v>
      </c>
      <c r="I55">
        <v>1</v>
      </c>
      <c r="J55">
        <v>1</v>
      </c>
      <c r="K55">
        <v>1</v>
      </c>
      <c r="L55">
        <v>4</v>
      </c>
      <c r="M55" t="s">
        <v>25</v>
      </c>
      <c r="N55" t="s">
        <v>76</v>
      </c>
      <c r="O55">
        <v>1</v>
      </c>
      <c r="P55">
        <v>1</v>
      </c>
      <c r="Q55" t="s">
        <v>78</v>
      </c>
      <c r="R55" t="str">
        <f>VLOOKUP(Q55,GDP!$A$2:$B$266,1,FALSE)</f>
        <v>FRA</v>
      </c>
      <c r="S55" t="str">
        <f>VLOOKUP(Q55,GDP!$A$2:$B$266,2,FALSE)</f>
        <v>France</v>
      </c>
      <c r="T55">
        <f>VLOOKUP(Q55,GDP!$A$1:$L$266,11,FALSE)</f>
        <v>54799.348268938855</v>
      </c>
      <c r="U55" s="4">
        <v>54799.348268938898</v>
      </c>
      <c r="V55" s="5">
        <f>VLOOKUP(Q55,POP!$B$5:$M$269,11,FALSE)</f>
        <v>42055285</v>
      </c>
      <c r="W55" s="4">
        <v>42055285</v>
      </c>
      <c r="X55">
        <f>VLOOKUP(Q55,YU!$B$1:$M$266,11,FALSE)</f>
        <v>18.603000000000002</v>
      </c>
      <c r="Y55" s="4">
        <v>18.603000000000002</v>
      </c>
      <c r="AA55">
        <f t="shared" si="0"/>
        <v>10.911433579962811</v>
      </c>
      <c r="AB55">
        <f t="shared" si="1"/>
        <v>0.38703687785038099</v>
      </c>
      <c r="AC55" s="4">
        <v>0.38703687785038632</v>
      </c>
      <c r="AD55">
        <v>1.6426105121543679</v>
      </c>
      <c r="AE55">
        <v>3.287594017094019</v>
      </c>
      <c r="AG55" s="12">
        <f t="shared" si="2"/>
        <v>0</v>
      </c>
      <c r="AH55" s="12">
        <f t="shared" si="3"/>
        <v>0</v>
      </c>
      <c r="AI55" s="13">
        <f t="shared" si="4"/>
        <v>0</v>
      </c>
      <c r="AJ55" s="14">
        <f t="shared" si="5"/>
        <v>0.64212940621822057</v>
      </c>
    </row>
    <row r="56" spans="1:36" x14ac:dyDescent="0.2">
      <c r="A56">
        <v>2016</v>
      </c>
      <c r="B56" t="s">
        <v>86</v>
      </c>
      <c r="C56">
        <f>VLOOKUP(B56,Sheet5!$B$2:$C$2166,2,FALSE)</f>
        <v>3770</v>
      </c>
      <c r="D56">
        <v>3770</v>
      </c>
      <c r="E56">
        <v>2120</v>
      </c>
      <c r="F56" t="s">
        <v>87</v>
      </c>
      <c r="G56">
        <v>10</v>
      </c>
      <c r="H56">
        <v>8.2348302804420559</v>
      </c>
      <c r="I56">
        <v>1</v>
      </c>
      <c r="J56">
        <v>1</v>
      </c>
      <c r="K56">
        <v>0</v>
      </c>
      <c r="L56">
        <v>-4</v>
      </c>
      <c r="M56" t="s">
        <v>25</v>
      </c>
      <c r="N56" t="s">
        <v>86</v>
      </c>
      <c r="O56">
        <v>1</v>
      </c>
      <c r="P56">
        <v>0</v>
      </c>
      <c r="Q56" t="s">
        <v>88</v>
      </c>
      <c r="R56" t="str">
        <f>VLOOKUP(Q56,GDP!$A$2:$B$266,1,FALSE)</f>
        <v>DEU</v>
      </c>
      <c r="S56" t="str">
        <f>VLOOKUP(Q56,GDP!$A$2:$B$266,2,FALSE)</f>
        <v>Germany</v>
      </c>
      <c r="T56">
        <f>VLOOKUP(Q56,GDP!$A$1:$C$266,3,FALSE)</f>
        <v>60504.585741716095</v>
      </c>
      <c r="U56" s="4">
        <v>60504.585741716102</v>
      </c>
      <c r="V56" s="5">
        <f>VLOOKUP(Q56,POP!$B$5:$M$269,3,FALSE)</f>
        <v>53970091</v>
      </c>
      <c r="W56" s="4">
        <v>53970091</v>
      </c>
      <c r="X56">
        <f>VLOOKUP(Q56,YU!$B$1:$D$266,3,FALSE)</f>
        <v>7.0789999999999997</v>
      </c>
      <c r="Y56" s="4">
        <v>7.0789999999999997</v>
      </c>
      <c r="Z56">
        <v>4.7632198333740199</v>
      </c>
      <c r="AA56">
        <f t="shared" si="0"/>
        <v>11.010474438530194</v>
      </c>
      <c r="AB56">
        <f t="shared" si="1"/>
        <v>0.48607773641776397</v>
      </c>
      <c r="AC56" s="4">
        <v>0.4860777364177693</v>
      </c>
      <c r="AD56">
        <v>1.8920554726741281</v>
      </c>
      <c r="AE56">
        <v>-8.2364059829059819</v>
      </c>
      <c r="AG56" s="12">
        <f t="shared" si="2"/>
        <v>0</v>
      </c>
      <c r="AH56" s="12">
        <f t="shared" si="3"/>
        <v>0</v>
      </c>
      <c r="AI56" s="13">
        <f t="shared" si="4"/>
        <v>0</v>
      </c>
      <c r="AJ56" s="14">
        <f t="shared" si="5"/>
        <v>0</v>
      </c>
    </row>
    <row r="57" spans="1:36" x14ac:dyDescent="0.2">
      <c r="A57">
        <v>2017</v>
      </c>
      <c r="B57" t="s">
        <v>86</v>
      </c>
      <c r="C57">
        <f>VLOOKUP(B57,Sheet5!$B$2:$C$2166,2,FALSE)</f>
        <v>3770</v>
      </c>
      <c r="D57">
        <v>3445</v>
      </c>
      <c r="E57">
        <v>1865</v>
      </c>
      <c r="F57" t="s">
        <v>89</v>
      </c>
      <c r="G57">
        <v>10</v>
      </c>
      <c r="H57">
        <v>8.1446791834477583</v>
      </c>
      <c r="I57">
        <v>1</v>
      </c>
      <c r="J57">
        <v>1</v>
      </c>
      <c r="K57">
        <v>0</v>
      </c>
      <c r="L57">
        <v>-3</v>
      </c>
      <c r="M57" t="s">
        <v>25</v>
      </c>
      <c r="N57" t="s">
        <v>86</v>
      </c>
      <c r="O57">
        <v>1</v>
      </c>
      <c r="P57">
        <v>0</v>
      </c>
      <c r="Q57" t="s">
        <v>88</v>
      </c>
      <c r="R57" t="str">
        <f>VLOOKUP(Q57,GDP!$A$2:$B$266,1,FALSE)</f>
        <v>DEU</v>
      </c>
      <c r="S57" t="str">
        <f>VLOOKUP(Q57,GDP!$A$2:$B$266,2,FALSE)</f>
        <v>Germany</v>
      </c>
      <c r="T57">
        <f>VLOOKUP(Q57,GDP!$A$1:$L$266,4,FALSE)</f>
        <v>61965.434290496472</v>
      </c>
      <c r="U57" s="4">
        <v>61965.434290496501</v>
      </c>
      <c r="V57" s="5">
        <f>VLOOKUP(Q57,POP!$B$5:$M$269,4,FALSE)</f>
        <v>53933149</v>
      </c>
      <c r="W57" s="4">
        <v>53933149</v>
      </c>
      <c r="X57">
        <f>VLOOKUP(Q57,YU!$B$1:$M$266,4,FALSE)</f>
        <v>6.77</v>
      </c>
      <c r="Y57" s="4">
        <v>6.77</v>
      </c>
      <c r="Z57">
        <v>4.7783098220825204</v>
      </c>
      <c r="AA57">
        <f t="shared" si="0"/>
        <v>11.034331997116333</v>
      </c>
      <c r="AB57">
        <f t="shared" si="1"/>
        <v>0.50993529500390267</v>
      </c>
      <c r="AC57" s="4">
        <v>0.509935295003908</v>
      </c>
      <c r="AD57">
        <v>1.8913707480737669</v>
      </c>
      <c r="AE57">
        <v>-8.545405982905983</v>
      </c>
      <c r="AG57" s="12">
        <f t="shared" si="2"/>
        <v>0</v>
      </c>
      <c r="AH57" s="12">
        <f t="shared" si="3"/>
        <v>0</v>
      </c>
      <c r="AI57" s="13">
        <f t="shared" si="4"/>
        <v>0</v>
      </c>
      <c r="AJ57" s="14">
        <f t="shared" si="5"/>
        <v>9.0151096994297575E-2</v>
      </c>
    </row>
    <row r="58" spans="1:36" x14ac:dyDescent="0.2">
      <c r="A58">
        <v>2018</v>
      </c>
      <c r="B58" t="s">
        <v>86</v>
      </c>
      <c r="C58">
        <f>VLOOKUP(B58,Sheet5!$B$2:$C$2166,2,FALSE)</f>
        <v>3770</v>
      </c>
      <c r="D58">
        <v>3625</v>
      </c>
      <c r="E58">
        <v>2000</v>
      </c>
      <c r="F58" t="s">
        <v>66</v>
      </c>
      <c r="G58">
        <v>15</v>
      </c>
      <c r="H58">
        <v>8.1956095672887752</v>
      </c>
      <c r="I58">
        <v>1</v>
      </c>
      <c r="J58">
        <v>1</v>
      </c>
      <c r="K58">
        <v>0</v>
      </c>
      <c r="L58">
        <v>-2</v>
      </c>
      <c r="M58" t="s">
        <v>25</v>
      </c>
      <c r="N58" t="s">
        <v>86</v>
      </c>
      <c r="O58">
        <v>1</v>
      </c>
      <c r="P58">
        <v>0</v>
      </c>
      <c r="Q58" t="s">
        <v>88</v>
      </c>
      <c r="R58" t="str">
        <f>VLOOKUP(Q58,GDP!$A$2:$B$266,1,FALSE)</f>
        <v>DEU</v>
      </c>
      <c r="S58" t="str">
        <f>VLOOKUP(Q58,GDP!$A$2:$B$266,2,FALSE)</f>
        <v>Germany</v>
      </c>
      <c r="T58">
        <f>VLOOKUP(Q58,GDP!$A$1:$L$266,5,FALSE)</f>
        <v>62481.11839710451</v>
      </c>
      <c r="U58" s="4">
        <v>62481.118397104503</v>
      </c>
      <c r="V58" s="5">
        <f>VLOOKUP(Q58,POP!$B$5:$M$269,5,FALSE)</f>
        <v>53878496</v>
      </c>
      <c r="W58" s="4">
        <v>53878496</v>
      </c>
      <c r="X58">
        <f>VLOOKUP(Q58,YU!$B$1:$M$266,5,FALSE)</f>
        <v>6.22</v>
      </c>
      <c r="Y58" s="4">
        <v>6.22</v>
      </c>
      <c r="Z58">
        <v>4.8840198516845703</v>
      </c>
      <c r="AA58">
        <f t="shared" si="0"/>
        <v>11.042619684435062</v>
      </c>
      <c r="AB58">
        <f t="shared" si="1"/>
        <v>0.51822298232263186</v>
      </c>
      <c r="AC58" s="4">
        <v>0.51822298232263719</v>
      </c>
      <c r="AD58">
        <v>1.8903568871929379</v>
      </c>
      <c r="AE58">
        <v>-9.0954059829059837</v>
      </c>
      <c r="AG58" s="12">
        <f t="shared" si="2"/>
        <v>0</v>
      </c>
      <c r="AH58" s="12">
        <f t="shared" si="3"/>
        <v>0</v>
      </c>
      <c r="AI58" s="13">
        <f t="shared" si="4"/>
        <v>0</v>
      </c>
      <c r="AJ58" s="14">
        <f t="shared" si="5"/>
        <v>3.9220713153280684E-2</v>
      </c>
    </row>
    <row r="59" spans="1:36" x14ac:dyDescent="0.2">
      <c r="A59">
        <v>2019</v>
      </c>
      <c r="B59" t="s">
        <v>86</v>
      </c>
      <c r="C59">
        <f>VLOOKUP(B59,Sheet5!$B$2:$C$2166,2,FALSE)</f>
        <v>3770</v>
      </c>
      <c r="D59">
        <v>3330</v>
      </c>
      <c r="E59">
        <v>1755</v>
      </c>
      <c r="F59" t="s">
        <v>90</v>
      </c>
      <c r="G59">
        <v>15</v>
      </c>
      <c r="H59">
        <v>8.1107275829744889</v>
      </c>
      <c r="I59">
        <v>1</v>
      </c>
      <c r="J59">
        <v>1</v>
      </c>
      <c r="K59">
        <v>0</v>
      </c>
      <c r="L59">
        <v>-1</v>
      </c>
      <c r="M59" t="s">
        <v>25</v>
      </c>
      <c r="N59" t="s">
        <v>86</v>
      </c>
      <c r="O59">
        <v>1</v>
      </c>
      <c r="P59">
        <v>0</v>
      </c>
      <c r="Q59" t="s">
        <v>88</v>
      </c>
      <c r="R59" t="str">
        <f>VLOOKUP(Q59,GDP!$A$2:$B$266,1,FALSE)</f>
        <v>DEU</v>
      </c>
      <c r="S59" t="str">
        <f>VLOOKUP(Q59,GDP!$A$2:$B$266,2,FALSE)</f>
        <v>Germany</v>
      </c>
      <c r="T59">
        <f>VLOOKUP(Q59,GDP!$A$1:$L$266,6,FALSE)</f>
        <v>62949.893251185516</v>
      </c>
      <c r="U59" s="4">
        <v>62949.893251185502</v>
      </c>
      <c r="V59" s="5">
        <f>VLOOKUP(Q59,POP!$B$5:$M$269,6,FALSE)</f>
        <v>53768633</v>
      </c>
      <c r="W59" s="4">
        <v>53768633</v>
      </c>
      <c r="X59">
        <f>VLOOKUP(Q59,YU!$B$1:$M$266,6,FALSE)</f>
        <v>5.859</v>
      </c>
      <c r="Y59" s="4">
        <v>5.859</v>
      </c>
      <c r="Z59">
        <v>5.0275797843933097</v>
      </c>
      <c r="AA59">
        <f t="shared" si="0"/>
        <v>11.050094343699579</v>
      </c>
      <c r="AB59">
        <f t="shared" si="1"/>
        <v>0.52569764158714882</v>
      </c>
      <c r="AC59" s="4">
        <v>0.52569764158715415</v>
      </c>
      <c r="AD59">
        <v>1.888315717323112</v>
      </c>
      <c r="AE59">
        <v>-9.4564059829059826</v>
      </c>
      <c r="AG59" s="12">
        <f t="shared" si="2"/>
        <v>0</v>
      </c>
      <c r="AH59" s="12">
        <f t="shared" si="3"/>
        <v>0</v>
      </c>
      <c r="AI59" s="13">
        <f t="shared" si="4"/>
        <v>0</v>
      </c>
      <c r="AJ59" s="14">
        <f t="shared" si="5"/>
        <v>0.12410269746756697</v>
      </c>
    </row>
    <row r="60" spans="1:36" x14ac:dyDescent="0.2">
      <c r="A60">
        <v>2020</v>
      </c>
      <c r="B60" t="s">
        <v>86</v>
      </c>
      <c r="C60">
        <f>VLOOKUP(B60,Sheet5!$B$2:$C$2166,2,FALSE)</f>
        <v>3770</v>
      </c>
      <c r="D60">
        <v>3250</v>
      </c>
      <c r="E60">
        <v>1775</v>
      </c>
      <c r="F60" t="s">
        <v>91</v>
      </c>
      <c r="G60">
        <v>35</v>
      </c>
      <c r="H60">
        <v>8.0864102753237823</v>
      </c>
      <c r="I60">
        <v>1</v>
      </c>
      <c r="J60">
        <v>1</v>
      </c>
      <c r="K60">
        <v>0</v>
      </c>
      <c r="L60">
        <v>0</v>
      </c>
      <c r="M60" t="s">
        <v>25</v>
      </c>
      <c r="N60" t="s">
        <v>86</v>
      </c>
      <c r="O60">
        <v>1</v>
      </c>
      <c r="P60">
        <v>0</v>
      </c>
      <c r="Q60" t="s">
        <v>88</v>
      </c>
      <c r="R60" t="str">
        <f>VLOOKUP(Q60,GDP!$A$2:$B$266,1,FALSE)</f>
        <v>DEU</v>
      </c>
      <c r="S60" t="str">
        <f>VLOOKUP(Q60,GDP!$A$2:$B$266,2,FALSE)</f>
        <v>Germany</v>
      </c>
      <c r="T60">
        <f>VLOOKUP(Q60,GDP!$A$1:$L$266,7,FALSE)</f>
        <v>60299.576771080945</v>
      </c>
      <c r="U60" s="4">
        <v>60299.576771080901</v>
      </c>
      <c r="V60" s="5">
        <f>VLOOKUP(Q60,POP!$B$5:$M$269,7,FALSE)</f>
        <v>53550233</v>
      </c>
      <c r="W60" s="4">
        <v>53550233</v>
      </c>
      <c r="X60">
        <f>VLOOKUP(Q60,YU!$B$1:$M$266,7,FALSE)</f>
        <v>7.8620000000000001</v>
      </c>
      <c r="Y60" s="4">
        <v>7.8620000000000001</v>
      </c>
      <c r="Z60">
        <v>5.5160098075866699</v>
      </c>
      <c r="AA60">
        <f t="shared" si="0"/>
        <v>11.007080363968937</v>
      </c>
      <c r="AB60">
        <f t="shared" si="1"/>
        <v>0.48268366185650713</v>
      </c>
      <c r="AC60" s="4">
        <v>0.48268366185651068</v>
      </c>
      <c r="AD60">
        <v>1.884245597881135</v>
      </c>
      <c r="AE60">
        <v>-7.4534059829059824</v>
      </c>
      <c r="AG60" s="12">
        <f t="shared" si="2"/>
        <v>0</v>
      </c>
      <c r="AH60" s="12">
        <f t="shared" si="3"/>
        <v>0</v>
      </c>
      <c r="AI60" s="13">
        <f t="shared" si="4"/>
        <v>0</v>
      </c>
      <c r="AJ60" s="14">
        <f t="shared" si="5"/>
        <v>0.14842000511827358</v>
      </c>
    </row>
    <row r="61" spans="1:36" x14ac:dyDescent="0.2">
      <c r="A61">
        <v>2021</v>
      </c>
      <c r="B61" t="s">
        <v>86</v>
      </c>
      <c r="C61">
        <f>VLOOKUP(B61,Sheet5!$B$2:$C$2166,2,FALSE)</f>
        <v>3770</v>
      </c>
      <c r="D61">
        <v>2140</v>
      </c>
      <c r="E61">
        <v>895</v>
      </c>
      <c r="F61" t="s">
        <v>92</v>
      </c>
      <c r="G61">
        <v>5</v>
      </c>
      <c r="H61">
        <v>7.6685611080158971</v>
      </c>
      <c r="I61">
        <v>1</v>
      </c>
      <c r="J61">
        <v>1</v>
      </c>
      <c r="K61">
        <v>1</v>
      </c>
      <c r="L61">
        <v>1</v>
      </c>
      <c r="M61" t="s">
        <v>25</v>
      </c>
      <c r="N61" t="s">
        <v>86</v>
      </c>
      <c r="O61">
        <v>1</v>
      </c>
      <c r="P61">
        <v>1</v>
      </c>
      <c r="Q61" t="s">
        <v>88</v>
      </c>
      <c r="R61" t="str">
        <f>VLOOKUP(Q61,GDP!$A$2:$B$266,1,FALSE)</f>
        <v>DEU</v>
      </c>
      <c r="S61" t="str">
        <f>VLOOKUP(Q61,GDP!$A$2:$B$266,2,FALSE)</f>
        <v>Germany</v>
      </c>
      <c r="T61">
        <f>VLOOKUP(Q61,GDP!$A$1:$L$266,8,FALSE)</f>
        <v>62630.7748127737</v>
      </c>
      <c r="U61" s="4">
        <v>62630.7748127737</v>
      </c>
      <c r="V61" s="5">
        <f>VLOOKUP(Q61,POP!$B$5:$M$269,8,FALSE)</f>
        <v>53251922</v>
      </c>
      <c r="W61" s="4">
        <v>53251922</v>
      </c>
      <c r="X61">
        <f>VLOOKUP(Q61,YU!$B$1:$M$266,8,FALSE)</f>
        <v>6.665</v>
      </c>
      <c r="Y61" s="4">
        <v>6.665</v>
      </c>
      <c r="Z61">
        <v>5.3673400878906197</v>
      </c>
      <c r="AA61">
        <f t="shared" si="0"/>
        <v>11.045012046715069</v>
      </c>
      <c r="AB61">
        <f t="shared" si="1"/>
        <v>0.52061534460263914</v>
      </c>
      <c r="AC61" s="4">
        <v>0.52061534460264447</v>
      </c>
      <c r="AD61">
        <v>1.8786593477579581</v>
      </c>
      <c r="AE61">
        <v>-8.6504059829059834</v>
      </c>
      <c r="AG61" s="12">
        <f t="shared" si="2"/>
        <v>0</v>
      </c>
      <c r="AH61" s="12">
        <f t="shared" si="3"/>
        <v>0</v>
      </c>
      <c r="AI61" s="13">
        <f t="shared" si="4"/>
        <v>0</v>
      </c>
      <c r="AJ61" s="14">
        <f t="shared" si="5"/>
        <v>0.56626917242615882</v>
      </c>
    </row>
    <row r="62" spans="1:36" x14ac:dyDescent="0.2">
      <c r="A62">
        <v>2022</v>
      </c>
      <c r="B62" t="s">
        <v>86</v>
      </c>
      <c r="C62">
        <f>VLOOKUP(B62,Sheet5!$B$2:$C$2166,2,FALSE)</f>
        <v>3770</v>
      </c>
      <c r="D62">
        <v>1860</v>
      </c>
      <c r="E62">
        <v>800</v>
      </c>
      <c r="F62" t="s">
        <v>93</v>
      </c>
      <c r="G62">
        <v>15</v>
      </c>
      <c r="H62">
        <v>7.5283317667072467</v>
      </c>
      <c r="I62">
        <v>1</v>
      </c>
      <c r="J62">
        <v>1</v>
      </c>
      <c r="K62">
        <v>1</v>
      </c>
      <c r="L62">
        <v>2</v>
      </c>
      <c r="M62" t="s">
        <v>25</v>
      </c>
      <c r="N62" t="s">
        <v>86</v>
      </c>
      <c r="O62">
        <v>1</v>
      </c>
      <c r="P62">
        <v>1</v>
      </c>
      <c r="Q62" t="s">
        <v>88</v>
      </c>
      <c r="R62" t="str">
        <f>VLOOKUP(Q62,GDP!$A$2:$B$266,1,FALSE)</f>
        <v>DEU</v>
      </c>
      <c r="S62" t="str">
        <f>VLOOKUP(Q62,GDP!$A$2:$B$266,2,FALSE)</f>
        <v>Germany</v>
      </c>
      <c r="T62">
        <f>VLOOKUP(Q62,GDP!$A$1:$L$266,9,FALSE)</f>
        <v>63777.929102929935</v>
      </c>
      <c r="U62" s="4">
        <v>63777.929102929898</v>
      </c>
      <c r="V62" s="5">
        <f>VLOOKUP(Q62,POP!$B$5:$M$269,9,FALSE)</f>
        <v>52924847</v>
      </c>
      <c r="W62" s="4">
        <v>52924847</v>
      </c>
      <c r="X62">
        <f>VLOOKUP(Q62,YU!$B$1:$M$266,9,FALSE)</f>
        <v>6.0490000000000004</v>
      </c>
      <c r="Y62" s="4">
        <v>6.0490000000000004</v>
      </c>
      <c r="Z62">
        <v>5.2391600608825701</v>
      </c>
      <c r="AA62">
        <f t="shared" si="0"/>
        <v>11.063162470656692</v>
      </c>
      <c r="AB62">
        <f t="shared" si="1"/>
        <v>0.53876576854426261</v>
      </c>
      <c r="AC62" s="4">
        <v>0.53876576854426794</v>
      </c>
      <c r="AD62">
        <v>1.872498376056503</v>
      </c>
      <c r="AE62">
        <v>-9.2664059829059831</v>
      </c>
      <c r="AG62" s="12">
        <f t="shared" si="2"/>
        <v>0</v>
      </c>
      <c r="AH62" s="12">
        <f t="shared" si="3"/>
        <v>0</v>
      </c>
      <c r="AI62" s="13">
        <f t="shared" si="4"/>
        <v>0</v>
      </c>
      <c r="AJ62" s="14">
        <f t="shared" si="5"/>
        <v>0.70649851373480921</v>
      </c>
    </row>
    <row r="63" spans="1:36" x14ac:dyDescent="0.2">
      <c r="A63">
        <v>2023</v>
      </c>
      <c r="B63" t="s">
        <v>86</v>
      </c>
      <c r="C63">
        <f>VLOOKUP(B63,Sheet5!$B$2:$C$2166,2,FALSE)</f>
        <v>3770</v>
      </c>
      <c r="D63">
        <v>1810</v>
      </c>
      <c r="E63">
        <v>735</v>
      </c>
      <c r="F63" t="s">
        <v>94</v>
      </c>
      <c r="G63">
        <v>20</v>
      </c>
      <c r="H63">
        <v>7.5010821242598711</v>
      </c>
      <c r="I63">
        <v>1</v>
      </c>
      <c r="J63">
        <v>1</v>
      </c>
      <c r="K63">
        <v>1</v>
      </c>
      <c r="L63">
        <v>3</v>
      </c>
      <c r="M63" t="s">
        <v>25</v>
      </c>
      <c r="N63" t="s">
        <v>86</v>
      </c>
      <c r="O63">
        <v>1</v>
      </c>
      <c r="P63">
        <v>1</v>
      </c>
      <c r="Q63" t="s">
        <v>88</v>
      </c>
      <c r="R63" t="str">
        <f>VLOOKUP(Q63,GDP!$A$2:$B$266,1,FALSE)</f>
        <v>DEU</v>
      </c>
      <c r="S63" t="str">
        <f>VLOOKUP(Q63,GDP!$A$2:$B$266,2,FALSE)</f>
        <v>Germany</v>
      </c>
      <c r="T63">
        <f>VLOOKUP(Q63,GDP!$A$1:$L$266,10,FALSE)</f>
        <v>63140.194909966936</v>
      </c>
      <c r="U63" s="4">
        <v>63140.1949099669</v>
      </c>
      <c r="V63" s="5">
        <f>VLOOKUP(Q63,POP!$B$5:$M$269,10,FALSE)</f>
        <v>52716168</v>
      </c>
      <c r="W63" s="4">
        <v>52716168</v>
      </c>
      <c r="X63">
        <f>VLOOKUP(Q63,YU!$B$1:$M$266,10,FALSE)</f>
        <v>6.02</v>
      </c>
      <c r="Y63" s="4">
        <v>6.02</v>
      </c>
      <c r="AA63">
        <f t="shared" si="0"/>
        <v>11.05311284905633</v>
      </c>
      <c r="AB63">
        <f t="shared" si="1"/>
        <v>0.5287161469438999</v>
      </c>
      <c r="AC63" s="4">
        <v>0.52871614694390523</v>
      </c>
      <c r="AD63">
        <v>1.8685476515878729</v>
      </c>
      <c r="AE63">
        <v>-9.295405982905983</v>
      </c>
      <c r="AG63" s="12">
        <f t="shared" si="2"/>
        <v>0</v>
      </c>
      <c r="AH63" s="12">
        <f t="shared" si="3"/>
        <v>0</v>
      </c>
      <c r="AI63" s="13">
        <f t="shared" si="4"/>
        <v>0</v>
      </c>
      <c r="AJ63" s="14">
        <f t="shared" si="5"/>
        <v>0.73374815618218481</v>
      </c>
    </row>
    <row r="64" spans="1:36" x14ac:dyDescent="0.2">
      <c r="A64">
        <v>2024</v>
      </c>
      <c r="B64" t="s">
        <v>86</v>
      </c>
      <c r="C64">
        <f>VLOOKUP(B64,Sheet5!$B$2:$C$2166,2,FALSE)</f>
        <v>3770</v>
      </c>
      <c r="D64">
        <v>1635</v>
      </c>
      <c r="E64">
        <v>650</v>
      </c>
      <c r="F64" t="s">
        <v>95</v>
      </c>
      <c r="G64">
        <v>15</v>
      </c>
      <c r="H64">
        <v>7.399398083331354</v>
      </c>
      <c r="I64">
        <v>1</v>
      </c>
      <c r="J64">
        <v>1</v>
      </c>
      <c r="K64">
        <v>1</v>
      </c>
      <c r="L64">
        <v>4</v>
      </c>
      <c r="M64" t="s">
        <v>25</v>
      </c>
      <c r="N64" t="s">
        <v>86</v>
      </c>
      <c r="O64">
        <v>1</v>
      </c>
      <c r="P64">
        <v>1</v>
      </c>
      <c r="Q64" t="s">
        <v>88</v>
      </c>
      <c r="R64" t="str">
        <f>VLOOKUP(Q64,GDP!$A$2:$B$266,1,FALSE)</f>
        <v>DEU</v>
      </c>
      <c r="S64" t="str">
        <f>VLOOKUP(Q64,GDP!$A$2:$B$266,2,FALSE)</f>
        <v>Germany</v>
      </c>
      <c r="T64">
        <f>VLOOKUP(Q64,GDP!$A$1:$L$266,11,FALSE)</f>
        <v>62654.602264022993</v>
      </c>
      <c r="U64" s="4">
        <v>62654.602264023</v>
      </c>
      <c r="V64" s="5">
        <f>VLOOKUP(Q64,POP!$B$5:$M$269,11,FALSE)</f>
        <v>52527137</v>
      </c>
      <c r="W64" s="4">
        <v>52527137</v>
      </c>
      <c r="X64">
        <f>VLOOKUP(Q64,YU!$B$1:$M$266,11,FALSE)</f>
        <v>6.6040000000000001</v>
      </c>
      <c r="Y64" s="4">
        <v>6.6040000000000001</v>
      </c>
      <c r="AA64">
        <f t="shared" si="0"/>
        <v>11.045392417546726</v>
      </c>
      <c r="AB64">
        <f t="shared" si="1"/>
        <v>0.5209957154342959</v>
      </c>
      <c r="AC64" s="4">
        <v>0.52099571543430123</v>
      </c>
      <c r="AD64">
        <v>1.8649553812144239</v>
      </c>
      <c r="AE64">
        <v>-8.7114059829059833</v>
      </c>
      <c r="AG64" s="12">
        <f t="shared" si="2"/>
        <v>0</v>
      </c>
      <c r="AH64" s="12">
        <f t="shared" si="3"/>
        <v>0</v>
      </c>
      <c r="AI64" s="13">
        <f t="shared" si="4"/>
        <v>0</v>
      </c>
      <c r="AJ64" s="14">
        <f t="shared" si="5"/>
        <v>0.83543219711070194</v>
      </c>
    </row>
    <row r="65" spans="1:36" x14ac:dyDescent="0.2">
      <c r="A65">
        <v>2016</v>
      </c>
      <c r="B65" t="s">
        <v>96</v>
      </c>
      <c r="C65">
        <f>VLOOKUP(B65,Sheet5!$B$2:$C$2166,2,FALSE)</f>
        <v>2460</v>
      </c>
      <c r="D65">
        <v>2460</v>
      </c>
      <c r="E65">
        <v>1710</v>
      </c>
      <c r="F65" t="s">
        <v>97</v>
      </c>
      <c r="G65">
        <v>10</v>
      </c>
      <c r="H65">
        <v>7.8079166289264084</v>
      </c>
      <c r="I65">
        <v>1</v>
      </c>
      <c r="J65">
        <v>1</v>
      </c>
      <c r="K65">
        <v>0</v>
      </c>
      <c r="L65">
        <v>-4</v>
      </c>
      <c r="M65" t="s">
        <v>25</v>
      </c>
      <c r="N65" t="s">
        <v>96</v>
      </c>
      <c r="O65">
        <v>1</v>
      </c>
      <c r="P65">
        <v>0</v>
      </c>
      <c r="Q65" t="s">
        <v>98</v>
      </c>
      <c r="R65" t="str">
        <f>VLOOKUP(Q65,GDP!$A$2:$B$266,1,FALSE)</f>
        <v>GRC</v>
      </c>
      <c r="S65" t="str">
        <f>VLOOKUP(Q65,GDP!$A$2:$B$266,2,FALSE)</f>
        <v>Greece</v>
      </c>
      <c r="T65">
        <f>VLOOKUP(Q65,GDP!$A$1:$C$266,3,FALSE)</f>
        <v>31468.619847109851</v>
      </c>
      <c r="U65" s="4">
        <v>31468.619847109901</v>
      </c>
      <c r="V65" s="5">
        <f>VLOOKUP(Q65,POP!$B$5:$M$269,3,FALSE)</f>
        <v>6914252</v>
      </c>
      <c r="W65" s="4">
        <v>6914252</v>
      </c>
      <c r="X65">
        <f>VLOOKUP(Q65,YU!$B$1:$D$266,3,FALSE)</f>
        <v>47.222999999999999</v>
      </c>
      <c r="Y65" s="4">
        <v>47.222999999999999</v>
      </c>
      <c r="AA65">
        <f t="shared" si="0"/>
        <v>10.356746132951521</v>
      </c>
      <c r="AB65">
        <f t="shared" si="1"/>
        <v>-0.1676505691609087</v>
      </c>
      <c r="AC65" s="4">
        <v>-0.1676505691609016</v>
      </c>
      <c r="AD65">
        <v>-0.1627897614545937</v>
      </c>
      <c r="AE65">
        <v>31.90759401709402</v>
      </c>
      <c r="AG65" s="12">
        <f t="shared" si="2"/>
        <v>-5.0931703299283981E-11</v>
      </c>
      <c r="AH65" s="12">
        <f t="shared" si="3"/>
        <v>0</v>
      </c>
      <c r="AI65" s="13">
        <f t="shared" si="4"/>
        <v>0</v>
      </c>
      <c r="AJ65" s="14">
        <f t="shared" si="5"/>
        <v>0</v>
      </c>
    </row>
    <row r="66" spans="1:36" x14ac:dyDescent="0.2">
      <c r="A66">
        <v>2017</v>
      </c>
      <c r="B66" t="s">
        <v>96</v>
      </c>
      <c r="C66">
        <f>VLOOKUP(B66,Sheet5!$B$2:$C$2166,2,FALSE)</f>
        <v>2460</v>
      </c>
      <c r="D66">
        <v>2450</v>
      </c>
      <c r="E66">
        <v>1715</v>
      </c>
      <c r="F66" t="s">
        <v>99</v>
      </c>
      <c r="G66">
        <v>15</v>
      </c>
      <c r="H66">
        <v>7.8038433035387724</v>
      </c>
      <c r="I66">
        <v>1</v>
      </c>
      <c r="J66">
        <v>1</v>
      </c>
      <c r="K66">
        <v>0</v>
      </c>
      <c r="L66">
        <v>-3</v>
      </c>
      <c r="M66" t="s">
        <v>25</v>
      </c>
      <c r="N66" t="s">
        <v>96</v>
      </c>
      <c r="O66">
        <v>1</v>
      </c>
      <c r="P66">
        <v>0</v>
      </c>
      <c r="Q66" t="s">
        <v>98</v>
      </c>
      <c r="R66" t="str">
        <f>VLOOKUP(Q66,GDP!$A$2:$B$266,1,FALSE)</f>
        <v>GRC</v>
      </c>
      <c r="S66" t="str">
        <f>VLOOKUP(Q66,GDP!$A$2:$B$266,2,FALSE)</f>
        <v>Greece</v>
      </c>
      <c r="T66">
        <f>VLOOKUP(Q66,GDP!$A$1:$L$266,4,FALSE)</f>
        <v>31995.410883838642</v>
      </c>
      <c r="U66" s="4">
        <v>31995.410883838598</v>
      </c>
      <c r="V66" s="5">
        <f>VLOOKUP(Q66,POP!$B$5:$M$269,4,FALSE)</f>
        <v>6874783</v>
      </c>
      <c r="W66" s="4">
        <v>6874783</v>
      </c>
      <c r="X66">
        <f>VLOOKUP(Q66,YU!$B$1:$M$266,4,FALSE)</f>
        <v>43.392000000000003</v>
      </c>
      <c r="Y66" s="4">
        <v>43.392000000000003</v>
      </c>
      <c r="Z66">
        <v>3.46778011322021</v>
      </c>
      <c r="AA66">
        <f t="shared" si="0"/>
        <v>10.373347761617641</v>
      </c>
      <c r="AB66">
        <f t="shared" si="1"/>
        <v>-0.15104894049478901</v>
      </c>
      <c r="AC66" s="4">
        <v>-0.15104894049478551</v>
      </c>
      <c r="AD66">
        <v>-0.16851447065879199</v>
      </c>
      <c r="AE66">
        <v>28.07659401709402</v>
      </c>
      <c r="AG66" s="12">
        <f t="shared" si="2"/>
        <v>4.3655745685100555E-11</v>
      </c>
      <c r="AH66" s="12">
        <f t="shared" si="3"/>
        <v>0</v>
      </c>
      <c r="AI66" s="13">
        <f t="shared" si="4"/>
        <v>0</v>
      </c>
      <c r="AJ66" s="14">
        <f t="shared" si="5"/>
        <v>4.0733253876359399E-3</v>
      </c>
    </row>
    <row r="67" spans="1:36" x14ac:dyDescent="0.2">
      <c r="A67">
        <v>2018</v>
      </c>
      <c r="B67" t="s">
        <v>96</v>
      </c>
      <c r="C67">
        <f>VLOOKUP(B67,Sheet5!$B$2:$C$2166,2,FALSE)</f>
        <v>2460</v>
      </c>
      <c r="D67">
        <v>2430</v>
      </c>
      <c r="E67">
        <v>1695</v>
      </c>
      <c r="F67" t="s">
        <v>100</v>
      </c>
      <c r="G67">
        <v>20</v>
      </c>
      <c r="H67">
        <v>7.7956465363345941</v>
      </c>
      <c r="I67">
        <v>1</v>
      </c>
      <c r="J67">
        <v>1</v>
      </c>
      <c r="K67">
        <v>0</v>
      </c>
      <c r="L67">
        <v>-2</v>
      </c>
      <c r="M67" t="s">
        <v>25</v>
      </c>
      <c r="N67" t="s">
        <v>96</v>
      </c>
      <c r="O67">
        <v>1</v>
      </c>
      <c r="P67">
        <v>0</v>
      </c>
      <c r="Q67" t="s">
        <v>98</v>
      </c>
      <c r="R67" t="str">
        <f>VLOOKUP(Q67,GDP!$A$2:$B$266,1,FALSE)</f>
        <v>GRC</v>
      </c>
      <c r="S67" t="str">
        <f>VLOOKUP(Q67,GDP!$A$2:$B$266,2,FALSE)</f>
        <v>Greece</v>
      </c>
      <c r="T67">
        <f>VLOOKUP(Q67,GDP!$A$1:$L$266,5,FALSE)</f>
        <v>32722.331044402927</v>
      </c>
      <c r="U67" s="4">
        <v>32722.331044402901</v>
      </c>
      <c r="V67" s="5">
        <f>VLOOKUP(Q67,POP!$B$5:$M$269,5,FALSE)</f>
        <v>6840585</v>
      </c>
      <c r="W67" s="4">
        <v>6840585</v>
      </c>
      <c r="X67">
        <f>VLOOKUP(Q67,YU!$B$1:$M$266,5,FALSE)</f>
        <v>40.011000000000003</v>
      </c>
      <c r="Y67" s="4">
        <v>40.011000000000003</v>
      </c>
      <c r="Z67">
        <v>3.5762600898742698</v>
      </c>
      <c r="AA67">
        <f t="shared" ref="AA67:AA130" si="6">LN(T67)</f>
        <v>10.395813030367433</v>
      </c>
      <c r="AB67">
        <f t="shared" ref="AB67:AB130" si="7">AA67-AVERAGE($AA$2:$AA$469)</f>
        <v>-0.12858367174499641</v>
      </c>
      <c r="AC67" s="4">
        <v>-0.12858367174499291</v>
      </c>
      <c r="AD67">
        <v>-0.17350129578383999</v>
      </c>
      <c r="AE67">
        <v>24.69559401709402</v>
      </c>
      <c r="AG67" s="12">
        <f t="shared" ref="AG67:AG130" si="8">T67-U67</f>
        <v>0</v>
      </c>
      <c r="AH67" s="12">
        <f t="shared" ref="AH67:AH130" si="9">V67-W67</f>
        <v>0</v>
      </c>
      <c r="AI67" s="13">
        <f t="shared" ref="AI67:AI130" si="10">X67-Y67</f>
        <v>0</v>
      </c>
      <c r="AJ67" s="14">
        <f t="shared" ref="AJ67:AJ130" si="11">LN(C67)-H67</f>
        <v>1.2270092591814219E-2</v>
      </c>
    </row>
    <row r="68" spans="1:36" x14ac:dyDescent="0.2">
      <c r="A68">
        <v>2019</v>
      </c>
      <c r="B68" t="s">
        <v>96</v>
      </c>
      <c r="C68">
        <f>VLOOKUP(B68,Sheet5!$B$2:$C$2166,2,FALSE)</f>
        <v>2460</v>
      </c>
      <c r="D68">
        <v>2400</v>
      </c>
      <c r="E68">
        <v>1745</v>
      </c>
      <c r="F68" t="s">
        <v>101</v>
      </c>
      <c r="G68">
        <v>15</v>
      </c>
      <c r="H68">
        <v>7.7832240163360371</v>
      </c>
      <c r="I68">
        <v>1</v>
      </c>
      <c r="J68">
        <v>1</v>
      </c>
      <c r="K68">
        <v>0</v>
      </c>
      <c r="L68">
        <v>-1</v>
      </c>
      <c r="M68" t="s">
        <v>25</v>
      </c>
      <c r="N68" t="s">
        <v>96</v>
      </c>
      <c r="O68">
        <v>1</v>
      </c>
      <c r="P68">
        <v>0</v>
      </c>
      <c r="Q68" t="s">
        <v>98</v>
      </c>
      <c r="R68" t="str">
        <f>VLOOKUP(Q68,GDP!$A$2:$B$266,1,FALSE)</f>
        <v>GRC</v>
      </c>
      <c r="S68" t="str">
        <f>VLOOKUP(Q68,GDP!$A$2:$B$266,2,FALSE)</f>
        <v>Greece</v>
      </c>
      <c r="T68">
        <f>VLOOKUP(Q68,GDP!$A$1:$L$266,6,FALSE)</f>
        <v>33502.750648899673</v>
      </c>
      <c r="U68" s="4">
        <v>33502.750648899702</v>
      </c>
      <c r="V68" s="5">
        <f>VLOOKUP(Q68,POP!$B$5:$M$269,6,FALSE)</f>
        <v>6816454</v>
      </c>
      <c r="W68" s="4">
        <v>6816454</v>
      </c>
      <c r="X68">
        <f>VLOOKUP(Q68,YU!$B$1:$M$266,6,FALSE)</f>
        <v>34.753999999999998</v>
      </c>
      <c r="Y68" s="4">
        <v>34.753999999999998</v>
      </c>
      <c r="Z68">
        <v>3.55062007904053</v>
      </c>
      <c r="AA68">
        <f t="shared" si="6"/>
        <v>10.419382823364783</v>
      </c>
      <c r="AB68">
        <f t="shared" si="7"/>
        <v>-0.10501387874764667</v>
      </c>
      <c r="AC68" s="4">
        <v>-0.1050138787476413</v>
      </c>
      <c r="AD68">
        <v>-0.1770351547868998</v>
      </c>
      <c r="AE68">
        <v>19.438594017094019</v>
      </c>
      <c r="AG68" s="12">
        <f t="shared" si="8"/>
        <v>0</v>
      </c>
      <c r="AH68" s="12">
        <f t="shared" si="9"/>
        <v>0</v>
      </c>
      <c r="AI68" s="13">
        <f t="shared" si="10"/>
        <v>0</v>
      </c>
      <c r="AJ68" s="14">
        <f t="shared" si="11"/>
        <v>2.4692612590371255E-2</v>
      </c>
    </row>
    <row r="69" spans="1:36" x14ac:dyDescent="0.2">
      <c r="A69">
        <v>2020</v>
      </c>
      <c r="B69" t="s">
        <v>96</v>
      </c>
      <c r="C69">
        <f>VLOOKUP(B69,Sheet5!$B$2:$C$2166,2,FALSE)</f>
        <v>2460</v>
      </c>
      <c r="D69">
        <v>2365</v>
      </c>
      <c r="E69">
        <v>1710</v>
      </c>
      <c r="F69" t="s">
        <v>102</v>
      </c>
      <c r="G69">
        <v>25</v>
      </c>
      <c r="H69">
        <v>7.7685333009260331</v>
      </c>
      <c r="I69">
        <v>1</v>
      </c>
      <c r="J69">
        <v>1</v>
      </c>
      <c r="K69">
        <v>0</v>
      </c>
      <c r="L69">
        <v>0</v>
      </c>
      <c r="M69" t="s">
        <v>25</v>
      </c>
      <c r="N69" t="s">
        <v>96</v>
      </c>
      <c r="O69">
        <v>1</v>
      </c>
      <c r="P69">
        <v>0</v>
      </c>
      <c r="Q69" t="s">
        <v>98</v>
      </c>
      <c r="R69" t="str">
        <f>VLOOKUP(Q69,GDP!$A$2:$B$266,1,FALSE)</f>
        <v>GRC</v>
      </c>
      <c r="S69" t="str">
        <f>VLOOKUP(Q69,GDP!$A$2:$B$266,2,FALSE)</f>
        <v>Greece</v>
      </c>
      <c r="T69">
        <f>VLOOKUP(Q69,GDP!$A$1:$L$266,7,FALSE)</f>
        <v>30487.112933104487</v>
      </c>
      <c r="U69" s="4">
        <v>30487.112933104501</v>
      </c>
      <c r="V69" s="5">
        <f>VLOOKUP(Q69,POP!$B$5:$M$269,7,FALSE)</f>
        <v>6786793</v>
      </c>
      <c r="W69" s="4">
        <v>6786793</v>
      </c>
      <c r="X69">
        <f>VLOOKUP(Q69,YU!$B$1:$M$266,7,FALSE)</f>
        <v>33.74</v>
      </c>
      <c r="Y69" s="4">
        <v>33.74</v>
      </c>
      <c r="AA69">
        <f t="shared" si="6"/>
        <v>10.325059346522449</v>
      </c>
      <c r="AB69">
        <f t="shared" si="7"/>
        <v>-0.19933735558998045</v>
      </c>
      <c r="AC69" s="4">
        <v>-0.19933735558997509</v>
      </c>
      <c r="AD69">
        <v>-0.1813960323047272</v>
      </c>
      <c r="AE69">
        <v>18.424594017094019</v>
      </c>
      <c r="AG69" s="12">
        <f t="shared" si="8"/>
        <v>0</v>
      </c>
      <c r="AH69" s="12">
        <f t="shared" si="9"/>
        <v>0</v>
      </c>
      <c r="AI69" s="13">
        <f t="shared" si="10"/>
        <v>0</v>
      </c>
      <c r="AJ69" s="14">
        <f t="shared" si="11"/>
        <v>3.9383328000375251E-2</v>
      </c>
    </row>
    <row r="70" spans="1:36" x14ac:dyDescent="0.2">
      <c r="A70">
        <v>2021</v>
      </c>
      <c r="B70" t="s">
        <v>96</v>
      </c>
      <c r="C70">
        <f>VLOOKUP(B70,Sheet5!$B$2:$C$2166,2,FALSE)</f>
        <v>2460</v>
      </c>
      <c r="D70">
        <v>1275</v>
      </c>
      <c r="E70">
        <v>765</v>
      </c>
      <c r="F70" t="s">
        <v>103</v>
      </c>
      <c r="G70">
        <v>5</v>
      </c>
      <c r="H70">
        <v>7.1507014575925263</v>
      </c>
      <c r="I70">
        <v>1</v>
      </c>
      <c r="J70">
        <v>1</v>
      </c>
      <c r="K70">
        <v>1</v>
      </c>
      <c r="L70">
        <v>1</v>
      </c>
      <c r="M70" t="s">
        <v>25</v>
      </c>
      <c r="N70" t="s">
        <v>96</v>
      </c>
      <c r="O70">
        <v>1</v>
      </c>
      <c r="P70">
        <v>1</v>
      </c>
      <c r="Q70" t="s">
        <v>98</v>
      </c>
      <c r="R70" t="str">
        <f>VLOOKUP(Q70,GDP!$A$2:$B$266,1,FALSE)</f>
        <v>GRC</v>
      </c>
      <c r="S70" t="str">
        <f>VLOOKUP(Q70,GDP!$A$2:$B$266,2,FALSE)</f>
        <v>Greece</v>
      </c>
      <c r="T70">
        <f>VLOOKUP(Q70,GDP!$A$1:$L$266,8,FALSE)</f>
        <v>33528.227120251475</v>
      </c>
      <c r="U70" s="4">
        <v>33528.227120251497</v>
      </c>
      <c r="V70" s="5">
        <f>VLOOKUP(Q70,POP!$B$5:$M$269,8,FALSE)</f>
        <v>6673805</v>
      </c>
      <c r="W70" s="4">
        <v>6673805</v>
      </c>
      <c r="X70">
        <f>VLOOKUP(Q70,YU!$B$1:$M$266,8,FALSE)</f>
        <v>35.39</v>
      </c>
      <c r="Y70" s="4">
        <v>35.39</v>
      </c>
      <c r="AA70">
        <f t="shared" si="6"/>
        <v>10.420142963629074</v>
      </c>
      <c r="AB70">
        <f t="shared" si="7"/>
        <v>-0.10425373848335617</v>
      </c>
      <c r="AC70" s="4">
        <v>-0.1042537384833508</v>
      </c>
      <c r="AD70">
        <v>-0.19818438803494229</v>
      </c>
      <c r="AE70">
        <v>20.074594017094022</v>
      </c>
      <c r="AG70" s="12">
        <f t="shared" si="8"/>
        <v>0</v>
      </c>
      <c r="AH70" s="12">
        <f t="shared" si="9"/>
        <v>0</v>
      </c>
      <c r="AI70" s="13">
        <f t="shared" si="10"/>
        <v>0</v>
      </c>
      <c r="AJ70" s="14">
        <f t="shared" si="11"/>
        <v>0.65721517133388208</v>
      </c>
    </row>
    <row r="71" spans="1:36" x14ac:dyDescent="0.2">
      <c r="A71">
        <v>2022</v>
      </c>
      <c r="B71" t="s">
        <v>96</v>
      </c>
      <c r="C71">
        <f>VLOOKUP(B71,Sheet5!$B$2:$C$2166,2,FALSE)</f>
        <v>2460</v>
      </c>
      <c r="D71">
        <v>1080</v>
      </c>
      <c r="E71">
        <v>645</v>
      </c>
      <c r="F71" t="s">
        <v>104</v>
      </c>
      <c r="G71">
        <v>5</v>
      </c>
      <c r="H71">
        <v>6.9847163201182658</v>
      </c>
      <c r="I71">
        <v>1</v>
      </c>
      <c r="J71">
        <v>1</v>
      </c>
      <c r="K71">
        <v>1</v>
      </c>
      <c r="L71">
        <v>2</v>
      </c>
      <c r="M71" t="s">
        <v>25</v>
      </c>
      <c r="N71" t="s">
        <v>96</v>
      </c>
      <c r="O71">
        <v>1</v>
      </c>
      <c r="P71">
        <v>1</v>
      </c>
      <c r="Q71" t="s">
        <v>98</v>
      </c>
      <c r="R71" t="str">
        <f>VLOOKUP(Q71,GDP!$A$2:$B$266,1,FALSE)</f>
        <v>GRC</v>
      </c>
      <c r="S71" t="str">
        <f>VLOOKUP(Q71,GDP!$A$2:$B$266,2,FALSE)</f>
        <v>Greece</v>
      </c>
      <c r="T71">
        <f>VLOOKUP(Q71,GDP!$A$1:$L$266,9,FALSE)</f>
        <v>35828.175664177565</v>
      </c>
      <c r="U71" s="4">
        <v>35828.175664177601</v>
      </c>
      <c r="V71" s="5">
        <f>VLOOKUP(Q71,POP!$B$5:$M$269,9,FALSE)</f>
        <v>6567840</v>
      </c>
      <c r="W71" s="4">
        <v>6567840</v>
      </c>
      <c r="X71">
        <f>VLOOKUP(Q71,YU!$B$1:$M$266,9,FALSE)</f>
        <v>31.29</v>
      </c>
      <c r="Y71" s="4">
        <v>31.29</v>
      </c>
      <c r="Z71">
        <v>3.3754799365997301</v>
      </c>
      <c r="AA71">
        <f t="shared" si="6"/>
        <v>10.486489892568931</v>
      </c>
      <c r="AB71">
        <f t="shared" si="7"/>
        <v>-3.7906809543498454E-2</v>
      </c>
      <c r="AC71" s="4">
        <v>-3.7906809543493132E-2</v>
      </c>
      <c r="AD71">
        <v>-0.21418953875944879</v>
      </c>
      <c r="AE71">
        <v>15.97459401709402</v>
      </c>
      <c r="AG71" s="12">
        <f t="shared" si="8"/>
        <v>0</v>
      </c>
      <c r="AH71" s="12">
        <f t="shared" si="9"/>
        <v>0</v>
      </c>
      <c r="AI71" s="13">
        <f t="shared" si="10"/>
        <v>0</v>
      </c>
      <c r="AJ71" s="14">
        <f t="shared" si="11"/>
        <v>0.82320030880814254</v>
      </c>
    </row>
    <row r="72" spans="1:36" x14ac:dyDescent="0.2">
      <c r="A72">
        <v>2023</v>
      </c>
      <c r="B72" t="s">
        <v>96</v>
      </c>
      <c r="C72">
        <f>VLOOKUP(B72,Sheet5!$B$2:$C$2166,2,FALSE)</f>
        <v>2460</v>
      </c>
      <c r="D72">
        <v>1080</v>
      </c>
      <c r="E72">
        <v>640</v>
      </c>
      <c r="F72" t="s">
        <v>105</v>
      </c>
      <c r="G72">
        <v>5</v>
      </c>
      <c r="H72">
        <v>6.9847163201182658</v>
      </c>
      <c r="I72">
        <v>1</v>
      </c>
      <c r="J72">
        <v>1</v>
      </c>
      <c r="K72">
        <v>1</v>
      </c>
      <c r="L72">
        <v>3</v>
      </c>
      <c r="M72" t="s">
        <v>25</v>
      </c>
      <c r="N72" t="s">
        <v>96</v>
      </c>
      <c r="O72">
        <v>1</v>
      </c>
      <c r="P72">
        <v>1</v>
      </c>
      <c r="Q72" t="s">
        <v>98</v>
      </c>
      <c r="R72" t="str">
        <f>VLOOKUP(Q72,GDP!$A$2:$B$266,1,FALSE)</f>
        <v>GRC</v>
      </c>
      <c r="S72" t="str">
        <f>VLOOKUP(Q72,GDP!$A$2:$B$266,2,FALSE)</f>
        <v>Greece</v>
      </c>
      <c r="T72">
        <f>VLOOKUP(Q72,GDP!$A$1:$L$266,10,FALSE)</f>
        <v>36700.513463105548</v>
      </c>
      <c r="U72" s="4">
        <v>36700.513463105497</v>
      </c>
      <c r="V72" s="5">
        <f>VLOOKUP(Q72,POP!$B$5:$M$269,10,FALSE)</f>
        <v>6549365</v>
      </c>
      <c r="W72" s="4">
        <v>6549365</v>
      </c>
      <c r="X72">
        <f>VLOOKUP(Q72,YU!$B$1:$M$266,10,FALSE)</f>
        <v>26.542999999999999</v>
      </c>
      <c r="Y72" s="4">
        <v>26.542999999999999</v>
      </c>
      <c r="AA72">
        <f t="shared" si="6"/>
        <v>10.510546024765105</v>
      </c>
      <c r="AB72">
        <f t="shared" si="7"/>
        <v>-1.3850677347324591E-2</v>
      </c>
      <c r="AC72" s="4">
        <v>-1.385067734732104E-2</v>
      </c>
      <c r="AD72">
        <v>-0.21700645169426741</v>
      </c>
      <c r="AE72">
        <v>11.22759401709402</v>
      </c>
      <c r="AG72" s="12">
        <f t="shared" si="8"/>
        <v>0</v>
      </c>
      <c r="AH72" s="12">
        <f t="shared" si="9"/>
        <v>0</v>
      </c>
      <c r="AI72" s="13">
        <f t="shared" si="10"/>
        <v>0</v>
      </c>
      <c r="AJ72" s="14">
        <f t="shared" si="11"/>
        <v>0.82320030880814254</v>
      </c>
    </row>
    <row r="73" spans="1:36" x14ac:dyDescent="0.2">
      <c r="A73">
        <v>2024</v>
      </c>
      <c r="B73" t="s">
        <v>96</v>
      </c>
      <c r="C73">
        <f>VLOOKUP(B73,Sheet5!$B$2:$C$2166,2,FALSE)</f>
        <v>2460</v>
      </c>
      <c r="D73">
        <v>980</v>
      </c>
      <c r="E73">
        <v>590</v>
      </c>
      <c r="F73" t="s">
        <v>106</v>
      </c>
      <c r="G73">
        <v>5</v>
      </c>
      <c r="H73">
        <v>6.8875525716646173</v>
      </c>
      <c r="I73">
        <v>1</v>
      </c>
      <c r="J73">
        <v>1</v>
      </c>
      <c r="K73">
        <v>1</v>
      </c>
      <c r="L73">
        <v>4</v>
      </c>
      <c r="M73" t="s">
        <v>25</v>
      </c>
      <c r="N73" t="s">
        <v>96</v>
      </c>
      <c r="O73">
        <v>1</v>
      </c>
      <c r="P73">
        <v>1</v>
      </c>
      <c r="Q73" t="s">
        <v>98</v>
      </c>
      <c r="R73" t="str">
        <f>VLOOKUP(Q73,GDP!$A$2:$B$266,1,FALSE)</f>
        <v>GRC</v>
      </c>
      <c r="S73" t="str">
        <f>VLOOKUP(Q73,GDP!$A$2:$B$266,2,FALSE)</f>
        <v>Greece</v>
      </c>
      <c r="T73">
        <f>VLOOKUP(Q73,GDP!$A$1:$L$266,11,FALSE)</f>
        <v>37474.279823994701</v>
      </c>
      <c r="U73" s="4">
        <v>37474.279823994701</v>
      </c>
      <c r="V73" s="5">
        <f>VLOOKUP(Q73,POP!$B$5:$M$269,11,FALSE)</f>
        <v>6538672</v>
      </c>
      <c r="W73" s="4">
        <v>6538672</v>
      </c>
      <c r="X73">
        <f>VLOOKUP(Q73,YU!$B$1:$M$266,11,FALSE)</f>
        <v>22.375</v>
      </c>
      <c r="Y73" s="4">
        <v>22.375</v>
      </c>
      <c r="AA73">
        <f t="shared" si="6"/>
        <v>10.531410105280996</v>
      </c>
      <c r="AB73">
        <f t="shared" si="7"/>
        <v>7.0134031685658016E-3</v>
      </c>
      <c r="AC73" s="4">
        <v>7.0134031685711307E-3</v>
      </c>
      <c r="AD73">
        <v>-0.2186404633308783</v>
      </c>
      <c r="AE73">
        <v>7.0595940170940166</v>
      </c>
      <c r="AG73" s="12">
        <f t="shared" si="8"/>
        <v>0</v>
      </c>
      <c r="AH73" s="12">
        <f t="shared" si="9"/>
        <v>0</v>
      </c>
      <c r="AI73" s="13">
        <f t="shared" si="10"/>
        <v>0</v>
      </c>
      <c r="AJ73" s="14">
        <f t="shared" si="11"/>
        <v>0.92036405726179105</v>
      </c>
    </row>
    <row r="74" spans="1:36" x14ac:dyDescent="0.2">
      <c r="A74">
        <v>2016</v>
      </c>
      <c r="B74" t="s">
        <v>107</v>
      </c>
      <c r="C74">
        <f>VLOOKUP(B74,Sheet5!$B$2:$C$2166,2,FALSE)</f>
        <v>940</v>
      </c>
      <c r="D74">
        <v>940</v>
      </c>
      <c r="E74">
        <v>575</v>
      </c>
      <c r="F74" t="s">
        <v>108</v>
      </c>
      <c r="G74">
        <v>0</v>
      </c>
      <c r="H74">
        <v>6.8458798752640497</v>
      </c>
      <c r="I74">
        <v>1</v>
      </c>
      <c r="J74">
        <v>1</v>
      </c>
      <c r="K74">
        <v>0</v>
      </c>
      <c r="L74">
        <v>-4</v>
      </c>
      <c r="M74" t="s">
        <v>25</v>
      </c>
      <c r="N74" t="s">
        <v>107</v>
      </c>
      <c r="O74">
        <v>1</v>
      </c>
      <c r="P74">
        <v>0</v>
      </c>
      <c r="Q74" t="s">
        <v>109</v>
      </c>
      <c r="R74" t="str">
        <f>VLOOKUP(Q74,GDP!$A$2:$B$266,1,FALSE)</f>
        <v>HUN</v>
      </c>
      <c r="S74" t="str">
        <f>VLOOKUP(Q74,GDP!$A$2:$B$266,2,FALSE)</f>
        <v>Hungary</v>
      </c>
      <c r="T74">
        <f>VLOOKUP(Q74,GDP!$A$1:$C$266,3,FALSE)</f>
        <v>32378.967498307535</v>
      </c>
      <c r="U74" s="4">
        <v>32378.967498307498</v>
      </c>
      <c r="V74" s="5">
        <f>VLOOKUP(Q74,POP!$B$5:$M$269,3,FALSE)</f>
        <v>6543936</v>
      </c>
      <c r="W74" s="4">
        <v>6543936</v>
      </c>
      <c r="X74">
        <f>VLOOKUP(Q74,YU!$B$1:$D$266,3,FALSE)</f>
        <v>12.923</v>
      </c>
      <c r="Y74" s="4">
        <v>12.923</v>
      </c>
      <c r="Z74">
        <v>4.6021099090576199</v>
      </c>
      <c r="AA74">
        <f t="shared" si="6"/>
        <v>10.385264339703692</v>
      </c>
      <c r="AB74">
        <f t="shared" si="7"/>
        <v>-0.13913236240873772</v>
      </c>
      <c r="AC74" s="4">
        <v>-0.13913236240873419</v>
      </c>
      <c r="AD74">
        <v>-0.21783573077540019</v>
      </c>
      <c r="AE74">
        <v>-2.3924059829059821</v>
      </c>
      <c r="AG74" s="12">
        <f t="shared" si="8"/>
        <v>3.637978807091713E-11</v>
      </c>
      <c r="AH74" s="12">
        <f t="shared" si="9"/>
        <v>0</v>
      </c>
      <c r="AI74" s="13">
        <f t="shared" si="10"/>
        <v>0</v>
      </c>
      <c r="AJ74" s="14">
        <f t="shared" si="11"/>
        <v>0</v>
      </c>
    </row>
    <row r="75" spans="1:36" x14ac:dyDescent="0.2">
      <c r="A75">
        <v>2017</v>
      </c>
      <c r="B75" t="s">
        <v>107</v>
      </c>
      <c r="C75">
        <f>VLOOKUP(B75,Sheet5!$B$2:$C$2166,2,FALSE)</f>
        <v>940</v>
      </c>
      <c r="D75">
        <v>915</v>
      </c>
      <c r="E75">
        <v>570</v>
      </c>
      <c r="F75" t="s">
        <v>110</v>
      </c>
      <c r="G75">
        <v>0</v>
      </c>
      <c r="H75">
        <v>6.818924065275521</v>
      </c>
      <c r="I75">
        <v>1</v>
      </c>
      <c r="J75">
        <v>1</v>
      </c>
      <c r="K75">
        <v>0</v>
      </c>
      <c r="L75">
        <v>-3</v>
      </c>
      <c r="M75" t="s">
        <v>25</v>
      </c>
      <c r="N75" t="s">
        <v>107</v>
      </c>
      <c r="O75">
        <v>1</v>
      </c>
      <c r="P75">
        <v>0</v>
      </c>
      <c r="Q75" t="s">
        <v>109</v>
      </c>
      <c r="R75" t="str">
        <f>VLOOKUP(Q75,GDP!$A$2:$B$266,1,FALSE)</f>
        <v>HUN</v>
      </c>
      <c r="S75" t="str">
        <f>VLOOKUP(Q75,GDP!$A$2:$B$266,2,FALSE)</f>
        <v>Hungary</v>
      </c>
      <c r="T75">
        <f>VLOOKUP(Q75,GDP!$A$1:$L$266,4,FALSE)</f>
        <v>33828.714942571045</v>
      </c>
      <c r="U75" s="4">
        <v>33828.714942571001</v>
      </c>
      <c r="V75" s="5">
        <f>VLOOKUP(Q75,POP!$B$5:$M$269,4,FALSE)</f>
        <v>6486255</v>
      </c>
      <c r="W75" s="4">
        <v>6486255</v>
      </c>
      <c r="X75">
        <f>VLOOKUP(Q75,YU!$B$1:$M$266,4,FALSE)</f>
        <v>10.699</v>
      </c>
      <c r="Y75" s="4">
        <v>10.699</v>
      </c>
      <c r="Z75">
        <v>4.6403498649597203</v>
      </c>
      <c r="AA75">
        <f t="shared" si="6"/>
        <v>10.429065275317868</v>
      </c>
      <c r="AB75">
        <f t="shared" si="7"/>
        <v>-9.5331426794562191E-2</v>
      </c>
      <c r="AC75" s="4">
        <v>-9.5331426794558638E-2</v>
      </c>
      <c r="AD75">
        <v>-0.22668922751596909</v>
      </c>
      <c r="AE75">
        <v>-4.6164059829059827</v>
      </c>
      <c r="AG75" s="12">
        <f t="shared" si="8"/>
        <v>0</v>
      </c>
      <c r="AH75" s="12">
        <f t="shared" si="9"/>
        <v>0</v>
      </c>
      <c r="AI75" s="13">
        <f t="shared" si="10"/>
        <v>0</v>
      </c>
      <c r="AJ75" s="14">
        <f t="shared" si="11"/>
        <v>2.6955809988528756E-2</v>
      </c>
    </row>
    <row r="76" spans="1:36" x14ac:dyDescent="0.2">
      <c r="A76">
        <v>2018</v>
      </c>
      <c r="B76" t="s">
        <v>107</v>
      </c>
      <c r="C76">
        <f>VLOOKUP(B76,Sheet5!$B$2:$C$2166,2,FALSE)</f>
        <v>940</v>
      </c>
      <c r="D76">
        <v>990</v>
      </c>
      <c r="E76">
        <v>645</v>
      </c>
      <c r="F76" t="s">
        <v>111</v>
      </c>
      <c r="G76">
        <v>0</v>
      </c>
      <c r="H76">
        <v>6.8977049431286357</v>
      </c>
      <c r="I76">
        <v>1</v>
      </c>
      <c r="J76">
        <v>1</v>
      </c>
      <c r="K76">
        <v>0</v>
      </c>
      <c r="L76">
        <v>-2</v>
      </c>
      <c r="M76" t="s">
        <v>25</v>
      </c>
      <c r="N76" t="s">
        <v>107</v>
      </c>
      <c r="O76">
        <v>1</v>
      </c>
      <c r="P76">
        <v>0</v>
      </c>
      <c r="Q76" t="s">
        <v>109</v>
      </c>
      <c r="R76" t="str">
        <f>VLOOKUP(Q76,GDP!$A$2:$B$266,1,FALSE)</f>
        <v>HUN</v>
      </c>
      <c r="S76" t="str">
        <f>VLOOKUP(Q76,GDP!$A$2:$B$266,2,FALSE)</f>
        <v>Hungary</v>
      </c>
      <c r="T76">
        <f>VLOOKUP(Q76,GDP!$A$1:$L$266,5,FALSE)</f>
        <v>35798.041275402189</v>
      </c>
      <c r="U76" s="4">
        <v>35798.041275402204</v>
      </c>
      <c r="V76" s="5">
        <f>VLOOKUP(Q76,POP!$B$5:$M$269,5,FALSE)</f>
        <v>6438070</v>
      </c>
      <c r="W76" s="4">
        <v>6438070</v>
      </c>
      <c r="X76">
        <f>VLOOKUP(Q76,YU!$B$1:$M$266,5,FALSE)</f>
        <v>10.115</v>
      </c>
      <c r="Y76" s="4">
        <v>10.115</v>
      </c>
      <c r="Z76">
        <v>4.6056799888610804</v>
      </c>
      <c r="AA76">
        <f t="shared" si="6"/>
        <v>10.48564845791439</v>
      </c>
      <c r="AB76">
        <f t="shared" si="7"/>
        <v>-3.8748244198039572E-2</v>
      </c>
      <c r="AC76" s="4">
        <v>-3.8748244198034243E-2</v>
      </c>
      <c r="AD76">
        <v>-0.23414574431750701</v>
      </c>
      <c r="AE76">
        <v>-5.2004059829059823</v>
      </c>
      <c r="AG76" s="12">
        <f t="shared" si="8"/>
        <v>0</v>
      </c>
      <c r="AH76" s="12">
        <f t="shared" si="9"/>
        <v>0</v>
      </c>
      <c r="AI76" s="13">
        <f t="shared" si="10"/>
        <v>0</v>
      </c>
      <c r="AJ76" s="14">
        <f t="shared" si="11"/>
        <v>-5.1825067864585961E-2</v>
      </c>
    </row>
    <row r="77" spans="1:36" x14ac:dyDescent="0.2">
      <c r="A77">
        <v>2019</v>
      </c>
      <c r="B77" t="s">
        <v>107</v>
      </c>
      <c r="C77">
        <f>VLOOKUP(B77,Sheet5!$B$2:$C$2166,2,FALSE)</f>
        <v>940</v>
      </c>
      <c r="D77">
        <v>1045</v>
      </c>
      <c r="E77">
        <v>650</v>
      </c>
      <c r="F77" t="s">
        <v>110</v>
      </c>
      <c r="G77">
        <v>0</v>
      </c>
      <c r="H77">
        <v>6.9517721643989114</v>
      </c>
      <c r="I77">
        <v>1</v>
      </c>
      <c r="J77">
        <v>1</v>
      </c>
      <c r="K77">
        <v>0</v>
      </c>
      <c r="L77">
        <v>-1</v>
      </c>
      <c r="M77" t="s">
        <v>25</v>
      </c>
      <c r="N77" t="s">
        <v>107</v>
      </c>
      <c r="O77">
        <v>1</v>
      </c>
      <c r="P77">
        <v>0</v>
      </c>
      <c r="Q77" t="s">
        <v>109</v>
      </c>
      <c r="R77" t="str">
        <f>VLOOKUP(Q77,GDP!$A$2:$B$266,1,FALSE)</f>
        <v>HUN</v>
      </c>
      <c r="S77" t="str">
        <f>VLOOKUP(Q77,GDP!$A$2:$B$266,2,FALSE)</f>
        <v>Hungary</v>
      </c>
      <c r="T77">
        <f>VLOOKUP(Q77,GDP!$A$1:$L$266,6,FALSE)</f>
        <v>37662.676810139972</v>
      </c>
      <c r="U77" s="4">
        <v>37662.676810140001</v>
      </c>
      <c r="V77" s="5">
        <f>VLOOKUP(Q77,POP!$B$5:$M$269,6,FALSE)</f>
        <v>6383795</v>
      </c>
      <c r="W77" s="4">
        <v>6383795</v>
      </c>
      <c r="X77">
        <f>VLOOKUP(Q77,YU!$B$1:$M$266,6,FALSE)</f>
        <v>11.472</v>
      </c>
      <c r="Y77" s="4">
        <v>11.472</v>
      </c>
      <c r="Z77">
        <v>4.2014098167419398</v>
      </c>
      <c r="AA77">
        <f t="shared" si="6"/>
        <v>10.536424878021363</v>
      </c>
      <c r="AB77">
        <f t="shared" si="7"/>
        <v>1.2028175908932681E-2</v>
      </c>
      <c r="AC77" s="4">
        <v>1.202817590893979E-2</v>
      </c>
      <c r="AD77">
        <v>-0.24261180197382259</v>
      </c>
      <c r="AE77">
        <v>-3.843405982905983</v>
      </c>
      <c r="AG77" s="12">
        <f t="shared" si="8"/>
        <v>0</v>
      </c>
      <c r="AH77" s="12">
        <f t="shared" si="9"/>
        <v>0</v>
      </c>
      <c r="AI77" s="13">
        <f t="shared" si="10"/>
        <v>0</v>
      </c>
      <c r="AJ77" s="14">
        <f t="shared" si="11"/>
        <v>-0.10589228913486171</v>
      </c>
    </row>
    <row r="78" spans="1:36" x14ac:dyDescent="0.2">
      <c r="A78">
        <v>2020</v>
      </c>
      <c r="B78" t="s">
        <v>107</v>
      </c>
      <c r="C78">
        <f>VLOOKUP(B78,Sheet5!$B$2:$C$2166,2,FALSE)</f>
        <v>940</v>
      </c>
      <c r="D78">
        <v>1100</v>
      </c>
      <c r="E78">
        <v>705</v>
      </c>
      <c r="F78" t="s">
        <v>112</v>
      </c>
      <c r="G78">
        <v>0</v>
      </c>
      <c r="H78">
        <v>7.0030654587864616</v>
      </c>
      <c r="I78">
        <v>1</v>
      </c>
      <c r="J78">
        <v>1</v>
      </c>
      <c r="K78">
        <v>0</v>
      </c>
      <c r="L78">
        <v>0</v>
      </c>
      <c r="M78" t="s">
        <v>25</v>
      </c>
      <c r="N78" t="s">
        <v>107</v>
      </c>
      <c r="O78">
        <v>1</v>
      </c>
      <c r="P78">
        <v>0</v>
      </c>
      <c r="Q78" t="s">
        <v>109</v>
      </c>
      <c r="R78" t="str">
        <f>VLOOKUP(Q78,GDP!$A$2:$B$266,1,FALSE)</f>
        <v>HUN</v>
      </c>
      <c r="S78" t="str">
        <f>VLOOKUP(Q78,GDP!$A$2:$B$266,2,FALSE)</f>
        <v>Hungary</v>
      </c>
      <c r="T78">
        <f>VLOOKUP(Q78,GDP!$A$1:$L$266,7,FALSE)</f>
        <v>36119.521173565226</v>
      </c>
      <c r="U78" s="4">
        <v>36119.521173565197</v>
      </c>
      <c r="V78" s="5">
        <f>VLOOKUP(Q78,POP!$B$5:$M$269,7,FALSE)</f>
        <v>6319780</v>
      </c>
      <c r="W78" s="4">
        <v>6319780</v>
      </c>
      <c r="X78">
        <f>VLOOKUP(Q78,YU!$B$1:$M$266,7,FALSE)</f>
        <v>12.882</v>
      </c>
      <c r="Y78" s="4">
        <v>12.882</v>
      </c>
      <c r="Z78">
        <v>4.1226501464843803</v>
      </c>
      <c r="AA78">
        <f t="shared" si="6"/>
        <v>10.49458875089724</v>
      </c>
      <c r="AB78">
        <f t="shared" si="7"/>
        <v>-2.9807951215190087E-2</v>
      </c>
      <c r="AC78" s="4">
        <v>-2.9807951215184762E-2</v>
      </c>
      <c r="AD78">
        <v>-0.252690152650624</v>
      </c>
      <c r="AE78">
        <v>-2.4334059829059829</v>
      </c>
      <c r="AG78" s="12">
        <f t="shared" si="8"/>
        <v>0</v>
      </c>
      <c r="AH78" s="12">
        <f t="shared" si="9"/>
        <v>0</v>
      </c>
      <c r="AI78" s="13">
        <f t="shared" si="10"/>
        <v>0</v>
      </c>
      <c r="AJ78" s="14">
        <f t="shared" si="11"/>
        <v>-0.15718558352241185</v>
      </c>
    </row>
    <row r="79" spans="1:36" x14ac:dyDescent="0.2">
      <c r="A79">
        <v>2021</v>
      </c>
      <c r="B79" t="s">
        <v>107</v>
      </c>
      <c r="C79">
        <f>VLOOKUP(B79,Sheet5!$B$2:$C$2166,2,FALSE)</f>
        <v>940</v>
      </c>
      <c r="D79">
        <v>450</v>
      </c>
      <c r="E79">
        <v>190</v>
      </c>
      <c r="F79" t="s">
        <v>113</v>
      </c>
      <c r="G79">
        <v>0</v>
      </c>
      <c r="H79">
        <v>6.1092475827643664</v>
      </c>
      <c r="I79">
        <v>1</v>
      </c>
      <c r="J79">
        <v>1</v>
      </c>
      <c r="K79">
        <v>1</v>
      </c>
      <c r="L79">
        <v>1</v>
      </c>
      <c r="M79" t="s">
        <v>25</v>
      </c>
      <c r="N79" t="s">
        <v>107</v>
      </c>
      <c r="O79">
        <v>1</v>
      </c>
      <c r="P79">
        <v>1</v>
      </c>
      <c r="Q79" t="s">
        <v>109</v>
      </c>
      <c r="R79" t="str">
        <f>VLOOKUP(Q79,GDP!$A$2:$B$266,1,FALSE)</f>
        <v>HUN</v>
      </c>
      <c r="S79" t="str">
        <f>VLOOKUP(Q79,GDP!$A$2:$B$266,2,FALSE)</f>
        <v>Hungary</v>
      </c>
      <c r="T79">
        <f>VLOOKUP(Q79,GDP!$A$1:$L$266,8,FALSE)</f>
        <v>38887.190952715355</v>
      </c>
      <c r="U79" s="4">
        <v>38887.190952715398</v>
      </c>
      <c r="V79" s="5">
        <f>VLOOKUP(Q79,POP!$B$5:$M$269,8,FALSE)</f>
        <v>6262968</v>
      </c>
      <c r="W79" s="4">
        <v>6262968</v>
      </c>
      <c r="X79">
        <f>VLOOKUP(Q79,YU!$B$1:$M$266,8,FALSE)</f>
        <v>13.548999999999999</v>
      </c>
      <c r="Y79" s="4">
        <v>13.548999999999999</v>
      </c>
      <c r="Z79">
        <v>4.6540799140930202</v>
      </c>
      <c r="AA79">
        <f t="shared" si="6"/>
        <v>10.568420193960307</v>
      </c>
      <c r="AB79">
        <f t="shared" si="7"/>
        <v>4.4023491847877239E-2</v>
      </c>
      <c r="AC79" s="4">
        <v>4.4023491847884337E-2</v>
      </c>
      <c r="AD79">
        <v>-0.26172035591920378</v>
      </c>
      <c r="AE79">
        <v>-1.7664059829059831</v>
      </c>
      <c r="AG79" s="12">
        <f t="shared" si="8"/>
        <v>0</v>
      </c>
      <c r="AH79" s="12">
        <f t="shared" si="9"/>
        <v>0</v>
      </c>
      <c r="AI79" s="13">
        <f t="shared" si="10"/>
        <v>0</v>
      </c>
      <c r="AJ79" s="14">
        <f t="shared" si="11"/>
        <v>0.73663229249968332</v>
      </c>
    </row>
    <row r="80" spans="1:36" x14ac:dyDescent="0.2">
      <c r="A80">
        <v>2022</v>
      </c>
      <c r="B80" t="s">
        <v>107</v>
      </c>
      <c r="C80">
        <f>VLOOKUP(B80,Sheet5!$B$2:$C$2166,2,FALSE)</f>
        <v>940</v>
      </c>
      <c r="D80">
        <v>305</v>
      </c>
      <c r="E80">
        <v>125</v>
      </c>
      <c r="F80" t="s">
        <v>114</v>
      </c>
      <c r="G80">
        <v>0</v>
      </c>
      <c r="H80">
        <v>5.7203117766074119</v>
      </c>
      <c r="I80">
        <v>1</v>
      </c>
      <c r="J80">
        <v>1</v>
      </c>
      <c r="K80">
        <v>1</v>
      </c>
      <c r="L80">
        <v>2</v>
      </c>
      <c r="M80" t="s">
        <v>25</v>
      </c>
      <c r="N80" t="s">
        <v>107</v>
      </c>
      <c r="O80">
        <v>1</v>
      </c>
      <c r="P80">
        <v>1</v>
      </c>
      <c r="Q80" t="s">
        <v>109</v>
      </c>
      <c r="R80" t="str">
        <f>VLOOKUP(Q80,GDP!$A$2:$B$266,1,FALSE)</f>
        <v>HUN</v>
      </c>
      <c r="S80" t="str">
        <f>VLOOKUP(Q80,GDP!$A$2:$B$266,2,FALSE)</f>
        <v>Hungary</v>
      </c>
      <c r="T80">
        <f>VLOOKUP(Q80,GDP!$A$1:$L$266,9,FALSE)</f>
        <v>40610.971136823806</v>
      </c>
      <c r="U80" s="4">
        <v>40610.971136823799</v>
      </c>
      <c r="V80" s="5">
        <f>VLOOKUP(Q80,POP!$B$5:$M$269,9,FALSE)</f>
        <v>6228108</v>
      </c>
      <c r="W80" s="4">
        <v>6228108</v>
      </c>
      <c r="X80">
        <f>VLOOKUP(Q80,YU!$B$1:$M$266,9,FALSE)</f>
        <v>10.541</v>
      </c>
      <c r="Y80" s="4">
        <v>10.541</v>
      </c>
      <c r="Z80">
        <v>3.8011999130249001</v>
      </c>
      <c r="AA80">
        <f t="shared" si="6"/>
        <v>10.611793534130534</v>
      </c>
      <c r="AB80">
        <f t="shared" si="7"/>
        <v>8.739683201810422E-2</v>
      </c>
      <c r="AC80" s="4">
        <v>8.7396832018109549E-2</v>
      </c>
      <c r="AD80">
        <v>-0.26730195521506062</v>
      </c>
      <c r="AE80">
        <v>-4.7744059829059822</v>
      </c>
      <c r="AG80" s="12">
        <f t="shared" si="8"/>
        <v>0</v>
      </c>
      <c r="AH80" s="12">
        <f t="shared" si="9"/>
        <v>0</v>
      </c>
      <c r="AI80" s="13">
        <f t="shared" si="10"/>
        <v>0</v>
      </c>
      <c r="AJ80" s="14">
        <f t="shared" si="11"/>
        <v>1.1255680986566379</v>
      </c>
    </row>
    <row r="81" spans="1:36" x14ac:dyDescent="0.2">
      <c r="A81">
        <v>2023</v>
      </c>
      <c r="B81" t="s">
        <v>107</v>
      </c>
      <c r="C81">
        <f>VLOOKUP(B81,Sheet5!$B$2:$C$2166,2,FALSE)</f>
        <v>940</v>
      </c>
      <c r="D81">
        <v>320</v>
      </c>
      <c r="E81">
        <v>130</v>
      </c>
      <c r="F81" t="s">
        <v>115</v>
      </c>
      <c r="G81">
        <v>0</v>
      </c>
      <c r="H81">
        <v>5.768320995793772</v>
      </c>
      <c r="I81">
        <v>1</v>
      </c>
      <c r="J81">
        <v>1</v>
      </c>
      <c r="K81">
        <v>1</v>
      </c>
      <c r="L81">
        <v>3</v>
      </c>
      <c r="M81" t="s">
        <v>25</v>
      </c>
      <c r="N81" t="s">
        <v>107</v>
      </c>
      <c r="O81">
        <v>1</v>
      </c>
      <c r="P81">
        <v>1</v>
      </c>
      <c r="Q81" t="s">
        <v>109</v>
      </c>
      <c r="R81" t="str">
        <f>VLOOKUP(Q81,GDP!$A$2:$B$266,1,FALSE)</f>
        <v>HUN</v>
      </c>
      <c r="S81" t="str">
        <f>VLOOKUP(Q81,GDP!$A$2:$B$266,2,FALSE)</f>
        <v>Hungary</v>
      </c>
      <c r="T81">
        <f>VLOOKUP(Q81,GDP!$A$1:$L$266,10,FALSE)</f>
        <v>40333.254688811779</v>
      </c>
      <c r="U81" s="4">
        <v>40333.254688811801</v>
      </c>
      <c r="V81" s="5">
        <f>VLOOKUP(Q81,POP!$B$5:$M$269,10,FALSE)</f>
        <v>6205709</v>
      </c>
      <c r="W81" s="4">
        <v>6205709</v>
      </c>
      <c r="X81">
        <f>VLOOKUP(Q81,YU!$B$1:$M$266,10,FALSE)</f>
        <v>12.779</v>
      </c>
      <c r="Y81" s="4">
        <v>12.779</v>
      </c>
      <c r="AA81">
        <f t="shared" si="6"/>
        <v>10.604931586044696</v>
      </c>
      <c r="AB81">
        <f t="shared" si="7"/>
        <v>8.0534883932266155E-2</v>
      </c>
      <c r="AC81" s="4">
        <v>8.053488393227326E-2</v>
      </c>
      <c r="AD81">
        <v>-0.27090487525645729</v>
      </c>
      <c r="AE81">
        <v>-2.5364059829059831</v>
      </c>
      <c r="AG81" s="12">
        <f t="shared" si="8"/>
        <v>0</v>
      </c>
      <c r="AH81" s="12">
        <f t="shared" si="9"/>
        <v>0</v>
      </c>
      <c r="AI81" s="13">
        <f t="shared" si="10"/>
        <v>0</v>
      </c>
      <c r="AJ81" s="14">
        <f t="shared" si="11"/>
        <v>1.0775588794702777</v>
      </c>
    </row>
    <row r="82" spans="1:36" x14ac:dyDescent="0.2">
      <c r="A82">
        <v>2024</v>
      </c>
      <c r="B82" t="s">
        <v>107</v>
      </c>
      <c r="C82">
        <f>VLOOKUP(B82,Sheet5!$B$2:$C$2166,2,FALSE)</f>
        <v>940</v>
      </c>
      <c r="D82">
        <v>340</v>
      </c>
      <c r="E82">
        <v>140</v>
      </c>
      <c r="F82" t="s">
        <v>116</v>
      </c>
      <c r="G82">
        <v>0</v>
      </c>
      <c r="H82">
        <v>5.8289456176102066</v>
      </c>
      <c r="I82">
        <v>1</v>
      </c>
      <c r="J82">
        <v>1</v>
      </c>
      <c r="K82">
        <v>1</v>
      </c>
      <c r="L82">
        <v>4</v>
      </c>
      <c r="M82" t="s">
        <v>25</v>
      </c>
      <c r="N82" t="s">
        <v>107</v>
      </c>
      <c r="O82">
        <v>1</v>
      </c>
      <c r="P82">
        <v>1</v>
      </c>
      <c r="Q82" t="s">
        <v>109</v>
      </c>
      <c r="R82" t="str">
        <f>VLOOKUP(Q82,GDP!$A$2:$B$266,1,FALSE)</f>
        <v>HUN</v>
      </c>
      <c r="S82" t="str">
        <f>VLOOKUP(Q82,GDP!$A$2:$B$266,2,FALSE)</f>
        <v>Hungary</v>
      </c>
      <c r="T82">
        <f>VLOOKUP(Q82,GDP!$A$1:$L$266,11,FALSE)</f>
        <v>40747.198667966819</v>
      </c>
      <c r="U82" s="4">
        <v>40747.198667966797</v>
      </c>
      <c r="V82" s="5">
        <f>VLOOKUP(Q82,POP!$B$5:$M$269,11,FALSE)</f>
        <v>6177612</v>
      </c>
      <c r="W82" s="4">
        <v>6177612</v>
      </c>
      <c r="X82">
        <f>VLOOKUP(Q82,YU!$B$1:$M$266,11,FALSE)</f>
        <v>15.087999999999999</v>
      </c>
      <c r="Y82" s="4">
        <v>15.087999999999999</v>
      </c>
      <c r="AA82">
        <f t="shared" si="6"/>
        <v>10.615142371961635</v>
      </c>
      <c r="AB82">
        <f t="shared" si="7"/>
        <v>9.0745669849205512E-2</v>
      </c>
      <c r="AC82" s="4">
        <v>9.0745669849210842E-2</v>
      </c>
      <c r="AD82">
        <v>-0.27544276104902998</v>
      </c>
      <c r="AE82">
        <v>-0.22740598290598341</v>
      </c>
      <c r="AG82" s="12">
        <f t="shared" si="8"/>
        <v>0</v>
      </c>
      <c r="AH82" s="12">
        <f t="shared" si="9"/>
        <v>0</v>
      </c>
      <c r="AI82" s="13">
        <f t="shared" si="10"/>
        <v>0</v>
      </c>
      <c r="AJ82" s="14">
        <f t="shared" si="11"/>
        <v>1.0169342576538432</v>
      </c>
    </row>
    <row r="83" spans="1:36" x14ac:dyDescent="0.2">
      <c r="A83">
        <v>2016</v>
      </c>
      <c r="B83" t="s">
        <v>117</v>
      </c>
      <c r="C83">
        <f>VLOOKUP(B83,Sheet5!$B$2:$C$2166,2,FALSE)</f>
        <v>5255</v>
      </c>
      <c r="D83">
        <v>5255</v>
      </c>
      <c r="E83">
        <v>1960</v>
      </c>
      <c r="F83" t="s">
        <v>118</v>
      </c>
      <c r="G83">
        <v>40</v>
      </c>
      <c r="H83">
        <v>8.5669352833110519</v>
      </c>
      <c r="I83">
        <v>0</v>
      </c>
      <c r="J83">
        <v>0</v>
      </c>
      <c r="K83">
        <v>0</v>
      </c>
      <c r="L83">
        <v>-4</v>
      </c>
      <c r="M83" t="s">
        <v>119</v>
      </c>
      <c r="N83" t="s">
        <v>120</v>
      </c>
      <c r="O83">
        <v>0.19717869616943309</v>
      </c>
      <c r="P83">
        <v>0</v>
      </c>
      <c r="Q83" t="s">
        <v>121</v>
      </c>
      <c r="R83" t="str">
        <f>VLOOKUP(Q83,GDP!$A$2:$B$266,1,FALSE)</f>
        <v>IRL</v>
      </c>
      <c r="S83" t="str">
        <f>VLOOKUP(Q83,GDP!$A$2:$B$266,2,FALSE)</f>
        <v>Ireland</v>
      </c>
      <c r="T83">
        <f>VLOOKUP(Q83,GDP!$A$1:$C$266,3,FALSE)</f>
        <v>80760.097414568823</v>
      </c>
      <c r="U83" s="4">
        <v>80760.097414568794</v>
      </c>
      <c r="V83" s="5">
        <f>VLOOKUP(Q83,POP!$B$5:$M$269,3,FALSE)</f>
        <v>3117425</v>
      </c>
      <c r="W83" s="4">
        <v>3117425</v>
      </c>
      <c r="X83">
        <f>VLOOKUP(Q83,YU!$B$1:$D$266,3,FALSE)</f>
        <v>16.797000000000001</v>
      </c>
      <c r="Y83" s="4">
        <v>16.797000000000001</v>
      </c>
      <c r="Z83">
        <v>3.6588199138641402</v>
      </c>
      <c r="AA83">
        <f t="shared" si="6"/>
        <v>11.299238278649039</v>
      </c>
      <c r="AB83">
        <f t="shared" si="7"/>
        <v>0.77484157653660901</v>
      </c>
      <c r="AC83" s="4">
        <v>0.77484157653661256</v>
      </c>
      <c r="AD83">
        <v>-0.95936720953283228</v>
      </c>
      <c r="AE83">
        <v>1.4815940170940181</v>
      </c>
      <c r="AG83" s="12">
        <f t="shared" si="8"/>
        <v>0</v>
      </c>
      <c r="AH83" s="12">
        <f t="shared" si="9"/>
        <v>0</v>
      </c>
      <c r="AI83" s="13">
        <f t="shared" si="10"/>
        <v>0</v>
      </c>
      <c r="AJ83" s="14">
        <f t="shared" si="11"/>
        <v>0</v>
      </c>
    </row>
    <row r="84" spans="1:36" x14ac:dyDescent="0.2">
      <c r="A84">
        <v>2017</v>
      </c>
      <c r="B84" t="s">
        <v>117</v>
      </c>
      <c r="C84">
        <f>VLOOKUP(B84,Sheet5!$B$2:$C$2166,2,FALSE)</f>
        <v>5255</v>
      </c>
      <c r="D84">
        <v>4455</v>
      </c>
      <c r="E84">
        <v>1740</v>
      </c>
      <c r="F84" t="s">
        <v>122</v>
      </c>
      <c r="G84">
        <v>30</v>
      </c>
      <c r="H84">
        <v>8.4017823399049103</v>
      </c>
      <c r="I84">
        <v>0</v>
      </c>
      <c r="J84">
        <v>0</v>
      </c>
      <c r="K84">
        <v>0</v>
      </c>
      <c r="L84">
        <v>-3</v>
      </c>
      <c r="M84" t="s">
        <v>119</v>
      </c>
      <c r="N84" t="s">
        <v>120</v>
      </c>
      <c r="O84">
        <v>0.19717869616943309</v>
      </c>
      <c r="P84">
        <v>0</v>
      </c>
      <c r="Q84" t="s">
        <v>121</v>
      </c>
      <c r="R84" t="str">
        <f>VLOOKUP(Q84,GDP!$A$2:$B$266,1,FALSE)</f>
        <v>IRL</v>
      </c>
      <c r="S84" t="str">
        <f>VLOOKUP(Q84,GDP!$A$2:$B$266,2,FALSE)</f>
        <v>Ireland</v>
      </c>
      <c r="T84">
        <f>VLOOKUP(Q84,GDP!$A$1:$L$266,4,FALSE)</f>
        <v>87731.789704573355</v>
      </c>
      <c r="U84" s="4">
        <v>87731.789704573399</v>
      </c>
      <c r="V84" s="5">
        <f>VLOOKUP(Q84,POP!$B$5:$M$269,4,FALSE)</f>
        <v>3156397</v>
      </c>
      <c r="W84" s="4">
        <v>3156397</v>
      </c>
      <c r="X84">
        <f>VLOOKUP(Q84,YU!$B$1:$M$266,4,FALSE)</f>
        <v>14.401999999999999</v>
      </c>
      <c r="Y84" s="4">
        <v>14.401999999999999</v>
      </c>
      <c r="Z84">
        <v>3.37737011909485</v>
      </c>
      <c r="AA84">
        <f t="shared" si="6"/>
        <v>11.382039595057668</v>
      </c>
      <c r="AB84">
        <f t="shared" si="7"/>
        <v>0.85764289294523799</v>
      </c>
      <c r="AC84" s="4">
        <v>0.85764289294524509</v>
      </c>
      <c r="AD84">
        <v>-0.94694336286250902</v>
      </c>
      <c r="AE84">
        <v>-0.91340598290598329</v>
      </c>
      <c r="AG84" s="12">
        <f t="shared" si="8"/>
        <v>0</v>
      </c>
      <c r="AH84" s="12">
        <f t="shared" si="9"/>
        <v>0</v>
      </c>
      <c r="AI84" s="13">
        <f t="shared" si="10"/>
        <v>0</v>
      </c>
      <c r="AJ84" s="14">
        <f t="shared" si="11"/>
        <v>0.16515294340614162</v>
      </c>
    </row>
    <row r="85" spans="1:36" x14ac:dyDescent="0.2">
      <c r="A85">
        <v>2018</v>
      </c>
      <c r="B85" t="s">
        <v>117</v>
      </c>
      <c r="C85">
        <f>VLOOKUP(B85,Sheet5!$B$2:$C$2166,2,FALSE)</f>
        <v>5255</v>
      </c>
      <c r="D85">
        <v>4215</v>
      </c>
      <c r="E85">
        <v>1755</v>
      </c>
      <c r="F85" t="s">
        <v>123</v>
      </c>
      <c r="G85">
        <v>25</v>
      </c>
      <c r="H85">
        <v>8.3464048704359559</v>
      </c>
      <c r="I85">
        <v>0</v>
      </c>
      <c r="J85">
        <v>0</v>
      </c>
      <c r="K85">
        <v>0</v>
      </c>
      <c r="L85">
        <v>-2</v>
      </c>
      <c r="M85" t="s">
        <v>119</v>
      </c>
      <c r="N85" t="s">
        <v>120</v>
      </c>
      <c r="O85">
        <v>0.19717869616943309</v>
      </c>
      <c r="P85">
        <v>0</v>
      </c>
      <c r="Q85" t="s">
        <v>121</v>
      </c>
      <c r="R85" t="str">
        <f>VLOOKUP(Q85,GDP!$A$2:$B$266,1,FALSE)</f>
        <v>IRL</v>
      </c>
      <c r="S85" t="str">
        <f>VLOOKUP(Q85,GDP!$A$2:$B$266,2,FALSE)</f>
        <v>Ireland</v>
      </c>
      <c r="T85">
        <f>VLOOKUP(Q85,GDP!$A$1:$L$266,5,FALSE)</f>
        <v>93115.83934983291</v>
      </c>
      <c r="U85" s="4">
        <v>93115.839349832895</v>
      </c>
      <c r="V85" s="5">
        <f>VLOOKUP(Q85,POP!$B$5:$M$269,5,FALSE)</f>
        <v>3200720</v>
      </c>
      <c r="W85" s="4">
        <v>3200720</v>
      </c>
      <c r="X85">
        <f>VLOOKUP(Q85,YU!$B$1:$M$266,5,FALSE)</f>
        <v>13.756</v>
      </c>
      <c r="Y85" s="4">
        <v>13.756</v>
      </c>
      <c r="Z85">
        <v>3.3034799098968501</v>
      </c>
      <c r="AA85">
        <f t="shared" si="6"/>
        <v>11.441599581445507</v>
      </c>
      <c r="AB85">
        <f t="shared" si="7"/>
        <v>0.91720287933307709</v>
      </c>
      <c r="AC85" s="4">
        <v>0.91720287933308242</v>
      </c>
      <c r="AD85">
        <v>-0.93299876557994388</v>
      </c>
      <c r="AE85">
        <v>-1.5594059829059821</v>
      </c>
      <c r="AG85" s="12">
        <f t="shared" si="8"/>
        <v>0</v>
      </c>
      <c r="AH85" s="12">
        <f t="shared" si="9"/>
        <v>0</v>
      </c>
      <c r="AI85" s="13">
        <f t="shared" si="10"/>
        <v>0</v>
      </c>
      <c r="AJ85" s="14">
        <f t="shared" si="11"/>
        <v>0.220530412875096</v>
      </c>
    </row>
    <row r="86" spans="1:36" x14ac:dyDescent="0.2">
      <c r="A86">
        <v>2019</v>
      </c>
      <c r="B86" t="s">
        <v>117</v>
      </c>
      <c r="C86">
        <f>VLOOKUP(B86,Sheet5!$B$2:$C$2166,2,FALSE)</f>
        <v>5255</v>
      </c>
      <c r="D86">
        <v>4180</v>
      </c>
      <c r="E86">
        <v>1700</v>
      </c>
      <c r="F86" t="s">
        <v>124</v>
      </c>
      <c r="G86">
        <v>20</v>
      </c>
      <c r="H86">
        <v>8.3380665255188013</v>
      </c>
      <c r="I86">
        <v>0</v>
      </c>
      <c r="J86">
        <v>0</v>
      </c>
      <c r="K86">
        <v>0</v>
      </c>
      <c r="L86">
        <v>-1</v>
      </c>
      <c r="M86" t="s">
        <v>119</v>
      </c>
      <c r="N86" t="s">
        <v>120</v>
      </c>
      <c r="O86">
        <v>0.19717869616943309</v>
      </c>
      <c r="P86">
        <v>0</v>
      </c>
      <c r="Q86" t="s">
        <v>121</v>
      </c>
      <c r="R86" t="str">
        <f>VLOOKUP(Q86,GDP!$A$2:$B$266,1,FALSE)</f>
        <v>IRL</v>
      </c>
      <c r="S86" t="str">
        <f>VLOOKUP(Q86,GDP!$A$2:$B$266,2,FALSE)</f>
        <v>Ireland</v>
      </c>
      <c r="T86">
        <f>VLOOKUP(Q86,GDP!$A$1:$L$266,6,FALSE)</f>
        <v>96205.796155700504</v>
      </c>
      <c r="U86" s="4">
        <v>96205.796155700504</v>
      </c>
      <c r="V86" s="5">
        <f>VLOOKUP(Q86,POP!$B$5:$M$269,6,FALSE)</f>
        <v>3251795</v>
      </c>
      <c r="W86" s="4">
        <v>3251795</v>
      </c>
      <c r="X86">
        <f>VLOOKUP(Q86,YU!$B$1:$M$266,6,FALSE)</f>
        <v>12.457000000000001</v>
      </c>
      <c r="Y86" s="4">
        <v>12.457000000000001</v>
      </c>
      <c r="Z86">
        <v>3.2298400402069101</v>
      </c>
      <c r="AA86">
        <f t="shared" si="6"/>
        <v>11.474244885937532</v>
      </c>
      <c r="AB86">
        <f t="shared" si="7"/>
        <v>0.94984818382510205</v>
      </c>
      <c r="AC86" s="4">
        <v>0.94984818382510738</v>
      </c>
      <c r="AD86">
        <v>-0.91716739850872564</v>
      </c>
      <c r="AE86">
        <v>-2.8584059829059818</v>
      </c>
      <c r="AG86" s="12">
        <f t="shared" si="8"/>
        <v>0</v>
      </c>
      <c r="AH86" s="12">
        <f t="shared" si="9"/>
        <v>0</v>
      </c>
      <c r="AI86" s="13">
        <f t="shared" si="10"/>
        <v>0</v>
      </c>
      <c r="AJ86" s="14">
        <f t="shared" si="11"/>
        <v>0.22886875779225058</v>
      </c>
    </row>
    <row r="87" spans="1:36" x14ac:dyDescent="0.2">
      <c r="A87">
        <v>2020</v>
      </c>
      <c r="B87" t="s">
        <v>117</v>
      </c>
      <c r="C87">
        <f>VLOOKUP(B87,Sheet5!$B$2:$C$2166,2,FALSE)</f>
        <v>5255</v>
      </c>
      <c r="D87">
        <v>4365</v>
      </c>
      <c r="E87">
        <v>2065</v>
      </c>
      <c r="F87" t="s">
        <v>125</v>
      </c>
      <c r="G87">
        <v>55</v>
      </c>
      <c r="H87">
        <v>8.3813734682737024</v>
      </c>
      <c r="I87">
        <v>0</v>
      </c>
      <c r="J87">
        <v>0</v>
      </c>
      <c r="K87">
        <v>0</v>
      </c>
      <c r="L87">
        <v>0</v>
      </c>
      <c r="M87" t="s">
        <v>119</v>
      </c>
      <c r="N87" t="s">
        <v>120</v>
      </c>
      <c r="O87">
        <v>0.19717869616943309</v>
      </c>
      <c r="P87">
        <v>0</v>
      </c>
      <c r="Q87" t="s">
        <v>121</v>
      </c>
      <c r="R87" t="str">
        <f>VLOOKUP(Q87,GDP!$A$2:$B$266,1,FALSE)</f>
        <v>IRL</v>
      </c>
      <c r="S87" t="str">
        <f>VLOOKUP(Q87,GDP!$A$2:$B$266,2,FALSE)</f>
        <v>Ireland</v>
      </c>
      <c r="T87">
        <f>VLOOKUP(Q87,GDP!$A$1:$L$266,7,FALSE)</f>
        <v>101793.44752587139</v>
      </c>
      <c r="U87" s="4">
        <v>101793.447525871</v>
      </c>
      <c r="V87" s="5">
        <f>VLOOKUP(Q87,POP!$B$5:$M$269,7,FALSE)</f>
        <v>3292799</v>
      </c>
      <c r="W87" s="4">
        <v>3292799</v>
      </c>
      <c r="X87">
        <f>VLOOKUP(Q87,YU!$B$1:$M$266,7,FALSE)</f>
        <v>15.263</v>
      </c>
      <c r="Y87" s="4">
        <v>15.263</v>
      </c>
      <c r="Z87">
        <v>3.19163990020752</v>
      </c>
      <c r="AA87">
        <f t="shared" si="6"/>
        <v>11.530701014876394</v>
      </c>
      <c r="AB87">
        <f t="shared" si="7"/>
        <v>1.0063043127639641</v>
      </c>
      <c r="AC87" s="4">
        <v>1.0063043127639659</v>
      </c>
      <c r="AD87">
        <v>-0.90463658711228057</v>
      </c>
      <c r="AE87">
        <v>-5.240598290598264E-2</v>
      </c>
      <c r="AG87" s="12">
        <f t="shared" si="8"/>
        <v>3.92901711165905E-10</v>
      </c>
      <c r="AH87" s="12">
        <f t="shared" si="9"/>
        <v>0</v>
      </c>
      <c r="AI87" s="13">
        <f t="shared" si="10"/>
        <v>0</v>
      </c>
      <c r="AJ87" s="14">
        <f t="shared" si="11"/>
        <v>0.18556181503734948</v>
      </c>
    </row>
    <row r="88" spans="1:36" x14ac:dyDescent="0.2">
      <c r="A88">
        <v>2021</v>
      </c>
      <c r="B88" t="s">
        <v>117</v>
      </c>
      <c r="C88">
        <f>VLOOKUP(B88,Sheet5!$B$2:$C$2166,2,FALSE)</f>
        <v>5255</v>
      </c>
      <c r="D88">
        <v>5400</v>
      </c>
      <c r="E88">
        <v>2385</v>
      </c>
      <c r="F88" t="s">
        <v>126</v>
      </c>
      <c r="G88">
        <v>25</v>
      </c>
      <c r="H88">
        <v>8.5941542325523663</v>
      </c>
      <c r="I88">
        <v>0</v>
      </c>
      <c r="J88">
        <v>0</v>
      </c>
      <c r="K88">
        <v>1</v>
      </c>
      <c r="L88">
        <v>1</v>
      </c>
      <c r="M88" t="s">
        <v>119</v>
      </c>
      <c r="N88" t="s">
        <v>120</v>
      </c>
      <c r="O88">
        <v>0.19717869616943309</v>
      </c>
      <c r="P88">
        <v>0</v>
      </c>
      <c r="Q88" t="s">
        <v>121</v>
      </c>
      <c r="R88" t="str">
        <f>VLOOKUP(Q88,GDP!$A$2:$B$266,1,FALSE)</f>
        <v>IRL</v>
      </c>
      <c r="S88" t="str">
        <f>VLOOKUP(Q88,GDP!$A$2:$B$266,2,FALSE)</f>
        <v>Ireland</v>
      </c>
      <c r="T88">
        <f>VLOOKUP(Q88,GDP!$A$1:$L$266,8,FALSE)</f>
        <v>116702.85817484997</v>
      </c>
      <c r="U88" s="4">
        <v>116702.85817485</v>
      </c>
      <c r="V88" s="5">
        <f>VLOOKUP(Q88,POP!$B$5:$M$269,8,FALSE)</f>
        <v>3339274</v>
      </c>
      <c r="W88" s="4">
        <v>3339274</v>
      </c>
      <c r="X88">
        <f>VLOOKUP(Q88,YU!$B$1:$M$266,8,FALSE)</f>
        <v>15.612</v>
      </c>
      <c r="Y88" s="4">
        <v>15.612</v>
      </c>
      <c r="Z88">
        <v>2.90461993217468</v>
      </c>
      <c r="AA88">
        <f t="shared" si="6"/>
        <v>11.66738630961869</v>
      </c>
      <c r="AB88">
        <f t="shared" si="7"/>
        <v>1.1429896075062604</v>
      </c>
      <c r="AC88" s="4">
        <v>1.142989607506266</v>
      </c>
      <c r="AD88">
        <v>-0.89062113198502679</v>
      </c>
      <c r="AE88">
        <v>0.29659401709401761</v>
      </c>
      <c r="AG88" s="12">
        <f t="shared" si="8"/>
        <v>0</v>
      </c>
      <c r="AH88" s="12">
        <f t="shared" si="9"/>
        <v>0</v>
      </c>
      <c r="AI88" s="13">
        <f t="shared" si="10"/>
        <v>0</v>
      </c>
      <c r="AJ88" s="14">
        <f t="shared" si="11"/>
        <v>-2.7218949241314405E-2</v>
      </c>
    </row>
    <row r="89" spans="1:36" x14ac:dyDescent="0.2">
      <c r="A89">
        <v>2022</v>
      </c>
      <c r="B89" t="s">
        <v>117</v>
      </c>
      <c r="C89">
        <f>VLOOKUP(B89,Sheet5!$B$2:$C$2166,2,FALSE)</f>
        <v>5255</v>
      </c>
      <c r="D89">
        <v>5640</v>
      </c>
      <c r="E89">
        <v>2475</v>
      </c>
      <c r="F89" t="s">
        <v>127</v>
      </c>
      <c r="G89">
        <v>40</v>
      </c>
      <c r="H89">
        <v>8.6376393444921042</v>
      </c>
      <c r="I89">
        <v>0</v>
      </c>
      <c r="J89">
        <v>0</v>
      </c>
      <c r="K89">
        <v>1</v>
      </c>
      <c r="L89">
        <v>2</v>
      </c>
      <c r="M89" t="s">
        <v>119</v>
      </c>
      <c r="N89" t="s">
        <v>120</v>
      </c>
      <c r="O89">
        <v>0.19717869616943309</v>
      </c>
      <c r="P89">
        <v>0</v>
      </c>
      <c r="Q89" t="s">
        <v>121</v>
      </c>
      <c r="R89" t="str">
        <f>VLOOKUP(Q89,GDP!$A$2:$B$266,1,FALSE)</f>
        <v>IRL</v>
      </c>
      <c r="S89" t="str">
        <f>VLOOKUP(Q89,GDP!$A$2:$B$266,2,FALSE)</f>
        <v>Ireland</v>
      </c>
      <c r="T89">
        <f>VLOOKUP(Q89,GDP!$A$1:$L$266,9,FALSE)</f>
        <v>123007.4764865099</v>
      </c>
      <c r="U89" s="4">
        <v>123007.47648651</v>
      </c>
      <c r="V89" s="5">
        <f>VLOOKUP(Q89,POP!$B$5:$M$269,9,FALSE)</f>
        <v>3408271</v>
      </c>
      <c r="W89" s="4">
        <v>3408271</v>
      </c>
      <c r="X89">
        <f>VLOOKUP(Q89,YU!$B$1:$M$266,9,FALSE)</f>
        <v>9.3889999999999993</v>
      </c>
      <c r="Y89" s="4">
        <v>9.3889999999999993</v>
      </c>
      <c r="AA89">
        <f t="shared" si="6"/>
        <v>11.720000416950425</v>
      </c>
      <c r="AB89">
        <f t="shared" si="7"/>
        <v>1.1956037148379952</v>
      </c>
      <c r="AC89" s="4">
        <v>1.195603714838001</v>
      </c>
      <c r="AD89">
        <v>-0.87016942549196052</v>
      </c>
      <c r="AE89">
        <v>-5.9264059829059832</v>
      </c>
      <c r="AG89" s="12">
        <f t="shared" si="8"/>
        <v>0</v>
      </c>
      <c r="AH89" s="12">
        <f t="shared" si="9"/>
        <v>0</v>
      </c>
      <c r="AI89" s="13">
        <f t="shared" si="10"/>
        <v>0</v>
      </c>
      <c r="AJ89" s="14">
        <f t="shared" si="11"/>
        <v>-7.0704061181052325E-2</v>
      </c>
    </row>
    <row r="90" spans="1:36" x14ac:dyDescent="0.2">
      <c r="A90">
        <v>2023</v>
      </c>
      <c r="B90" t="s">
        <v>117</v>
      </c>
      <c r="C90">
        <f>VLOOKUP(B90,Sheet5!$B$2:$C$2166,2,FALSE)</f>
        <v>5255</v>
      </c>
      <c r="D90">
        <v>5545</v>
      </c>
      <c r="E90">
        <v>2255</v>
      </c>
      <c r="F90" t="s">
        <v>124</v>
      </c>
      <c r="G90">
        <v>45</v>
      </c>
      <c r="H90">
        <v>8.6206518997844679</v>
      </c>
      <c r="I90">
        <v>0</v>
      </c>
      <c r="J90">
        <v>0</v>
      </c>
      <c r="K90">
        <v>1</v>
      </c>
      <c r="L90">
        <v>3</v>
      </c>
      <c r="M90" t="s">
        <v>119</v>
      </c>
      <c r="N90" t="s">
        <v>120</v>
      </c>
      <c r="O90">
        <v>0.19717869616943309</v>
      </c>
      <c r="P90">
        <v>0</v>
      </c>
      <c r="Q90" t="s">
        <v>121</v>
      </c>
      <c r="R90" t="str">
        <f>VLOOKUP(Q90,GDP!$A$2:$B$266,1,FALSE)</f>
        <v>IRL</v>
      </c>
      <c r="S90" t="str">
        <f>VLOOKUP(Q90,GDP!$A$2:$B$266,2,FALSE)</f>
        <v>Ireland</v>
      </c>
      <c r="T90">
        <f>VLOOKUP(Q90,GDP!$A$1:$L$266,10,FALSE)</f>
        <v>117659.728593716</v>
      </c>
      <c r="U90" s="4">
        <v>117659.728593716</v>
      </c>
      <c r="V90" s="5">
        <f>VLOOKUP(Q90,POP!$B$5:$M$269,10,FALSE)</f>
        <v>3475937</v>
      </c>
      <c r="W90" s="4">
        <v>3475937</v>
      </c>
      <c r="X90">
        <f>VLOOKUP(Q90,YU!$B$1:$M$266,10,FALSE)</f>
        <v>10.161</v>
      </c>
      <c r="Y90" s="4">
        <v>10.161</v>
      </c>
      <c r="AA90">
        <f t="shared" si="6"/>
        <v>11.675552081716109</v>
      </c>
      <c r="AB90">
        <f t="shared" si="7"/>
        <v>1.1511553796036793</v>
      </c>
      <c r="AC90" s="4">
        <v>1.1511553796036851</v>
      </c>
      <c r="AD90">
        <v>-0.85051046711880574</v>
      </c>
      <c r="AE90">
        <v>-5.154405982905983</v>
      </c>
      <c r="AG90" s="12">
        <f t="shared" si="8"/>
        <v>0</v>
      </c>
      <c r="AH90" s="12">
        <f t="shared" si="9"/>
        <v>0</v>
      </c>
      <c r="AI90" s="13">
        <f t="shared" si="10"/>
        <v>0</v>
      </c>
      <c r="AJ90" s="14">
        <f t="shared" si="11"/>
        <v>-5.3716616473415968E-2</v>
      </c>
    </row>
    <row r="91" spans="1:36" x14ac:dyDescent="0.2">
      <c r="A91">
        <v>2024</v>
      </c>
      <c r="B91" t="s">
        <v>117</v>
      </c>
      <c r="C91">
        <f>VLOOKUP(B91,Sheet5!$B$2:$C$2166,2,FALSE)</f>
        <v>5255</v>
      </c>
      <c r="D91">
        <v>5415</v>
      </c>
      <c r="E91">
        <v>2260</v>
      </c>
      <c r="F91" t="s">
        <v>116</v>
      </c>
      <c r="G91">
        <v>35</v>
      </c>
      <c r="H91">
        <v>8.596928159435091</v>
      </c>
      <c r="I91">
        <v>0</v>
      </c>
      <c r="J91">
        <v>0</v>
      </c>
      <c r="K91">
        <v>1</v>
      </c>
      <c r="L91">
        <v>4</v>
      </c>
      <c r="M91" t="s">
        <v>119</v>
      </c>
      <c r="N91" t="s">
        <v>120</v>
      </c>
      <c r="O91">
        <v>0.19717869616943309</v>
      </c>
      <c r="P91">
        <v>0</v>
      </c>
      <c r="Q91" t="s">
        <v>121</v>
      </c>
      <c r="R91" t="str">
        <f>VLOOKUP(Q91,GDP!$A$2:$B$266,1,FALSE)</f>
        <v>IRL</v>
      </c>
      <c r="S91" t="str">
        <f>VLOOKUP(Q91,GDP!$A$2:$B$266,2,FALSE)</f>
        <v>Ireland</v>
      </c>
      <c r="T91">
        <f>VLOOKUP(Q91,GDP!$A$1:$L$266,11,FALSE)</f>
        <v>118833.31207175138</v>
      </c>
      <c r="U91" s="4">
        <v>118833.312071751</v>
      </c>
      <c r="V91" s="5">
        <f>VLOOKUP(Q91,POP!$B$5:$M$269,11,FALSE)</f>
        <v>3537072</v>
      </c>
      <c r="W91" s="4">
        <v>3537072</v>
      </c>
      <c r="X91">
        <f>VLOOKUP(Q91,YU!$B$1:$M$266,11,FALSE)</f>
        <v>10.439</v>
      </c>
      <c r="Y91" s="4">
        <v>10.439</v>
      </c>
      <c r="AA91">
        <f t="shared" si="6"/>
        <v>11.685477051249018</v>
      </c>
      <c r="AB91">
        <f t="shared" si="7"/>
        <v>1.1610803491365882</v>
      </c>
      <c r="AC91" s="4">
        <v>1.161080349136592</v>
      </c>
      <c r="AD91">
        <v>-0.83307528382666618</v>
      </c>
      <c r="AE91">
        <v>-4.8764059829059816</v>
      </c>
      <c r="AG91" s="12">
        <f t="shared" si="8"/>
        <v>3.7834979593753815E-10</v>
      </c>
      <c r="AH91" s="12">
        <f t="shared" si="9"/>
        <v>0</v>
      </c>
      <c r="AI91" s="13">
        <f t="shared" si="10"/>
        <v>0</v>
      </c>
      <c r="AJ91" s="14">
        <f t="shared" si="11"/>
        <v>-2.9992876124039114E-2</v>
      </c>
    </row>
    <row r="92" spans="1:36" x14ac:dyDescent="0.2">
      <c r="A92">
        <v>2016</v>
      </c>
      <c r="B92" t="s">
        <v>128</v>
      </c>
      <c r="C92">
        <f>VLOOKUP(B92,Sheet5!$B$2:$C$2166,2,FALSE)</f>
        <v>5035</v>
      </c>
      <c r="D92">
        <v>5035</v>
      </c>
      <c r="E92">
        <v>2665</v>
      </c>
      <c r="F92" t="s">
        <v>60</v>
      </c>
      <c r="G92">
        <v>40</v>
      </c>
      <c r="H92">
        <v>8.5241688051526623</v>
      </c>
      <c r="I92">
        <v>1</v>
      </c>
      <c r="J92">
        <v>1</v>
      </c>
      <c r="K92">
        <v>0</v>
      </c>
      <c r="L92">
        <v>-4</v>
      </c>
      <c r="M92" t="s">
        <v>25</v>
      </c>
      <c r="N92" t="s">
        <v>128</v>
      </c>
      <c r="O92">
        <v>1</v>
      </c>
      <c r="P92">
        <v>0</v>
      </c>
      <c r="Q92" t="s">
        <v>129</v>
      </c>
      <c r="R92" t="str">
        <f>VLOOKUP(Q92,GDP!$A$2:$B$266,1,FALSE)</f>
        <v>ITA</v>
      </c>
      <c r="S92" t="str">
        <f>VLOOKUP(Q92,GDP!$A$2:$B$266,2,FALSE)</f>
        <v>Italy</v>
      </c>
      <c r="T92">
        <f>VLOOKUP(Q92,GDP!$A$1:$C$266,3,FALSE)</f>
        <v>47987.837958101431</v>
      </c>
      <c r="U92" s="4">
        <v>47987.837958101401</v>
      </c>
      <c r="V92" s="5">
        <f>VLOOKUP(Q92,POP!$B$5:$M$269,3,FALSE)</f>
        <v>38555229</v>
      </c>
      <c r="W92" s="4">
        <v>38555229</v>
      </c>
      <c r="X92">
        <f>VLOOKUP(Q92,YU!$B$1:$D$266,3,FALSE)</f>
        <v>37.758000000000003</v>
      </c>
      <c r="Y92" s="4">
        <v>37.758000000000003</v>
      </c>
      <c r="Z92">
        <v>3.7954900264739999</v>
      </c>
      <c r="AA92">
        <f t="shared" si="6"/>
        <v>10.778702881912052</v>
      </c>
      <c r="AB92">
        <f t="shared" si="7"/>
        <v>0.254306179799622</v>
      </c>
      <c r="AC92" s="4">
        <v>0.25430617979962561</v>
      </c>
      <c r="AD92">
        <v>1.5557171827572149</v>
      </c>
      <c r="AE92">
        <v>22.44259401709402</v>
      </c>
      <c r="AG92" s="12">
        <f t="shared" si="8"/>
        <v>0</v>
      </c>
      <c r="AH92" s="12">
        <f t="shared" si="9"/>
        <v>0</v>
      </c>
      <c r="AI92" s="13">
        <f t="shared" si="10"/>
        <v>0</v>
      </c>
      <c r="AJ92" s="14">
        <f t="shared" si="11"/>
        <v>0</v>
      </c>
    </row>
    <row r="93" spans="1:36" x14ac:dyDescent="0.2">
      <c r="A93">
        <v>2017</v>
      </c>
      <c r="B93" t="s">
        <v>128</v>
      </c>
      <c r="C93">
        <f>VLOOKUP(B93,Sheet5!$B$2:$C$2166,2,FALSE)</f>
        <v>5035</v>
      </c>
      <c r="D93">
        <v>4555</v>
      </c>
      <c r="E93">
        <v>2505</v>
      </c>
      <c r="F93" t="s">
        <v>130</v>
      </c>
      <c r="G93">
        <v>40</v>
      </c>
      <c r="H93">
        <v>8.4239808096940578</v>
      </c>
      <c r="I93">
        <v>1</v>
      </c>
      <c r="J93">
        <v>1</v>
      </c>
      <c r="K93">
        <v>0</v>
      </c>
      <c r="L93">
        <v>-3</v>
      </c>
      <c r="M93" t="s">
        <v>25</v>
      </c>
      <c r="N93" t="s">
        <v>128</v>
      </c>
      <c r="O93">
        <v>1</v>
      </c>
      <c r="P93">
        <v>0</v>
      </c>
      <c r="Q93" t="s">
        <v>129</v>
      </c>
      <c r="R93" t="str">
        <f>VLOOKUP(Q93,GDP!$A$2:$B$266,1,FALSE)</f>
        <v>ITA</v>
      </c>
      <c r="S93" t="str">
        <f>VLOOKUP(Q93,GDP!$A$2:$B$266,2,FALSE)</f>
        <v>Italy</v>
      </c>
      <c r="T93">
        <f>VLOOKUP(Q93,GDP!$A$1:$L$266,4,FALSE)</f>
        <v>48849.218353475568</v>
      </c>
      <c r="U93" s="4">
        <v>48849.218353475597</v>
      </c>
      <c r="V93" s="5">
        <f>VLOOKUP(Q93,POP!$B$5:$M$269,4,FALSE)</f>
        <v>38430960</v>
      </c>
      <c r="W93" s="4">
        <v>38430960</v>
      </c>
      <c r="X93">
        <f>VLOOKUP(Q93,YU!$B$1:$M$266,4,FALSE)</f>
        <v>34.725999999999999</v>
      </c>
      <c r="Y93" s="4">
        <v>34.725999999999999</v>
      </c>
      <c r="Z93">
        <v>4.0266299247741699</v>
      </c>
      <c r="AA93">
        <f t="shared" si="6"/>
        <v>10.796493656390519</v>
      </c>
      <c r="AB93">
        <f t="shared" si="7"/>
        <v>0.27209695427808889</v>
      </c>
      <c r="AC93" s="4">
        <v>0.27209695427809422</v>
      </c>
      <c r="AD93">
        <v>1.552488834671822</v>
      </c>
      <c r="AE93">
        <v>19.41059401709402</v>
      </c>
      <c r="AG93" s="12">
        <f t="shared" si="8"/>
        <v>0</v>
      </c>
      <c r="AH93" s="12">
        <f t="shared" si="9"/>
        <v>0</v>
      </c>
      <c r="AI93" s="13">
        <f t="shared" si="10"/>
        <v>0</v>
      </c>
      <c r="AJ93" s="14">
        <f t="shared" si="11"/>
        <v>0.10018799545860446</v>
      </c>
    </row>
    <row r="94" spans="1:36" x14ac:dyDescent="0.2">
      <c r="A94">
        <v>2018</v>
      </c>
      <c r="B94" t="s">
        <v>128</v>
      </c>
      <c r="C94">
        <f>VLOOKUP(B94,Sheet5!$B$2:$C$2166,2,FALSE)</f>
        <v>5035</v>
      </c>
      <c r="D94">
        <v>4435</v>
      </c>
      <c r="E94">
        <v>2420</v>
      </c>
      <c r="F94" t="s">
        <v>91</v>
      </c>
      <c r="G94">
        <v>25</v>
      </c>
      <c r="H94">
        <v>8.3972828947436806</v>
      </c>
      <c r="I94">
        <v>1</v>
      </c>
      <c r="J94">
        <v>1</v>
      </c>
      <c r="K94">
        <v>0</v>
      </c>
      <c r="L94">
        <v>-2</v>
      </c>
      <c r="M94" t="s">
        <v>25</v>
      </c>
      <c r="N94" t="s">
        <v>128</v>
      </c>
      <c r="O94">
        <v>1</v>
      </c>
      <c r="P94">
        <v>0</v>
      </c>
      <c r="Q94" t="s">
        <v>129</v>
      </c>
      <c r="R94" t="str">
        <f>VLOOKUP(Q94,GDP!$A$2:$B$266,1,FALSE)</f>
        <v>ITA</v>
      </c>
      <c r="S94" t="str">
        <f>VLOOKUP(Q94,GDP!$A$2:$B$266,2,FALSE)</f>
        <v>Italy</v>
      </c>
      <c r="T94">
        <f>VLOOKUP(Q94,GDP!$A$1:$L$266,5,FALSE)</f>
        <v>49355.875191350387</v>
      </c>
      <c r="U94" s="4">
        <v>49355.875191350402</v>
      </c>
      <c r="V94" s="5">
        <f>VLOOKUP(Q94,POP!$B$5:$M$269,5,FALSE)</f>
        <v>38307226</v>
      </c>
      <c r="W94" s="4">
        <v>38307226</v>
      </c>
      <c r="X94">
        <f>VLOOKUP(Q94,YU!$B$1:$M$266,5,FALSE)</f>
        <v>32.185000000000002</v>
      </c>
      <c r="Y94" s="4">
        <v>32.185000000000002</v>
      </c>
      <c r="Z94">
        <v>4.2409400939941397</v>
      </c>
      <c r="AA94">
        <f t="shared" si="6"/>
        <v>10.806812089272022</v>
      </c>
      <c r="AB94">
        <f t="shared" si="7"/>
        <v>0.2824153871595918</v>
      </c>
      <c r="AC94" s="4">
        <v>0.28241538715959891</v>
      </c>
      <c r="AD94">
        <v>1.5492639967213451</v>
      </c>
      <c r="AE94">
        <v>16.86959401709402</v>
      </c>
      <c r="AG94" s="12">
        <f t="shared" si="8"/>
        <v>0</v>
      </c>
      <c r="AH94" s="12">
        <f t="shared" si="9"/>
        <v>0</v>
      </c>
      <c r="AI94" s="13">
        <f t="shared" si="10"/>
        <v>0</v>
      </c>
      <c r="AJ94" s="14">
        <f t="shared" si="11"/>
        <v>0.12688591040898167</v>
      </c>
    </row>
    <row r="95" spans="1:36" x14ac:dyDescent="0.2">
      <c r="A95">
        <v>2019</v>
      </c>
      <c r="B95" t="s">
        <v>128</v>
      </c>
      <c r="C95">
        <f>VLOOKUP(B95,Sheet5!$B$2:$C$2166,2,FALSE)</f>
        <v>5035</v>
      </c>
      <c r="D95">
        <v>4610</v>
      </c>
      <c r="E95">
        <v>2485</v>
      </c>
      <c r="F95" t="s">
        <v>131</v>
      </c>
      <c r="G95">
        <v>30</v>
      </c>
      <c r="H95">
        <v>8.4359831359906945</v>
      </c>
      <c r="I95">
        <v>1</v>
      </c>
      <c r="J95">
        <v>1</v>
      </c>
      <c r="K95">
        <v>0</v>
      </c>
      <c r="L95">
        <v>-1</v>
      </c>
      <c r="M95" t="s">
        <v>25</v>
      </c>
      <c r="N95" t="s">
        <v>128</v>
      </c>
      <c r="O95">
        <v>1</v>
      </c>
      <c r="P95">
        <v>0</v>
      </c>
      <c r="Q95" t="s">
        <v>129</v>
      </c>
      <c r="R95" t="str">
        <f>VLOOKUP(Q95,GDP!$A$2:$B$266,1,FALSE)</f>
        <v>ITA</v>
      </c>
      <c r="S95" t="str">
        <f>VLOOKUP(Q95,GDP!$A$2:$B$266,2,FALSE)</f>
        <v>Italy</v>
      </c>
      <c r="T95">
        <f>VLOOKUP(Q95,GDP!$A$1:$L$266,6,FALSE)</f>
        <v>49690.629850527352</v>
      </c>
      <c r="U95" s="4">
        <v>49690.629850527403</v>
      </c>
      <c r="V95" s="5">
        <f>VLOOKUP(Q95,POP!$B$5:$M$269,6,FALSE)</f>
        <v>38150120</v>
      </c>
      <c r="W95" s="4">
        <v>38150120</v>
      </c>
      <c r="X95">
        <f>VLOOKUP(Q95,YU!$B$1:$M$266,6,FALSE)</f>
        <v>29.102</v>
      </c>
      <c r="Y95" s="4">
        <v>29.102</v>
      </c>
      <c r="Z95">
        <v>4.07843017578125</v>
      </c>
      <c r="AA95">
        <f t="shared" si="6"/>
        <v>10.813571660115294</v>
      </c>
      <c r="AB95">
        <f t="shared" si="7"/>
        <v>0.28917495800286375</v>
      </c>
      <c r="AC95" s="4">
        <v>0.28917495800287091</v>
      </c>
      <c r="AD95">
        <v>1.5451543531269729</v>
      </c>
      <c r="AE95">
        <v>13.78659401709402</v>
      </c>
      <c r="AG95" s="12">
        <f t="shared" si="8"/>
        <v>0</v>
      </c>
      <c r="AH95" s="12">
        <f t="shared" si="9"/>
        <v>0</v>
      </c>
      <c r="AI95" s="13">
        <f t="shared" si="10"/>
        <v>0</v>
      </c>
      <c r="AJ95" s="14">
        <f t="shared" si="11"/>
        <v>8.8185669161967795E-2</v>
      </c>
    </row>
    <row r="96" spans="1:36" x14ac:dyDescent="0.2">
      <c r="A96">
        <v>2020</v>
      </c>
      <c r="B96" t="s">
        <v>128</v>
      </c>
      <c r="C96">
        <f>VLOOKUP(B96,Sheet5!$B$2:$C$2166,2,FALSE)</f>
        <v>5035</v>
      </c>
      <c r="D96">
        <v>4150</v>
      </c>
      <c r="E96">
        <v>2270</v>
      </c>
      <c r="F96" t="s">
        <v>56</v>
      </c>
      <c r="G96">
        <v>45</v>
      </c>
      <c r="H96">
        <v>8.3308636132247447</v>
      </c>
      <c r="I96">
        <v>1</v>
      </c>
      <c r="J96">
        <v>1</v>
      </c>
      <c r="K96">
        <v>0</v>
      </c>
      <c r="L96">
        <v>0</v>
      </c>
      <c r="M96" t="s">
        <v>25</v>
      </c>
      <c r="N96" t="s">
        <v>128</v>
      </c>
      <c r="O96">
        <v>1</v>
      </c>
      <c r="P96">
        <v>0</v>
      </c>
      <c r="Q96" t="s">
        <v>129</v>
      </c>
      <c r="R96" t="str">
        <f>VLOOKUP(Q96,GDP!$A$2:$B$266,1,FALSE)</f>
        <v>ITA</v>
      </c>
      <c r="S96" t="str">
        <f>VLOOKUP(Q96,GDP!$A$2:$B$266,2,FALSE)</f>
        <v>Italy</v>
      </c>
      <c r="T96">
        <f>VLOOKUP(Q96,GDP!$A$1:$L$266,7,FALSE)</f>
        <v>45505.068870895579</v>
      </c>
      <c r="U96" s="4">
        <v>45505.0688708956</v>
      </c>
      <c r="V96" s="5">
        <f>VLOOKUP(Q96,POP!$B$5:$M$269,7,FALSE)</f>
        <v>37918891</v>
      </c>
      <c r="W96" s="4">
        <v>37918891</v>
      </c>
      <c r="X96">
        <f>VLOOKUP(Q96,YU!$B$1:$M$266,7,FALSE)</f>
        <v>29.629000000000001</v>
      </c>
      <c r="Y96" s="4">
        <v>29.629000000000001</v>
      </c>
      <c r="Z96">
        <v>4.4180397987365696</v>
      </c>
      <c r="AA96">
        <f t="shared" si="6"/>
        <v>10.725579002490051</v>
      </c>
      <c r="AB96">
        <f t="shared" si="7"/>
        <v>0.20118230037762075</v>
      </c>
      <c r="AC96" s="4">
        <v>0.20118230037762611</v>
      </c>
      <c r="AD96">
        <v>1.539074881101643</v>
      </c>
      <c r="AE96">
        <v>14.313594017094021</v>
      </c>
      <c r="AG96" s="12">
        <f t="shared" si="8"/>
        <v>0</v>
      </c>
      <c r="AH96" s="12">
        <f t="shared" si="9"/>
        <v>0</v>
      </c>
      <c r="AI96" s="13">
        <f t="shared" si="10"/>
        <v>0</v>
      </c>
      <c r="AJ96" s="14">
        <f t="shared" si="11"/>
        <v>0.19330519192791762</v>
      </c>
    </row>
    <row r="97" spans="1:36" x14ac:dyDescent="0.2">
      <c r="A97">
        <v>2021</v>
      </c>
      <c r="B97" t="s">
        <v>128</v>
      </c>
      <c r="C97">
        <f>VLOOKUP(B97,Sheet5!$B$2:$C$2166,2,FALSE)</f>
        <v>5035</v>
      </c>
      <c r="D97">
        <v>2440</v>
      </c>
      <c r="E97">
        <v>1135</v>
      </c>
      <c r="F97" t="s">
        <v>132</v>
      </c>
      <c r="G97">
        <v>10</v>
      </c>
      <c r="H97">
        <v>7.7997533182872472</v>
      </c>
      <c r="I97">
        <v>1</v>
      </c>
      <c r="J97">
        <v>1</v>
      </c>
      <c r="K97">
        <v>1</v>
      </c>
      <c r="L97">
        <v>1</v>
      </c>
      <c r="M97" t="s">
        <v>25</v>
      </c>
      <c r="N97" t="s">
        <v>128</v>
      </c>
      <c r="O97">
        <v>1</v>
      </c>
      <c r="P97">
        <v>1</v>
      </c>
      <c r="Q97" t="s">
        <v>129</v>
      </c>
      <c r="R97" t="str">
        <f>VLOOKUP(Q97,GDP!$A$2:$B$266,1,FALSE)</f>
        <v>ITA</v>
      </c>
      <c r="S97" t="str">
        <f>VLOOKUP(Q97,GDP!$A$2:$B$266,2,FALSE)</f>
        <v>Italy</v>
      </c>
      <c r="T97">
        <f>VLOOKUP(Q97,GDP!$A$1:$L$266,8,FALSE)</f>
        <v>49825.393411184821</v>
      </c>
      <c r="U97" s="4">
        <v>49825.393411184799</v>
      </c>
      <c r="V97" s="5">
        <f>VLOOKUP(Q97,POP!$B$5:$M$269,8,FALSE)</f>
        <v>37681637</v>
      </c>
      <c r="W97" s="4">
        <v>37681637</v>
      </c>
      <c r="X97">
        <f>VLOOKUP(Q97,YU!$B$1:$M$266,8,FALSE)</f>
        <v>29.664999999999999</v>
      </c>
      <c r="Y97" s="4">
        <v>29.664999999999999</v>
      </c>
      <c r="Z97">
        <v>4.1711897850036603</v>
      </c>
      <c r="AA97">
        <f t="shared" si="6"/>
        <v>10.816280040909026</v>
      </c>
      <c r="AB97">
        <f t="shared" si="7"/>
        <v>0.29188333879659645</v>
      </c>
      <c r="AC97" s="4">
        <v>0.29188333879660178</v>
      </c>
      <c r="AD97">
        <v>1.5327983434858461</v>
      </c>
      <c r="AE97">
        <v>14.34959401709402</v>
      </c>
      <c r="AG97" s="12">
        <f t="shared" si="8"/>
        <v>0</v>
      </c>
      <c r="AH97" s="12">
        <f t="shared" si="9"/>
        <v>0</v>
      </c>
      <c r="AI97" s="13">
        <f t="shared" si="10"/>
        <v>0</v>
      </c>
      <c r="AJ97" s="14">
        <f t="shared" si="11"/>
        <v>0.72441548686541513</v>
      </c>
    </row>
    <row r="98" spans="1:36" x14ac:dyDescent="0.2">
      <c r="A98">
        <v>2022</v>
      </c>
      <c r="B98" t="s">
        <v>128</v>
      </c>
      <c r="C98">
        <f>VLOOKUP(B98,Sheet5!$B$2:$C$2166,2,FALSE)</f>
        <v>5035</v>
      </c>
      <c r="D98">
        <v>1970</v>
      </c>
      <c r="E98">
        <v>930</v>
      </c>
      <c r="F98" t="s">
        <v>125</v>
      </c>
      <c r="G98">
        <v>25</v>
      </c>
      <c r="H98">
        <v>7.5857888217320344</v>
      </c>
      <c r="I98">
        <v>1</v>
      </c>
      <c r="J98">
        <v>1</v>
      </c>
      <c r="K98">
        <v>1</v>
      </c>
      <c r="L98">
        <v>2</v>
      </c>
      <c r="M98" t="s">
        <v>25</v>
      </c>
      <c r="N98" t="s">
        <v>128</v>
      </c>
      <c r="O98">
        <v>1</v>
      </c>
      <c r="P98">
        <v>1</v>
      </c>
      <c r="Q98" t="s">
        <v>129</v>
      </c>
      <c r="R98" t="str">
        <f>VLOOKUP(Q98,GDP!$A$2:$B$266,1,FALSE)</f>
        <v>ITA</v>
      </c>
      <c r="S98" t="str">
        <f>VLOOKUP(Q98,GDP!$A$2:$B$266,2,FALSE)</f>
        <v>Italy</v>
      </c>
      <c r="T98">
        <f>VLOOKUP(Q98,GDP!$A$1:$L$266,9,FALSE)</f>
        <v>52333.327427060409</v>
      </c>
      <c r="U98" s="4">
        <v>52333.327427060402</v>
      </c>
      <c r="V98" s="5">
        <f>VLOOKUP(Q98,POP!$B$5:$M$269,9,FALSE)</f>
        <v>37580511</v>
      </c>
      <c r="W98" s="4">
        <v>37580511</v>
      </c>
      <c r="X98">
        <f>VLOOKUP(Q98,YU!$B$1:$M$266,9,FALSE)</f>
        <v>23.704000000000001</v>
      </c>
      <c r="Y98" s="4">
        <v>23.704000000000001</v>
      </c>
      <c r="Z98">
        <v>4.0677599906921396</v>
      </c>
      <c r="AA98">
        <f t="shared" si="6"/>
        <v>10.86538868280361</v>
      </c>
      <c r="AB98">
        <f t="shared" si="7"/>
        <v>0.34099198069118053</v>
      </c>
      <c r="AC98" s="4">
        <v>0.34099198069118591</v>
      </c>
      <c r="AD98">
        <v>1.53011104147428</v>
      </c>
      <c r="AE98">
        <v>8.3885940170940181</v>
      </c>
      <c r="AG98" s="12">
        <f t="shared" si="8"/>
        <v>0</v>
      </c>
      <c r="AH98" s="12">
        <f t="shared" si="9"/>
        <v>0</v>
      </c>
      <c r="AI98" s="13">
        <f t="shared" si="10"/>
        <v>0</v>
      </c>
      <c r="AJ98" s="14">
        <f t="shared" si="11"/>
        <v>0.93837998342062789</v>
      </c>
    </row>
    <row r="99" spans="1:36" x14ac:dyDescent="0.2">
      <c r="A99">
        <v>2023</v>
      </c>
      <c r="B99" t="s">
        <v>128</v>
      </c>
      <c r="C99">
        <f>VLOOKUP(B99,Sheet5!$B$2:$C$2166,2,FALSE)</f>
        <v>5035</v>
      </c>
      <c r="D99">
        <v>1850</v>
      </c>
      <c r="E99">
        <v>795</v>
      </c>
      <c r="F99" t="s">
        <v>133</v>
      </c>
      <c r="G99">
        <v>20</v>
      </c>
      <c r="H99">
        <v>7.5229409180723703</v>
      </c>
      <c r="I99">
        <v>1</v>
      </c>
      <c r="J99">
        <v>1</v>
      </c>
      <c r="K99">
        <v>1</v>
      </c>
      <c r="L99">
        <v>3</v>
      </c>
      <c r="M99" t="s">
        <v>25</v>
      </c>
      <c r="N99" t="s">
        <v>128</v>
      </c>
      <c r="O99">
        <v>1</v>
      </c>
      <c r="P99">
        <v>1</v>
      </c>
      <c r="Q99" t="s">
        <v>129</v>
      </c>
      <c r="R99" t="str">
        <f>VLOOKUP(Q99,GDP!$A$2:$B$266,1,FALSE)</f>
        <v>ITA</v>
      </c>
      <c r="S99" t="str">
        <f>VLOOKUP(Q99,GDP!$A$2:$B$266,2,FALSE)</f>
        <v>Italy</v>
      </c>
      <c r="T99">
        <f>VLOOKUP(Q99,GDP!$A$1:$L$266,10,FALSE)</f>
        <v>52842.628883175763</v>
      </c>
      <c r="U99" s="4">
        <v>52842.628883175799</v>
      </c>
      <c r="V99" s="5">
        <f>VLOOKUP(Q99,POP!$B$5:$M$269,10,FALSE)</f>
        <v>37535657</v>
      </c>
      <c r="W99" s="4">
        <v>37535657</v>
      </c>
      <c r="X99">
        <f>VLOOKUP(Q99,YU!$B$1:$M$266,10,FALSE)</f>
        <v>22.727</v>
      </c>
      <c r="Y99" s="4">
        <v>22.727</v>
      </c>
      <c r="AA99">
        <f t="shared" si="6"/>
        <v>10.875073509162041</v>
      </c>
      <c r="AB99">
        <f t="shared" si="7"/>
        <v>0.35067680704961113</v>
      </c>
      <c r="AC99" s="4">
        <v>0.35067680704961651</v>
      </c>
      <c r="AD99">
        <v>1.528916784458106</v>
      </c>
      <c r="AE99">
        <v>7.4115940170940178</v>
      </c>
      <c r="AG99" s="12">
        <f t="shared" si="8"/>
        <v>0</v>
      </c>
      <c r="AH99" s="12">
        <f t="shared" si="9"/>
        <v>0</v>
      </c>
      <c r="AI99" s="13">
        <f t="shared" si="10"/>
        <v>0</v>
      </c>
      <c r="AJ99" s="14">
        <f t="shared" si="11"/>
        <v>1.001227887080292</v>
      </c>
    </row>
    <row r="100" spans="1:36" x14ac:dyDescent="0.2">
      <c r="A100">
        <v>2024</v>
      </c>
      <c r="B100" t="s">
        <v>128</v>
      </c>
      <c r="C100">
        <f>VLOOKUP(B100,Sheet5!$B$2:$C$2166,2,FALSE)</f>
        <v>5035</v>
      </c>
      <c r="D100">
        <v>1560</v>
      </c>
      <c r="E100">
        <v>705</v>
      </c>
      <c r="F100" t="s">
        <v>134</v>
      </c>
      <c r="G100">
        <v>10</v>
      </c>
      <c r="H100">
        <v>7.352441100243583</v>
      </c>
      <c r="I100">
        <v>1</v>
      </c>
      <c r="J100">
        <v>1</v>
      </c>
      <c r="K100">
        <v>1</v>
      </c>
      <c r="L100">
        <v>4</v>
      </c>
      <c r="M100" t="s">
        <v>25</v>
      </c>
      <c r="N100" t="s">
        <v>128</v>
      </c>
      <c r="O100">
        <v>1</v>
      </c>
      <c r="P100">
        <v>1</v>
      </c>
      <c r="Q100" t="s">
        <v>129</v>
      </c>
      <c r="R100" t="str">
        <f>VLOOKUP(Q100,GDP!$A$2:$B$266,1,FALSE)</f>
        <v>ITA</v>
      </c>
      <c r="S100" t="str">
        <f>VLOOKUP(Q100,GDP!$A$2:$B$266,2,FALSE)</f>
        <v>Italy</v>
      </c>
      <c r="T100">
        <f>VLOOKUP(Q100,GDP!$A$1:$L$266,11,FALSE)</f>
        <v>53284.8745049149</v>
      </c>
      <c r="U100" s="4">
        <v>53284.8745049149</v>
      </c>
      <c r="V100" s="5">
        <f>VLOOKUP(Q100,POP!$B$5:$M$269,11,FALSE)</f>
        <v>37424897</v>
      </c>
      <c r="W100" s="4">
        <v>37424897</v>
      </c>
      <c r="X100">
        <f>VLOOKUP(Q100,YU!$B$1:$M$266,11,FALSE)</f>
        <v>20.245999999999999</v>
      </c>
      <c r="Y100" s="4">
        <v>20.245999999999999</v>
      </c>
      <c r="AA100">
        <f t="shared" si="6"/>
        <v>10.883407789485068</v>
      </c>
      <c r="AB100">
        <f t="shared" si="7"/>
        <v>0.35901108737263776</v>
      </c>
      <c r="AC100" s="4">
        <v>0.35901108737264309</v>
      </c>
      <c r="AD100">
        <v>1.5259616280539761</v>
      </c>
      <c r="AE100">
        <v>4.9305940170940161</v>
      </c>
      <c r="AG100" s="12">
        <f t="shared" si="8"/>
        <v>0</v>
      </c>
      <c r="AH100" s="12">
        <f t="shared" si="9"/>
        <v>0</v>
      </c>
      <c r="AI100" s="13">
        <f t="shared" si="10"/>
        <v>0</v>
      </c>
      <c r="AJ100" s="14">
        <f t="shared" si="11"/>
        <v>1.1717277049090793</v>
      </c>
    </row>
    <row r="101" spans="1:36" x14ac:dyDescent="0.2">
      <c r="A101">
        <v>2016</v>
      </c>
      <c r="B101" t="s">
        <v>135</v>
      </c>
      <c r="C101">
        <f>VLOOKUP(B101,Sheet5!$B$2:$C$2166,2,FALSE)</f>
        <v>435</v>
      </c>
      <c r="D101">
        <v>435</v>
      </c>
      <c r="E101">
        <v>275</v>
      </c>
      <c r="F101" t="s">
        <v>136</v>
      </c>
      <c r="G101">
        <v>5</v>
      </c>
      <c r="H101">
        <v>6.0753460310886842</v>
      </c>
      <c r="I101">
        <v>1</v>
      </c>
      <c r="J101">
        <v>1</v>
      </c>
      <c r="K101">
        <v>0</v>
      </c>
      <c r="L101">
        <v>-4</v>
      </c>
      <c r="M101" t="s">
        <v>25</v>
      </c>
      <c r="N101" t="s">
        <v>135</v>
      </c>
      <c r="O101">
        <v>1</v>
      </c>
      <c r="P101">
        <v>0</v>
      </c>
      <c r="Q101" t="s">
        <v>137</v>
      </c>
      <c r="R101" t="str">
        <f>VLOOKUP(Q101,GDP!$A$2:$B$266,1,FALSE)</f>
        <v>LUX</v>
      </c>
      <c r="S101" t="str">
        <f>VLOOKUP(Q101,GDP!$A$2:$B$266,2,FALSE)</f>
        <v>Luxembourg</v>
      </c>
      <c r="T101">
        <f>VLOOKUP(Q101,GDP!$A$1:$C$266,3,FALSE)</f>
        <v>133661.73454128104</v>
      </c>
      <c r="U101" s="4">
        <v>133661.73454128101</v>
      </c>
      <c r="V101" s="5">
        <f>VLOOKUP(Q101,POP!$B$5:$M$269,3,FALSE)</f>
        <v>403952</v>
      </c>
      <c r="W101" s="4">
        <v>403952</v>
      </c>
      <c r="X101">
        <f>VLOOKUP(Q101,YU!$B$1:$D$266,3,FALSE)</f>
        <v>21.98</v>
      </c>
      <c r="Y101" s="4">
        <v>21.98</v>
      </c>
      <c r="AA101">
        <f t="shared" si="6"/>
        <v>11.803067518246165</v>
      </c>
      <c r="AB101">
        <f t="shared" si="7"/>
        <v>1.2786708161337348</v>
      </c>
      <c r="AC101" s="4">
        <v>1.2786708161337399</v>
      </c>
      <c r="AD101">
        <v>-3.0028337700377872</v>
      </c>
      <c r="AE101">
        <v>6.6645940170940179</v>
      </c>
      <c r="AG101" s="12">
        <f t="shared" si="8"/>
        <v>0</v>
      </c>
      <c r="AH101" s="12">
        <f t="shared" si="9"/>
        <v>0</v>
      </c>
      <c r="AI101" s="13">
        <f t="shared" si="10"/>
        <v>0</v>
      </c>
      <c r="AJ101" s="14">
        <f t="shared" si="11"/>
        <v>0</v>
      </c>
    </row>
    <row r="102" spans="1:36" x14ac:dyDescent="0.2">
      <c r="A102">
        <v>2017</v>
      </c>
      <c r="B102" t="s">
        <v>135</v>
      </c>
      <c r="C102">
        <f>VLOOKUP(B102,Sheet5!$B$2:$C$2166,2,FALSE)</f>
        <v>435</v>
      </c>
      <c r="D102">
        <v>445</v>
      </c>
      <c r="E102">
        <v>260</v>
      </c>
      <c r="F102" t="s">
        <v>138</v>
      </c>
      <c r="G102">
        <v>0</v>
      </c>
      <c r="H102">
        <v>6.0980742821662401</v>
      </c>
      <c r="I102">
        <v>1</v>
      </c>
      <c r="J102">
        <v>1</v>
      </c>
      <c r="K102">
        <v>0</v>
      </c>
      <c r="L102">
        <v>-3</v>
      </c>
      <c r="M102" t="s">
        <v>25</v>
      </c>
      <c r="N102" t="s">
        <v>135</v>
      </c>
      <c r="O102">
        <v>1</v>
      </c>
      <c r="P102">
        <v>0</v>
      </c>
      <c r="Q102" t="s">
        <v>137</v>
      </c>
      <c r="R102" t="str">
        <f>VLOOKUP(Q102,GDP!$A$2:$B$266,1,FALSE)</f>
        <v>LUX</v>
      </c>
      <c r="S102" t="str">
        <f>VLOOKUP(Q102,GDP!$A$2:$B$266,2,FALSE)</f>
        <v>Luxembourg</v>
      </c>
      <c r="T102">
        <f>VLOOKUP(Q102,GDP!$A$1:$L$266,4,FALSE)</f>
        <v>132169.82957617432</v>
      </c>
      <c r="U102" s="4">
        <v>132169.829576174</v>
      </c>
      <c r="V102" s="5">
        <f>VLOOKUP(Q102,POP!$B$5:$M$269,4,FALSE)</f>
        <v>414517</v>
      </c>
      <c r="W102" s="4">
        <v>414517</v>
      </c>
      <c r="X102">
        <f>VLOOKUP(Q102,YU!$B$1:$M$266,4,FALSE)</f>
        <v>15.473000000000001</v>
      </c>
      <c r="Y102" s="4">
        <v>15.473000000000001</v>
      </c>
      <c r="Z102">
        <v>3.4864599704742401</v>
      </c>
      <c r="AA102">
        <f t="shared" si="6"/>
        <v>11.791842962322061</v>
      </c>
      <c r="AB102">
        <f t="shared" si="7"/>
        <v>1.2674462602096312</v>
      </c>
      <c r="AC102" s="4">
        <v>1.267446260209633</v>
      </c>
      <c r="AD102">
        <v>-2.977015842055732</v>
      </c>
      <c r="AE102">
        <v>0.15759401709401821</v>
      </c>
      <c r="AG102" s="12">
        <f t="shared" si="8"/>
        <v>3.2014213502407074E-10</v>
      </c>
      <c r="AH102" s="12">
        <f t="shared" si="9"/>
        <v>0</v>
      </c>
      <c r="AI102" s="13">
        <f t="shared" si="10"/>
        <v>0</v>
      </c>
      <c r="AJ102" s="14">
        <f t="shared" si="11"/>
        <v>-2.2728251077555939E-2</v>
      </c>
    </row>
    <row r="103" spans="1:36" x14ac:dyDescent="0.2">
      <c r="A103">
        <v>2018</v>
      </c>
      <c r="B103" t="s">
        <v>135</v>
      </c>
      <c r="C103">
        <f>VLOOKUP(B103,Sheet5!$B$2:$C$2166,2,FALSE)</f>
        <v>435</v>
      </c>
      <c r="D103">
        <v>460</v>
      </c>
      <c r="E103">
        <v>290</v>
      </c>
      <c r="F103" t="s">
        <v>139</v>
      </c>
      <c r="G103">
        <v>0</v>
      </c>
      <c r="H103">
        <v>6.131226489483141</v>
      </c>
      <c r="I103">
        <v>1</v>
      </c>
      <c r="J103">
        <v>1</v>
      </c>
      <c r="K103">
        <v>0</v>
      </c>
      <c r="L103">
        <v>-2</v>
      </c>
      <c r="M103" t="s">
        <v>25</v>
      </c>
      <c r="N103" t="s">
        <v>135</v>
      </c>
      <c r="O103">
        <v>1</v>
      </c>
      <c r="P103">
        <v>0</v>
      </c>
      <c r="Q103" t="s">
        <v>137</v>
      </c>
      <c r="R103" t="str">
        <f>VLOOKUP(Q103,GDP!$A$2:$B$266,1,FALSE)</f>
        <v>LUX</v>
      </c>
      <c r="S103" t="str">
        <f>VLOOKUP(Q103,GDP!$A$2:$B$266,2,FALSE)</f>
        <v>Luxembourg</v>
      </c>
      <c r="T103">
        <f>VLOOKUP(Q103,GDP!$A$1:$L$266,5,FALSE)</f>
        <v>131733.88447148932</v>
      </c>
      <c r="U103" s="4">
        <v>131733.884471489</v>
      </c>
      <c r="V103" s="5">
        <f>VLOOKUP(Q103,POP!$B$5:$M$269,5,FALSE)</f>
        <v>422696</v>
      </c>
      <c r="W103" s="4">
        <v>422696</v>
      </c>
      <c r="X103">
        <f>VLOOKUP(Q103,YU!$B$1:$M$266,5,FALSE)</f>
        <v>14.18</v>
      </c>
      <c r="Y103" s="4">
        <v>14.18</v>
      </c>
      <c r="Z103">
        <v>3.6577200889587398</v>
      </c>
      <c r="AA103">
        <f t="shared" si="6"/>
        <v>11.788539139920051</v>
      </c>
      <c r="AB103">
        <f t="shared" si="7"/>
        <v>1.2641424378076209</v>
      </c>
      <c r="AC103" s="4">
        <v>1.264142437807624</v>
      </c>
      <c r="AD103">
        <v>-2.957476584507194</v>
      </c>
      <c r="AE103">
        <v>-1.135405982905983</v>
      </c>
      <c r="AG103" s="12">
        <f t="shared" si="8"/>
        <v>3.2014213502407074E-10</v>
      </c>
      <c r="AH103" s="12">
        <f t="shared" si="9"/>
        <v>0</v>
      </c>
      <c r="AI103" s="13">
        <f t="shared" si="10"/>
        <v>0</v>
      </c>
      <c r="AJ103" s="14">
        <f t="shared" si="11"/>
        <v>-5.5880458394456767E-2</v>
      </c>
    </row>
    <row r="104" spans="1:36" x14ac:dyDescent="0.2">
      <c r="A104">
        <v>2019</v>
      </c>
      <c r="B104" t="s">
        <v>135</v>
      </c>
      <c r="C104">
        <f>VLOOKUP(B104,Sheet5!$B$2:$C$2166,2,FALSE)</f>
        <v>435</v>
      </c>
      <c r="D104">
        <v>425</v>
      </c>
      <c r="E104">
        <v>255</v>
      </c>
      <c r="F104" t="s">
        <v>140</v>
      </c>
      <c r="G104">
        <v>0</v>
      </c>
      <c r="H104">
        <v>6.0520891689244172</v>
      </c>
      <c r="I104">
        <v>1</v>
      </c>
      <c r="J104">
        <v>1</v>
      </c>
      <c r="K104">
        <v>0</v>
      </c>
      <c r="L104">
        <v>-1</v>
      </c>
      <c r="M104" t="s">
        <v>25</v>
      </c>
      <c r="N104" t="s">
        <v>135</v>
      </c>
      <c r="O104">
        <v>1</v>
      </c>
      <c r="P104">
        <v>0</v>
      </c>
      <c r="Q104" t="s">
        <v>137</v>
      </c>
      <c r="R104" t="str">
        <f>VLOOKUP(Q104,GDP!$A$2:$B$266,1,FALSE)</f>
        <v>LUX</v>
      </c>
      <c r="S104" t="str">
        <f>VLOOKUP(Q104,GDP!$A$2:$B$266,2,FALSE)</f>
        <v>Luxembourg</v>
      </c>
      <c r="T104">
        <f>VLOOKUP(Q104,GDP!$A$1:$L$266,6,FALSE)</f>
        <v>132724.75466830298</v>
      </c>
      <c r="U104" s="4">
        <v>132724.75466830301</v>
      </c>
      <c r="V104" s="5">
        <f>VLOOKUP(Q104,POP!$B$5:$M$269,6,FALSE)</f>
        <v>430966</v>
      </c>
      <c r="W104" s="4">
        <v>430966</v>
      </c>
      <c r="X104">
        <f>VLOOKUP(Q104,YU!$B$1:$M$266,6,FALSE)</f>
        <v>16.975000000000001</v>
      </c>
      <c r="Y104" s="4">
        <v>16.975000000000001</v>
      </c>
      <c r="Z104">
        <v>3.73705005645752</v>
      </c>
      <c r="AA104">
        <f t="shared" si="6"/>
        <v>11.796032749029015</v>
      </c>
      <c r="AB104">
        <f t="shared" si="7"/>
        <v>1.2716360469165853</v>
      </c>
      <c r="AC104" s="4">
        <v>1.271636046916591</v>
      </c>
      <c r="AD104">
        <v>-2.9381006283779052</v>
      </c>
      <c r="AE104">
        <v>1.6595940170940191</v>
      </c>
      <c r="AG104" s="12">
        <f t="shared" si="8"/>
        <v>0</v>
      </c>
      <c r="AH104" s="12">
        <f t="shared" si="9"/>
        <v>0</v>
      </c>
      <c r="AI104" s="13">
        <f t="shared" si="10"/>
        <v>0</v>
      </c>
      <c r="AJ104" s="14">
        <f t="shared" si="11"/>
        <v>2.3256862164267034E-2</v>
      </c>
    </row>
    <row r="105" spans="1:36" x14ac:dyDescent="0.2">
      <c r="A105">
        <v>2020</v>
      </c>
      <c r="B105" t="s">
        <v>135</v>
      </c>
      <c r="C105">
        <f>VLOOKUP(B105,Sheet5!$B$2:$C$2166,2,FALSE)</f>
        <v>435</v>
      </c>
      <c r="D105">
        <v>415</v>
      </c>
      <c r="E105">
        <v>265</v>
      </c>
      <c r="F105" t="s">
        <v>141</v>
      </c>
      <c r="G105">
        <v>0</v>
      </c>
      <c r="H105">
        <v>6.0282785202306979</v>
      </c>
      <c r="I105">
        <v>1</v>
      </c>
      <c r="J105">
        <v>1</v>
      </c>
      <c r="K105">
        <v>0</v>
      </c>
      <c r="L105">
        <v>0</v>
      </c>
      <c r="M105" t="s">
        <v>25</v>
      </c>
      <c r="N105" t="s">
        <v>135</v>
      </c>
      <c r="O105">
        <v>1</v>
      </c>
      <c r="P105">
        <v>0</v>
      </c>
      <c r="Q105" t="s">
        <v>137</v>
      </c>
      <c r="R105" t="str">
        <f>VLOOKUP(Q105,GDP!$A$2:$B$266,1,FALSE)</f>
        <v>LUX</v>
      </c>
      <c r="S105" t="str">
        <f>VLOOKUP(Q105,GDP!$A$2:$B$266,2,FALSE)</f>
        <v>Luxembourg</v>
      </c>
      <c r="T105">
        <f>VLOOKUP(Q105,GDP!$A$1:$L$266,7,FALSE)</f>
        <v>129865.63187112365</v>
      </c>
      <c r="U105" s="4">
        <v>129865.631871124</v>
      </c>
      <c r="V105" s="5">
        <f>VLOOKUP(Q105,POP!$B$5:$M$269,7,FALSE)</f>
        <v>437765</v>
      </c>
      <c r="W105" s="4">
        <v>437765</v>
      </c>
      <c r="X105">
        <f>VLOOKUP(Q105,YU!$B$1:$M$266,7,FALSE)</f>
        <v>23.181999999999999</v>
      </c>
      <c r="Y105" s="4">
        <v>23.181999999999999</v>
      </c>
      <c r="Z105">
        <v>3.8549900054931601</v>
      </c>
      <c r="AA105">
        <f t="shared" si="6"/>
        <v>11.774255593912496</v>
      </c>
      <c r="AB105">
        <f t="shared" si="7"/>
        <v>1.2498588918000664</v>
      </c>
      <c r="AC105" s="4">
        <v>1.249858891800075</v>
      </c>
      <c r="AD105">
        <v>-2.9224475923465292</v>
      </c>
      <c r="AE105">
        <v>7.8665940170940161</v>
      </c>
      <c r="AG105" s="12">
        <f t="shared" si="8"/>
        <v>-3.4924596548080444E-10</v>
      </c>
      <c r="AH105" s="12">
        <f t="shared" si="9"/>
        <v>0</v>
      </c>
      <c r="AI105" s="13">
        <f t="shared" si="10"/>
        <v>0</v>
      </c>
      <c r="AJ105" s="14">
        <f t="shared" si="11"/>
        <v>4.7067510857986328E-2</v>
      </c>
    </row>
    <row r="106" spans="1:36" x14ac:dyDescent="0.2">
      <c r="A106">
        <v>2021</v>
      </c>
      <c r="B106" t="s">
        <v>135</v>
      </c>
      <c r="C106">
        <f>VLOOKUP(B106,Sheet5!$B$2:$C$2166,2,FALSE)</f>
        <v>435</v>
      </c>
      <c r="D106">
        <v>305</v>
      </c>
      <c r="E106">
        <v>140</v>
      </c>
      <c r="F106" t="s">
        <v>53</v>
      </c>
      <c r="G106">
        <v>0</v>
      </c>
      <c r="H106">
        <v>5.7203117766074119</v>
      </c>
      <c r="I106">
        <v>1</v>
      </c>
      <c r="J106">
        <v>1</v>
      </c>
      <c r="K106">
        <v>1</v>
      </c>
      <c r="L106">
        <v>1</v>
      </c>
      <c r="M106" t="s">
        <v>25</v>
      </c>
      <c r="N106" t="s">
        <v>135</v>
      </c>
      <c r="O106">
        <v>1</v>
      </c>
      <c r="P106">
        <v>1</v>
      </c>
      <c r="Q106" t="s">
        <v>137</v>
      </c>
      <c r="R106" t="str">
        <f>VLOOKUP(Q106,GDP!$A$2:$B$266,1,FALSE)</f>
        <v>LUX</v>
      </c>
      <c r="S106" t="str">
        <f>VLOOKUP(Q106,GDP!$A$2:$B$266,2,FALSE)</f>
        <v>Luxembourg</v>
      </c>
      <c r="T106">
        <f>VLOOKUP(Q106,GDP!$A$1:$L$266,8,FALSE)</f>
        <v>136772.44375329168</v>
      </c>
      <c r="U106" s="4">
        <v>136772.443753292</v>
      </c>
      <c r="V106" s="5">
        <f>VLOOKUP(Q106,POP!$B$5:$M$269,8,FALSE)</f>
        <v>443880</v>
      </c>
      <c r="W106" s="4">
        <v>443880</v>
      </c>
      <c r="X106">
        <f>VLOOKUP(Q106,YU!$B$1:$M$266,8,FALSE)</f>
        <v>18.666</v>
      </c>
      <c r="Y106" s="4">
        <v>18.666</v>
      </c>
      <c r="Z106">
        <v>3.68531990051269</v>
      </c>
      <c r="AA106">
        <f t="shared" si="6"/>
        <v>11.826073829327962</v>
      </c>
      <c r="AB106">
        <f t="shared" si="7"/>
        <v>1.3016771272155321</v>
      </c>
      <c r="AC106" s="4">
        <v>1.301677127215539</v>
      </c>
      <c r="AD106">
        <v>-2.9085755734266949</v>
      </c>
      <c r="AE106">
        <v>3.3505940170940178</v>
      </c>
      <c r="AG106" s="12">
        <f t="shared" si="8"/>
        <v>-3.2014213502407074E-10</v>
      </c>
      <c r="AH106" s="12">
        <f t="shared" si="9"/>
        <v>0</v>
      </c>
      <c r="AI106" s="13">
        <f t="shared" si="10"/>
        <v>0</v>
      </c>
      <c r="AJ106" s="14">
        <f t="shared" si="11"/>
        <v>0.35503425448127235</v>
      </c>
    </row>
    <row r="107" spans="1:36" x14ac:dyDescent="0.2">
      <c r="A107">
        <v>2022</v>
      </c>
      <c r="B107" t="s">
        <v>135</v>
      </c>
      <c r="C107">
        <f>VLOOKUP(B107,Sheet5!$B$2:$C$2166,2,FALSE)</f>
        <v>435</v>
      </c>
      <c r="D107">
        <v>260</v>
      </c>
      <c r="E107">
        <v>140</v>
      </c>
      <c r="F107" t="s">
        <v>81</v>
      </c>
      <c r="G107">
        <v>0</v>
      </c>
      <c r="H107">
        <v>5.5606816310155276</v>
      </c>
      <c r="I107">
        <v>1</v>
      </c>
      <c r="J107">
        <v>1</v>
      </c>
      <c r="K107">
        <v>1</v>
      </c>
      <c r="L107">
        <v>2</v>
      </c>
      <c r="M107" t="s">
        <v>25</v>
      </c>
      <c r="N107" t="s">
        <v>135</v>
      </c>
      <c r="O107">
        <v>1</v>
      </c>
      <c r="P107">
        <v>1</v>
      </c>
      <c r="Q107" t="s">
        <v>137</v>
      </c>
      <c r="R107" t="str">
        <f>VLOOKUP(Q107,GDP!$A$2:$B$266,1,FALSE)</f>
        <v>LUX</v>
      </c>
      <c r="S107" t="str">
        <f>VLOOKUP(Q107,GDP!$A$2:$B$266,2,FALSE)</f>
        <v>Luxembourg</v>
      </c>
      <c r="T107">
        <f>VLOOKUP(Q107,GDP!$A$1:$L$266,9,FALSE)</f>
        <v>132570.83227262617</v>
      </c>
      <c r="U107" s="4">
        <v>132570.83227262599</v>
      </c>
      <c r="V107" s="5">
        <f>VLOOKUP(Q107,POP!$B$5:$M$269,9,FALSE)</f>
        <v>452461</v>
      </c>
      <c r="W107" s="4">
        <v>452461</v>
      </c>
      <c r="X107">
        <f>VLOOKUP(Q107,YU!$B$1:$M$266,9,FALSE)</f>
        <v>17.599</v>
      </c>
      <c r="Y107" s="4">
        <v>17.599</v>
      </c>
      <c r="Z107">
        <v>3.7445199489593501</v>
      </c>
      <c r="AA107">
        <f t="shared" si="6"/>
        <v>11.794872364759357</v>
      </c>
      <c r="AB107">
        <f t="shared" si="7"/>
        <v>1.2704756626469269</v>
      </c>
      <c r="AC107" s="4">
        <v>1.27047566264693</v>
      </c>
      <c r="AD107">
        <v>-2.8894282574787682</v>
      </c>
      <c r="AE107">
        <v>2.2835940170940181</v>
      </c>
      <c r="AG107" s="12">
        <f t="shared" si="8"/>
        <v>0</v>
      </c>
      <c r="AH107" s="12">
        <f t="shared" si="9"/>
        <v>0</v>
      </c>
      <c r="AI107" s="13">
        <f t="shared" si="10"/>
        <v>0</v>
      </c>
      <c r="AJ107" s="14">
        <f t="shared" si="11"/>
        <v>0.51466440007315661</v>
      </c>
    </row>
    <row r="108" spans="1:36" x14ac:dyDescent="0.2">
      <c r="A108">
        <v>2023</v>
      </c>
      <c r="B108" t="s">
        <v>135</v>
      </c>
      <c r="C108">
        <f>VLOOKUP(B108,Sheet5!$B$2:$C$2166,2,FALSE)</f>
        <v>435</v>
      </c>
      <c r="D108">
        <v>260</v>
      </c>
      <c r="E108">
        <v>135</v>
      </c>
      <c r="F108" t="s">
        <v>142</v>
      </c>
      <c r="G108">
        <v>5</v>
      </c>
      <c r="H108">
        <v>5.5606816310155276</v>
      </c>
      <c r="I108">
        <v>1</v>
      </c>
      <c r="J108">
        <v>1</v>
      </c>
      <c r="K108">
        <v>1</v>
      </c>
      <c r="L108">
        <v>3</v>
      </c>
      <c r="M108" t="s">
        <v>25</v>
      </c>
      <c r="N108" t="s">
        <v>135</v>
      </c>
      <c r="O108">
        <v>1</v>
      </c>
      <c r="P108">
        <v>1</v>
      </c>
      <c r="Q108" t="s">
        <v>137</v>
      </c>
      <c r="R108" t="str">
        <f>VLOOKUP(Q108,GDP!$A$2:$B$266,1,FALSE)</f>
        <v>LUX</v>
      </c>
      <c r="S108" t="str">
        <f>VLOOKUP(Q108,GDP!$A$2:$B$266,2,FALSE)</f>
        <v>Luxembourg</v>
      </c>
      <c r="T108">
        <f>VLOOKUP(Q108,GDP!$A$1:$L$266,10,FALSE)</f>
        <v>130048.92227314721</v>
      </c>
      <c r="U108" s="4">
        <v>130048.92227314701</v>
      </c>
      <c r="V108" s="5">
        <f>VLOOKUP(Q108,POP!$B$5:$M$269,10,FALSE)</f>
        <v>460329</v>
      </c>
      <c r="W108" s="4">
        <v>460329</v>
      </c>
      <c r="X108">
        <f>VLOOKUP(Q108,YU!$B$1:$M$266,10,FALSE)</f>
        <v>18.847999999999999</v>
      </c>
      <c r="Y108" s="4">
        <v>18.847999999999999</v>
      </c>
      <c r="AA108">
        <f t="shared" si="6"/>
        <v>11.775665983823215</v>
      </c>
      <c r="AB108">
        <f t="shared" si="7"/>
        <v>1.2512692817107851</v>
      </c>
      <c r="AC108" s="4">
        <v>1.2512692817107891</v>
      </c>
      <c r="AD108">
        <v>-2.872188377830684</v>
      </c>
      <c r="AE108">
        <v>3.532594017094016</v>
      </c>
      <c r="AG108" s="12">
        <f t="shared" si="8"/>
        <v>2.0372681319713593E-10</v>
      </c>
      <c r="AH108" s="12">
        <f t="shared" si="9"/>
        <v>0</v>
      </c>
      <c r="AI108" s="13">
        <f t="shared" si="10"/>
        <v>0</v>
      </c>
      <c r="AJ108" s="14">
        <f t="shared" si="11"/>
        <v>0.51466440007315661</v>
      </c>
    </row>
    <row r="109" spans="1:36" x14ac:dyDescent="0.2">
      <c r="A109">
        <v>2024</v>
      </c>
      <c r="B109" t="s">
        <v>135</v>
      </c>
      <c r="C109">
        <f>VLOOKUP(B109,Sheet5!$B$2:$C$2166,2,FALSE)</f>
        <v>435</v>
      </c>
      <c r="D109">
        <v>260</v>
      </c>
      <c r="E109">
        <v>140</v>
      </c>
      <c r="F109" t="s">
        <v>143</v>
      </c>
      <c r="G109">
        <v>0</v>
      </c>
      <c r="H109">
        <v>5.5606816310155276</v>
      </c>
      <c r="I109">
        <v>1</v>
      </c>
      <c r="J109">
        <v>1</v>
      </c>
      <c r="K109">
        <v>1</v>
      </c>
      <c r="L109">
        <v>4</v>
      </c>
      <c r="M109" t="s">
        <v>25</v>
      </c>
      <c r="N109" t="s">
        <v>135</v>
      </c>
      <c r="O109">
        <v>1</v>
      </c>
      <c r="P109">
        <v>1</v>
      </c>
      <c r="Q109" t="s">
        <v>137</v>
      </c>
      <c r="R109" t="str">
        <f>VLOOKUP(Q109,GDP!$A$2:$B$266,1,FALSE)</f>
        <v>LUX</v>
      </c>
      <c r="S109" t="str">
        <f>VLOOKUP(Q109,GDP!$A$2:$B$266,2,FALSE)</f>
        <v>Luxembourg</v>
      </c>
      <c r="T109">
        <f>VLOOKUP(Q109,GDP!$A$1:$L$266,11,FALSE)</f>
        <v>128475.28354041478</v>
      </c>
      <c r="U109" s="4">
        <v>128475.283540415</v>
      </c>
      <c r="V109" s="5">
        <f>VLOOKUP(Q109,POP!$B$5:$M$269,11,FALSE)</f>
        <v>465421</v>
      </c>
      <c r="W109" s="4">
        <v>465421</v>
      </c>
      <c r="X109">
        <f>VLOOKUP(Q109,YU!$B$1:$M$266,11,FALSE)</f>
        <v>21.689</v>
      </c>
      <c r="Y109" s="4">
        <v>21.689</v>
      </c>
      <c r="AA109">
        <f t="shared" si="6"/>
        <v>11.763491818827559</v>
      </c>
      <c r="AB109">
        <f t="shared" si="7"/>
        <v>1.239095116715129</v>
      </c>
      <c r="AC109" s="4">
        <v>1.2390951167151361</v>
      </c>
      <c r="AD109">
        <v>-2.8611874567335658</v>
      </c>
      <c r="AE109">
        <v>6.3735940170940184</v>
      </c>
      <c r="AG109" s="12">
        <f t="shared" si="8"/>
        <v>-2.1827872842550278E-10</v>
      </c>
      <c r="AH109" s="12">
        <f t="shared" si="9"/>
        <v>0</v>
      </c>
      <c r="AI109" s="13">
        <f t="shared" si="10"/>
        <v>0</v>
      </c>
      <c r="AJ109" s="14">
        <f t="shared" si="11"/>
        <v>0.51466440007315661</v>
      </c>
    </row>
    <row r="110" spans="1:36" x14ac:dyDescent="0.2">
      <c r="A110">
        <v>2016</v>
      </c>
      <c r="B110" t="s">
        <v>144</v>
      </c>
      <c r="C110">
        <f>VLOOKUP(B110,Sheet5!$B$2:$C$2166,2,FALSE)</f>
        <v>130</v>
      </c>
      <c r="D110">
        <v>130</v>
      </c>
      <c r="E110">
        <v>70</v>
      </c>
      <c r="F110" t="s">
        <v>145</v>
      </c>
      <c r="G110">
        <v>0</v>
      </c>
      <c r="H110">
        <v>4.8675344504555822</v>
      </c>
      <c r="I110">
        <v>1</v>
      </c>
      <c r="J110">
        <v>1</v>
      </c>
      <c r="K110">
        <v>0</v>
      </c>
      <c r="L110">
        <v>-4</v>
      </c>
      <c r="M110" t="s">
        <v>25</v>
      </c>
      <c r="N110" t="s">
        <v>144</v>
      </c>
      <c r="O110">
        <v>1</v>
      </c>
      <c r="P110">
        <v>0</v>
      </c>
      <c r="Q110" t="s">
        <v>146</v>
      </c>
      <c r="R110" t="str">
        <f>VLOOKUP(Q110,GDP!$A$2:$B$266,1,FALSE)</f>
        <v>MLT</v>
      </c>
      <c r="S110" t="str">
        <f>VLOOKUP(Q110,GDP!$A$2:$B$266,2,FALSE)</f>
        <v>Malta</v>
      </c>
      <c r="T110">
        <f>VLOOKUP(Q110,GDP!$A$1:$C$266,3,FALSE)</f>
        <v>46967.348629121159</v>
      </c>
      <c r="U110" s="4">
        <v>46967.348629121203</v>
      </c>
      <c r="V110" s="5">
        <f>VLOOKUP(Q110,POP!$B$5:$M$269,3,FALSE)</f>
        <v>305378</v>
      </c>
      <c r="W110" s="4">
        <v>305378</v>
      </c>
      <c r="X110">
        <f>VLOOKUP(Q110,YU!$B$1:$D$266,3,FALSE)</f>
        <v>10.712999999999999</v>
      </c>
      <c r="Y110" s="4">
        <v>10.712999999999999</v>
      </c>
      <c r="Z110">
        <v>4.95570993423462</v>
      </c>
      <c r="AA110">
        <f t="shared" si="6"/>
        <v>10.757207929250672</v>
      </c>
      <c r="AB110">
        <f t="shared" si="7"/>
        <v>0.23281122713824232</v>
      </c>
      <c r="AC110" s="4">
        <v>0.23281122713824939</v>
      </c>
      <c r="AD110">
        <v>-3.2825794755425068</v>
      </c>
      <c r="AE110">
        <v>-4.6024059829059834</v>
      </c>
      <c r="AG110" s="12">
        <f t="shared" si="8"/>
        <v>0</v>
      </c>
      <c r="AH110" s="12">
        <f t="shared" si="9"/>
        <v>0</v>
      </c>
      <c r="AI110" s="13">
        <f t="shared" si="10"/>
        <v>0</v>
      </c>
      <c r="AJ110" s="14">
        <f t="shared" si="11"/>
        <v>0</v>
      </c>
    </row>
    <row r="111" spans="1:36" x14ac:dyDescent="0.2">
      <c r="A111">
        <v>2017</v>
      </c>
      <c r="B111" t="s">
        <v>144</v>
      </c>
      <c r="C111">
        <f>VLOOKUP(B111,Sheet5!$B$2:$C$2166,2,FALSE)</f>
        <v>130</v>
      </c>
      <c r="D111">
        <v>105</v>
      </c>
      <c r="E111">
        <v>60</v>
      </c>
      <c r="F111" t="s">
        <v>56</v>
      </c>
      <c r="G111">
        <v>0</v>
      </c>
      <c r="H111">
        <v>4.6539603501575231</v>
      </c>
      <c r="I111">
        <v>1</v>
      </c>
      <c r="J111">
        <v>1</v>
      </c>
      <c r="K111">
        <v>0</v>
      </c>
      <c r="L111">
        <v>-3</v>
      </c>
      <c r="M111" t="s">
        <v>25</v>
      </c>
      <c r="N111" t="s">
        <v>144</v>
      </c>
      <c r="O111">
        <v>1</v>
      </c>
      <c r="P111">
        <v>0</v>
      </c>
      <c r="Q111" t="s">
        <v>146</v>
      </c>
      <c r="R111" t="str">
        <f>VLOOKUP(Q111,GDP!$A$2:$B$266,1,FALSE)</f>
        <v>MLT</v>
      </c>
      <c r="S111" t="str">
        <f>VLOOKUP(Q111,GDP!$A$2:$B$266,2,FALSE)</f>
        <v>Malta</v>
      </c>
      <c r="T111">
        <f>VLOOKUP(Q111,GDP!$A$1:$L$266,4,FALSE)</f>
        <v>51628.26774003647</v>
      </c>
      <c r="U111" s="4">
        <v>51628.267740036499</v>
      </c>
      <c r="V111" s="5">
        <f>VLOOKUP(Q111,POP!$B$5:$M$269,4,FALSE)</f>
        <v>313694</v>
      </c>
      <c r="W111" s="4">
        <v>313694</v>
      </c>
      <c r="X111">
        <f>VLOOKUP(Q111,YU!$B$1:$M$266,4,FALSE)</f>
        <v>10.589</v>
      </c>
      <c r="Y111" s="4">
        <v>10.589</v>
      </c>
      <c r="Z111">
        <v>4.3428101539611799</v>
      </c>
      <c r="AA111">
        <f t="shared" si="6"/>
        <v>10.851824625887948</v>
      </c>
      <c r="AB111">
        <f t="shared" si="7"/>
        <v>0.32742792377551844</v>
      </c>
      <c r="AC111" s="4">
        <v>0.32742792377552549</v>
      </c>
      <c r="AD111">
        <v>-3.255711840599373</v>
      </c>
      <c r="AE111">
        <v>-4.7264059829059821</v>
      </c>
      <c r="AG111" s="12">
        <f t="shared" si="8"/>
        <v>0</v>
      </c>
      <c r="AH111" s="12">
        <f t="shared" si="9"/>
        <v>0</v>
      </c>
      <c r="AI111" s="13">
        <f t="shared" si="10"/>
        <v>0</v>
      </c>
      <c r="AJ111" s="14">
        <f t="shared" si="11"/>
        <v>0.21357410029805912</v>
      </c>
    </row>
    <row r="112" spans="1:36" x14ac:dyDescent="0.2">
      <c r="A112">
        <v>2018</v>
      </c>
      <c r="B112" t="s">
        <v>144</v>
      </c>
      <c r="C112">
        <f>VLOOKUP(B112,Sheet5!$B$2:$C$2166,2,FALSE)</f>
        <v>130</v>
      </c>
      <c r="D112">
        <v>140</v>
      </c>
      <c r="E112">
        <v>75</v>
      </c>
      <c r="F112" t="s">
        <v>91</v>
      </c>
      <c r="G112">
        <v>0</v>
      </c>
      <c r="H112">
        <v>4.9416424226093039</v>
      </c>
      <c r="I112">
        <v>1</v>
      </c>
      <c r="J112">
        <v>1</v>
      </c>
      <c r="K112">
        <v>0</v>
      </c>
      <c r="L112">
        <v>-2</v>
      </c>
      <c r="M112" t="s">
        <v>25</v>
      </c>
      <c r="N112" t="s">
        <v>144</v>
      </c>
      <c r="O112">
        <v>1</v>
      </c>
      <c r="P112">
        <v>0</v>
      </c>
      <c r="Q112" t="s">
        <v>146</v>
      </c>
      <c r="R112" t="str">
        <f>VLOOKUP(Q112,GDP!$A$2:$B$266,1,FALSE)</f>
        <v>MLT</v>
      </c>
      <c r="S112" t="str">
        <f>VLOOKUP(Q112,GDP!$A$2:$B$266,2,FALSE)</f>
        <v>Malta</v>
      </c>
      <c r="T112">
        <f>VLOOKUP(Q112,GDP!$A$1:$L$266,5,FALSE)</f>
        <v>53419.002270832199</v>
      </c>
      <c r="U112" s="4">
        <v>53419.002270832199</v>
      </c>
      <c r="V112" s="5">
        <f>VLOOKUP(Q112,POP!$B$5:$M$269,5,FALSE)</f>
        <v>326407</v>
      </c>
      <c r="W112" s="4">
        <v>326407</v>
      </c>
      <c r="X112">
        <f>VLOOKUP(Q112,YU!$B$1:$M$266,5,FALSE)</f>
        <v>9.3550000000000004</v>
      </c>
      <c r="Y112" s="4">
        <v>9.3550000000000004</v>
      </c>
      <c r="AA112">
        <f t="shared" si="6"/>
        <v>10.885921809417878</v>
      </c>
      <c r="AB112">
        <f t="shared" si="7"/>
        <v>0.3615251073054484</v>
      </c>
      <c r="AC112" s="4">
        <v>0.36152510730545367</v>
      </c>
      <c r="AD112">
        <v>-3.2159847601206391</v>
      </c>
      <c r="AE112">
        <v>-5.9604059829059821</v>
      </c>
      <c r="AG112" s="12">
        <f t="shared" si="8"/>
        <v>0</v>
      </c>
      <c r="AH112" s="12">
        <f t="shared" si="9"/>
        <v>0</v>
      </c>
      <c r="AI112" s="13">
        <f t="shared" si="10"/>
        <v>0</v>
      </c>
      <c r="AJ112" s="14">
        <f t="shared" si="11"/>
        <v>-7.4107972153721668E-2</v>
      </c>
    </row>
    <row r="113" spans="1:36" x14ac:dyDescent="0.2">
      <c r="A113">
        <v>2019</v>
      </c>
      <c r="B113" t="s">
        <v>144</v>
      </c>
      <c r="C113">
        <f>VLOOKUP(B113,Sheet5!$B$2:$C$2166,2,FALSE)</f>
        <v>130</v>
      </c>
      <c r="D113">
        <v>130</v>
      </c>
      <c r="E113">
        <v>80</v>
      </c>
      <c r="F113" t="s">
        <v>140</v>
      </c>
      <c r="G113">
        <v>0</v>
      </c>
      <c r="H113">
        <v>4.8675344504555822</v>
      </c>
      <c r="I113">
        <v>1</v>
      </c>
      <c r="J113">
        <v>1</v>
      </c>
      <c r="K113">
        <v>0</v>
      </c>
      <c r="L113">
        <v>-1</v>
      </c>
      <c r="M113" t="s">
        <v>25</v>
      </c>
      <c r="N113" t="s">
        <v>144</v>
      </c>
      <c r="O113">
        <v>1</v>
      </c>
      <c r="P113">
        <v>0</v>
      </c>
      <c r="Q113" t="s">
        <v>146</v>
      </c>
      <c r="R113" t="str">
        <f>VLOOKUP(Q113,GDP!$A$2:$B$266,1,FALSE)</f>
        <v>MLT</v>
      </c>
      <c r="S113" t="str">
        <f>VLOOKUP(Q113,GDP!$A$2:$B$266,2,FALSE)</f>
        <v>Malta</v>
      </c>
      <c r="T113">
        <f>VLOOKUP(Q113,GDP!$A$1:$L$266,6,FALSE)</f>
        <v>53393.423164246284</v>
      </c>
      <c r="U113" s="4">
        <v>53393.423164246298</v>
      </c>
      <c r="V113" s="5">
        <f>VLOOKUP(Q113,POP!$B$5:$M$269,6,FALSE)</f>
        <v>341972</v>
      </c>
      <c r="W113" s="4">
        <v>341972</v>
      </c>
      <c r="X113">
        <f>VLOOKUP(Q113,YU!$B$1:$M$266,6,FALSE)</f>
        <v>10.07</v>
      </c>
      <c r="Y113" s="4">
        <v>10.07</v>
      </c>
      <c r="Z113">
        <v>4.7994198799133301</v>
      </c>
      <c r="AA113">
        <f t="shared" si="6"/>
        <v>10.885442855645024</v>
      </c>
      <c r="AB113">
        <f t="shared" si="7"/>
        <v>0.36104615353259462</v>
      </c>
      <c r="AC113" s="4">
        <v>0.36104615353259989</v>
      </c>
      <c r="AD113">
        <v>-3.1694009666931229</v>
      </c>
      <c r="AE113">
        <v>-5.2454059829059823</v>
      </c>
      <c r="AG113" s="12">
        <f t="shared" si="8"/>
        <v>0</v>
      </c>
      <c r="AH113" s="12">
        <f t="shared" si="9"/>
        <v>0</v>
      </c>
      <c r="AI113" s="13">
        <f t="shared" si="10"/>
        <v>0</v>
      </c>
      <c r="AJ113" s="14">
        <f t="shared" si="11"/>
        <v>0</v>
      </c>
    </row>
    <row r="114" spans="1:36" x14ac:dyDescent="0.2">
      <c r="A114">
        <v>2020</v>
      </c>
      <c r="B114" t="s">
        <v>144</v>
      </c>
      <c r="C114">
        <f>VLOOKUP(B114,Sheet5!$B$2:$C$2166,2,FALSE)</f>
        <v>130</v>
      </c>
      <c r="D114">
        <v>135</v>
      </c>
      <c r="E114">
        <v>65</v>
      </c>
      <c r="F114" t="s">
        <v>42</v>
      </c>
      <c r="G114">
        <v>0</v>
      </c>
      <c r="H114">
        <v>4.9052747784384296</v>
      </c>
      <c r="I114">
        <v>1</v>
      </c>
      <c r="J114">
        <v>1</v>
      </c>
      <c r="K114">
        <v>0</v>
      </c>
      <c r="L114">
        <v>0</v>
      </c>
      <c r="M114" t="s">
        <v>25</v>
      </c>
      <c r="N114" t="s">
        <v>144</v>
      </c>
      <c r="O114">
        <v>1</v>
      </c>
      <c r="P114">
        <v>0</v>
      </c>
      <c r="Q114" t="s">
        <v>146</v>
      </c>
      <c r="R114" t="str">
        <f>VLOOKUP(Q114,GDP!$A$2:$B$266,1,FALSE)</f>
        <v>MLT</v>
      </c>
      <c r="S114" t="str">
        <f>VLOOKUP(Q114,GDP!$A$2:$B$266,2,FALSE)</f>
        <v>Malta</v>
      </c>
      <c r="T114">
        <f>VLOOKUP(Q114,GDP!$A$1:$L$266,7,FALSE)</f>
        <v>50389.696330928899</v>
      </c>
      <c r="U114" s="4">
        <v>50389.696330928899</v>
      </c>
      <c r="V114" s="5">
        <f>VLOOKUP(Q114,POP!$B$5:$M$269,7,FALSE)</f>
        <v>351396</v>
      </c>
      <c r="W114" s="4">
        <v>351396</v>
      </c>
      <c r="X114">
        <f>VLOOKUP(Q114,YU!$B$1:$M$266,7,FALSE)</f>
        <v>11.536</v>
      </c>
      <c r="Y114" s="4">
        <v>11.536</v>
      </c>
      <c r="AA114">
        <f t="shared" si="6"/>
        <v>10.827541995280793</v>
      </c>
      <c r="AB114">
        <f t="shared" si="7"/>
        <v>0.30314529316836314</v>
      </c>
      <c r="AC114" s="4">
        <v>0.30314529316836852</v>
      </c>
      <c r="AD114">
        <v>-3.142216036410121</v>
      </c>
      <c r="AE114">
        <v>-3.779405982905983</v>
      </c>
      <c r="AG114" s="12">
        <f t="shared" si="8"/>
        <v>0</v>
      </c>
      <c r="AH114" s="12">
        <f t="shared" si="9"/>
        <v>0</v>
      </c>
      <c r="AI114" s="13">
        <f t="shared" si="10"/>
        <v>0</v>
      </c>
      <c r="AJ114" s="14">
        <f t="shared" si="11"/>
        <v>-3.7740327982847433E-2</v>
      </c>
    </row>
    <row r="115" spans="1:36" x14ac:dyDescent="0.2">
      <c r="A115">
        <v>2021</v>
      </c>
      <c r="B115" t="s">
        <v>144</v>
      </c>
      <c r="C115">
        <f>VLOOKUP(B115,Sheet5!$B$2:$C$2166,2,FALSE)</f>
        <v>130</v>
      </c>
      <c r="D115">
        <v>95</v>
      </c>
      <c r="E115">
        <v>40</v>
      </c>
      <c r="F115" t="s">
        <v>126</v>
      </c>
      <c r="G115">
        <v>0</v>
      </c>
      <c r="H115">
        <v>4.5538768916005408</v>
      </c>
      <c r="I115">
        <v>1</v>
      </c>
      <c r="J115">
        <v>1</v>
      </c>
      <c r="K115">
        <v>1</v>
      </c>
      <c r="L115">
        <v>1</v>
      </c>
      <c r="M115" t="s">
        <v>25</v>
      </c>
      <c r="N115" t="s">
        <v>144</v>
      </c>
      <c r="O115">
        <v>1</v>
      </c>
      <c r="P115">
        <v>1</v>
      </c>
      <c r="Q115" t="s">
        <v>146</v>
      </c>
      <c r="R115" t="str">
        <f>VLOOKUP(Q115,GDP!$A$2:$B$266,1,FALSE)</f>
        <v>MLT</v>
      </c>
      <c r="S115" t="str">
        <f>VLOOKUP(Q115,GDP!$A$2:$B$266,2,FALSE)</f>
        <v>Malta</v>
      </c>
      <c r="T115">
        <f>VLOOKUP(Q115,GDP!$A$1:$L$266,8,FALSE)</f>
        <v>56823.995852502201</v>
      </c>
      <c r="U115" s="4">
        <v>56823.995852502201</v>
      </c>
      <c r="V115" s="5">
        <f>VLOOKUP(Q115,POP!$B$5:$M$269,8,FALSE)</f>
        <v>352351</v>
      </c>
      <c r="W115" s="4">
        <v>352351</v>
      </c>
      <c r="X115">
        <f>VLOOKUP(Q115,YU!$B$1:$M$266,8,FALSE)</f>
        <v>9.8710000000000004</v>
      </c>
      <c r="Y115" s="4">
        <v>9.8710000000000004</v>
      </c>
      <c r="Z115">
        <v>4.9296398162841797</v>
      </c>
      <c r="AA115">
        <f t="shared" si="6"/>
        <v>10.947713977689157</v>
      </c>
      <c r="AB115">
        <f t="shared" si="7"/>
        <v>0.42331727557672671</v>
      </c>
      <c r="AC115" s="4">
        <v>0.42331727557673199</v>
      </c>
      <c r="AD115">
        <v>-3.1395019912029252</v>
      </c>
      <c r="AE115">
        <v>-5.4444059829059821</v>
      </c>
      <c r="AG115" s="12">
        <f t="shared" si="8"/>
        <v>0</v>
      </c>
      <c r="AH115" s="12">
        <f t="shared" si="9"/>
        <v>0</v>
      </c>
      <c r="AI115" s="13">
        <f t="shared" si="10"/>
        <v>0</v>
      </c>
      <c r="AJ115" s="14">
        <f t="shared" si="11"/>
        <v>0.31365755885504143</v>
      </c>
    </row>
    <row r="116" spans="1:36" x14ac:dyDescent="0.2">
      <c r="A116">
        <v>2022</v>
      </c>
      <c r="B116" t="s">
        <v>144</v>
      </c>
      <c r="C116">
        <f>VLOOKUP(B116,Sheet5!$B$2:$C$2166,2,FALSE)</f>
        <v>130</v>
      </c>
      <c r="D116">
        <v>90</v>
      </c>
      <c r="E116">
        <v>40</v>
      </c>
      <c r="F116" t="s">
        <v>147</v>
      </c>
      <c r="G116">
        <v>5</v>
      </c>
      <c r="H116">
        <v>4.499809670330265</v>
      </c>
      <c r="I116">
        <v>1</v>
      </c>
      <c r="J116">
        <v>1</v>
      </c>
      <c r="K116">
        <v>1</v>
      </c>
      <c r="L116">
        <v>2</v>
      </c>
      <c r="M116" t="s">
        <v>25</v>
      </c>
      <c r="N116" t="s">
        <v>144</v>
      </c>
      <c r="O116">
        <v>1</v>
      </c>
      <c r="P116">
        <v>1</v>
      </c>
      <c r="Q116" t="s">
        <v>146</v>
      </c>
      <c r="R116" t="str">
        <f>VLOOKUP(Q116,GDP!$A$2:$B$266,1,FALSE)</f>
        <v>MLT</v>
      </c>
      <c r="S116" t="str">
        <f>VLOOKUP(Q116,GDP!$A$2:$B$266,2,FALSE)</f>
        <v>Malta</v>
      </c>
      <c r="T116">
        <f>VLOOKUP(Q116,GDP!$A$1:$L$266,9,FALSE)</f>
        <v>56874.433932736771</v>
      </c>
      <c r="U116" s="4">
        <v>56874.4339327368</v>
      </c>
      <c r="V116" s="5">
        <f>VLOOKUP(Q116,POP!$B$5:$M$269,9,FALSE)</f>
        <v>358523</v>
      </c>
      <c r="W116" s="4">
        <v>358523</v>
      </c>
      <c r="X116">
        <f>VLOOKUP(Q116,YU!$B$1:$M$266,9,FALSE)</f>
        <v>9.0640000000000001</v>
      </c>
      <c r="Y116" s="4">
        <v>9.0640000000000001</v>
      </c>
      <c r="Z116">
        <v>4.7125802040100098</v>
      </c>
      <c r="AA116">
        <f t="shared" si="6"/>
        <v>10.94860120337272</v>
      </c>
      <c r="AB116">
        <f t="shared" si="7"/>
        <v>0.42420450126028975</v>
      </c>
      <c r="AC116" s="4">
        <v>0.42420450126029507</v>
      </c>
      <c r="AD116">
        <v>-3.1221370148708889</v>
      </c>
      <c r="AE116">
        <v>-6.2514059829059816</v>
      </c>
      <c r="AG116" s="12">
        <f t="shared" si="8"/>
        <v>0</v>
      </c>
      <c r="AH116" s="12">
        <f t="shared" si="9"/>
        <v>0</v>
      </c>
      <c r="AI116" s="13">
        <f t="shared" si="10"/>
        <v>0</v>
      </c>
      <c r="AJ116" s="14">
        <f t="shared" si="11"/>
        <v>0.36772478012531717</v>
      </c>
    </row>
    <row r="117" spans="1:36" x14ac:dyDescent="0.2">
      <c r="A117">
        <v>2023</v>
      </c>
      <c r="B117" t="s">
        <v>144</v>
      </c>
      <c r="C117">
        <f>VLOOKUP(B117,Sheet5!$B$2:$C$2166,2,FALSE)</f>
        <v>130</v>
      </c>
      <c r="D117">
        <v>100</v>
      </c>
      <c r="E117">
        <v>50</v>
      </c>
      <c r="F117" t="s">
        <v>148</v>
      </c>
      <c r="G117">
        <v>0</v>
      </c>
      <c r="H117">
        <v>4.6051701859880918</v>
      </c>
      <c r="I117">
        <v>1</v>
      </c>
      <c r="J117">
        <v>1</v>
      </c>
      <c r="K117">
        <v>1</v>
      </c>
      <c r="L117">
        <v>3</v>
      </c>
      <c r="M117" t="s">
        <v>25</v>
      </c>
      <c r="N117" t="s">
        <v>144</v>
      </c>
      <c r="O117">
        <v>1</v>
      </c>
      <c r="P117">
        <v>1</v>
      </c>
      <c r="Q117" t="s">
        <v>146</v>
      </c>
      <c r="R117" t="str">
        <f>VLOOKUP(Q117,GDP!$A$2:$B$266,1,FALSE)</f>
        <v>MLT</v>
      </c>
      <c r="S117" t="str">
        <f>VLOOKUP(Q117,GDP!$A$2:$B$266,2,FALSE)</f>
        <v>Malta</v>
      </c>
      <c r="T117">
        <f>VLOOKUP(Q117,GDP!$A$1:$L$266,10,FALSE)</f>
        <v>60459.765518264387</v>
      </c>
      <c r="U117" s="4">
        <v>60459.765518264401</v>
      </c>
      <c r="V117" s="5">
        <f>VLOOKUP(Q117,POP!$B$5:$M$269,10,FALSE)</f>
        <v>370606</v>
      </c>
      <c r="W117" s="4">
        <v>370606</v>
      </c>
      <c r="X117">
        <f>VLOOKUP(Q117,YU!$B$1:$M$266,10,FALSE)</f>
        <v>9.3230000000000004</v>
      </c>
      <c r="Y117" s="4">
        <v>9.3230000000000004</v>
      </c>
      <c r="AA117">
        <f t="shared" si="6"/>
        <v>11.009733390030599</v>
      </c>
      <c r="AB117">
        <f t="shared" si="7"/>
        <v>0.48533668791816886</v>
      </c>
      <c r="AC117" s="4">
        <v>0.48533668791817419</v>
      </c>
      <c r="AD117">
        <v>-3.0889903253766309</v>
      </c>
      <c r="AE117">
        <v>-5.9924059829059821</v>
      </c>
      <c r="AG117" s="12">
        <f t="shared" si="8"/>
        <v>0</v>
      </c>
      <c r="AH117" s="12">
        <f t="shared" si="9"/>
        <v>0</v>
      </c>
      <c r="AI117" s="13">
        <f t="shared" si="10"/>
        <v>0</v>
      </c>
      <c r="AJ117" s="14">
        <f t="shared" si="11"/>
        <v>0.26236426446749039</v>
      </c>
    </row>
    <row r="118" spans="1:36" x14ac:dyDescent="0.2">
      <c r="A118">
        <v>2024</v>
      </c>
      <c r="B118" t="s">
        <v>144</v>
      </c>
      <c r="C118">
        <f>VLOOKUP(B118,Sheet5!$B$2:$C$2166,2,FALSE)</f>
        <v>130</v>
      </c>
      <c r="D118">
        <v>85</v>
      </c>
      <c r="E118">
        <v>40</v>
      </c>
      <c r="F118" t="s">
        <v>149</v>
      </c>
      <c r="G118">
        <v>0</v>
      </c>
      <c r="H118">
        <v>4.4426512564903167</v>
      </c>
      <c r="I118">
        <v>1</v>
      </c>
      <c r="J118">
        <v>1</v>
      </c>
      <c r="K118">
        <v>1</v>
      </c>
      <c r="L118">
        <v>4</v>
      </c>
      <c r="M118" t="s">
        <v>25</v>
      </c>
      <c r="N118" t="s">
        <v>144</v>
      </c>
      <c r="O118">
        <v>1</v>
      </c>
      <c r="P118">
        <v>1</v>
      </c>
      <c r="Q118" t="s">
        <v>146</v>
      </c>
      <c r="R118" t="str">
        <f>VLOOKUP(Q118,GDP!$A$2:$B$266,1,FALSE)</f>
        <v>MLT</v>
      </c>
      <c r="S118" t="str">
        <f>VLOOKUP(Q118,GDP!$A$2:$B$266,2,FALSE)</f>
        <v>Malta</v>
      </c>
      <c r="T118">
        <f>VLOOKUP(Q118,GDP!$A$1:$L$266,11,FALSE)</f>
        <v>62398.489238894668</v>
      </c>
      <c r="U118" s="4">
        <v>62398.489238894697</v>
      </c>
      <c r="V118" s="5">
        <f>VLOOKUP(Q118,POP!$B$5:$M$269,11,FALSE)</f>
        <v>379746</v>
      </c>
      <c r="W118" s="4">
        <v>379746</v>
      </c>
      <c r="X118">
        <f>VLOOKUP(Q118,YU!$B$1:$M$266,11,FALSE)</f>
        <v>9.1189999999999998</v>
      </c>
      <c r="Y118" s="4">
        <v>9.1189999999999998</v>
      </c>
      <c r="AA118">
        <f t="shared" si="6"/>
        <v>11.041296343149281</v>
      </c>
      <c r="AB118">
        <f t="shared" si="7"/>
        <v>0.51689964103685071</v>
      </c>
      <c r="AC118" s="4">
        <v>0.51689964103685604</v>
      </c>
      <c r="AD118">
        <v>-3.0646272208842071</v>
      </c>
      <c r="AE118">
        <v>-6.1964059829059828</v>
      </c>
      <c r="AG118" s="12">
        <f t="shared" si="8"/>
        <v>0</v>
      </c>
      <c r="AH118" s="12">
        <f t="shared" si="9"/>
        <v>0</v>
      </c>
      <c r="AI118" s="13">
        <f t="shared" si="10"/>
        <v>0</v>
      </c>
      <c r="AJ118" s="14">
        <f t="shared" si="11"/>
        <v>0.42488319396526553</v>
      </c>
    </row>
    <row r="119" spans="1:36" x14ac:dyDescent="0.2">
      <c r="A119">
        <v>2016</v>
      </c>
      <c r="B119" t="s">
        <v>150</v>
      </c>
      <c r="C119">
        <f>VLOOKUP(B119,Sheet5!$B$2:$C$2166,2,FALSE)</f>
        <v>955</v>
      </c>
      <c r="D119">
        <v>955</v>
      </c>
      <c r="E119">
        <v>490</v>
      </c>
      <c r="F119" t="s">
        <v>71</v>
      </c>
      <c r="G119">
        <v>5</v>
      </c>
      <c r="H119">
        <v>6.8617113404807304</v>
      </c>
      <c r="I119">
        <v>1</v>
      </c>
      <c r="J119">
        <v>1</v>
      </c>
      <c r="K119">
        <v>0</v>
      </c>
      <c r="L119">
        <v>-4</v>
      </c>
      <c r="M119" t="s">
        <v>25</v>
      </c>
      <c r="N119" t="s">
        <v>150</v>
      </c>
      <c r="O119">
        <v>1</v>
      </c>
      <c r="P119">
        <v>0</v>
      </c>
      <c r="Q119" t="s">
        <v>151</v>
      </c>
      <c r="R119" t="str">
        <f>VLOOKUP(Q119,GDP!$A$2:$B$266,1,FALSE)</f>
        <v>NLD</v>
      </c>
      <c r="S119" t="str">
        <f>VLOOKUP(Q119,GDP!$A$2:$B$266,2,FALSE)</f>
        <v>Netherlands</v>
      </c>
      <c r="T119">
        <f>VLOOKUP(Q119,GDP!$A$1:$C$266,3,FALSE)</f>
        <v>64267.747655362262</v>
      </c>
      <c r="U119" s="4">
        <v>64267.747655362298</v>
      </c>
      <c r="V119" s="5">
        <f>VLOOKUP(Q119,POP!$B$5:$M$269,3,FALSE)</f>
        <v>11152992</v>
      </c>
      <c r="W119" s="4">
        <v>11152992</v>
      </c>
      <c r="X119">
        <f>VLOOKUP(Q119,YU!$B$1:$D$266,3,FALSE)</f>
        <v>10.64</v>
      </c>
      <c r="Y119" s="4">
        <v>10.64</v>
      </c>
      <c r="Z119">
        <v>5.3895201683044398</v>
      </c>
      <c r="AA119">
        <f t="shared" si="6"/>
        <v>11.070813192712533</v>
      </c>
      <c r="AB119">
        <f t="shared" si="7"/>
        <v>0.54641649060010344</v>
      </c>
      <c r="AC119" s="4">
        <v>0.54641649060010877</v>
      </c>
      <c r="AD119">
        <v>0.3153332526394248</v>
      </c>
      <c r="AE119">
        <v>-4.675405982905982</v>
      </c>
      <c r="AG119" s="12">
        <f t="shared" si="8"/>
        <v>0</v>
      </c>
      <c r="AH119" s="12">
        <f t="shared" si="9"/>
        <v>0</v>
      </c>
      <c r="AI119" s="13">
        <f t="shared" si="10"/>
        <v>0</v>
      </c>
      <c r="AJ119" s="14">
        <f t="shared" si="11"/>
        <v>0</v>
      </c>
    </row>
    <row r="120" spans="1:36" x14ac:dyDescent="0.2">
      <c r="A120">
        <v>2017</v>
      </c>
      <c r="B120" t="s">
        <v>150</v>
      </c>
      <c r="C120">
        <f>VLOOKUP(B120,Sheet5!$B$2:$C$2166,2,FALSE)</f>
        <v>955</v>
      </c>
      <c r="D120">
        <v>960</v>
      </c>
      <c r="E120">
        <v>515</v>
      </c>
      <c r="F120" t="s">
        <v>28</v>
      </c>
      <c r="G120">
        <v>5</v>
      </c>
      <c r="H120">
        <v>6.866933284461882</v>
      </c>
      <c r="I120">
        <v>1</v>
      </c>
      <c r="J120">
        <v>1</v>
      </c>
      <c r="K120">
        <v>0</v>
      </c>
      <c r="L120">
        <v>-3</v>
      </c>
      <c r="M120" t="s">
        <v>25</v>
      </c>
      <c r="N120" t="s">
        <v>150</v>
      </c>
      <c r="O120">
        <v>1</v>
      </c>
      <c r="P120">
        <v>0</v>
      </c>
      <c r="Q120" t="s">
        <v>151</v>
      </c>
      <c r="R120" t="str">
        <f>VLOOKUP(Q120,GDP!$A$2:$B$266,1,FALSE)</f>
        <v>NLD</v>
      </c>
      <c r="S120" t="str">
        <f>VLOOKUP(Q120,GDP!$A$2:$B$266,2,FALSE)</f>
        <v>Netherlands</v>
      </c>
      <c r="T120">
        <f>VLOOKUP(Q120,GDP!$A$1:$L$266,4,FALSE)</f>
        <v>65665.991022957765</v>
      </c>
      <c r="U120" s="4">
        <v>65665.991022957794</v>
      </c>
      <c r="V120" s="5">
        <f>VLOOKUP(Q120,POP!$B$5:$M$269,4,FALSE)</f>
        <v>11198090</v>
      </c>
      <c r="W120" s="4">
        <v>11198090</v>
      </c>
      <c r="X120">
        <f>VLOOKUP(Q120,YU!$B$1:$M$266,4,FALSE)</f>
        <v>8.7159999999999993</v>
      </c>
      <c r="Y120" s="4">
        <v>8.7159999999999993</v>
      </c>
      <c r="Z120">
        <v>5.0874700546264604</v>
      </c>
      <c r="AA120">
        <f t="shared" si="6"/>
        <v>11.092336430008594</v>
      </c>
      <c r="AB120">
        <f t="shared" si="7"/>
        <v>0.56793972789616376</v>
      </c>
      <c r="AC120" s="4">
        <v>0.56793972789616909</v>
      </c>
      <c r="AD120">
        <v>0.31936867796697221</v>
      </c>
      <c r="AE120">
        <v>-6.5994059829059832</v>
      </c>
      <c r="AG120" s="12">
        <f t="shared" si="8"/>
        <v>0</v>
      </c>
      <c r="AH120" s="12">
        <f t="shared" si="9"/>
        <v>0</v>
      </c>
      <c r="AI120" s="13">
        <f t="shared" si="10"/>
        <v>0</v>
      </c>
      <c r="AJ120" s="14">
        <f t="shared" si="11"/>
        <v>-5.2219439811516111E-3</v>
      </c>
    </row>
    <row r="121" spans="1:36" x14ac:dyDescent="0.2">
      <c r="A121">
        <v>2018</v>
      </c>
      <c r="B121" t="s">
        <v>150</v>
      </c>
      <c r="C121">
        <f>VLOOKUP(B121,Sheet5!$B$2:$C$2166,2,FALSE)</f>
        <v>955</v>
      </c>
      <c r="D121">
        <v>935</v>
      </c>
      <c r="E121">
        <v>475</v>
      </c>
      <c r="F121" t="s">
        <v>152</v>
      </c>
      <c r="G121">
        <v>5</v>
      </c>
      <c r="H121">
        <v>6.8405465292886873</v>
      </c>
      <c r="I121">
        <v>1</v>
      </c>
      <c r="J121">
        <v>1</v>
      </c>
      <c r="K121">
        <v>0</v>
      </c>
      <c r="L121">
        <v>-2</v>
      </c>
      <c r="M121" t="s">
        <v>25</v>
      </c>
      <c r="N121" t="s">
        <v>150</v>
      </c>
      <c r="O121">
        <v>1</v>
      </c>
      <c r="P121">
        <v>0</v>
      </c>
      <c r="Q121" t="s">
        <v>151</v>
      </c>
      <c r="R121" t="str">
        <f>VLOOKUP(Q121,GDP!$A$2:$B$266,1,FALSE)</f>
        <v>NLD</v>
      </c>
      <c r="S121" t="str">
        <f>VLOOKUP(Q121,GDP!$A$2:$B$266,2,FALSE)</f>
        <v>Netherlands</v>
      </c>
      <c r="T121">
        <f>VLOOKUP(Q121,GDP!$A$1:$L$266,5,FALSE)</f>
        <v>66758.245428331691</v>
      </c>
      <c r="U121" s="4">
        <v>66758.245428331706</v>
      </c>
      <c r="V121" s="5">
        <f>VLOOKUP(Q121,POP!$B$5:$M$269,5,FALSE)</f>
        <v>11243424</v>
      </c>
      <c r="W121" s="4">
        <v>11243424</v>
      </c>
      <c r="X121">
        <f>VLOOKUP(Q121,YU!$B$1:$M$266,5,FALSE)</f>
        <v>7.0460000000000003</v>
      </c>
      <c r="Y121" s="4">
        <v>7.0460000000000003</v>
      </c>
      <c r="Z121">
        <v>5.2672300338745099</v>
      </c>
      <c r="AA121">
        <f t="shared" si="6"/>
        <v>11.108833095649867</v>
      </c>
      <c r="AB121">
        <f t="shared" si="7"/>
        <v>0.58443639353743748</v>
      </c>
      <c r="AC121" s="4">
        <v>0.58443639353744281</v>
      </c>
      <c r="AD121">
        <v>0.32340887433396232</v>
      </c>
      <c r="AE121">
        <v>-8.2694059829059832</v>
      </c>
      <c r="AG121" s="12">
        <f t="shared" si="8"/>
        <v>0</v>
      </c>
      <c r="AH121" s="12">
        <f t="shared" si="9"/>
        <v>0</v>
      </c>
      <c r="AI121" s="13">
        <f t="shared" si="10"/>
        <v>0</v>
      </c>
      <c r="AJ121" s="14">
        <f t="shared" si="11"/>
        <v>2.1164811192043054E-2</v>
      </c>
    </row>
    <row r="122" spans="1:36" x14ac:dyDescent="0.2">
      <c r="A122">
        <v>2019</v>
      </c>
      <c r="B122" t="s">
        <v>150</v>
      </c>
      <c r="C122">
        <f>VLOOKUP(B122,Sheet5!$B$2:$C$2166,2,FALSE)</f>
        <v>955</v>
      </c>
      <c r="D122">
        <v>1010</v>
      </c>
      <c r="E122">
        <v>530</v>
      </c>
      <c r="F122" t="s">
        <v>153</v>
      </c>
      <c r="G122">
        <v>5</v>
      </c>
      <c r="H122">
        <v>6.9177056098353047</v>
      </c>
      <c r="I122">
        <v>1</v>
      </c>
      <c r="J122">
        <v>1</v>
      </c>
      <c r="K122">
        <v>0</v>
      </c>
      <c r="L122">
        <v>-1</v>
      </c>
      <c r="M122" t="s">
        <v>25</v>
      </c>
      <c r="N122" t="s">
        <v>150</v>
      </c>
      <c r="O122">
        <v>1</v>
      </c>
      <c r="P122">
        <v>0</v>
      </c>
      <c r="Q122" t="s">
        <v>151</v>
      </c>
      <c r="R122" t="str">
        <f>VLOOKUP(Q122,GDP!$A$2:$B$266,1,FALSE)</f>
        <v>NLD</v>
      </c>
      <c r="S122" t="str">
        <f>VLOOKUP(Q122,GDP!$A$2:$B$266,2,FALSE)</f>
        <v>Netherlands</v>
      </c>
      <c r="T122">
        <f>VLOOKUP(Q122,GDP!$A$1:$L$266,6,FALSE)</f>
        <v>67847.881846109507</v>
      </c>
      <c r="U122" s="4">
        <v>67847.881846109507</v>
      </c>
      <c r="V122" s="5">
        <f>VLOOKUP(Q122,POP!$B$5:$M$269,6,FALSE)</f>
        <v>11298672</v>
      </c>
      <c r="W122" s="4">
        <v>11298672</v>
      </c>
      <c r="X122">
        <f>VLOOKUP(Q122,YU!$B$1:$M$266,6,FALSE)</f>
        <v>6.6059999999999999</v>
      </c>
      <c r="Y122" s="4">
        <v>6.6059999999999999</v>
      </c>
      <c r="Z122">
        <v>5.0559401512145996</v>
      </c>
      <c r="AA122">
        <f t="shared" si="6"/>
        <v>11.125023446590154</v>
      </c>
      <c r="AB122">
        <f t="shared" si="7"/>
        <v>0.60062674447772402</v>
      </c>
      <c r="AC122" s="4">
        <v>0.60062674447772935</v>
      </c>
      <c r="AD122">
        <v>0.32831064661121268</v>
      </c>
      <c r="AE122">
        <v>-8.7094059829059827</v>
      </c>
      <c r="AG122" s="12">
        <f t="shared" si="8"/>
        <v>0</v>
      </c>
      <c r="AH122" s="12">
        <f t="shared" si="9"/>
        <v>0</v>
      </c>
      <c r="AI122" s="13">
        <f t="shared" si="10"/>
        <v>0</v>
      </c>
      <c r="AJ122" s="14">
        <f t="shared" si="11"/>
        <v>-5.59942693545743E-2</v>
      </c>
    </row>
    <row r="123" spans="1:36" x14ac:dyDescent="0.2">
      <c r="A123">
        <v>2020</v>
      </c>
      <c r="B123" t="s">
        <v>150</v>
      </c>
      <c r="C123">
        <f>VLOOKUP(B123,Sheet5!$B$2:$C$2166,2,FALSE)</f>
        <v>955</v>
      </c>
      <c r="D123">
        <v>930</v>
      </c>
      <c r="E123">
        <v>485</v>
      </c>
      <c r="F123" t="s">
        <v>154</v>
      </c>
      <c r="G123">
        <v>5</v>
      </c>
      <c r="H123">
        <v>6.8351845861473013</v>
      </c>
      <c r="I123">
        <v>1</v>
      </c>
      <c r="J123">
        <v>1</v>
      </c>
      <c r="K123">
        <v>0</v>
      </c>
      <c r="L123">
        <v>0</v>
      </c>
      <c r="M123" t="s">
        <v>25</v>
      </c>
      <c r="N123" t="s">
        <v>150</v>
      </c>
      <c r="O123">
        <v>1</v>
      </c>
      <c r="P123">
        <v>0</v>
      </c>
      <c r="Q123" t="s">
        <v>151</v>
      </c>
      <c r="R123" t="str">
        <f>VLOOKUP(Q123,GDP!$A$2:$B$266,1,FALSE)</f>
        <v>NLD</v>
      </c>
      <c r="S123" t="str">
        <f>VLOOKUP(Q123,GDP!$A$2:$B$266,2,FALSE)</f>
        <v>Netherlands</v>
      </c>
      <c r="T123">
        <f>VLOOKUP(Q123,GDP!$A$1:$L$266,7,FALSE)</f>
        <v>64862.18903534743</v>
      </c>
      <c r="U123" s="4">
        <v>64862.189035347401</v>
      </c>
      <c r="V123" s="5">
        <f>VLOOKUP(Q123,POP!$B$5:$M$269,7,FALSE)</f>
        <v>11338727</v>
      </c>
      <c r="W123" s="4">
        <v>11338727</v>
      </c>
      <c r="X123">
        <f>VLOOKUP(Q123,YU!$B$1:$M$266,7,FALSE)</f>
        <v>8.8789999999999996</v>
      </c>
      <c r="Y123" s="4">
        <v>8.8789999999999996</v>
      </c>
      <c r="Z123">
        <v>5.2913999557495099</v>
      </c>
      <c r="AA123">
        <f t="shared" si="6"/>
        <v>11.08002012945132</v>
      </c>
      <c r="AB123">
        <f t="shared" si="7"/>
        <v>0.55562342733889025</v>
      </c>
      <c r="AC123" s="4">
        <v>0.55562342733889558</v>
      </c>
      <c r="AD123">
        <v>0.33184948442575107</v>
      </c>
      <c r="AE123">
        <v>-6.436405982905983</v>
      </c>
      <c r="AG123" s="12">
        <f t="shared" si="8"/>
        <v>0</v>
      </c>
      <c r="AH123" s="12">
        <f t="shared" si="9"/>
        <v>0</v>
      </c>
      <c r="AI123" s="13">
        <f t="shared" si="10"/>
        <v>0</v>
      </c>
      <c r="AJ123" s="14">
        <f t="shared" si="11"/>
        <v>2.6526754333429103E-2</v>
      </c>
    </row>
    <row r="124" spans="1:36" x14ac:dyDescent="0.2">
      <c r="A124">
        <v>2021</v>
      </c>
      <c r="B124" t="s">
        <v>150</v>
      </c>
      <c r="C124">
        <f>VLOOKUP(B124,Sheet5!$B$2:$C$2166,2,FALSE)</f>
        <v>955</v>
      </c>
      <c r="D124">
        <v>615</v>
      </c>
      <c r="E124">
        <v>275</v>
      </c>
      <c r="F124" t="s">
        <v>155</v>
      </c>
      <c r="G124">
        <v>0</v>
      </c>
      <c r="H124">
        <v>6.4216222678065176</v>
      </c>
      <c r="I124">
        <v>1</v>
      </c>
      <c r="J124">
        <v>1</v>
      </c>
      <c r="K124">
        <v>1</v>
      </c>
      <c r="L124">
        <v>1</v>
      </c>
      <c r="M124" t="s">
        <v>25</v>
      </c>
      <c r="N124" t="s">
        <v>150</v>
      </c>
      <c r="O124">
        <v>1</v>
      </c>
      <c r="P124">
        <v>1</v>
      </c>
      <c r="Q124" t="s">
        <v>151</v>
      </c>
      <c r="R124" t="str">
        <f>VLOOKUP(Q124,GDP!$A$2:$B$266,1,FALSE)</f>
        <v>NLD</v>
      </c>
      <c r="S124" t="str">
        <f>VLOOKUP(Q124,GDP!$A$2:$B$266,2,FALSE)</f>
        <v>Netherlands</v>
      </c>
      <c r="T124">
        <f>VLOOKUP(Q124,GDP!$A$1:$L$266,8,FALSE)</f>
        <v>68573.564878644713</v>
      </c>
      <c r="U124" s="4">
        <v>68573.564878644698</v>
      </c>
      <c r="V124" s="5">
        <f>VLOOKUP(Q124,POP!$B$5:$M$269,8,FALSE)</f>
        <v>11370392</v>
      </c>
      <c r="W124" s="4">
        <v>11370392</v>
      </c>
      <c r="X124">
        <f>VLOOKUP(Q124,YU!$B$1:$M$266,8,FALSE)</f>
        <v>9.3350000000000009</v>
      </c>
      <c r="Y124" s="4">
        <v>9.3350000000000009</v>
      </c>
      <c r="Z124">
        <v>5.3766198158264196</v>
      </c>
      <c r="AA124">
        <f t="shared" si="6"/>
        <v>11.135662387823706</v>
      </c>
      <c r="AB124">
        <f t="shared" si="7"/>
        <v>0.61126568571127571</v>
      </c>
      <c r="AC124" s="4">
        <v>0.61126568571128104</v>
      </c>
      <c r="AD124">
        <v>0.3346382337842666</v>
      </c>
      <c r="AE124">
        <v>-5.9804059829059817</v>
      </c>
      <c r="AG124" s="12">
        <f t="shared" si="8"/>
        <v>0</v>
      </c>
      <c r="AH124" s="12">
        <f t="shared" si="9"/>
        <v>0</v>
      </c>
      <c r="AI124" s="13">
        <f t="shared" si="10"/>
        <v>0</v>
      </c>
      <c r="AJ124" s="14">
        <f t="shared" si="11"/>
        <v>0.44008907267421282</v>
      </c>
    </row>
    <row r="125" spans="1:36" x14ac:dyDescent="0.2">
      <c r="A125">
        <v>2022</v>
      </c>
      <c r="B125" t="s">
        <v>150</v>
      </c>
      <c r="C125">
        <f>VLOOKUP(B125,Sheet5!$B$2:$C$2166,2,FALSE)</f>
        <v>955</v>
      </c>
      <c r="D125">
        <v>545</v>
      </c>
      <c r="E125">
        <v>245</v>
      </c>
      <c r="F125" t="s">
        <v>33</v>
      </c>
      <c r="G125">
        <v>0</v>
      </c>
      <c r="H125">
        <v>6.300785794663244</v>
      </c>
      <c r="I125">
        <v>1</v>
      </c>
      <c r="J125">
        <v>1</v>
      </c>
      <c r="K125">
        <v>1</v>
      </c>
      <c r="L125">
        <v>2</v>
      </c>
      <c r="M125" t="s">
        <v>25</v>
      </c>
      <c r="N125" t="s">
        <v>150</v>
      </c>
      <c r="O125">
        <v>1</v>
      </c>
      <c r="P125">
        <v>1</v>
      </c>
      <c r="Q125" t="s">
        <v>151</v>
      </c>
      <c r="R125" t="str">
        <f>VLOOKUP(Q125,GDP!$A$2:$B$266,1,FALSE)</f>
        <v>NLD</v>
      </c>
      <c r="S125" t="str">
        <f>VLOOKUP(Q125,GDP!$A$2:$B$266,2,FALSE)</f>
        <v>Netherlands</v>
      </c>
      <c r="T125">
        <f>VLOOKUP(Q125,GDP!$A$1:$L$266,9,FALSE)</f>
        <v>71324.036022942513</v>
      </c>
      <c r="U125" s="4">
        <v>71324.036022942499</v>
      </c>
      <c r="V125" s="5">
        <f>VLOOKUP(Q125,POP!$B$5:$M$269,9,FALSE)</f>
        <v>11460982</v>
      </c>
      <c r="W125" s="4">
        <v>11460982</v>
      </c>
      <c r="X125">
        <f>VLOOKUP(Q125,YU!$B$1:$M$266,9,FALSE)</f>
        <v>7.6470000000000002</v>
      </c>
      <c r="Y125" s="4">
        <v>7.6470000000000002</v>
      </c>
      <c r="Z125">
        <v>5.1791801452636701</v>
      </c>
      <c r="AA125">
        <f t="shared" si="6"/>
        <v>11.174988660714414</v>
      </c>
      <c r="AB125">
        <f t="shared" si="7"/>
        <v>0.65059195860198393</v>
      </c>
      <c r="AC125" s="4">
        <v>0.65059195860198926</v>
      </c>
      <c r="AD125">
        <v>0.34257384689282411</v>
      </c>
      <c r="AE125">
        <v>-7.6684059829059823</v>
      </c>
      <c r="AG125" s="12">
        <f t="shared" si="8"/>
        <v>0</v>
      </c>
      <c r="AH125" s="12">
        <f t="shared" si="9"/>
        <v>0</v>
      </c>
      <c r="AI125" s="13">
        <f t="shared" si="10"/>
        <v>0</v>
      </c>
      <c r="AJ125" s="14">
        <f t="shared" si="11"/>
        <v>0.56092554581748644</v>
      </c>
    </row>
    <row r="126" spans="1:36" x14ac:dyDescent="0.2">
      <c r="A126">
        <v>2023</v>
      </c>
      <c r="B126" t="s">
        <v>150</v>
      </c>
      <c r="C126">
        <f>VLOOKUP(B126,Sheet5!$B$2:$C$2166,2,FALSE)</f>
        <v>955</v>
      </c>
      <c r="D126">
        <v>600</v>
      </c>
      <c r="E126">
        <v>275</v>
      </c>
      <c r="F126" t="s">
        <v>32</v>
      </c>
      <c r="G126">
        <v>5</v>
      </c>
      <c r="H126">
        <v>6.3969296552161463</v>
      </c>
      <c r="I126">
        <v>1</v>
      </c>
      <c r="J126">
        <v>1</v>
      </c>
      <c r="K126">
        <v>1</v>
      </c>
      <c r="L126">
        <v>3</v>
      </c>
      <c r="M126" t="s">
        <v>25</v>
      </c>
      <c r="N126" t="s">
        <v>150</v>
      </c>
      <c r="O126">
        <v>1</v>
      </c>
      <c r="P126">
        <v>1</v>
      </c>
      <c r="Q126" t="s">
        <v>151</v>
      </c>
      <c r="R126" t="str">
        <f>VLOOKUP(Q126,GDP!$A$2:$B$266,1,FALSE)</f>
        <v>NLD</v>
      </c>
      <c r="S126" t="str">
        <f>VLOOKUP(Q126,GDP!$A$2:$B$266,2,FALSE)</f>
        <v>Netherlands</v>
      </c>
      <c r="T126">
        <f>VLOOKUP(Q126,GDP!$A$1:$L$266,10,FALSE)</f>
        <v>70198.954602236088</v>
      </c>
      <c r="U126" s="4">
        <v>70198.954602236103</v>
      </c>
      <c r="V126" s="5">
        <f>VLOOKUP(Q126,POP!$B$5:$M$269,10,FALSE)</f>
        <v>11561484</v>
      </c>
      <c r="W126" s="4">
        <v>11561484</v>
      </c>
      <c r="X126">
        <f>VLOOKUP(Q126,YU!$B$1:$M$266,10,FALSE)</f>
        <v>8.2720000000000002</v>
      </c>
      <c r="Y126" s="4">
        <v>8.2720000000000002</v>
      </c>
      <c r="AA126">
        <f t="shared" si="6"/>
        <v>11.159088698196982</v>
      </c>
      <c r="AB126">
        <f t="shared" si="7"/>
        <v>0.63469199608455185</v>
      </c>
      <c r="AC126" s="4">
        <v>0.63469199608455718</v>
      </c>
      <c r="AD126">
        <v>0.35130467863053211</v>
      </c>
      <c r="AE126">
        <v>-7.0434059829059823</v>
      </c>
      <c r="AG126" s="12">
        <f t="shared" si="8"/>
        <v>0</v>
      </c>
      <c r="AH126" s="12">
        <f t="shared" si="9"/>
        <v>0</v>
      </c>
      <c r="AI126" s="13">
        <f t="shared" si="10"/>
        <v>0</v>
      </c>
      <c r="AJ126" s="14">
        <f t="shared" si="11"/>
        <v>0.46478168526458408</v>
      </c>
    </row>
    <row r="127" spans="1:36" x14ac:dyDescent="0.2">
      <c r="A127">
        <v>2024</v>
      </c>
      <c r="B127" t="s">
        <v>150</v>
      </c>
      <c r="C127">
        <f>VLOOKUP(B127,Sheet5!$B$2:$C$2166,2,FALSE)</f>
        <v>955</v>
      </c>
      <c r="D127">
        <v>585</v>
      </c>
      <c r="E127">
        <v>275</v>
      </c>
      <c r="F127" t="s">
        <v>149</v>
      </c>
      <c r="G127">
        <v>5</v>
      </c>
      <c r="H127">
        <v>6.3716118472318568</v>
      </c>
      <c r="I127">
        <v>1</v>
      </c>
      <c r="J127">
        <v>1</v>
      </c>
      <c r="K127">
        <v>1</v>
      </c>
      <c r="L127">
        <v>4</v>
      </c>
      <c r="M127" t="s">
        <v>25</v>
      </c>
      <c r="N127" t="s">
        <v>150</v>
      </c>
      <c r="O127">
        <v>1</v>
      </c>
      <c r="P127">
        <v>1</v>
      </c>
      <c r="Q127" t="s">
        <v>151</v>
      </c>
      <c r="R127" t="str">
        <f>VLOOKUP(Q127,GDP!$A$2:$B$266,1,FALSE)</f>
        <v>NLD</v>
      </c>
      <c r="S127" t="str">
        <f>VLOOKUP(Q127,GDP!$A$2:$B$266,2,FALSE)</f>
        <v>Netherlands</v>
      </c>
      <c r="T127">
        <f>VLOOKUP(Q127,GDP!$A$1:$L$266,11,FALSE)</f>
        <v>70493.905121926728</v>
      </c>
      <c r="U127" s="4">
        <v>70493.905121926698</v>
      </c>
      <c r="V127" s="5">
        <f>VLOOKUP(Q127,POP!$B$5:$M$269,11,FALSE)</f>
        <v>11601889</v>
      </c>
      <c r="W127" s="4">
        <v>11601889</v>
      </c>
      <c r="X127">
        <f>VLOOKUP(Q127,YU!$B$1:$M$266,11,FALSE)</f>
        <v>8.7780000000000005</v>
      </c>
      <c r="Y127" s="4">
        <v>8.7780000000000005</v>
      </c>
      <c r="AA127">
        <f t="shared" si="6"/>
        <v>11.163281532891904</v>
      </c>
      <c r="AB127">
        <f t="shared" si="7"/>
        <v>0.63888483077947456</v>
      </c>
      <c r="AC127" s="4">
        <v>0.63888483077947811</v>
      </c>
      <c r="AD127">
        <v>0.35479337960520319</v>
      </c>
      <c r="AE127">
        <v>-6.5374059829059821</v>
      </c>
      <c r="AG127" s="12">
        <f t="shared" si="8"/>
        <v>0</v>
      </c>
      <c r="AH127" s="12">
        <f t="shared" si="9"/>
        <v>0</v>
      </c>
      <c r="AI127" s="13">
        <f t="shared" si="10"/>
        <v>0</v>
      </c>
      <c r="AJ127" s="14">
        <f t="shared" si="11"/>
        <v>0.49009949324887359</v>
      </c>
    </row>
    <row r="128" spans="1:36" x14ac:dyDescent="0.2">
      <c r="A128">
        <v>2016</v>
      </c>
      <c r="B128" t="s">
        <v>156</v>
      </c>
      <c r="C128">
        <f>VLOOKUP(B128,Sheet5!$B$2:$C$2166,2,FALSE)</f>
        <v>3840</v>
      </c>
      <c r="D128">
        <v>3840</v>
      </c>
      <c r="E128">
        <v>2105</v>
      </c>
      <c r="F128" t="s">
        <v>157</v>
      </c>
      <c r="G128">
        <v>10</v>
      </c>
      <c r="H128">
        <v>8.2532276455817719</v>
      </c>
      <c r="I128">
        <v>1</v>
      </c>
      <c r="J128">
        <v>1</v>
      </c>
      <c r="K128">
        <v>0</v>
      </c>
      <c r="L128">
        <v>-4</v>
      </c>
      <c r="M128" t="s">
        <v>25</v>
      </c>
      <c r="N128" t="s">
        <v>156</v>
      </c>
      <c r="O128">
        <v>1</v>
      </c>
      <c r="P128">
        <v>0</v>
      </c>
      <c r="Q128" t="s">
        <v>158</v>
      </c>
      <c r="R128" t="str">
        <f>VLOOKUP(Q128,GDP!$A$2:$B$266,1,FALSE)</f>
        <v>POL</v>
      </c>
      <c r="S128" t="str">
        <f>VLOOKUP(Q128,GDP!$A$2:$B$266,2,FALSE)</f>
        <v>Poland</v>
      </c>
      <c r="T128">
        <f>VLOOKUP(Q128,GDP!$A$1:$C$266,3,FALSE)</f>
        <v>32675.305225995377</v>
      </c>
      <c r="U128" s="4">
        <v>32675.305225995398</v>
      </c>
      <c r="V128" s="5">
        <f>VLOOKUP(Q128,POP!$B$5:$M$269,3,FALSE)</f>
        <v>26181203</v>
      </c>
      <c r="W128" s="4">
        <v>26181203</v>
      </c>
      <c r="X128">
        <f>VLOOKUP(Q128,YU!$B$1:$D$266,3,FALSE)</f>
        <v>17.591999999999999</v>
      </c>
      <c r="Y128" s="4">
        <v>17.591999999999999</v>
      </c>
      <c r="Z128">
        <v>4.6272602081298801</v>
      </c>
      <c r="AA128">
        <f t="shared" si="6"/>
        <v>10.394374879718736</v>
      </c>
      <c r="AB128">
        <f t="shared" si="7"/>
        <v>-0.13002182239369375</v>
      </c>
      <c r="AC128" s="4">
        <v>-0.1300218223936884</v>
      </c>
      <c r="AD128">
        <v>1.1686671604568291</v>
      </c>
      <c r="AE128">
        <v>2.2765940170940162</v>
      </c>
      <c r="AG128" s="12">
        <f t="shared" si="8"/>
        <v>0</v>
      </c>
      <c r="AH128" s="12">
        <f t="shared" si="9"/>
        <v>0</v>
      </c>
      <c r="AI128" s="13">
        <f t="shared" si="10"/>
        <v>0</v>
      </c>
      <c r="AJ128" s="14">
        <f t="shared" si="11"/>
        <v>0</v>
      </c>
    </row>
    <row r="129" spans="1:36" x14ac:dyDescent="0.2">
      <c r="A129">
        <v>2017</v>
      </c>
      <c r="B129" t="s">
        <v>156</v>
      </c>
      <c r="C129">
        <f>VLOOKUP(B129,Sheet5!$B$2:$C$2166,2,FALSE)</f>
        <v>3840</v>
      </c>
      <c r="D129">
        <v>3820</v>
      </c>
      <c r="E129">
        <v>2220</v>
      </c>
      <c r="F129" t="s">
        <v>138</v>
      </c>
      <c r="G129">
        <v>10</v>
      </c>
      <c r="H129">
        <v>8.2480057016006203</v>
      </c>
      <c r="I129">
        <v>1</v>
      </c>
      <c r="J129">
        <v>1</v>
      </c>
      <c r="K129">
        <v>0</v>
      </c>
      <c r="L129">
        <v>-3</v>
      </c>
      <c r="M129" t="s">
        <v>25</v>
      </c>
      <c r="N129" t="s">
        <v>156</v>
      </c>
      <c r="O129">
        <v>1</v>
      </c>
      <c r="P129">
        <v>0</v>
      </c>
      <c r="Q129" t="s">
        <v>158</v>
      </c>
      <c r="R129" t="str">
        <f>VLOOKUP(Q129,GDP!$A$2:$B$266,1,FALSE)</f>
        <v>POL</v>
      </c>
      <c r="S129" t="str">
        <f>VLOOKUP(Q129,GDP!$A$2:$B$266,2,FALSE)</f>
        <v>Poland</v>
      </c>
      <c r="T129">
        <f>VLOOKUP(Q129,GDP!$A$1:$L$266,4,FALSE)</f>
        <v>34354.59876163194</v>
      </c>
      <c r="U129" s="4">
        <v>34354.598761631903</v>
      </c>
      <c r="V129" s="5">
        <f>VLOOKUP(Q129,POP!$B$5:$M$269,4,FALSE)</f>
        <v>25947025</v>
      </c>
      <c r="W129" s="4">
        <v>25947025</v>
      </c>
      <c r="X129">
        <f>VLOOKUP(Q129,YU!$B$1:$M$266,4,FALSE)</f>
        <v>14.762</v>
      </c>
      <c r="Y129" s="4">
        <v>14.762</v>
      </c>
      <c r="Z129">
        <v>4.5424699783325204</v>
      </c>
      <c r="AA129">
        <f t="shared" si="6"/>
        <v>10.444491168212924</v>
      </c>
      <c r="AB129">
        <f t="shared" si="7"/>
        <v>-7.9905533899506054E-2</v>
      </c>
      <c r="AC129" s="4">
        <v>-7.9905533899502501E-2</v>
      </c>
      <c r="AD129">
        <v>1.1596824094176219</v>
      </c>
      <c r="AE129">
        <v>-0.55340598290598209</v>
      </c>
      <c r="AG129" s="12">
        <f t="shared" si="8"/>
        <v>0</v>
      </c>
      <c r="AH129" s="12">
        <f t="shared" si="9"/>
        <v>0</v>
      </c>
      <c r="AI129" s="13">
        <f t="shared" si="10"/>
        <v>0</v>
      </c>
      <c r="AJ129" s="14">
        <f t="shared" si="11"/>
        <v>5.2219439811516111E-3</v>
      </c>
    </row>
    <row r="130" spans="1:36" x14ac:dyDescent="0.2">
      <c r="A130">
        <v>2018</v>
      </c>
      <c r="B130" t="s">
        <v>156</v>
      </c>
      <c r="C130">
        <f>VLOOKUP(B130,Sheet5!$B$2:$C$2166,2,FALSE)</f>
        <v>3840</v>
      </c>
      <c r="D130">
        <v>4410</v>
      </c>
      <c r="E130">
        <v>2520</v>
      </c>
      <c r="F130" t="s">
        <v>27</v>
      </c>
      <c r="G130">
        <v>5</v>
      </c>
      <c r="H130">
        <v>8.3916299684408919</v>
      </c>
      <c r="I130">
        <v>1</v>
      </c>
      <c r="J130">
        <v>1</v>
      </c>
      <c r="K130">
        <v>0</v>
      </c>
      <c r="L130">
        <v>-2</v>
      </c>
      <c r="M130" t="s">
        <v>25</v>
      </c>
      <c r="N130" t="s">
        <v>156</v>
      </c>
      <c r="O130">
        <v>1</v>
      </c>
      <c r="P130">
        <v>0</v>
      </c>
      <c r="Q130" t="s">
        <v>158</v>
      </c>
      <c r="R130" t="str">
        <f>VLOOKUP(Q130,GDP!$A$2:$B$266,1,FALSE)</f>
        <v>POL</v>
      </c>
      <c r="S130" t="str">
        <f>VLOOKUP(Q130,GDP!$A$2:$B$266,2,FALSE)</f>
        <v>Poland</v>
      </c>
      <c r="T130">
        <f>VLOOKUP(Q130,GDP!$A$1:$L$266,5,FALSE)</f>
        <v>36500.411428258412</v>
      </c>
      <c r="U130" s="4">
        <v>36500.411428258398</v>
      </c>
      <c r="V130" s="5">
        <f>VLOOKUP(Q130,POP!$B$5:$M$269,5,FALSE)</f>
        <v>25700073</v>
      </c>
      <c r="W130" s="4">
        <v>25700073</v>
      </c>
      <c r="X130">
        <f>VLOOKUP(Q130,YU!$B$1:$M$266,5,FALSE)</f>
        <v>11.686</v>
      </c>
      <c r="Y130" s="4">
        <v>11.686</v>
      </c>
      <c r="Z130">
        <v>4.5598502159118697</v>
      </c>
      <c r="AA130">
        <f t="shared" si="6"/>
        <v>10.505078811514133</v>
      </c>
      <c r="AB130">
        <f t="shared" si="7"/>
        <v>-1.9317890598296472E-2</v>
      </c>
      <c r="AC130" s="4">
        <v>-1.931789059829114E-2</v>
      </c>
      <c r="AD130">
        <v>1.1501192822871451</v>
      </c>
      <c r="AE130">
        <v>-3.629405982905983</v>
      </c>
      <c r="AG130" s="12">
        <f t="shared" si="8"/>
        <v>0</v>
      </c>
      <c r="AH130" s="12">
        <f t="shared" si="9"/>
        <v>0</v>
      </c>
      <c r="AI130" s="13">
        <f t="shared" si="10"/>
        <v>0</v>
      </c>
      <c r="AJ130" s="14">
        <f t="shared" si="11"/>
        <v>-0.13840232285912002</v>
      </c>
    </row>
    <row r="131" spans="1:36" x14ac:dyDescent="0.2">
      <c r="A131">
        <v>2019</v>
      </c>
      <c r="B131" t="s">
        <v>156</v>
      </c>
      <c r="C131">
        <f>VLOOKUP(B131,Sheet5!$B$2:$C$2166,2,FALSE)</f>
        <v>3840</v>
      </c>
      <c r="D131">
        <v>4390</v>
      </c>
      <c r="E131">
        <v>2570</v>
      </c>
      <c r="F131" t="s">
        <v>159</v>
      </c>
      <c r="G131">
        <v>15</v>
      </c>
      <c r="H131">
        <v>8.3870845060692165</v>
      </c>
      <c r="I131">
        <v>1</v>
      </c>
      <c r="J131">
        <v>1</v>
      </c>
      <c r="K131">
        <v>0</v>
      </c>
      <c r="L131">
        <v>-1</v>
      </c>
      <c r="M131" t="s">
        <v>25</v>
      </c>
      <c r="N131" t="s">
        <v>156</v>
      </c>
      <c r="O131">
        <v>1</v>
      </c>
      <c r="P131">
        <v>0</v>
      </c>
      <c r="Q131" t="s">
        <v>158</v>
      </c>
      <c r="R131" t="str">
        <f>VLOOKUP(Q131,GDP!$A$2:$B$266,1,FALSE)</f>
        <v>POL</v>
      </c>
      <c r="S131" t="str">
        <f>VLOOKUP(Q131,GDP!$A$2:$B$266,2,FALSE)</f>
        <v>Poland</v>
      </c>
      <c r="T131">
        <f>VLOOKUP(Q131,GDP!$A$1:$L$266,6,FALSE)</f>
        <v>38181.623033468873</v>
      </c>
      <c r="U131" s="4">
        <v>38181.623033468903</v>
      </c>
      <c r="V131" s="5">
        <f>VLOOKUP(Q131,POP!$B$5:$M$269,6,FALSE)</f>
        <v>25444178</v>
      </c>
      <c r="W131" s="4">
        <v>25444178</v>
      </c>
      <c r="X131">
        <f>VLOOKUP(Q131,YU!$B$1:$M$266,6,FALSE)</f>
        <v>9.8350000000000009</v>
      </c>
      <c r="Y131" s="4">
        <v>9.8350000000000009</v>
      </c>
      <c r="Z131">
        <v>4.6273698806762704</v>
      </c>
      <c r="AA131">
        <f t="shared" ref="AA131:AA194" si="12">LN(T131)</f>
        <v>10.550109606419923</v>
      </c>
      <c r="AB131">
        <f t="shared" ref="AB131:AB194" si="13">AA131-AVERAGE($AA$2:$AA$469)</f>
        <v>2.5712904307493289E-2</v>
      </c>
      <c r="AC131" s="4">
        <v>2.5712904307498619E-2</v>
      </c>
      <c r="AD131">
        <v>1.140112404470552</v>
      </c>
      <c r="AE131">
        <v>-5.4804059829059817</v>
      </c>
      <c r="AG131" s="12">
        <f t="shared" ref="AG131:AG194" si="14">T131-U131</f>
        <v>0</v>
      </c>
      <c r="AH131" s="12">
        <f t="shared" ref="AH131:AH194" si="15">V131-W131</f>
        <v>0</v>
      </c>
      <c r="AI131" s="13">
        <f t="shared" ref="AI131:AI194" si="16">X131-Y131</f>
        <v>0</v>
      </c>
      <c r="AJ131" s="14">
        <f t="shared" ref="AJ131:AJ194" si="17">LN(C131)-H131</f>
        <v>-0.13385686048744461</v>
      </c>
    </row>
    <row r="132" spans="1:36" x14ac:dyDescent="0.2">
      <c r="A132">
        <v>2020</v>
      </c>
      <c r="B132" t="s">
        <v>156</v>
      </c>
      <c r="C132">
        <f>VLOOKUP(B132,Sheet5!$B$2:$C$2166,2,FALSE)</f>
        <v>3840</v>
      </c>
      <c r="D132">
        <v>4860</v>
      </c>
      <c r="E132">
        <v>2955</v>
      </c>
      <c r="F132" t="s">
        <v>160</v>
      </c>
      <c r="G132">
        <v>35</v>
      </c>
      <c r="H132">
        <v>8.4887937168945395</v>
      </c>
      <c r="I132">
        <v>1</v>
      </c>
      <c r="J132">
        <v>1</v>
      </c>
      <c r="K132">
        <v>0</v>
      </c>
      <c r="L132">
        <v>0</v>
      </c>
      <c r="M132" t="s">
        <v>25</v>
      </c>
      <c r="N132" t="s">
        <v>156</v>
      </c>
      <c r="O132">
        <v>1</v>
      </c>
      <c r="P132">
        <v>0</v>
      </c>
      <c r="Q132" t="s">
        <v>158</v>
      </c>
      <c r="R132" t="str">
        <f>VLOOKUP(Q132,GDP!$A$2:$B$266,1,FALSE)</f>
        <v>POL</v>
      </c>
      <c r="S132" t="str">
        <f>VLOOKUP(Q132,GDP!$A$2:$B$266,2,FALSE)</f>
        <v>Poland</v>
      </c>
      <c r="T132">
        <f>VLOOKUP(Q132,GDP!$A$1:$L$266,7,FALSE)</f>
        <v>37852.802131363875</v>
      </c>
      <c r="U132" s="4">
        <v>37852.802131363896</v>
      </c>
      <c r="V132" s="5">
        <f>VLOOKUP(Q132,POP!$B$5:$M$269,7,FALSE)</f>
        <v>24923647</v>
      </c>
      <c r="W132" s="4">
        <v>24923647</v>
      </c>
      <c r="X132">
        <f>VLOOKUP(Q132,YU!$B$1:$M$266,7,FALSE)</f>
        <v>10.836</v>
      </c>
      <c r="Y132" s="4">
        <v>10.836</v>
      </c>
      <c r="Z132">
        <v>4.80081987380981</v>
      </c>
      <c r="AA132">
        <f t="shared" si="12"/>
        <v>10.541460288658053</v>
      </c>
      <c r="AB132">
        <f t="shared" si="13"/>
        <v>1.7063586545623011E-2</v>
      </c>
      <c r="AC132" s="4">
        <v>1.706358654563012E-2</v>
      </c>
      <c r="AD132">
        <v>1.119442481449068</v>
      </c>
      <c r="AE132">
        <v>-4.4794059829059822</v>
      </c>
      <c r="AG132" s="12">
        <f t="shared" si="14"/>
        <v>0</v>
      </c>
      <c r="AH132" s="12">
        <f t="shared" si="15"/>
        <v>0</v>
      </c>
      <c r="AI132" s="13">
        <f t="shared" si="16"/>
        <v>0</v>
      </c>
      <c r="AJ132" s="14">
        <f t="shared" si="17"/>
        <v>-0.23556607131276763</v>
      </c>
    </row>
    <row r="133" spans="1:36" x14ac:dyDescent="0.2">
      <c r="A133">
        <v>2021</v>
      </c>
      <c r="B133" t="s">
        <v>156</v>
      </c>
      <c r="C133">
        <f>VLOOKUP(B133,Sheet5!$B$2:$C$2166,2,FALSE)</f>
        <v>3840</v>
      </c>
      <c r="D133">
        <v>1355</v>
      </c>
      <c r="E133">
        <v>580</v>
      </c>
      <c r="F133" t="s">
        <v>161</v>
      </c>
      <c r="G133">
        <v>10</v>
      </c>
      <c r="H133">
        <v>7.2115567333138024</v>
      </c>
      <c r="I133">
        <v>1</v>
      </c>
      <c r="J133">
        <v>1</v>
      </c>
      <c r="K133">
        <v>1</v>
      </c>
      <c r="L133">
        <v>1</v>
      </c>
      <c r="M133" t="s">
        <v>25</v>
      </c>
      <c r="N133" t="s">
        <v>156</v>
      </c>
      <c r="O133">
        <v>1</v>
      </c>
      <c r="P133">
        <v>1</v>
      </c>
      <c r="Q133" t="s">
        <v>158</v>
      </c>
      <c r="R133" t="str">
        <f>VLOOKUP(Q133,GDP!$A$2:$B$266,1,FALSE)</f>
        <v>POL</v>
      </c>
      <c r="S133" t="str">
        <f>VLOOKUP(Q133,GDP!$A$2:$B$266,2,FALSE)</f>
        <v>Poland</v>
      </c>
      <c r="T133">
        <f>VLOOKUP(Q133,GDP!$A$1:$L$266,8,FALSE)</f>
        <v>41059.584782968202</v>
      </c>
      <c r="U133" s="4">
        <v>41059.584782968202</v>
      </c>
      <c r="V133" s="5">
        <f>VLOOKUP(Q133,POP!$B$5:$M$269,8,FALSE)</f>
        <v>24408815</v>
      </c>
      <c r="W133" s="4">
        <v>24408815</v>
      </c>
      <c r="X133">
        <f>VLOOKUP(Q133,YU!$B$1:$M$266,8,FALSE)</f>
        <v>11.817</v>
      </c>
      <c r="Y133" s="4">
        <v>11.817</v>
      </c>
      <c r="Z133">
        <v>4.6199898719787598</v>
      </c>
      <c r="AA133">
        <f t="shared" si="12"/>
        <v>10.622779578075816</v>
      </c>
      <c r="AB133">
        <f t="shared" si="13"/>
        <v>9.838287596338624E-2</v>
      </c>
      <c r="AC133" s="4">
        <v>9.8382875963391569E-2</v>
      </c>
      <c r="AD133">
        <v>1.098569787471567</v>
      </c>
      <c r="AE133">
        <v>-3.4984059829059819</v>
      </c>
      <c r="AG133" s="12">
        <f t="shared" si="14"/>
        <v>0</v>
      </c>
      <c r="AH133" s="12">
        <f t="shared" si="15"/>
        <v>0</v>
      </c>
      <c r="AI133" s="13">
        <f t="shared" si="16"/>
        <v>0</v>
      </c>
      <c r="AJ133" s="14">
        <f t="shared" si="17"/>
        <v>1.0416709122679695</v>
      </c>
    </row>
    <row r="134" spans="1:36" x14ac:dyDescent="0.2">
      <c r="A134">
        <v>2022</v>
      </c>
      <c r="B134" t="s">
        <v>156</v>
      </c>
      <c r="C134">
        <f>VLOOKUP(B134,Sheet5!$B$2:$C$2166,2,FALSE)</f>
        <v>3840</v>
      </c>
      <c r="D134">
        <v>830</v>
      </c>
      <c r="E134">
        <v>365</v>
      </c>
      <c r="F134" t="s">
        <v>162</v>
      </c>
      <c r="G134">
        <v>0</v>
      </c>
      <c r="H134">
        <v>6.7214257007906433</v>
      </c>
      <c r="I134">
        <v>1</v>
      </c>
      <c r="J134">
        <v>1</v>
      </c>
      <c r="K134">
        <v>1</v>
      </c>
      <c r="L134">
        <v>2</v>
      </c>
      <c r="M134" t="s">
        <v>25</v>
      </c>
      <c r="N134" t="s">
        <v>156</v>
      </c>
      <c r="O134">
        <v>1</v>
      </c>
      <c r="P134">
        <v>1</v>
      </c>
      <c r="Q134" t="s">
        <v>158</v>
      </c>
      <c r="R134" t="str">
        <f>VLOOKUP(Q134,GDP!$A$2:$B$266,1,FALSE)</f>
        <v>POL</v>
      </c>
      <c r="S134" t="str">
        <f>VLOOKUP(Q134,GDP!$A$2:$B$266,2,FALSE)</f>
        <v>Poland</v>
      </c>
      <c r="T134">
        <f>VLOOKUP(Q134,GDP!$A$1:$L$266,9,FALSE)</f>
        <v>43405.021579744105</v>
      </c>
      <c r="U134" s="4">
        <v>43405.021579744098</v>
      </c>
      <c r="V134" s="5">
        <f>VLOOKUP(Q134,POP!$B$5:$M$269,9,FALSE)</f>
        <v>24176067</v>
      </c>
      <c r="W134" s="4">
        <v>24176067</v>
      </c>
      <c r="X134">
        <f>VLOOKUP(Q134,YU!$B$1:$M$266,9,FALSE)</f>
        <v>10.56</v>
      </c>
      <c r="Y134" s="4">
        <v>10.56</v>
      </c>
      <c r="Z134">
        <v>4.3137297630310103</v>
      </c>
      <c r="AA134">
        <f t="shared" si="12"/>
        <v>10.678330417997634</v>
      </c>
      <c r="AB134">
        <f t="shared" si="13"/>
        <v>0.15393371588520388</v>
      </c>
      <c r="AC134" s="4">
        <v>0.15393371588520921</v>
      </c>
      <c r="AD134">
        <v>1.088988626793105</v>
      </c>
      <c r="AE134">
        <v>-4.755405982905982</v>
      </c>
      <c r="AG134" s="12">
        <f t="shared" si="14"/>
        <v>0</v>
      </c>
      <c r="AH134" s="12">
        <f t="shared" si="15"/>
        <v>0</v>
      </c>
      <c r="AI134" s="13">
        <f t="shared" si="16"/>
        <v>0</v>
      </c>
      <c r="AJ134" s="14">
        <f t="shared" si="17"/>
        <v>1.5318019447911286</v>
      </c>
    </row>
    <row r="135" spans="1:36" x14ac:dyDescent="0.2">
      <c r="A135">
        <v>2023</v>
      </c>
      <c r="B135" t="s">
        <v>156</v>
      </c>
      <c r="C135">
        <f>VLOOKUP(B135,Sheet5!$B$2:$C$2166,2,FALSE)</f>
        <v>3840</v>
      </c>
      <c r="D135">
        <v>750</v>
      </c>
      <c r="E135">
        <v>300</v>
      </c>
      <c r="F135" t="s">
        <v>62</v>
      </c>
      <c r="G135">
        <v>5</v>
      </c>
      <c r="H135">
        <v>6.620073206530356</v>
      </c>
      <c r="I135">
        <v>1</v>
      </c>
      <c r="J135">
        <v>1</v>
      </c>
      <c r="K135">
        <v>1</v>
      </c>
      <c r="L135">
        <v>3</v>
      </c>
      <c r="M135" t="s">
        <v>25</v>
      </c>
      <c r="N135" t="s">
        <v>156</v>
      </c>
      <c r="O135">
        <v>1</v>
      </c>
      <c r="P135">
        <v>1</v>
      </c>
      <c r="Q135" t="s">
        <v>158</v>
      </c>
      <c r="R135" t="str">
        <f>VLOOKUP(Q135,GDP!$A$2:$B$266,1,FALSE)</f>
        <v>POL</v>
      </c>
      <c r="S135" t="str">
        <f>VLOOKUP(Q135,GDP!$A$2:$B$266,2,FALSE)</f>
        <v>Poland</v>
      </c>
      <c r="T135">
        <f>VLOOKUP(Q135,GDP!$A$1:$L$266,10,FALSE)</f>
        <v>43672.766801494647</v>
      </c>
      <c r="U135" s="4">
        <v>43672.766801494603</v>
      </c>
      <c r="V135" s="5">
        <f>VLOOKUP(Q135,POP!$B$5:$M$269,10,FALSE)</f>
        <v>23972368</v>
      </c>
      <c r="W135" s="4">
        <v>23972368</v>
      </c>
      <c r="X135">
        <f>VLOOKUP(Q135,YU!$B$1:$M$266,10,FALSE)</f>
        <v>11.176</v>
      </c>
      <c r="Y135" s="4">
        <v>11.176</v>
      </c>
      <c r="AA135">
        <f t="shared" si="12"/>
        <v>10.684480001502511</v>
      </c>
      <c r="AB135">
        <f t="shared" si="13"/>
        <v>0.16008329939008092</v>
      </c>
      <c r="AC135" s="4">
        <v>0.1600832993900845</v>
      </c>
      <c r="AD135">
        <v>1.0805272836443061</v>
      </c>
      <c r="AE135">
        <v>-4.1394059829059824</v>
      </c>
      <c r="AG135" s="12">
        <f t="shared" si="14"/>
        <v>0</v>
      </c>
      <c r="AH135" s="12">
        <f t="shared" si="15"/>
        <v>0</v>
      </c>
      <c r="AI135" s="13">
        <f t="shared" si="16"/>
        <v>0</v>
      </c>
      <c r="AJ135" s="14">
        <f t="shared" si="17"/>
        <v>1.6331544390514159</v>
      </c>
    </row>
    <row r="136" spans="1:36" x14ac:dyDescent="0.2">
      <c r="A136">
        <v>2024</v>
      </c>
      <c r="B136" t="s">
        <v>156</v>
      </c>
      <c r="C136">
        <f>VLOOKUP(B136,Sheet5!$B$2:$C$2166,2,FALSE)</f>
        <v>3840</v>
      </c>
      <c r="D136">
        <v>685</v>
      </c>
      <c r="E136">
        <v>295</v>
      </c>
      <c r="F136" t="s">
        <v>163</v>
      </c>
      <c r="G136">
        <v>5</v>
      </c>
      <c r="H136">
        <v>6.5294188382622256</v>
      </c>
      <c r="I136">
        <v>1</v>
      </c>
      <c r="J136">
        <v>1</v>
      </c>
      <c r="K136">
        <v>1</v>
      </c>
      <c r="L136">
        <v>4</v>
      </c>
      <c r="M136" t="s">
        <v>25</v>
      </c>
      <c r="N136" t="s">
        <v>156</v>
      </c>
      <c r="O136">
        <v>1</v>
      </c>
      <c r="P136">
        <v>1</v>
      </c>
      <c r="Q136" t="s">
        <v>158</v>
      </c>
      <c r="R136" t="str">
        <f>VLOOKUP(Q136,GDP!$A$2:$B$266,1,FALSE)</f>
        <v>POL</v>
      </c>
      <c r="S136" t="str">
        <f>VLOOKUP(Q136,GDP!$A$2:$B$266,2,FALSE)</f>
        <v>Poland</v>
      </c>
      <c r="T136">
        <f>VLOOKUP(Q136,GDP!$A$1:$L$266,11,FALSE)</f>
        <v>45153.04397732806</v>
      </c>
      <c r="U136" s="4">
        <v>45153.043977328103</v>
      </c>
      <c r="V136" s="5">
        <f>VLOOKUP(Q136,POP!$B$5:$M$269,11,FALSE)</f>
        <v>23782080</v>
      </c>
      <c r="W136" s="4">
        <v>23782080</v>
      </c>
      <c r="X136">
        <f>VLOOKUP(Q136,YU!$B$1:$M$266,11,FALSE)</f>
        <v>10.662000000000001</v>
      </c>
      <c r="Y136" s="4">
        <v>10.662000000000001</v>
      </c>
      <c r="AA136">
        <f t="shared" si="12"/>
        <v>10.717812975782483</v>
      </c>
      <c r="AB136">
        <f t="shared" si="13"/>
        <v>0.19341627367005287</v>
      </c>
      <c r="AC136" s="4">
        <v>0.1934162736700582</v>
      </c>
      <c r="AD136">
        <v>1.0725578058214631</v>
      </c>
      <c r="AE136">
        <v>-4.6534059829059817</v>
      </c>
      <c r="AG136" s="12">
        <f t="shared" si="14"/>
        <v>0</v>
      </c>
      <c r="AH136" s="12">
        <f t="shared" si="15"/>
        <v>0</v>
      </c>
      <c r="AI136" s="13">
        <f t="shared" si="16"/>
        <v>0</v>
      </c>
      <c r="AJ136" s="14">
        <f t="shared" si="17"/>
        <v>1.7238088073195463</v>
      </c>
    </row>
    <row r="137" spans="1:36" x14ac:dyDescent="0.2">
      <c r="A137">
        <v>2016</v>
      </c>
      <c r="B137" t="s">
        <v>164</v>
      </c>
      <c r="C137">
        <f>VLOOKUP(B137,Sheet5!$B$2:$C$2166,2,FALSE)</f>
        <v>1540</v>
      </c>
      <c r="D137">
        <v>1540</v>
      </c>
      <c r="E137">
        <v>965</v>
      </c>
      <c r="F137" t="s">
        <v>165</v>
      </c>
      <c r="G137">
        <v>5</v>
      </c>
      <c r="H137">
        <v>7.3395376954076754</v>
      </c>
      <c r="I137">
        <v>1</v>
      </c>
      <c r="J137">
        <v>1</v>
      </c>
      <c r="K137">
        <v>0</v>
      </c>
      <c r="L137">
        <v>-4</v>
      </c>
      <c r="M137" t="s">
        <v>25</v>
      </c>
      <c r="N137" t="s">
        <v>164</v>
      </c>
      <c r="O137">
        <v>1</v>
      </c>
      <c r="P137">
        <v>0</v>
      </c>
      <c r="Q137" t="s">
        <v>166</v>
      </c>
      <c r="R137" t="str">
        <f>VLOOKUP(Q137,GDP!$A$2:$B$266,1,FALSE)</f>
        <v>PRT</v>
      </c>
      <c r="S137" t="str">
        <f>VLOOKUP(Q137,GDP!$A$2:$B$266,2,FALSE)</f>
        <v>Portugal</v>
      </c>
      <c r="T137">
        <f>VLOOKUP(Q137,GDP!$A$1:$C$266,3,FALSE)</f>
        <v>36636.297844163644</v>
      </c>
      <c r="U137" s="4">
        <v>36636.297844163601</v>
      </c>
      <c r="V137" s="5">
        <f>VLOOKUP(Q137,POP!$B$5:$M$269,3,FALSE)</f>
        <v>6700209</v>
      </c>
      <c r="W137" s="4">
        <v>6700209</v>
      </c>
      <c r="X137">
        <f>VLOOKUP(Q137,YU!$B$1:$D$266,3,FALSE)</f>
        <v>27.798999999999999</v>
      </c>
      <c r="Y137" s="4">
        <v>27.798999999999999</v>
      </c>
      <c r="AA137">
        <f t="shared" si="12"/>
        <v>10.508794772311964</v>
      </c>
      <c r="AB137">
        <f t="shared" si="13"/>
        <v>-1.5601929800466152E-2</v>
      </c>
      <c r="AC137" s="4">
        <v>-1.5601929800462599E-2</v>
      </c>
      <c r="AD137">
        <v>-0.19423583013667309</v>
      </c>
      <c r="AE137">
        <v>12.483594017094021</v>
      </c>
      <c r="AG137" s="12">
        <f t="shared" si="14"/>
        <v>0</v>
      </c>
      <c r="AH137" s="12">
        <f t="shared" si="15"/>
        <v>0</v>
      </c>
      <c r="AI137" s="13">
        <f t="shared" si="16"/>
        <v>0</v>
      </c>
      <c r="AJ137" s="14">
        <f t="shared" si="17"/>
        <v>0</v>
      </c>
    </row>
    <row r="138" spans="1:36" x14ac:dyDescent="0.2">
      <c r="A138">
        <v>2017</v>
      </c>
      <c r="B138" t="s">
        <v>164</v>
      </c>
      <c r="C138">
        <f>VLOOKUP(B138,Sheet5!$B$2:$C$2166,2,FALSE)</f>
        <v>1540</v>
      </c>
      <c r="D138">
        <v>1840</v>
      </c>
      <c r="E138">
        <v>1195</v>
      </c>
      <c r="F138" t="s">
        <v>167</v>
      </c>
      <c r="G138">
        <v>5</v>
      </c>
      <c r="H138">
        <v>7.5175208506030309</v>
      </c>
      <c r="I138">
        <v>1</v>
      </c>
      <c r="J138">
        <v>1</v>
      </c>
      <c r="K138">
        <v>0</v>
      </c>
      <c r="L138">
        <v>-3</v>
      </c>
      <c r="M138" t="s">
        <v>25</v>
      </c>
      <c r="N138" t="s">
        <v>164</v>
      </c>
      <c r="O138">
        <v>1</v>
      </c>
      <c r="P138">
        <v>0</v>
      </c>
      <c r="Q138" t="s">
        <v>166</v>
      </c>
      <c r="R138" t="str">
        <f>VLOOKUP(Q138,GDP!$A$2:$B$266,1,FALSE)</f>
        <v>PRT</v>
      </c>
      <c r="S138" t="str">
        <f>VLOOKUP(Q138,GDP!$A$2:$B$266,2,FALSE)</f>
        <v>Portugal</v>
      </c>
      <c r="T138">
        <f>VLOOKUP(Q138,GDP!$A$1:$L$266,4,FALSE)</f>
        <v>37943.115050567692</v>
      </c>
      <c r="U138" s="4">
        <v>37943.1150505677</v>
      </c>
      <c r="V138" s="5">
        <f>VLOOKUP(Q138,POP!$B$5:$M$269,4,FALSE)</f>
        <v>6654856</v>
      </c>
      <c r="W138" s="4">
        <v>6654856</v>
      </c>
      <c r="X138">
        <f>VLOOKUP(Q138,YU!$B$1:$M$266,4,FALSE)</f>
        <v>23.802</v>
      </c>
      <c r="Y138" s="4">
        <v>23.802</v>
      </c>
      <c r="Z138">
        <v>5.0268502235412598</v>
      </c>
      <c r="AA138">
        <f t="shared" si="12"/>
        <v>10.543843344772469</v>
      </c>
      <c r="AB138">
        <f t="shared" si="13"/>
        <v>1.9446642660039259E-2</v>
      </c>
      <c r="AC138" s="4">
        <v>1.9446642660044589E-2</v>
      </c>
      <c r="AD138">
        <v>-0.2010277363302144</v>
      </c>
      <c r="AE138">
        <v>8.4865940170940171</v>
      </c>
      <c r="AG138" s="12">
        <f t="shared" si="14"/>
        <v>0</v>
      </c>
      <c r="AH138" s="12">
        <f t="shared" si="15"/>
        <v>0</v>
      </c>
      <c r="AI138" s="13">
        <f t="shared" si="16"/>
        <v>0</v>
      </c>
      <c r="AJ138" s="14">
        <f t="shared" si="17"/>
        <v>-0.17798315519535635</v>
      </c>
    </row>
    <row r="139" spans="1:36" x14ac:dyDescent="0.2">
      <c r="A139">
        <v>2018</v>
      </c>
      <c r="B139" t="s">
        <v>164</v>
      </c>
      <c r="C139">
        <f>VLOOKUP(B139,Sheet5!$B$2:$C$2166,2,FALSE)</f>
        <v>1540</v>
      </c>
      <c r="D139">
        <v>2405</v>
      </c>
      <c r="E139">
        <v>1730</v>
      </c>
      <c r="F139" t="s">
        <v>168</v>
      </c>
      <c r="G139">
        <v>5</v>
      </c>
      <c r="H139">
        <v>7.7853051825398616</v>
      </c>
      <c r="I139">
        <v>1</v>
      </c>
      <c r="J139">
        <v>1</v>
      </c>
      <c r="K139">
        <v>0</v>
      </c>
      <c r="L139">
        <v>-2</v>
      </c>
      <c r="M139" t="s">
        <v>25</v>
      </c>
      <c r="N139" t="s">
        <v>164</v>
      </c>
      <c r="O139">
        <v>1</v>
      </c>
      <c r="P139">
        <v>0</v>
      </c>
      <c r="Q139" t="s">
        <v>166</v>
      </c>
      <c r="R139" t="str">
        <f>VLOOKUP(Q139,GDP!$A$2:$B$266,1,FALSE)</f>
        <v>PRT</v>
      </c>
      <c r="S139" t="str">
        <f>VLOOKUP(Q139,GDP!$A$2:$B$266,2,FALSE)</f>
        <v>Portugal</v>
      </c>
      <c r="T139">
        <f>VLOOKUP(Q139,GDP!$A$1:$L$266,5,FALSE)</f>
        <v>39123.615128257487</v>
      </c>
      <c r="U139" s="4">
        <v>39123.615128257501</v>
      </c>
      <c r="V139" s="5">
        <f>VLOOKUP(Q139,POP!$B$5:$M$269,5,FALSE)</f>
        <v>6617642</v>
      </c>
      <c r="W139" s="4">
        <v>6617642</v>
      </c>
      <c r="X139">
        <f>VLOOKUP(Q139,YU!$B$1:$M$266,5,FALSE)</f>
        <v>20.234999999999999</v>
      </c>
      <c r="Y139" s="4">
        <v>20.234999999999999</v>
      </c>
      <c r="Z139">
        <v>4.6793999671936</v>
      </c>
      <c r="AA139">
        <f t="shared" si="12"/>
        <v>10.574481531133122</v>
      </c>
      <c r="AB139">
        <f t="shared" si="13"/>
        <v>5.0084829020692112E-2</v>
      </c>
      <c r="AC139" s="4">
        <v>5.0084829020699217E-2</v>
      </c>
      <c r="AD139">
        <v>-0.2066354369334</v>
      </c>
      <c r="AE139">
        <v>4.9195940170940169</v>
      </c>
      <c r="AG139" s="12">
        <f t="shared" si="14"/>
        <v>0</v>
      </c>
      <c r="AH139" s="12">
        <f t="shared" si="15"/>
        <v>0</v>
      </c>
      <c r="AI139" s="13">
        <f t="shared" si="16"/>
        <v>0</v>
      </c>
      <c r="AJ139" s="14">
        <f t="shared" si="17"/>
        <v>-0.44576748713218706</v>
      </c>
    </row>
    <row r="140" spans="1:36" x14ac:dyDescent="0.2">
      <c r="A140">
        <v>2019</v>
      </c>
      <c r="B140" t="s">
        <v>164</v>
      </c>
      <c r="C140">
        <f>VLOOKUP(B140,Sheet5!$B$2:$C$2166,2,FALSE)</f>
        <v>1540</v>
      </c>
      <c r="D140">
        <v>2580</v>
      </c>
      <c r="E140">
        <v>1845</v>
      </c>
      <c r="F140" t="s">
        <v>169</v>
      </c>
      <c r="G140">
        <v>5</v>
      </c>
      <c r="H140">
        <v>7.8555446779156632</v>
      </c>
      <c r="I140">
        <v>1</v>
      </c>
      <c r="J140">
        <v>1</v>
      </c>
      <c r="K140">
        <v>0</v>
      </c>
      <c r="L140">
        <v>-1</v>
      </c>
      <c r="M140" t="s">
        <v>25</v>
      </c>
      <c r="N140" t="s">
        <v>164</v>
      </c>
      <c r="O140">
        <v>1</v>
      </c>
      <c r="P140">
        <v>0</v>
      </c>
      <c r="Q140" t="s">
        <v>166</v>
      </c>
      <c r="R140" t="str">
        <f>VLOOKUP(Q140,GDP!$A$2:$B$266,1,FALSE)</f>
        <v>PRT</v>
      </c>
      <c r="S140" t="str">
        <f>VLOOKUP(Q140,GDP!$A$2:$B$266,2,FALSE)</f>
        <v>Portugal</v>
      </c>
      <c r="T140">
        <f>VLOOKUP(Q140,GDP!$A$1:$L$266,6,FALSE)</f>
        <v>40188.286879922307</v>
      </c>
      <c r="U140" s="4">
        <v>40188.2868799223</v>
      </c>
      <c r="V140" s="5">
        <f>VLOOKUP(Q140,POP!$B$5:$M$269,6,FALSE)</f>
        <v>6591233</v>
      </c>
      <c r="W140" s="4">
        <v>6591233</v>
      </c>
      <c r="X140">
        <f>VLOOKUP(Q140,YU!$B$1:$M$266,6,FALSE)</f>
        <v>18.326000000000001</v>
      </c>
      <c r="Y140" s="4">
        <v>18.326000000000001</v>
      </c>
      <c r="Z140">
        <v>4.6275200843811</v>
      </c>
      <c r="AA140">
        <f t="shared" si="12"/>
        <v>10.601330861004081</v>
      </c>
      <c r="AB140">
        <f t="shared" si="13"/>
        <v>7.693415889165145E-2</v>
      </c>
      <c r="AC140" s="4">
        <v>7.6934158891656779E-2</v>
      </c>
      <c r="AD140">
        <v>-0.21063411739464399</v>
      </c>
      <c r="AE140">
        <v>3.010594017094018</v>
      </c>
      <c r="AG140" s="12">
        <f t="shared" si="14"/>
        <v>0</v>
      </c>
      <c r="AH140" s="12">
        <f t="shared" si="15"/>
        <v>0</v>
      </c>
      <c r="AI140" s="13">
        <f t="shared" si="16"/>
        <v>0</v>
      </c>
      <c r="AJ140" s="14">
        <f t="shared" si="17"/>
        <v>-0.51600698250798871</v>
      </c>
    </row>
    <row r="141" spans="1:36" x14ac:dyDescent="0.2">
      <c r="A141">
        <v>2020</v>
      </c>
      <c r="B141" t="s">
        <v>164</v>
      </c>
      <c r="C141">
        <f>VLOOKUP(B141,Sheet5!$B$2:$C$2166,2,FALSE)</f>
        <v>1540</v>
      </c>
      <c r="D141">
        <v>2610</v>
      </c>
      <c r="E141">
        <v>1915</v>
      </c>
      <c r="F141" t="s">
        <v>170</v>
      </c>
      <c r="G141">
        <v>15</v>
      </c>
      <c r="H141">
        <v>7.8671055003167387</v>
      </c>
      <c r="I141">
        <v>1</v>
      </c>
      <c r="J141">
        <v>1</v>
      </c>
      <c r="K141">
        <v>0</v>
      </c>
      <c r="L141">
        <v>0</v>
      </c>
      <c r="M141" t="s">
        <v>25</v>
      </c>
      <c r="N141" t="s">
        <v>164</v>
      </c>
      <c r="O141">
        <v>1</v>
      </c>
      <c r="P141">
        <v>0</v>
      </c>
      <c r="Q141" t="s">
        <v>166</v>
      </c>
      <c r="R141" t="str">
        <f>VLOOKUP(Q141,GDP!$A$2:$B$266,1,FALSE)</f>
        <v>PRT</v>
      </c>
      <c r="S141" t="str">
        <f>VLOOKUP(Q141,GDP!$A$2:$B$266,2,FALSE)</f>
        <v>Portugal</v>
      </c>
      <c r="T141">
        <f>VLOOKUP(Q141,GDP!$A$1:$L$266,7,FALSE)</f>
        <v>36852.228733810305</v>
      </c>
      <c r="U141" s="4">
        <v>36852.228733810298</v>
      </c>
      <c r="V141" s="5">
        <f>VLOOKUP(Q141,POP!$B$5:$M$269,7,FALSE)</f>
        <v>6569496</v>
      </c>
      <c r="W141" s="4">
        <v>6569496</v>
      </c>
      <c r="X141">
        <f>VLOOKUP(Q141,YU!$B$1:$M$266,7,FALSE)</f>
        <v>22.46</v>
      </c>
      <c r="Y141" s="4">
        <v>22.46</v>
      </c>
      <c r="Z141">
        <v>4.8640799522399902</v>
      </c>
      <c r="AA141">
        <f t="shared" si="12"/>
        <v>10.514671377031723</v>
      </c>
      <c r="AB141">
        <f t="shared" si="13"/>
        <v>-9.7253250807067815E-3</v>
      </c>
      <c r="AC141" s="4">
        <v>-9.7253250807032288E-3</v>
      </c>
      <c r="AD141">
        <v>-0.2139374328517096</v>
      </c>
      <c r="AE141">
        <v>7.1445940170940183</v>
      </c>
      <c r="AG141" s="12">
        <f t="shared" si="14"/>
        <v>0</v>
      </c>
      <c r="AH141" s="12">
        <f t="shared" si="15"/>
        <v>0</v>
      </c>
      <c r="AI141" s="13">
        <f t="shared" si="16"/>
        <v>0</v>
      </c>
      <c r="AJ141" s="14">
        <f t="shared" si="17"/>
        <v>-0.52756780490906419</v>
      </c>
    </row>
    <row r="142" spans="1:36" x14ac:dyDescent="0.2">
      <c r="A142">
        <v>2021</v>
      </c>
      <c r="B142" t="s">
        <v>164</v>
      </c>
      <c r="C142">
        <f>VLOOKUP(B142,Sheet5!$B$2:$C$2166,2,FALSE)</f>
        <v>1540</v>
      </c>
      <c r="D142">
        <v>3230</v>
      </c>
      <c r="E142">
        <v>2730</v>
      </c>
      <c r="F142" t="s">
        <v>171</v>
      </c>
      <c r="G142">
        <v>5</v>
      </c>
      <c r="H142">
        <v>8.0802374162167023</v>
      </c>
      <c r="I142">
        <v>1</v>
      </c>
      <c r="J142">
        <v>1</v>
      </c>
      <c r="K142">
        <v>1</v>
      </c>
      <c r="L142">
        <v>1</v>
      </c>
      <c r="M142" t="s">
        <v>25</v>
      </c>
      <c r="N142" t="s">
        <v>164</v>
      </c>
      <c r="O142">
        <v>1</v>
      </c>
      <c r="P142">
        <v>1</v>
      </c>
      <c r="Q142" t="s">
        <v>166</v>
      </c>
      <c r="R142" t="str">
        <f>VLOOKUP(Q142,GDP!$A$2:$B$266,1,FALSE)</f>
        <v>PRT</v>
      </c>
      <c r="S142" t="str">
        <f>VLOOKUP(Q142,GDP!$A$2:$B$266,2,FALSE)</f>
        <v>Portugal</v>
      </c>
      <c r="T142">
        <f>VLOOKUP(Q142,GDP!$A$1:$L$266,8,FALSE)</f>
        <v>38657.667722342863</v>
      </c>
      <c r="U142" s="4">
        <v>38657.6677223429</v>
      </c>
      <c r="V142" s="5">
        <f>VLOOKUP(Q142,POP!$B$5:$M$269,8,FALSE)</f>
        <v>6586358</v>
      </c>
      <c r="W142" s="4">
        <v>6586358</v>
      </c>
      <c r="X142">
        <f>VLOOKUP(Q142,YU!$B$1:$M$266,8,FALSE)</f>
        <v>23.423999999999999</v>
      </c>
      <c r="Y142" s="4">
        <v>23.423999999999999</v>
      </c>
      <c r="Z142">
        <v>4.77341985702515</v>
      </c>
      <c r="AA142">
        <f t="shared" si="12"/>
        <v>10.562500423015537</v>
      </c>
      <c r="AB142">
        <f t="shared" si="13"/>
        <v>3.810372090310743E-2</v>
      </c>
      <c r="AC142" s="4">
        <v>3.8103720903112759E-2</v>
      </c>
      <c r="AD142">
        <v>-0.2113740098715606</v>
      </c>
      <c r="AE142">
        <v>8.1085940170940169</v>
      </c>
      <c r="AG142" s="12">
        <f t="shared" si="14"/>
        <v>0</v>
      </c>
      <c r="AH142" s="12">
        <f t="shared" si="15"/>
        <v>0</v>
      </c>
      <c r="AI142" s="13">
        <f t="shared" si="16"/>
        <v>0</v>
      </c>
      <c r="AJ142" s="14">
        <f t="shared" si="17"/>
        <v>-0.7406997208090278</v>
      </c>
    </row>
    <row r="143" spans="1:36" x14ac:dyDescent="0.2">
      <c r="A143">
        <v>2022</v>
      </c>
      <c r="B143" t="s">
        <v>164</v>
      </c>
      <c r="C143">
        <f>VLOOKUP(B143,Sheet5!$B$2:$C$2166,2,FALSE)</f>
        <v>1540</v>
      </c>
      <c r="D143">
        <v>670</v>
      </c>
      <c r="E143">
        <v>345</v>
      </c>
      <c r="F143" t="s">
        <v>71</v>
      </c>
      <c r="G143">
        <v>10</v>
      </c>
      <c r="H143">
        <v>6.5072777123850116</v>
      </c>
      <c r="I143">
        <v>1</v>
      </c>
      <c r="J143">
        <v>1</v>
      </c>
      <c r="K143">
        <v>1</v>
      </c>
      <c r="L143">
        <v>2</v>
      </c>
      <c r="M143" t="s">
        <v>25</v>
      </c>
      <c r="N143" t="s">
        <v>164</v>
      </c>
      <c r="O143">
        <v>1</v>
      </c>
      <c r="P143">
        <v>1</v>
      </c>
      <c r="Q143" t="s">
        <v>166</v>
      </c>
      <c r="R143" t="str">
        <f>VLOOKUP(Q143,GDP!$A$2:$B$266,1,FALSE)</f>
        <v>PRT</v>
      </c>
      <c r="S143" t="str">
        <f>VLOOKUP(Q143,GDP!$A$2:$B$266,2,FALSE)</f>
        <v>Portugal</v>
      </c>
      <c r="T143">
        <f>VLOOKUP(Q143,GDP!$A$1:$L$266,9,FALSE)</f>
        <v>41070.861152974401</v>
      </c>
      <c r="U143" s="4">
        <v>41070.861152974401</v>
      </c>
      <c r="V143" s="5">
        <f>VLOOKUP(Q143,POP!$B$5:$M$269,9,FALSE)</f>
        <v>6605952</v>
      </c>
      <c r="W143" s="4">
        <v>6605952</v>
      </c>
      <c r="X143">
        <f>VLOOKUP(Q143,YU!$B$1:$M$266,9,FALSE)</f>
        <v>19.183</v>
      </c>
      <c r="Y143" s="4">
        <v>19.183</v>
      </c>
      <c r="Z143">
        <v>4.5516099929809597</v>
      </c>
      <c r="AA143">
        <f t="shared" si="12"/>
        <v>10.623054174662954</v>
      </c>
      <c r="AB143">
        <f t="shared" si="13"/>
        <v>9.8657472550524261E-2</v>
      </c>
      <c r="AC143" s="4">
        <v>9.865747255052959E-2</v>
      </c>
      <c r="AD143">
        <v>-0.20840348925642971</v>
      </c>
      <c r="AE143">
        <v>3.8675940170940168</v>
      </c>
      <c r="AG143" s="12">
        <f t="shared" si="14"/>
        <v>0</v>
      </c>
      <c r="AH143" s="12">
        <f t="shared" si="15"/>
        <v>0</v>
      </c>
      <c r="AI143" s="13">
        <f t="shared" si="16"/>
        <v>0</v>
      </c>
      <c r="AJ143" s="14">
        <f t="shared" si="17"/>
        <v>0.83225998302266291</v>
      </c>
    </row>
    <row r="144" spans="1:36" x14ac:dyDescent="0.2">
      <c r="A144">
        <v>2023</v>
      </c>
      <c r="B144" t="s">
        <v>164</v>
      </c>
      <c r="C144">
        <f>VLOOKUP(B144,Sheet5!$B$2:$C$2166,2,FALSE)</f>
        <v>1540</v>
      </c>
      <c r="D144">
        <v>600</v>
      </c>
      <c r="E144">
        <v>305</v>
      </c>
      <c r="F144" t="s">
        <v>58</v>
      </c>
      <c r="G144">
        <v>5</v>
      </c>
      <c r="H144">
        <v>6.3969296552161463</v>
      </c>
      <c r="I144">
        <v>1</v>
      </c>
      <c r="J144">
        <v>1</v>
      </c>
      <c r="K144">
        <v>1</v>
      </c>
      <c r="L144">
        <v>3</v>
      </c>
      <c r="M144" t="s">
        <v>25</v>
      </c>
      <c r="N144" t="s">
        <v>164</v>
      </c>
      <c r="O144">
        <v>1</v>
      </c>
      <c r="P144">
        <v>1</v>
      </c>
      <c r="Q144" t="s">
        <v>166</v>
      </c>
      <c r="R144" t="str">
        <f>VLOOKUP(Q144,GDP!$A$2:$B$266,1,FALSE)</f>
        <v>PRT</v>
      </c>
      <c r="S144" t="str">
        <f>VLOOKUP(Q144,GDP!$A$2:$B$266,2,FALSE)</f>
        <v>Portugal</v>
      </c>
      <c r="T144">
        <f>VLOOKUP(Q144,GDP!$A$1:$L$266,10,FALSE)</f>
        <v>41768.258309687371</v>
      </c>
      <c r="U144" s="4">
        <v>41768.2583096874</v>
      </c>
      <c r="V144" s="5">
        <f>VLOOKUP(Q144,POP!$B$5:$M$269,10,FALSE)</f>
        <v>6663704</v>
      </c>
      <c r="W144" s="4">
        <v>6663704</v>
      </c>
      <c r="X144">
        <f>VLOOKUP(Q144,YU!$B$1:$M$266,10,FALSE)</f>
        <v>20.463000000000001</v>
      </c>
      <c r="Y144" s="4">
        <v>20.463000000000001</v>
      </c>
      <c r="AA144">
        <f t="shared" si="12"/>
        <v>10.63989195946332</v>
      </c>
      <c r="AB144">
        <f t="shared" si="13"/>
        <v>0.11549525735089006</v>
      </c>
      <c r="AC144" s="4">
        <v>0.1154952573508972</v>
      </c>
      <c r="AD144">
        <v>-0.19969906396598519</v>
      </c>
      <c r="AE144">
        <v>5.1475940170940184</v>
      </c>
      <c r="AG144" s="12">
        <f t="shared" si="14"/>
        <v>0</v>
      </c>
      <c r="AH144" s="12">
        <f t="shared" si="15"/>
        <v>0</v>
      </c>
      <c r="AI144" s="13">
        <f t="shared" si="16"/>
        <v>0</v>
      </c>
      <c r="AJ144" s="14">
        <f t="shared" si="17"/>
        <v>0.94260804019152822</v>
      </c>
    </row>
    <row r="145" spans="1:36" x14ac:dyDescent="0.2">
      <c r="A145">
        <v>2024</v>
      </c>
      <c r="B145" t="s">
        <v>164</v>
      </c>
      <c r="C145">
        <f>VLOOKUP(B145,Sheet5!$B$2:$C$2166,2,FALSE)</f>
        <v>1540</v>
      </c>
      <c r="D145">
        <v>585</v>
      </c>
      <c r="E145">
        <v>320</v>
      </c>
      <c r="F145" t="s">
        <v>29</v>
      </c>
      <c r="G145">
        <v>5</v>
      </c>
      <c r="H145">
        <v>6.3716118472318568</v>
      </c>
      <c r="I145">
        <v>1</v>
      </c>
      <c r="J145">
        <v>1</v>
      </c>
      <c r="K145">
        <v>1</v>
      </c>
      <c r="L145">
        <v>4</v>
      </c>
      <c r="M145" t="s">
        <v>25</v>
      </c>
      <c r="N145" t="s">
        <v>164</v>
      </c>
      <c r="O145">
        <v>1</v>
      </c>
      <c r="P145">
        <v>1</v>
      </c>
      <c r="Q145" t="s">
        <v>166</v>
      </c>
      <c r="R145" t="str">
        <f>VLOOKUP(Q145,GDP!$A$2:$B$266,1,FALSE)</f>
        <v>PRT</v>
      </c>
      <c r="S145" t="str">
        <f>VLOOKUP(Q145,GDP!$A$2:$B$266,2,FALSE)</f>
        <v>Portugal</v>
      </c>
      <c r="T145">
        <f>VLOOKUP(Q145,GDP!$A$1:$L$266,11,FALSE)</f>
        <v>42228.158044650212</v>
      </c>
      <c r="U145" s="4">
        <v>42228.158044650198</v>
      </c>
      <c r="V145" s="5">
        <f>VLOOKUP(Q145,POP!$B$5:$M$269,11,FALSE)</f>
        <v>6702135</v>
      </c>
      <c r="W145" s="4">
        <v>6702135</v>
      </c>
      <c r="X145">
        <f>VLOOKUP(Q145,YU!$B$1:$M$266,11,FALSE)</f>
        <v>21.765999999999998</v>
      </c>
      <c r="Y145" s="4">
        <v>21.765999999999998</v>
      </c>
      <c r="AA145">
        <f t="shared" si="12"/>
        <v>10.650842529753199</v>
      </c>
      <c r="AB145">
        <f t="shared" si="13"/>
        <v>0.12644582764076873</v>
      </c>
      <c r="AC145" s="4">
        <v>0.12644582764077231</v>
      </c>
      <c r="AD145">
        <v>-0.19394841772385091</v>
      </c>
      <c r="AE145">
        <v>6.4505940170940157</v>
      </c>
      <c r="AG145" s="12">
        <f t="shared" si="14"/>
        <v>0</v>
      </c>
      <c r="AH145" s="12">
        <f t="shared" si="15"/>
        <v>0</v>
      </c>
      <c r="AI145" s="13">
        <f t="shared" si="16"/>
        <v>0</v>
      </c>
      <c r="AJ145" s="14">
        <f t="shared" si="17"/>
        <v>0.96792584817581773</v>
      </c>
    </row>
    <row r="146" spans="1:36" x14ac:dyDescent="0.2">
      <c r="A146">
        <v>2016</v>
      </c>
      <c r="B146" t="s">
        <v>172</v>
      </c>
      <c r="C146">
        <f>VLOOKUP(B146,Sheet5!$B$2:$C$2166,2,FALSE)</f>
        <v>3725</v>
      </c>
      <c r="D146">
        <v>3725</v>
      </c>
      <c r="E146">
        <v>2520</v>
      </c>
      <c r="F146" t="s">
        <v>173</v>
      </c>
      <c r="G146">
        <v>10</v>
      </c>
      <c r="H146">
        <v>8.2228221308136593</v>
      </c>
      <c r="I146">
        <v>1</v>
      </c>
      <c r="J146">
        <v>1</v>
      </c>
      <c r="K146">
        <v>0</v>
      </c>
      <c r="L146">
        <v>-4</v>
      </c>
      <c r="M146" t="s">
        <v>25</v>
      </c>
      <c r="N146" t="s">
        <v>172</v>
      </c>
      <c r="O146">
        <v>1</v>
      </c>
      <c r="P146">
        <v>0</v>
      </c>
      <c r="Q146" t="s">
        <v>174</v>
      </c>
      <c r="R146" t="str">
        <f>VLOOKUP(Q146,GDP!$A$2:$B$266,1,FALSE)</f>
        <v>ROU</v>
      </c>
      <c r="S146" t="str">
        <f>VLOOKUP(Q146,GDP!$A$2:$B$266,2,FALSE)</f>
        <v>Romania</v>
      </c>
      <c r="T146">
        <f>VLOOKUP(Q146,GDP!$A$1:$C$266,3,FALSE)</f>
        <v>30189.147723023973</v>
      </c>
      <c r="U146" s="4">
        <v>30189.147723024002</v>
      </c>
      <c r="V146" s="5">
        <f>VLOOKUP(Q146,POP!$B$5:$M$269,3,FALSE)</f>
        <v>13144425</v>
      </c>
      <c r="W146" s="4">
        <v>13144425</v>
      </c>
      <c r="X146">
        <f>VLOOKUP(Q146,YU!$B$1:$D$266,3,FALSE)</f>
        <v>21.024000000000001</v>
      </c>
      <c r="Y146" s="4">
        <v>21.024000000000001</v>
      </c>
      <c r="Z146">
        <v>3.0255401134490998</v>
      </c>
      <c r="AA146">
        <f t="shared" si="12"/>
        <v>10.315237791862648</v>
      </c>
      <c r="AB146">
        <f t="shared" si="13"/>
        <v>-0.20915891024978173</v>
      </c>
      <c r="AC146" s="4">
        <v>-0.20915891024977459</v>
      </c>
      <c r="AD146">
        <v>0.47962316428016472</v>
      </c>
      <c r="AE146">
        <v>5.7085940170940184</v>
      </c>
      <c r="AG146" s="12">
        <f t="shared" si="14"/>
        <v>-2.9103830456733704E-11</v>
      </c>
      <c r="AH146" s="12">
        <f t="shared" si="15"/>
        <v>0</v>
      </c>
      <c r="AI146" s="13">
        <f t="shared" si="16"/>
        <v>0</v>
      </c>
      <c r="AJ146" s="14">
        <f t="shared" si="17"/>
        <v>0</v>
      </c>
    </row>
    <row r="147" spans="1:36" x14ac:dyDescent="0.2">
      <c r="A147">
        <v>2017</v>
      </c>
      <c r="B147" t="s">
        <v>172</v>
      </c>
      <c r="C147">
        <f>VLOOKUP(B147,Sheet5!$B$2:$C$2166,2,FALSE)</f>
        <v>3725</v>
      </c>
      <c r="D147">
        <v>3215</v>
      </c>
      <c r="E147">
        <v>2190</v>
      </c>
      <c r="F147" t="s">
        <v>175</v>
      </c>
      <c r="G147">
        <v>5</v>
      </c>
      <c r="H147">
        <v>8.0755826366717205</v>
      </c>
      <c r="I147">
        <v>1</v>
      </c>
      <c r="J147">
        <v>1</v>
      </c>
      <c r="K147">
        <v>0</v>
      </c>
      <c r="L147">
        <v>-3</v>
      </c>
      <c r="M147" t="s">
        <v>25</v>
      </c>
      <c r="N147" t="s">
        <v>172</v>
      </c>
      <c r="O147">
        <v>1</v>
      </c>
      <c r="P147">
        <v>0</v>
      </c>
      <c r="Q147" t="s">
        <v>174</v>
      </c>
      <c r="R147" t="str">
        <f>VLOOKUP(Q147,GDP!$A$2:$B$266,1,FALSE)</f>
        <v>ROU</v>
      </c>
      <c r="S147" t="str">
        <f>VLOOKUP(Q147,GDP!$A$2:$B$266,2,FALSE)</f>
        <v>Romania</v>
      </c>
      <c r="T147">
        <f>VLOOKUP(Q147,GDP!$A$1:$L$266,4,FALSE)</f>
        <v>32852.635567225465</v>
      </c>
      <c r="U147" s="4">
        <v>32852.635567225501</v>
      </c>
      <c r="V147" s="5">
        <f>VLOOKUP(Q147,POP!$B$5:$M$269,4,FALSE)</f>
        <v>12980149</v>
      </c>
      <c r="W147" s="4">
        <v>12980149</v>
      </c>
      <c r="X147">
        <f>VLOOKUP(Q147,YU!$B$1:$M$266,4,FALSE)</f>
        <v>18.725999999999999</v>
      </c>
      <c r="Y147" s="4">
        <v>18.725999999999999</v>
      </c>
      <c r="Z147">
        <v>3.1181900501251198</v>
      </c>
      <c r="AA147">
        <f t="shared" si="12"/>
        <v>10.399787251051412</v>
      </c>
      <c r="AB147">
        <f t="shared" si="13"/>
        <v>-0.1246094510610174</v>
      </c>
      <c r="AC147" s="4">
        <v>-0.1246094510610103</v>
      </c>
      <c r="AD147">
        <v>0.46704664033190291</v>
      </c>
      <c r="AE147">
        <v>3.410594017094017</v>
      </c>
      <c r="AG147" s="12">
        <f t="shared" si="14"/>
        <v>0</v>
      </c>
      <c r="AH147" s="12">
        <f t="shared" si="15"/>
        <v>0</v>
      </c>
      <c r="AI147" s="13">
        <f t="shared" si="16"/>
        <v>0</v>
      </c>
      <c r="AJ147" s="14">
        <f t="shared" si="17"/>
        <v>0.14723949414193882</v>
      </c>
    </row>
    <row r="148" spans="1:36" x14ac:dyDescent="0.2">
      <c r="A148">
        <v>2018</v>
      </c>
      <c r="B148" t="s">
        <v>172</v>
      </c>
      <c r="C148">
        <f>VLOOKUP(B148,Sheet5!$B$2:$C$2166,2,FALSE)</f>
        <v>3725</v>
      </c>
      <c r="D148">
        <v>3415</v>
      </c>
      <c r="E148">
        <v>2500</v>
      </c>
      <c r="F148" t="s">
        <v>176</v>
      </c>
      <c r="G148">
        <v>10</v>
      </c>
      <c r="H148">
        <v>8.1359327720048906</v>
      </c>
      <c r="I148">
        <v>1</v>
      </c>
      <c r="J148">
        <v>1</v>
      </c>
      <c r="K148">
        <v>0</v>
      </c>
      <c r="L148">
        <v>-2</v>
      </c>
      <c r="M148" t="s">
        <v>25</v>
      </c>
      <c r="N148" t="s">
        <v>172</v>
      </c>
      <c r="O148">
        <v>1</v>
      </c>
      <c r="P148">
        <v>0</v>
      </c>
      <c r="Q148" t="s">
        <v>174</v>
      </c>
      <c r="R148" t="str">
        <f>VLOOKUP(Q148,GDP!$A$2:$B$266,1,FALSE)</f>
        <v>ROU</v>
      </c>
      <c r="S148" t="str">
        <f>VLOOKUP(Q148,GDP!$A$2:$B$266,2,FALSE)</f>
        <v>Romania</v>
      </c>
      <c r="T148">
        <f>VLOOKUP(Q148,GDP!$A$1:$L$266,5,FALSE)</f>
        <v>34828.895863788384</v>
      </c>
      <c r="U148" s="4">
        <v>34828.895863788399</v>
      </c>
      <c r="V148" s="5">
        <f>VLOOKUP(Q148,POP!$B$5:$M$269,5,FALSE)</f>
        <v>12813963</v>
      </c>
      <c r="W148" s="4">
        <v>12813963</v>
      </c>
      <c r="X148">
        <f>VLOOKUP(Q148,YU!$B$1:$M$266,5,FALSE)</f>
        <v>16.606999999999999</v>
      </c>
      <c r="Y148" s="4">
        <v>16.606999999999999</v>
      </c>
      <c r="Z148">
        <v>3.31710004806519</v>
      </c>
      <c r="AA148">
        <f t="shared" si="12"/>
        <v>10.45820266213372</v>
      </c>
      <c r="AB148">
        <f t="shared" si="13"/>
        <v>-6.619403997870954E-2</v>
      </c>
      <c r="AC148" s="4">
        <v>-6.6194039978704211E-2</v>
      </c>
      <c r="AD148">
        <v>0.454160885668907</v>
      </c>
      <c r="AE148">
        <v>1.291594017094017</v>
      </c>
      <c r="AG148" s="12">
        <f t="shared" si="14"/>
        <v>0</v>
      </c>
      <c r="AH148" s="12">
        <f t="shared" si="15"/>
        <v>0</v>
      </c>
      <c r="AI148" s="13">
        <f t="shared" si="16"/>
        <v>0</v>
      </c>
      <c r="AJ148" s="14">
        <f t="shared" si="17"/>
        <v>8.6889358808768691E-2</v>
      </c>
    </row>
    <row r="149" spans="1:36" x14ac:dyDescent="0.2">
      <c r="A149">
        <v>2019</v>
      </c>
      <c r="B149" t="s">
        <v>172</v>
      </c>
      <c r="C149">
        <f>VLOOKUP(B149,Sheet5!$B$2:$C$2166,2,FALSE)</f>
        <v>3725</v>
      </c>
      <c r="D149">
        <v>3585</v>
      </c>
      <c r="E149">
        <v>2500</v>
      </c>
      <c r="F149" t="s">
        <v>177</v>
      </c>
      <c r="G149">
        <v>10</v>
      </c>
      <c r="H149">
        <v>8.1845137530337215</v>
      </c>
      <c r="I149">
        <v>1</v>
      </c>
      <c r="J149">
        <v>1</v>
      </c>
      <c r="K149">
        <v>0</v>
      </c>
      <c r="L149">
        <v>-1</v>
      </c>
      <c r="M149" t="s">
        <v>25</v>
      </c>
      <c r="N149" t="s">
        <v>172</v>
      </c>
      <c r="O149">
        <v>1</v>
      </c>
      <c r="P149">
        <v>0</v>
      </c>
      <c r="Q149" t="s">
        <v>174</v>
      </c>
      <c r="R149" t="str">
        <f>VLOOKUP(Q149,GDP!$A$2:$B$266,1,FALSE)</f>
        <v>ROU</v>
      </c>
      <c r="S149" t="str">
        <f>VLOOKUP(Q149,GDP!$A$2:$B$266,2,FALSE)</f>
        <v>Romania</v>
      </c>
      <c r="T149">
        <f>VLOOKUP(Q149,GDP!$A$1:$L$266,6,FALSE)</f>
        <v>36399.474608079297</v>
      </c>
      <c r="U149" s="4">
        <v>36399.474608079297</v>
      </c>
      <c r="V149" s="5">
        <f>VLOOKUP(Q149,POP!$B$5:$M$269,6,FALSE)</f>
        <v>12659691</v>
      </c>
      <c r="W149" s="4">
        <v>12659691</v>
      </c>
      <c r="X149">
        <f>VLOOKUP(Q149,YU!$B$1:$M$266,6,FALSE)</f>
        <v>17.143000000000001</v>
      </c>
      <c r="Y149" s="4">
        <v>17.143000000000001</v>
      </c>
      <c r="Z149">
        <v>3.5576100349426301</v>
      </c>
      <c r="AA149">
        <f t="shared" si="12"/>
        <v>10.502309619676687</v>
      </c>
      <c r="AB149">
        <f t="shared" si="13"/>
        <v>-2.2087082435742644E-2</v>
      </c>
      <c r="AC149" s="4">
        <v>-2.2087082435737319E-2</v>
      </c>
      <c r="AD149">
        <v>0.44204845875830218</v>
      </c>
      <c r="AE149">
        <v>1.8275940170940179</v>
      </c>
      <c r="AG149" s="12">
        <f t="shared" si="14"/>
        <v>0</v>
      </c>
      <c r="AH149" s="12">
        <f t="shared" si="15"/>
        <v>0</v>
      </c>
      <c r="AI149" s="13">
        <f t="shared" si="16"/>
        <v>0</v>
      </c>
      <c r="AJ149" s="14">
        <f t="shared" si="17"/>
        <v>3.8308377779937786E-2</v>
      </c>
    </row>
    <row r="150" spans="1:36" x14ac:dyDescent="0.2">
      <c r="A150">
        <v>2020</v>
      </c>
      <c r="B150" t="s">
        <v>172</v>
      </c>
      <c r="C150">
        <f>VLOOKUP(B150,Sheet5!$B$2:$C$2166,2,FALSE)</f>
        <v>3725</v>
      </c>
      <c r="D150">
        <v>3740</v>
      </c>
      <c r="E150">
        <v>2685</v>
      </c>
      <c r="F150" t="s">
        <v>48</v>
      </c>
      <c r="G150">
        <v>20</v>
      </c>
      <c r="H150">
        <v>8.2268408904085781</v>
      </c>
      <c r="I150">
        <v>1</v>
      </c>
      <c r="J150">
        <v>1</v>
      </c>
      <c r="K150">
        <v>0</v>
      </c>
      <c r="L150">
        <v>0</v>
      </c>
      <c r="M150" t="s">
        <v>25</v>
      </c>
      <c r="N150" t="s">
        <v>172</v>
      </c>
      <c r="O150">
        <v>1</v>
      </c>
      <c r="P150">
        <v>0</v>
      </c>
      <c r="Q150" t="s">
        <v>174</v>
      </c>
      <c r="R150" t="str">
        <f>VLOOKUP(Q150,GDP!$A$2:$B$266,1,FALSE)</f>
        <v>ROU</v>
      </c>
      <c r="S150" t="str">
        <f>VLOOKUP(Q150,GDP!$A$2:$B$266,2,FALSE)</f>
        <v>Romania</v>
      </c>
      <c r="T150">
        <f>VLOOKUP(Q150,GDP!$A$1:$L$266,7,FALSE)</f>
        <v>35283.606035824057</v>
      </c>
      <c r="U150" s="4">
        <v>35283.606035824101</v>
      </c>
      <c r="V150" s="5">
        <f>VLOOKUP(Q150,POP!$B$5:$M$269,7,FALSE)</f>
        <v>12500209</v>
      </c>
      <c r="W150" s="4">
        <v>12500209</v>
      </c>
      <c r="X150">
        <f>VLOOKUP(Q150,YU!$B$1:$M$266,7,FALSE)</f>
        <v>17.584</v>
      </c>
      <c r="Y150" s="4">
        <v>17.584</v>
      </c>
      <c r="Z150">
        <v>3.57968997955322</v>
      </c>
      <c r="AA150">
        <f t="shared" si="12"/>
        <v>10.471173716797223</v>
      </c>
      <c r="AB150">
        <f t="shared" si="13"/>
        <v>-5.3222985315207083E-2</v>
      </c>
      <c r="AC150" s="4">
        <v>-5.3222985315201747E-2</v>
      </c>
      <c r="AD150">
        <v>0.42937081409155731</v>
      </c>
      <c r="AE150">
        <v>2.2685940170940171</v>
      </c>
      <c r="AG150" s="12">
        <f t="shared" si="14"/>
        <v>0</v>
      </c>
      <c r="AH150" s="12">
        <f t="shared" si="15"/>
        <v>0</v>
      </c>
      <c r="AI150" s="13">
        <f t="shared" si="16"/>
        <v>0</v>
      </c>
      <c r="AJ150" s="14">
        <f t="shared" si="17"/>
        <v>-4.0187595949188193E-3</v>
      </c>
    </row>
    <row r="151" spans="1:36" x14ac:dyDescent="0.2">
      <c r="A151">
        <v>2021</v>
      </c>
      <c r="B151" t="s">
        <v>172</v>
      </c>
      <c r="C151">
        <f>VLOOKUP(B151,Sheet5!$B$2:$C$2166,2,FALSE)</f>
        <v>3725</v>
      </c>
      <c r="D151">
        <v>1095</v>
      </c>
      <c r="E151">
        <v>510</v>
      </c>
      <c r="F151" t="s">
        <v>132</v>
      </c>
      <c r="G151">
        <v>5</v>
      </c>
      <c r="H151">
        <v>6.9985096422506006</v>
      </c>
      <c r="I151">
        <v>1</v>
      </c>
      <c r="J151">
        <v>1</v>
      </c>
      <c r="K151">
        <v>1</v>
      </c>
      <c r="L151">
        <v>1</v>
      </c>
      <c r="M151" t="s">
        <v>25</v>
      </c>
      <c r="N151" t="s">
        <v>172</v>
      </c>
      <c r="O151">
        <v>1</v>
      </c>
      <c r="P151">
        <v>1</v>
      </c>
      <c r="Q151" t="s">
        <v>174</v>
      </c>
      <c r="R151" t="str">
        <f>VLOOKUP(Q151,GDP!$A$2:$B$266,1,FALSE)</f>
        <v>ROU</v>
      </c>
      <c r="S151" t="str">
        <f>VLOOKUP(Q151,GDP!$A$2:$B$266,2,FALSE)</f>
        <v>Romania</v>
      </c>
      <c r="T151">
        <f>VLOOKUP(Q151,GDP!$A$1:$L$266,8,FALSE)</f>
        <v>37534.000264354872</v>
      </c>
      <c r="U151" s="4">
        <v>37534.000264354901</v>
      </c>
      <c r="V151" s="5">
        <f>VLOOKUP(Q151,POP!$B$5:$M$269,8,FALSE)</f>
        <v>12348075</v>
      </c>
      <c r="W151" s="4">
        <v>12348075</v>
      </c>
      <c r="X151">
        <f>VLOOKUP(Q151,YU!$B$1:$M$266,8,FALSE)</f>
        <v>21.149000000000001</v>
      </c>
      <c r="Y151" s="4">
        <v>21.149000000000001</v>
      </c>
      <c r="Z151">
        <v>3.31562995910644</v>
      </c>
      <c r="AA151">
        <f t="shared" si="12"/>
        <v>10.533002474894296</v>
      </c>
      <c r="AB151">
        <f t="shared" si="13"/>
        <v>8.6057727818662499E-3</v>
      </c>
      <c r="AC151" s="4">
        <v>8.605772781871579E-3</v>
      </c>
      <c r="AD151">
        <v>0.41712563040266032</v>
      </c>
      <c r="AE151">
        <v>5.8335940170940184</v>
      </c>
      <c r="AG151" s="12">
        <f t="shared" si="14"/>
        <v>0</v>
      </c>
      <c r="AH151" s="12">
        <f t="shared" si="15"/>
        <v>0</v>
      </c>
      <c r="AI151" s="13">
        <f t="shared" si="16"/>
        <v>0</v>
      </c>
      <c r="AJ151" s="14">
        <f t="shared" si="17"/>
        <v>1.2243124885630587</v>
      </c>
    </row>
    <row r="152" spans="1:36" x14ac:dyDescent="0.2">
      <c r="A152">
        <v>2022</v>
      </c>
      <c r="B152" t="s">
        <v>172</v>
      </c>
      <c r="C152">
        <f>VLOOKUP(B152,Sheet5!$B$2:$C$2166,2,FALSE)</f>
        <v>3725</v>
      </c>
      <c r="D152">
        <v>605</v>
      </c>
      <c r="E152">
        <v>270</v>
      </c>
      <c r="F152" t="s">
        <v>83</v>
      </c>
      <c r="G152">
        <v>5</v>
      </c>
      <c r="H152">
        <v>6.4052284580308418</v>
      </c>
      <c r="I152">
        <v>1</v>
      </c>
      <c r="J152">
        <v>1</v>
      </c>
      <c r="K152">
        <v>1</v>
      </c>
      <c r="L152">
        <v>2</v>
      </c>
      <c r="M152" t="s">
        <v>25</v>
      </c>
      <c r="N152" t="s">
        <v>172</v>
      </c>
      <c r="O152">
        <v>1</v>
      </c>
      <c r="P152">
        <v>1</v>
      </c>
      <c r="Q152" t="s">
        <v>174</v>
      </c>
      <c r="R152" t="str">
        <f>VLOOKUP(Q152,GDP!$A$2:$B$266,1,FALSE)</f>
        <v>ROU</v>
      </c>
      <c r="S152" t="str">
        <f>VLOOKUP(Q152,GDP!$A$2:$B$266,2,FALSE)</f>
        <v>Romania</v>
      </c>
      <c r="T152">
        <f>VLOOKUP(Q152,GDP!$A$1:$L$266,9,FALSE)</f>
        <v>39256.826085497712</v>
      </c>
      <c r="U152" s="4">
        <v>39256.826085497698</v>
      </c>
      <c r="V152" s="5">
        <f>VLOOKUP(Q152,POP!$B$5:$M$269,9,FALSE)</f>
        <v>12280355</v>
      </c>
      <c r="W152" s="4">
        <v>12280355</v>
      </c>
      <c r="X152">
        <f>VLOOKUP(Q152,YU!$B$1:$M$266,9,FALSE)</f>
        <v>22.873999999999999</v>
      </c>
      <c r="Y152" s="4">
        <v>22.873999999999999</v>
      </c>
      <c r="Z152">
        <v>3.2788200378418</v>
      </c>
      <c r="AA152">
        <f t="shared" si="12"/>
        <v>10.577880621095751</v>
      </c>
      <c r="AB152">
        <f t="shared" si="13"/>
        <v>5.3483918983321388E-2</v>
      </c>
      <c r="AC152" s="4">
        <v>5.3483918983326717E-2</v>
      </c>
      <c r="AD152">
        <v>0.41162628101901261</v>
      </c>
      <c r="AE152">
        <v>7.5585940170940162</v>
      </c>
      <c r="AG152" s="12">
        <f t="shared" si="14"/>
        <v>0</v>
      </c>
      <c r="AH152" s="12">
        <f t="shared" si="15"/>
        <v>0</v>
      </c>
      <c r="AI152" s="13">
        <f t="shared" si="16"/>
        <v>0</v>
      </c>
      <c r="AJ152" s="14">
        <f t="shared" si="17"/>
        <v>1.8175936727828175</v>
      </c>
    </row>
    <row r="153" spans="1:36" x14ac:dyDescent="0.2">
      <c r="A153">
        <v>2023</v>
      </c>
      <c r="B153" t="s">
        <v>172</v>
      </c>
      <c r="C153">
        <f>VLOOKUP(B153,Sheet5!$B$2:$C$2166,2,FALSE)</f>
        <v>3725</v>
      </c>
      <c r="D153">
        <v>585</v>
      </c>
      <c r="E153">
        <v>250</v>
      </c>
      <c r="F153" t="s">
        <v>178</v>
      </c>
      <c r="G153">
        <v>0</v>
      </c>
      <c r="H153">
        <v>6.3716118472318568</v>
      </c>
      <c r="I153">
        <v>1</v>
      </c>
      <c r="J153">
        <v>1</v>
      </c>
      <c r="K153">
        <v>1</v>
      </c>
      <c r="L153">
        <v>3</v>
      </c>
      <c r="M153" t="s">
        <v>25</v>
      </c>
      <c r="N153" t="s">
        <v>172</v>
      </c>
      <c r="O153">
        <v>1</v>
      </c>
      <c r="P153">
        <v>1</v>
      </c>
      <c r="Q153" t="s">
        <v>174</v>
      </c>
      <c r="R153" t="str">
        <f>VLOOKUP(Q153,GDP!$A$2:$B$266,1,FALSE)</f>
        <v>ROU</v>
      </c>
      <c r="S153" t="str">
        <f>VLOOKUP(Q153,GDP!$A$2:$B$266,2,FALSE)</f>
        <v>Romania</v>
      </c>
      <c r="T153">
        <f>VLOOKUP(Q153,GDP!$A$1:$L$266,10,FALSE)</f>
        <v>40116.689141690411</v>
      </c>
      <c r="U153" s="4">
        <v>40116.689141690404</v>
      </c>
      <c r="V153" s="5">
        <f>VLOOKUP(Q153,POP!$B$5:$M$269,10,FALSE)</f>
        <v>12269680</v>
      </c>
      <c r="W153" s="4">
        <v>12269680</v>
      </c>
      <c r="X153">
        <f>VLOOKUP(Q153,YU!$B$1:$M$266,10,FALSE)</f>
        <v>21.701000000000001</v>
      </c>
      <c r="Y153" s="4">
        <v>21.701000000000001</v>
      </c>
      <c r="AA153">
        <f t="shared" si="12"/>
        <v>10.599547714784507</v>
      </c>
      <c r="AB153">
        <f t="shared" si="13"/>
        <v>7.5151012672076689E-2</v>
      </c>
      <c r="AC153" s="4">
        <v>7.5151012672082018E-2</v>
      </c>
      <c r="AD153">
        <v>0.41075662843621252</v>
      </c>
      <c r="AE153">
        <v>6.385594017094018</v>
      </c>
      <c r="AG153" s="12">
        <f t="shared" si="14"/>
        <v>0</v>
      </c>
      <c r="AH153" s="12">
        <f t="shared" si="15"/>
        <v>0</v>
      </c>
      <c r="AI153" s="13">
        <f t="shared" si="16"/>
        <v>0</v>
      </c>
      <c r="AJ153" s="14">
        <f t="shared" si="17"/>
        <v>1.8512102835818025</v>
      </c>
    </row>
    <row r="154" spans="1:36" x14ac:dyDescent="0.2">
      <c r="A154">
        <v>2024</v>
      </c>
      <c r="B154" t="s">
        <v>172</v>
      </c>
      <c r="C154">
        <f>VLOOKUP(B154,Sheet5!$B$2:$C$2166,2,FALSE)</f>
        <v>3725</v>
      </c>
      <c r="D154">
        <v>605</v>
      </c>
      <c r="E154">
        <v>280</v>
      </c>
      <c r="F154" t="s">
        <v>179</v>
      </c>
      <c r="G154">
        <v>0</v>
      </c>
      <c r="H154">
        <v>6.4052284580308418</v>
      </c>
      <c r="I154">
        <v>1</v>
      </c>
      <c r="J154">
        <v>1</v>
      </c>
      <c r="K154">
        <v>1</v>
      </c>
      <c r="L154">
        <v>4</v>
      </c>
      <c r="M154" t="s">
        <v>25</v>
      </c>
      <c r="N154" t="s">
        <v>172</v>
      </c>
      <c r="O154">
        <v>1</v>
      </c>
      <c r="P154">
        <v>1</v>
      </c>
      <c r="Q154" t="s">
        <v>174</v>
      </c>
      <c r="R154" t="str">
        <f>VLOOKUP(Q154,GDP!$A$2:$B$266,1,FALSE)</f>
        <v>ROU</v>
      </c>
      <c r="S154" t="str">
        <f>VLOOKUP(Q154,GDP!$A$2:$B$266,2,FALSE)</f>
        <v>Romania</v>
      </c>
      <c r="T154">
        <f>VLOOKUP(Q154,GDP!$A$1:$L$266,11,FALSE)</f>
        <v>40503.832325378884</v>
      </c>
      <c r="U154" s="4">
        <v>40503.832325378899</v>
      </c>
      <c r="V154" s="5">
        <f>VLOOKUP(Q154,POP!$B$5:$M$269,11,FALSE)</f>
        <v>12250927</v>
      </c>
      <c r="W154" s="4">
        <v>12250927</v>
      </c>
      <c r="X154">
        <f>VLOOKUP(Q154,YU!$B$1:$M$266,11,FALSE)</f>
        <v>23.63</v>
      </c>
      <c r="Y154" s="4">
        <v>23.63</v>
      </c>
      <c r="AA154">
        <f t="shared" si="12"/>
        <v>10.609151873935934</v>
      </c>
      <c r="AB154">
        <f t="shared" si="13"/>
        <v>8.4755171823504227E-2</v>
      </c>
      <c r="AC154" s="4">
        <v>8.4755171823511333E-2</v>
      </c>
      <c r="AD154">
        <v>0.4092270575201109</v>
      </c>
      <c r="AE154">
        <v>8.3145940170940165</v>
      </c>
      <c r="AG154" s="12">
        <f t="shared" si="14"/>
        <v>0</v>
      </c>
      <c r="AH154" s="12">
        <f t="shared" si="15"/>
        <v>0</v>
      </c>
      <c r="AI154" s="13">
        <f t="shared" si="16"/>
        <v>0</v>
      </c>
      <c r="AJ154" s="14">
        <f t="shared" si="17"/>
        <v>1.8175936727828175</v>
      </c>
    </row>
    <row r="155" spans="1:36" x14ac:dyDescent="0.2">
      <c r="A155">
        <v>2016</v>
      </c>
      <c r="B155" t="s">
        <v>180</v>
      </c>
      <c r="C155">
        <f>VLOOKUP(B155,Sheet5!$B$2:$C$2166,2,FALSE)</f>
        <v>3515</v>
      </c>
      <c r="D155">
        <v>3515</v>
      </c>
      <c r="E155">
        <v>2120</v>
      </c>
      <c r="F155" t="s">
        <v>140</v>
      </c>
      <c r="G155">
        <v>10</v>
      </c>
      <c r="H155">
        <v>8.1647948042447656</v>
      </c>
      <c r="I155">
        <v>1</v>
      </c>
      <c r="J155">
        <v>1</v>
      </c>
      <c r="K155">
        <v>0</v>
      </c>
      <c r="L155">
        <v>-4</v>
      </c>
      <c r="M155" t="s">
        <v>25</v>
      </c>
      <c r="N155" t="s">
        <v>180</v>
      </c>
      <c r="O155">
        <v>1</v>
      </c>
      <c r="P155">
        <v>0</v>
      </c>
      <c r="Q155" t="s">
        <v>181</v>
      </c>
      <c r="R155" t="str">
        <f>VLOOKUP(Q155,GDP!$A$2:$B$266,1,FALSE)</f>
        <v>ESP</v>
      </c>
      <c r="S155" t="str">
        <f>VLOOKUP(Q155,GDP!$A$2:$B$266,2,FALSE)</f>
        <v>Spain</v>
      </c>
      <c r="T155">
        <f>VLOOKUP(Q155,GDP!$A$1:$C$266,3,FALSE)</f>
        <v>44274.667614992191</v>
      </c>
      <c r="U155" s="4">
        <v>44274.667614992199</v>
      </c>
      <c r="V155" s="5">
        <f>VLOOKUP(Q155,POP!$B$5:$M$269,3,FALSE)</f>
        <v>30808422</v>
      </c>
      <c r="W155" s="4">
        <v>30808422</v>
      </c>
      <c r="X155">
        <f>VLOOKUP(Q155,YU!$B$1:$D$266,3,FALSE)</f>
        <v>44.445</v>
      </c>
      <c r="Y155" s="4">
        <v>44.445</v>
      </c>
      <c r="Z155">
        <v>4.1932702064514196</v>
      </c>
      <c r="AA155">
        <f t="shared" si="12"/>
        <v>10.698167955338658</v>
      </c>
      <c r="AB155">
        <f t="shared" si="13"/>
        <v>0.17377125322622788</v>
      </c>
      <c r="AC155" s="4">
        <v>0.17377125322623321</v>
      </c>
      <c r="AD155">
        <v>1.3314135440827199</v>
      </c>
      <c r="AE155">
        <v>29.129594017094021</v>
      </c>
      <c r="AG155" s="12">
        <f t="shared" si="14"/>
        <v>0</v>
      </c>
      <c r="AH155" s="12">
        <f t="shared" si="15"/>
        <v>0</v>
      </c>
      <c r="AI155" s="13">
        <f t="shared" si="16"/>
        <v>0</v>
      </c>
      <c r="AJ155" s="14">
        <f t="shared" si="17"/>
        <v>0</v>
      </c>
    </row>
    <row r="156" spans="1:36" x14ac:dyDescent="0.2">
      <c r="A156">
        <v>2017</v>
      </c>
      <c r="B156" t="s">
        <v>180</v>
      </c>
      <c r="C156">
        <f>VLOOKUP(B156,Sheet5!$B$2:$C$2166,2,FALSE)</f>
        <v>3515</v>
      </c>
      <c r="D156">
        <v>3615</v>
      </c>
      <c r="E156">
        <v>2250</v>
      </c>
      <c r="F156" t="s">
        <v>110</v>
      </c>
      <c r="G156">
        <v>15</v>
      </c>
      <c r="H156">
        <v>8.1928471345928653</v>
      </c>
      <c r="I156">
        <v>1</v>
      </c>
      <c r="J156">
        <v>1</v>
      </c>
      <c r="K156">
        <v>0</v>
      </c>
      <c r="L156">
        <v>-3</v>
      </c>
      <c r="M156" t="s">
        <v>25</v>
      </c>
      <c r="N156" t="s">
        <v>180</v>
      </c>
      <c r="O156">
        <v>1</v>
      </c>
      <c r="P156">
        <v>0</v>
      </c>
      <c r="Q156" t="s">
        <v>181</v>
      </c>
      <c r="R156" t="str">
        <f>VLOOKUP(Q156,GDP!$A$2:$B$266,1,FALSE)</f>
        <v>ESP</v>
      </c>
      <c r="S156" t="str">
        <f>VLOOKUP(Q156,GDP!$A$2:$B$266,2,FALSE)</f>
        <v>Spain</v>
      </c>
      <c r="T156">
        <f>VLOOKUP(Q156,GDP!$A$1:$L$266,4,FALSE)</f>
        <v>45446.250857569532</v>
      </c>
      <c r="U156" s="4">
        <v>45446.250857569503</v>
      </c>
      <c r="V156" s="5">
        <f>VLOOKUP(Q156,POP!$B$5:$M$269,4,FALSE)</f>
        <v>30823914</v>
      </c>
      <c r="W156" s="4">
        <v>30823914</v>
      </c>
      <c r="X156">
        <f>VLOOKUP(Q156,YU!$B$1:$M$266,4,FALSE)</f>
        <v>38.594000000000001</v>
      </c>
      <c r="Y156" s="4">
        <v>38.594000000000001</v>
      </c>
      <c r="Z156">
        <v>4.1784601211547896</v>
      </c>
      <c r="AA156">
        <f t="shared" si="12"/>
        <v>10.72428560682078</v>
      </c>
      <c r="AB156">
        <f t="shared" si="13"/>
        <v>0.19988890470835052</v>
      </c>
      <c r="AC156" s="4">
        <v>0.19988890470835591</v>
      </c>
      <c r="AD156">
        <v>1.331916267209303</v>
      </c>
      <c r="AE156">
        <v>23.278594017094019</v>
      </c>
      <c r="AG156" s="12">
        <f t="shared" si="14"/>
        <v>0</v>
      </c>
      <c r="AH156" s="12">
        <f t="shared" si="15"/>
        <v>0</v>
      </c>
      <c r="AI156" s="13">
        <f t="shared" si="16"/>
        <v>0</v>
      </c>
      <c r="AJ156" s="14">
        <f t="shared" si="17"/>
        <v>-2.805233034809973E-2</v>
      </c>
    </row>
    <row r="157" spans="1:36" x14ac:dyDescent="0.2">
      <c r="A157">
        <v>2018</v>
      </c>
      <c r="B157" t="s">
        <v>180</v>
      </c>
      <c r="C157">
        <f>VLOOKUP(B157,Sheet5!$B$2:$C$2166,2,FALSE)</f>
        <v>3515</v>
      </c>
      <c r="D157">
        <v>4030</v>
      </c>
      <c r="E157">
        <v>2525</v>
      </c>
      <c r="F157" t="s">
        <v>182</v>
      </c>
      <c r="G157">
        <v>15</v>
      </c>
      <c r="H157">
        <v>8.3015216549407285</v>
      </c>
      <c r="I157">
        <v>1</v>
      </c>
      <c r="J157">
        <v>1</v>
      </c>
      <c r="K157">
        <v>0</v>
      </c>
      <c r="L157">
        <v>-2</v>
      </c>
      <c r="M157" t="s">
        <v>25</v>
      </c>
      <c r="N157" t="s">
        <v>180</v>
      </c>
      <c r="O157">
        <v>1</v>
      </c>
      <c r="P157">
        <v>0</v>
      </c>
      <c r="Q157" t="s">
        <v>181</v>
      </c>
      <c r="R157" t="str">
        <f>VLOOKUP(Q157,GDP!$A$2:$B$266,1,FALSE)</f>
        <v>ESP</v>
      </c>
      <c r="S157" t="str">
        <f>VLOOKUP(Q157,GDP!$A$2:$B$266,2,FALSE)</f>
        <v>Spain</v>
      </c>
      <c r="T157">
        <f>VLOOKUP(Q157,GDP!$A$1:$L$266,5,FALSE)</f>
        <v>46325.209944114082</v>
      </c>
      <c r="U157" s="4">
        <v>46325.209944114104</v>
      </c>
      <c r="V157" s="5">
        <f>VLOOKUP(Q157,POP!$B$5:$M$269,5,FALSE)</f>
        <v>30937867</v>
      </c>
      <c r="W157" s="4">
        <v>30937867</v>
      </c>
      <c r="X157">
        <f>VLOOKUP(Q157,YU!$B$1:$M$266,5,FALSE)</f>
        <v>34.362000000000002</v>
      </c>
      <c r="Y157" s="4">
        <v>34.362000000000002</v>
      </c>
      <c r="Z157">
        <v>4.1504502296447798</v>
      </c>
      <c r="AA157">
        <f t="shared" si="12"/>
        <v>10.743441583126327</v>
      </c>
      <c r="AB157">
        <f t="shared" si="13"/>
        <v>0.21904488101389674</v>
      </c>
      <c r="AC157" s="4">
        <v>0.2190448810139021</v>
      </c>
      <c r="AD157">
        <v>1.3356063528078921</v>
      </c>
      <c r="AE157">
        <v>19.046594017094019</v>
      </c>
      <c r="AG157" s="12">
        <f t="shared" si="14"/>
        <v>0</v>
      </c>
      <c r="AH157" s="12">
        <f t="shared" si="15"/>
        <v>0</v>
      </c>
      <c r="AI157" s="13">
        <f t="shared" si="16"/>
        <v>0</v>
      </c>
      <c r="AJ157" s="14">
        <f t="shared" si="17"/>
        <v>-0.13672685069596291</v>
      </c>
    </row>
    <row r="158" spans="1:36" x14ac:dyDescent="0.2">
      <c r="A158">
        <v>2019</v>
      </c>
      <c r="B158" t="s">
        <v>180</v>
      </c>
      <c r="C158">
        <f>VLOOKUP(B158,Sheet5!$B$2:$C$2166,2,FALSE)</f>
        <v>3515</v>
      </c>
      <c r="D158">
        <v>4305</v>
      </c>
      <c r="E158">
        <v>2720</v>
      </c>
      <c r="F158" t="s">
        <v>183</v>
      </c>
      <c r="G158">
        <v>10</v>
      </c>
      <c r="H158">
        <v>8.367532416861831</v>
      </c>
      <c r="I158">
        <v>1</v>
      </c>
      <c r="J158">
        <v>1</v>
      </c>
      <c r="K158">
        <v>0</v>
      </c>
      <c r="L158">
        <v>-1</v>
      </c>
      <c r="M158" t="s">
        <v>25</v>
      </c>
      <c r="N158" t="s">
        <v>180</v>
      </c>
      <c r="O158">
        <v>1</v>
      </c>
      <c r="P158">
        <v>0</v>
      </c>
      <c r="Q158" t="s">
        <v>181</v>
      </c>
      <c r="R158" t="str">
        <f>VLOOKUP(Q158,GDP!$A$2:$B$266,1,FALSE)</f>
        <v>ESP</v>
      </c>
      <c r="S158" t="str">
        <f>VLOOKUP(Q158,GDP!$A$2:$B$266,2,FALSE)</f>
        <v>Spain</v>
      </c>
      <c r="T158">
        <f>VLOOKUP(Q158,GDP!$A$1:$L$266,6,FALSE)</f>
        <v>46896.41711414235</v>
      </c>
      <c r="U158" s="4">
        <v>46896.417114142401</v>
      </c>
      <c r="V158" s="5">
        <f>VLOOKUP(Q158,POP!$B$5:$M$269,6,FALSE)</f>
        <v>31178018</v>
      </c>
      <c r="W158" s="4">
        <v>31178018</v>
      </c>
      <c r="X158">
        <f>VLOOKUP(Q158,YU!$B$1:$M$266,6,FALSE)</f>
        <v>32.555</v>
      </c>
      <c r="Y158" s="4">
        <v>32.555</v>
      </c>
      <c r="Z158">
        <v>4.2025599479675302</v>
      </c>
      <c r="AA158">
        <f t="shared" si="12"/>
        <v>10.755696557361441</v>
      </c>
      <c r="AB158">
        <f t="shared" si="13"/>
        <v>0.23129985524901109</v>
      </c>
      <c r="AC158" s="4">
        <v>0.23129985524901819</v>
      </c>
      <c r="AD158">
        <v>1.343338745143571</v>
      </c>
      <c r="AE158">
        <v>17.239594017094021</v>
      </c>
      <c r="AG158" s="12">
        <f t="shared" si="14"/>
        <v>0</v>
      </c>
      <c r="AH158" s="12">
        <f t="shared" si="15"/>
        <v>0</v>
      </c>
      <c r="AI158" s="13">
        <f t="shared" si="16"/>
        <v>0</v>
      </c>
      <c r="AJ158" s="14">
        <f t="shared" si="17"/>
        <v>-0.20273761261706547</v>
      </c>
    </row>
    <row r="159" spans="1:36" x14ac:dyDescent="0.2">
      <c r="A159">
        <v>2020</v>
      </c>
      <c r="B159" t="s">
        <v>180</v>
      </c>
      <c r="C159">
        <f>VLOOKUP(B159,Sheet5!$B$2:$C$2166,2,FALSE)</f>
        <v>3515</v>
      </c>
      <c r="D159">
        <v>4620</v>
      </c>
      <c r="E159">
        <v>2985</v>
      </c>
      <c r="F159" t="s">
        <v>184</v>
      </c>
      <c r="G159">
        <v>35</v>
      </c>
      <c r="H159">
        <v>8.4381499840757836</v>
      </c>
      <c r="I159">
        <v>1</v>
      </c>
      <c r="J159">
        <v>1</v>
      </c>
      <c r="K159">
        <v>0</v>
      </c>
      <c r="L159">
        <v>0</v>
      </c>
      <c r="M159" t="s">
        <v>25</v>
      </c>
      <c r="N159" t="s">
        <v>180</v>
      </c>
      <c r="O159">
        <v>1</v>
      </c>
      <c r="P159">
        <v>0</v>
      </c>
      <c r="Q159" t="s">
        <v>181</v>
      </c>
      <c r="R159" t="str">
        <f>VLOOKUP(Q159,GDP!$A$2:$B$266,1,FALSE)</f>
        <v>ESP</v>
      </c>
      <c r="S159" t="str">
        <f>VLOOKUP(Q159,GDP!$A$2:$B$266,2,FALSE)</f>
        <v>Spain</v>
      </c>
      <c r="T159">
        <f>VLOOKUP(Q159,GDP!$A$1:$L$266,7,FALSE)</f>
        <v>41553.447794567459</v>
      </c>
      <c r="U159" s="4">
        <v>41553.447794567503</v>
      </c>
      <c r="V159" s="5">
        <f>VLOOKUP(Q159,POP!$B$5:$M$269,7,FALSE)</f>
        <v>31371298</v>
      </c>
      <c r="W159" s="4">
        <v>31371298</v>
      </c>
      <c r="X159">
        <f>VLOOKUP(Q159,YU!$B$1:$M$266,7,FALSE)</f>
        <v>38.311999999999998</v>
      </c>
      <c r="Y159" s="4">
        <v>38.311999999999998</v>
      </c>
      <c r="Z159">
        <v>4.8511800765991202</v>
      </c>
      <c r="AA159">
        <f t="shared" si="12"/>
        <v>10.634735776252965</v>
      </c>
      <c r="AB159">
        <f t="shared" si="13"/>
        <v>0.11033907414053523</v>
      </c>
      <c r="AC159" s="4">
        <v>0.1103390741405423</v>
      </c>
      <c r="AD159">
        <v>1.3495188483815479</v>
      </c>
      <c r="AE159">
        <v>22.996594017094019</v>
      </c>
      <c r="AG159" s="12">
        <f t="shared" si="14"/>
        <v>0</v>
      </c>
      <c r="AH159" s="12">
        <f t="shared" si="15"/>
        <v>0</v>
      </c>
      <c r="AI159" s="13">
        <f t="shared" si="16"/>
        <v>0</v>
      </c>
      <c r="AJ159" s="14">
        <f t="shared" si="17"/>
        <v>-0.27335517983101809</v>
      </c>
    </row>
    <row r="160" spans="1:36" x14ac:dyDescent="0.2">
      <c r="A160">
        <v>2021</v>
      </c>
      <c r="B160" t="s">
        <v>180</v>
      </c>
      <c r="C160">
        <f>VLOOKUP(B160,Sheet5!$B$2:$C$2166,2,FALSE)</f>
        <v>3515</v>
      </c>
      <c r="D160">
        <v>3080</v>
      </c>
      <c r="E160">
        <v>1495</v>
      </c>
      <c r="F160" t="s">
        <v>185</v>
      </c>
      <c r="G160">
        <v>10</v>
      </c>
      <c r="H160">
        <v>8.0326848759676199</v>
      </c>
      <c r="I160">
        <v>1</v>
      </c>
      <c r="J160">
        <v>1</v>
      </c>
      <c r="K160">
        <v>1</v>
      </c>
      <c r="L160">
        <v>1</v>
      </c>
      <c r="M160" t="s">
        <v>25</v>
      </c>
      <c r="N160" t="s">
        <v>180</v>
      </c>
      <c r="O160">
        <v>1</v>
      </c>
      <c r="P160">
        <v>1</v>
      </c>
      <c r="Q160" t="s">
        <v>181</v>
      </c>
      <c r="R160" t="str">
        <f>VLOOKUP(Q160,GDP!$A$2:$B$266,1,FALSE)</f>
        <v>ESP</v>
      </c>
      <c r="S160" t="str">
        <f>VLOOKUP(Q160,GDP!$A$2:$B$266,2,FALSE)</f>
        <v>Spain</v>
      </c>
      <c r="T160">
        <f>VLOOKUP(Q160,GDP!$A$1:$L$266,8,FALSE)</f>
        <v>44251.665822262141</v>
      </c>
      <c r="U160" s="4">
        <v>44251.665822262097</v>
      </c>
      <c r="V160" s="5">
        <f>VLOOKUP(Q160,POP!$B$5:$M$269,8,FALSE)</f>
        <v>31444959</v>
      </c>
      <c r="W160" s="4">
        <v>31444959</v>
      </c>
      <c r="X160">
        <f>VLOOKUP(Q160,YU!$B$1:$M$266,8,FALSE)</f>
        <v>34.999000000000002</v>
      </c>
      <c r="Y160" s="4">
        <v>34.999000000000002</v>
      </c>
      <c r="Z160">
        <v>4.8131699562072798</v>
      </c>
      <c r="AA160">
        <f t="shared" si="12"/>
        <v>10.697648295428333</v>
      </c>
      <c r="AB160">
        <f t="shared" si="13"/>
        <v>0.17325159331590356</v>
      </c>
      <c r="AC160" s="4">
        <v>0.17325159331590709</v>
      </c>
      <c r="AD160">
        <v>1.3518641340538069</v>
      </c>
      <c r="AE160">
        <v>19.68359401709402</v>
      </c>
      <c r="AG160" s="12">
        <f t="shared" si="14"/>
        <v>0</v>
      </c>
      <c r="AH160" s="12">
        <f t="shared" si="15"/>
        <v>0</v>
      </c>
      <c r="AI160" s="13">
        <f t="shared" si="16"/>
        <v>0</v>
      </c>
      <c r="AJ160" s="14">
        <f t="shared" si="17"/>
        <v>0.13210992827714563</v>
      </c>
    </row>
    <row r="161" spans="1:36" x14ac:dyDescent="0.2">
      <c r="A161">
        <v>2022</v>
      </c>
      <c r="B161" t="s">
        <v>180</v>
      </c>
      <c r="C161">
        <f>VLOOKUP(B161,Sheet5!$B$2:$C$2166,2,FALSE)</f>
        <v>3515</v>
      </c>
      <c r="D161">
        <v>2450</v>
      </c>
      <c r="E161">
        <v>1220</v>
      </c>
      <c r="F161" t="s">
        <v>186</v>
      </c>
      <c r="G161">
        <v>10</v>
      </c>
      <c r="H161">
        <v>7.8038433035387724</v>
      </c>
      <c r="I161">
        <v>1</v>
      </c>
      <c r="J161">
        <v>1</v>
      </c>
      <c r="K161">
        <v>1</v>
      </c>
      <c r="L161">
        <v>2</v>
      </c>
      <c r="M161" t="s">
        <v>25</v>
      </c>
      <c r="N161" t="s">
        <v>180</v>
      </c>
      <c r="O161">
        <v>1</v>
      </c>
      <c r="P161">
        <v>1</v>
      </c>
      <c r="Q161" t="s">
        <v>181</v>
      </c>
      <c r="R161" t="str">
        <f>VLOOKUP(Q161,GDP!$A$2:$B$266,1,FALSE)</f>
        <v>ESP</v>
      </c>
      <c r="S161" t="str">
        <f>VLOOKUP(Q161,GDP!$A$2:$B$266,2,FALSE)</f>
        <v>Spain</v>
      </c>
      <c r="T161">
        <f>VLOOKUP(Q161,GDP!$A$1:$L$266,9,FALSE)</f>
        <v>46733.480978053587</v>
      </c>
      <c r="U161" s="4">
        <v>46733.480978053602</v>
      </c>
      <c r="V161" s="5">
        <f>VLOOKUP(Q161,POP!$B$5:$M$269,9,FALSE)</f>
        <v>31642089</v>
      </c>
      <c r="W161" s="4">
        <v>31642089</v>
      </c>
      <c r="X161">
        <f>VLOOKUP(Q161,YU!$B$1:$M$266,9,FALSE)</f>
        <v>29.713000000000001</v>
      </c>
      <c r="Y161" s="4">
        <v>29.713000000000001</v>
      </c>
      <c r="Z161">
        <v>4.5855398178100604</v>
      </c>
      <c r="AA161">
        <f t="shared" si="12"/>
        <v>10.752216124211671</v>
      </c>
      <c r="AB161">
        <f t="shared" si="13"/>
        <v>0.22781942209924111</v>
      </c>
      <c r="AC161" s="4">
        <v>0.22781942209924819</v>
      </c>
      <c r="AD161">
        <v>1.3581136146632691</v>
      </c>
      <c r="AE161">
        <v>14.39759401709402</v>
      </c>
      <c r="AG161" s="12">
        <f t="shared" si="14"/>
        <v>0</v>
      </c>
      <c r="AH161" s="12">
        <f t="shared" si="15"/>
        <v>0</v>
      </c>
      <c r="AI161" s="13">
        <f t="shared" si="16"/>
        <v>0</v>
      </c>
      <c r="AJ161" s="14">
        <f t="shared" si="17"/>
        <v>0.36095150070599313</v>
      </c>
    </row>
    <row r="162" spans="1:36" x14ac:dyDescent="0.2">
      <c r="A162">
        <v>2023</v>
      </c>
      <c r="B162" t="s">
        <v>180</v>
      </c>
      <c r="C162">
        <f>VLOOKUP(B162,Sheet5!$B$2:$C$2166,2,FALSE)</f>
        <v>3515</v>
      </c>
      <c r="D162">
        <v>2270</v>
      </c>
      <c r="E162">
        <v>1135</v>
      </c>
      <c r="F162" t="s">
        <v>187</v>
      </c>
      <c r="G162">
        <v>15</v>
      </c>
      <c r="H162">
        <v>7.7275351104754479</v>
      </c>
      <c r="I162">
        <v>1</v>
      </c>
      <c r="J162">
        <v>1</v>
      </c>
      <c r="K162">
        <v>1</v>
      </c>
      <c r="L162">
        <v>3</v>
      </c>
      <c r="M162" t="s">
        <v>25</v>
      </c>
      <c r="N162" t="s">
        <v>180</v>
      </c>
      <c r="O162">
        <v>1</v>
      </c>
      <c r="P162">
        <v>1</v>
      </c>
      <c r="Q162" t="s">
        <v>181</v>
      </c>
      <c r="R162" t="str">
        <f>VLOOKUP(Q162,GDP!$A$2:$B$266,1,FALSE)</f>
        <v>ESP</v>
      </c>
      <c r="S162" t="str">
        <f>VLOOKUP(Q162,GDP!$A$2:$B$266,2,FALSE)</f>
        <v>Spain</v>
      </c>
      <c r="T162">
        <f>VLOOKUP(Q162,GDP!$A$1:$L$266,10,FALSE)</f>
        <v>47322.593700450358</v>
      </c>
      <c r="U162" s="4">
        <v>47322.593700450401</v>
      </c>
      <c r="V162" s="5">
        <f>VLOOKUP(Q162,POP!$B$5:$M$269,10,FALSE)</f>
        <v>31955045</v>
      </c>
      <c r="W162" s="4">
        <v>31955045</v>
      </c>
      <c r="X162">
        <f>VLOOKUP(Q162,YU!$B$1:$M$266,10,FALSE)</f>
        <v>28.747</v>
      </c>
      <c r="Y162" s="4">
        <v>28.747</v>
      </c>
      <c r="AA162">
        <f t="shared" si="12"/>
        <v>10.764743128518571</v>
      </c>
      <c r="AB162">
        <f t="shared" si="13"/>
        <v>0.24034642640614123</v>
      </c>
      <c r="AC162" s="4">
        <v>0.24034642640614831</v>
      </c>
      <c r="AD162">
        <v>1.3679555212546559</v>
      </c>
      <c r="AE162">
        <v>13.431594017094019</v>
      </c>
      <c r="AG162" s="12">
        <f t="shared" si="14"/>
        <v>0</v>
      </c>
      <c r="AH162" s="12">
        <f t="shared" si="15"/>
        <v>0</v>
      </c>
      <c r="AI162" s="13">
        <f t="shared" si="16"/>
        <v>0</v>
      </c>
      <c r="AJ162" s="14">
        <f t="shared" si="17"/>
        <v>0.43725969376931761</v>
      </c>
    </row>
    <row r="163" spans="1:36" x14ac:dyDescent="0.2">
      <c r="A163">
        <v>2024</v>
      </c>
      <c r="B163" t="s">
        <v>180</v>
      </c>
      <c r="C163">
        <f>VLOOKUP(B163,Sheet5!$B$2:$C$2166,2,FALSE)</f>
        <v>3515</v>
      </c>
      <c r="D163">
        <v>2335</v>
      </c>
      <c r="E163">
        <v>1215</v>
      </c>
      <c r="F163" t="s">
        <v>188</v>
      </c>
      <c r="G163">
        <v>10</v>
      </c>
      <c r="H163">
        <v>7.755767170102998</v>
      </c>
      <c r="I163">
        <v>1</v>
      </c>
      <c r="J163">
        <v>1</v>
      </c>
      <c r="K163">
        <v>1</v>
      </c>
      <c r="L163">
        <v>4</v>
      </c>
      <c r="M163" t="s">
        <v>25</v>
      </c>
      <c r="N163" t="s">
        <v>180</v>
      </c>
      <c r="O163">
        <v>1</v>
      </c>
      <c r="P163">
        <v>1</v>
      </c>
      <c r="Q163" t="s">
        <v>181</v>
      </c>
      <c r="R163" t="str">
        <f>VLOOKUP(Q163,GDP!$A$2:$B$266,1,FALSE)</f>
        <v>ESP</v>
      </c>
      <c r="S163" t="str">
        <f>VLOOKUP(Q163,GDP!$A$2:$B$266,2,FALSE)</f>
        <v>Spain</v>
      </c>
      <c r="T163">
        <f>VLOOKUP(Q163,GDP!$A$1:$L$266,11,FALSE)</f>
        <v>48460.291406966113</v>
      </c>
      <c r="U163" s="4">
        <v>48460.291406966098</v>
      </c>
      <c r="V163" s="5">
        <f>VLOOKUP(Q163,POP!$B$5:$M$269,11,FALSE)</f>
        <v>32207413</v>
      </c>
      <c r="W163" s="4">
        <v>32207413</v>
      </c>
      <c r="X163">
        <f>VLOOKUP(Q163,YU!$B$1:$M$266,11,FALSE)</f>
        <v>26.631</v>
      </c>
      <c r="Y163" s="4">
        <v>26.631</v>
      </c>
      <c r="AA163">
        <f t="shared" si="12"/>
        <v>10.788500007702956</v>
      </c>
      <c r="AB163">
        <f t="shared" si="13"/>
        <v>0.26410330559052575</v>
      </c>
      <c r="AC163" s="4">
        <v>0.2641033055905293</v>
      </c>
      <c r="AD163">
        <v>1.3758220933687879</v>
      </c>
      <c r="AE163">
        <v>11.315594017094019</v>
      </c>
      <c r="AG163" s="12">
        <f t="shared" si="14"/>
        <v>0</v>
      </c>
      <c r="AH163" s="12">
        <f t="shared" si="15"/>
        <v>0</v>
      </c>
      <c r="AI163" s="13">
        <f t="shared" si="16"/>
        <v>0</v>
      </c>
      <c r="AJ163" s="14">
        <f t="shared" si="17"/>
        <v>0.40902763414176757</v>
      </c>
    </row>
    <row r="164" spans="1:36" x14ac:dyDescent="0.2">
      <c r="A164">
        <v>2016</v>
      </c>
      <c r="B164" t="s">
        <v>189</v>
      </c>
      <c r="C164">
        <f>VLOOKUP(B164,Sheet5!$B$2:$C$2166,2,FALSE)</f>
        <v>1430</v>
      </c>
      <c r="D164">
        <v>1430</v>
      </c>
      <c r="E164">
        <v>700</v>
      </c>
      <c r="F164" t="s">
        <v>44</v>
      </c>
      <c r="G164">
        <v>5</v>
      </c>
      <c r="H164">
        <v>7.2654297232539529</v>
      </c>
      <c r="I164">
        <v>1</v>
      </c>
      <c r="J164">
        <v>1</v>
      </c>
      <c r="K164">
        <v>0</v>
      </c>
      <c r="L164">
        <v>-4</v>
      </c>
      <c r="M164" t="s">
        <v>25</v>
      </c>
      <c r="N164" t="s">
        <v>189</v>
      </c>
      <c r="O164">
        <v>1</v>
      </c>
      <c r="P164">
        <v>0</v>
      </c>
      <c r="Q164" t="s">
        <v>190</v>
      </c>
      <c r="R164" t="str">
        <f>VLOOKUP(Q164,GDP!$A$2:$B$266,1,FALSE)</f>
        <v>SWE</v>
      </c>
      <c r="S164" t="str">
        <f>VLOOKUP(Q164,GDP!$A$2:$B$266,2,FALSE)</f>
        <v>Sweden</v>
      </c>
      <c r="T164">
        <f>VLOOKUP(Q164,GDP!$A$1:$C$266,3,FALSE)</f>
        <v>59460.287272268928</v>
      </c>
      <c r="U164" s="4">
        <v>59460.287272268899</v>
      </c>
      <c r="V164" s="5">
        <f>VLOOKUP(Q164,POP!$B$5:$M$269,3,FALSE)</f>
        <v>6221865</v>
      </c>
      <c r="W164" s="4">
        <v>6221865</v>
      </c>
      <c r="X164">
        <f>VLOOKUP(Q164,YU!$B$1:$D$266,3,FALSE)</f>
        <v>18.893999999999998</v>
      </c>
      <c r="Y164" s="4">
        <v>18.893999999999998</v>
      </c>
      <c r="Z164">
        <v>7.63991022109985</v>
      </c>
      <c r="AA164">
        <f t="shared" si="12"/>
        <v>10.993063927893747</v>
      </c>
      <c r="AB164">
        <f t="shared" si="13"/>
        <v>0.46866722578131714</v>
      </c>
      <c r="AC164" s="4">
        <v>0.4686672257813207</v>
      </c>
      <c r="AD164">
        <v>-0.26830484904033552</v>
      </c>
      <c r="AE164">
        <v>3.5785940170940158</v>
      </c>
      <c r="AG164" s="12">
        <f t="shared" si="14"/>
        <v>0</v>
      </c>
      <c r="AH164" s="12">
        <f t="shared" si="15"/>
        <v>0</v>
      </c>
      <c r="AI164" s="13">
        <f t="shared" si="16"/>
        <v>0</v>
      </c>
      <c r="AJ164" s="14">
        <f t="shared" si="17"/>
        <v>0</v>
      </c>
    </row>
    <row r="165" spans="1:36" x14ac:dyDescent="0.2">
      <c r="A165">
        <v>2017</v>
      </c>
      <c r="B165" t="s">
        <v>189</v>
      </c>
      <c r="C165">
        <f>VLOOKUP(B165,Sheet5!$B$2:$C$2166,2,FALSE)</f>
        <v>1430</v>
      </c>
      <c r="D165">
        <v>1280</v>
      </c>
      <c r="E165">
        <v>630</v>
      </c>
      <c r="F165" t="s">
        <v>52</v>
      </c>
      <c r="G165">
        <v>0</v>
      </c>
      <c r="H165">
        <v>7.1546153569136628</v>
      </c>
      <c r="I165">
        <v>1</v>
      </c>
      <c r="J165">
        <v>1</v>
      </c>
      <c r="K165">
        <v>0</v>
      </c>
      <c r="L165">
        <v>-3</v>
      </c>
      <c r="M165" t="s">
        <v>25</v>
      </c>
      <c r="N165" t="s">
        <v>189</v>
      </c>
      <c r="O165">
        <v>1</v>
      </c>
      <c r="P165">
        <v>0</v>
      </c>
      <c r="Q165" t="s">
        <v>190</v>
      </c>
      <c r="R165" t="str">
        <f>VLOOKUP(Q165,GDP!$A$2:$B$266,1,FALSE)</f>
        <v>SWE</v>
      </c>
      <c r="S165" t="str">
        <f>VLOOKUP(Q165,GDP!$A$2:$B$266,2,FALSE)</f>
        <v>Sweden</v>
      </c>
      <c r="T165">
        <f>VLOOKUP(Q165,GDP!$A$1:$L$266,4,FALSE)</f>
        <v>59769.013623699961</v>
      </c>
      <c r="U165" s="4">
        <v>59769.013623699997</v>
      </c>
      <c r="V165" s="5">
        <f>VLOOKUP(Q165,POP!$B$5:$M$269,4,FALSE)</f>
        <v>6288271</v>
      </c>
      <c r="W165" s="4">
        <v>6288271</v>
      </c>
      <c r="X165">
        <f>VLOOKUP(Q165,YU!$B$1:$M$266,4,FALSE)</f>
        <v>17.873000000000001</v>
      </c>
      <c r="Y165" s="4">
        <v>17.873000000000001</v>
      </c>
      <c r="Z165">
        <v>7.6384902000427202</v>
      </c>
      <c r="AA165">
        <f t="shared" si="12"/>
        <v>10.998242638816139</v>
      </c>
      <c r="AB165">
        <f t="shared" si="13"/>
        <v>0.47384593670370911</v>
      </c>
      <c r="AC165" s="4">
        <v>0.47384593670371439</v>
      </c>
      <c r="AD165">
        <v>-0.25768839791433068</v>
      </c>
      <c r="AE165">
        <v>2.557594017094019</v>
      </c>
      <c r="AG165" s="12">
        <f t="shared" si="14"/>
        <v>0</v>
      </c>
      <c r="AH165" s="12">
        <f t="shared" si="15"/>
        <v>0</v>
      </c>
      <c r="AI165" s="13">
        <f t="shared" si="16"/>
        <v>0</v>
      </c>
      <c r="AJ165" s="14">
        <f t="shared" si="17"/>
        <v>0.11081436634029007</v>
      </c>
    </row>
    <row r="166" spans="1:36" x14ac:dyDescent="0.2">
      <c r="A166">
        <v>2018</v>
      </c>
      <c r="B166" t="s">
        <v>189</v>
      </c>
      <c r="C166">
        <f>VLOOKUP(B166,Sheet5!$B$2:$C$2166,2,FALSE)</f>
        <v>1430</v>
      </c>
      <c r="D166">
        <v>1295</v>
      </c>
      <c r="E166">
        <v>660</v>
      </c>
      <c r="F166" t="s">
        <v>191</v>
      </c>
      <c r="G166">
        <v>5</v>
      </c>
      <c r="H166">
        <v>7.1662659741336379</v>
      </c>
      <c r="I166">
        <v>1</v>
      </c>
      <c r="J166">
        <v>1</v>
      </c>
      <c r="K166">
        <v>0</v>
      </c>
      <c r="L166">
        <v>-2</v>
      </c>
      <c r="M166" t="s">
        <v>25</v>
      </c>
      <c r="N166" t="s">
        <v>189</v>
      </c>
      <c r="O166">
        <v>1</v>
      </c>
      <c r="P166">
        <v>0</v>
      </c>
      <c r="Q166" t="s">
        <v>190</v>
      </c>
      <c r="R166" t="str">
        <f>VLOOKUP(Q166,GDP!$A$2:$B$266,1,FALSE)</f>
        <v>SWE</v>
      </c>
      <c r="S166" t="str">
        <f>VLOOKUP(Q166,GDP!$A$2:$B$266,2,FALSE)</f>
        <v>Sweden</v>
      </c>
      <c r="T166">
        <f>VLOOKUP(Q166,GDP!$A$1:$L$266,5,FALSE)</f>
        <v>60124.571199417893</v>
      </c>
      <c r="U166" s="4">
        <v>60124.5711994179</v>
      </c>
      <c r="V166" s="5">
        <f>VLOOKUP(Q166,POP!$B$5:$M$269,5,FALSE)</f>
        <v>6346978</v>
      </c>
      <c r="W166" s="4">
        <v>6346978</v>
      </c>
      <c r="X166">
        <f>VLOOKUP(Q166,YU!$B$1:$M$266,5,FALSE)</f>
        <v>17.398</v>
      </c>
      <c r="Y166" s="4">
        <v>17.398</v>
      </c>
      <c r="Z166">
        <v>7.69825983047485</v>
      </c>
      <c r="AA166">
        <f t="shared" si="12"/>
        <v>11.004173875564218</v>
      </c>
      <c r="AB166">
        <f t="shared" si="13"/>
        <v>0.47977717345178839</v>
      </c>
      <c r="AC166" s="4">
        <v>0.47977717345179371</v>
      </c>
      <c r="AD166">
        <v>-0.24839575596310229</v>
      </c>
      <c r="AE166">
        <v>2.0825940170940171</v>
      </c>
      <c r="AG166" s="12">
        <f t="shared" si="14"/>
        <v>0</v>
      </c>
      <c r="AH166" s="12">
        <f t="shared" si="15"/>
        <v>0</v>
      </c>
      <c r="AI166" s="13">
        <f t="shared" si="16"/>
        <v>0</v>
      </c>
      <c r="AJ166" s="14">
        <f t="shared" si="17"/>
        <v>9.9163749120315003E-2</v>
      </c>
    </row>
    <row r="167" spans="1:36" x14ac:dyDescent="0.2">
      <c r="A167">
        <v>2019</v>
      </c>
      <c r="B167" t="s">
        <v>189</v>
      </c>
      <c r="C167">
        <f>VLOOKUP(B167,Sheet5!$B$2:$C$2166,2,FALSE)</f>
        <v>1430</v>
      </c>
      <c r="D167">
        <v>1245</v>
      </c>
      <c r="E167">
        <v>640</v>
      </c>
      <c r="F167" t="s">
        <v>192</v>
      </c>
      <c r="G167">
        <v>5</v>
      </c>
      <c r="H167">
        <v>7.1268908088988079</v>
      </c>
      <c r="I167">
        <v>1</v>
      </c>
      <c r="J167">
        <v>1</v>
      </c>
      <c r="K167">
        <v>0</v>
      </c>
      <c r="L167">
        <v>-1</v>
      </c>
      <c r="M167" t="s">
        <v>25</v>
      </c>
      <c r="N167" t="s">
        <v>189</v>
      </c>
      <c r="O167">
        <v>1</v>
      </c>
      <c r="P167">
        <v>0</v>
      </c>
      <c r="Q167" t="s">
        <v>190</v>
      </c>
      <c r="R167" t="str">
        <f>VLOOKUP(Q167,GDP!$A$2:$B$266,1,FALSE)</f>
        <v>SWE</v>
      </c>
      <c r="S167" t="str">
        <f>VLOOKUP(Q167,GDP!$A$2:$B$266,2,FALSE)</f>
        <v>Sweden</v>
      </c>
      <c r="T167">
        <f>VLOOKUP(Q167,GDP!$A$1:$L$266,6,FALSE)</f>
        <v>61070.524344583799</v>
      </c>
      <c r="U167" s="4">
        <v>61070.524344583799</v>
      </c>
      <c r="V167" s="5">
        <f>VLOOKUP(Q167,POP!$B$5:$M$269,6,FALSE)</f>
        <v>6400936</v>
      </c>
      <c r="W167" s="4">
        <v>6400936</v>
      </c>
      <c r="X167">
        <f>VLOOKUP(Q167,YU!$B$1:$M$266,6,FALSE)</f>
        <v>20.091999999999999</v>
      </c>
      <c r="Y167" s="4">
        <v>20.091999999999999</v>
      </c>
      <c r="Z167">
        <v>7.6630702018737802</v>
      </c>
      <c r="AA167">
        <f t="shared" si="12"/>
        <v>11.019784612140429</v>
      </c>
      <c r="AB167">
        <f t="shared" si="13"/>
        <v>0.49538791002799876</v>
      </c>
      <c r="AC167" s="4">
        <v>0.49538791002800409</v>
      </c>
      <c r="AD167">
        <v>-0.2399303204047829</v>
      </c>
      <c r="AE167">
        <v>4.7765940170940162</v>
      </c>
      <c r="AG167" s="12">
        <f t="shared" si="14"/>
        <v>0</v>
      </c>
      <c r="AH167" s="12">
        <f t="shared" si="15"/>
        <v>0</v>
      </c>
      <c r="AI167" s="13">
        <f t="shared" si="16"/>
        <v>0</v>
      </c>
      <c r="AJ167" s="14">
        <f t="shared" si="17"/>
        <v>0.13853891435514498</v>
      </c>
    </row>
    <row r="168" spans="1:36" x14ac:dyDescent="0.2">
      <c r="A168">
        <v>2020</v>
      </c>
      <c r="B168" t="s">
        <v>189</v>
      </c>
      <c r="C168">
        <f>VLOOKUP(B168,Sheet5!$B$2:$C$2166,2,FALSE)</f>
        <v>1430</v>
      </c>
      <c r="D168">
        <v>1185</v>
      </c>
      <c r="E168">
        <v>670</v>
      </c>
      <c r="F168" t="s">
        <v>193</v>
      </c>
      <c r="G168">
        <v>10</v>
      </c>
      <c r="H168">
        <v>7.0774980535692311</v>
      </c>
      <c r="I168">
        <v>1</v>
      </c>
      <c r="J168">
        <v>1</v>
      </c>
      <c r="K168">
        <v>0</v>
      </c>
      <c r="L168">
        <v>0</v>
      </c>
      <c r="M168" t="s">
        <v>25</v>
      </c>
      <c r="N168" t="s">
        <v>189</v>
      </c>
      <c r="O168">
        <v>1</v>
      </c>
      <c r="P168">
        <v>0</v>
      </c>
      <c r="Q168" t="s">
        <v>190</v>
      </c>
      <c r="R168" t="str">
        <f>VLOOKUP(Q168,GDP!$A$2:$B$266,1,FALSE)</f>
        <v>SWE</v>
      </c>
      <c r="S168" t="str">
        <f>VLOOKUP(Q168,GDP!$A$2:$B$266,2,FALSE)</f>
        <v>Sweden</v>
      </c>
      <c r="T168">
        <f>VLOOKUP(Q168,GDP!$A$1:$L$266,7,FALSE)</f>
        <v>59458.280529196934</v>
      </c>
      <c r="U168" s="4">
        <v>59458.280529196898</v>
      </c>
      <c r="V168" s="5">
        <f>VLOOKUP(Q168,POP!$B$5:$M$269,7,FALSE)</f>
        <v>6440267</v>
      </c>
      <c r="W168" s="4">
        <v>6440267</v>
      </c>
      <c r="X168">
        <f>VLOOKUP(Q168,YU!$B$1:$M$266,7,FALSE)</f>
        <v>23.890999999999998</v>
      </c>
      <c r="Y168" s="4">
        <v>23.890999999999998</v>
      </c>
      <c r="Z168">
        <v>7.95333003997803</v>
      </c>
      <c r="AA168">
        <f t="shared" si="12"/>
        <v>10.993030178024247</v>
      </c>
      <c r="AB168">
        <f t="shared" si="13"/>
        <v>0.46863347591181714</v>
      </c>
      <c r="AC168" s="4">
        <v>0.46863347591182247</v>
      </c>
      <c r="AD168">
        <v>-0.23380455119275639</v>
      </c>
      <c r="AE168">
        <v>8.5755940170940157</v>
      </c>
      <c r="AG168" s="12">
        <f t="shared" si="14"/>
        <v>0</v>
      </c>
      <c r="AH168" s="12">
        <f t="shared" si="15"/>
        <v>0</v>
      </c>
      <c r="AI168" s="13">
        <f t="shared" si="16"/>
        <v>0</v>
      </c>
      <c r="AJ168" s="14">
        <f t="shared" si="17"/>
        <v>0.18793166968472175</v>
      </c>
    </row>
    <row r="169" spans="1:36" x14ac:dyDescent="0.2">
      <c r="A169">
        <v>2021</v>
      </c>
      <c r="B169" t="s">
        <v>189</v>
      </c>
      <c r="C169">
        <f>VLOOKUP(B169,Sheet5!$B$2:$C$2166,2,FALSE)</f>
        <v>1430</v>
      </c>
      <c r="D169">
        <v>710</v>
      </c>
      <c r="E169">
        <v>305</v>
      </c>
      <c r="F169" t="s">
        <v>194</v>
      </c>
      <c r="G169">
        <v>5</v>
      </c>
      <c r="H169">
        <v>6.5652649700353614</v>
      </c>
      <c r="I169">
        <v>1</v>
      </c>
      <c r="J169">
        <v>1</v>
      </c>
      <c r="K169">
        <v>1</v>
      </c>
      <c r="L169">
        <v>1</v>
      </c>
      <c r="M169" t="s">
        <v>25</v>
      </c>
      <c r="N169" t="s">
        <v>189</v>
      </c>
      <c r="O169">
        <v>1</v>
      </c>
      <c r="P169">
        <v>1</v>
      </c>
      <c r="Q169" t="s">
        <v>190</v>
      </c>
      <c r="R169" t="str">
        <f>VLOOKUP(Q169,GDP!$A$2:$B$266,1,FALSE)</f>
        <v>SWE</v>
      </c>
      <c r="S169" t="str">
        <f>VLOOKUP(Q169,GDP!$A$2:$B$266,2,FALSE)</f>
        <v>Sweden</v>
      </c>
      <c r="T169">
        <f>VLOOKUP(Q169,GDP!$A$1:$L$266,8,FALSE)</f>
        <v>62190.852698382521</v>
      </c>
      <c r="U169" s="4">
        <v>62190.8526983825</v>
      </c>
      <c r="V169" s="5">
        <f>VLOOKUP(Q169,POP!$B$5:$M$269,8,FALSE)</f>
        <v>6473749</v>
      </c>
      <c r="W169" s="4">
        <v>6473749</v>
      </c>
      <c r="X169">
        <f>VLOOKUP(Q169,YU!$B$1:$M$266,8,FALSE)</f>
        <v>24.555</v>
      </c>
      <c r="Y169" s="4">
        <v>24.555</v>
      </c>
      <c r="Z169">
        <v>7.6022400856018102</v>
      </c>
      <c r="AA169">
        <f t="shared" si="12"/>
        <v>11.037963205185518</v>
      </c>
      <c r="AB169">
        <f t="shared" si="13"/>
        <v>0.51356650307308804</v>
      </c>
      <c r="AC169" s="4">
        <v>0.51356650307309337</v>
      </c>
      <c r="AD169">
        <v>-0.2286191657909438</v>
      </c>
      <c r="AE169">
        <v>9.2395940170940172</v>
      </c>
      <c r="AG169" s="12">
        <f t="shared" si="14"/>
        <v>0</v>
      </c>
      <c r="AH169" s="12">
        <f t="shared" si="15"/>
        <v>0</v>
      </c>
      <c r="AI169" s="13">
        <f t="shared" si="16"/>
        <v>0</v>
      </c>
      <c r="AJ169" s="14">
        <f t="shared" si="17"/>
        <v>0.70016475321859151</v>
      </c>
    </row>
    <row r="170" spans="1:36" x14ac:dyDescent="0.2">
      <c r="A170">
        <v>2022</v>
      </c>
      <c r="B170" t="s">
        <v>189</v>
      </c>
      <c r="C170">
        <f>VLOOKUP(B170,Sheet5!$B$2:$C$2166,2,FALSE)</f>
        <v>1430</v>
      </c>
      <c r="D170">
        <v>555</v>
      </c>
      <c r="E170">
        <v>215</v>
      </c>
      <c r="F170" t="s">
        <v>195</v>
      </c>
      <c r="G170">
        <v>5</v>
      </c>
      <c r="H170">
        <v>6.3189681137464344</v>
      </c>
      <c r="I170">
        <v>1</v>
      </c>
      <c r="J170">
        <v>1</v>
      </c>
      <c r="K170">
        <v>1</v>
      </c>
      <c r="L170">
        <v>2</v>
      </c>
      <c r="M170" t="s">
        <v>25</v>
      </c>
      <c r="N170" t="s">
        <v>189</v>
      </c>
      <c r="O170">
        <v>1</v>
      </c>
      <c r="P170">
        <v>1</v>
      </c>
      <c r="Q170" t="s">
        <v>190</v>
      </c>
      <c r="R170" t="str">
        <f>VLOOKUP(Q170,GDP!$A$2:$B$266,1,FALSE)</f>
        <v>SWE</v>
      </c>
      <c r="S170" t="str">
        <f>VLOOKUP(Q170,GDP!$A$2:$B$266,2,FALSE)</f>
        <v>Sweden</v>
      </c>
      <c r="T170">
        <f>VLOOKUP(Q170,GDP!$A$1:$L$266,9,FALSE)</f>
        <v>62544.500224864409</v>
      </c>
      <c r="U170" s="4">
        <v>62544.500224864401</v>
      </c>
      <c r="V170" s="5">
        <f>VLOOKUP(Q170,POP!$B$5:$M$269,9,FALSE)</f>
        <v>6519659</v>
      </c>
      <c r="W170" s="4">
        <v>6519659</v>
      </c>
      <c r="X170">
        <f>VLOOKUP(Q170,YU!$B$1:$M$266,9,FALSE)</f>
        <v>21.597000000000001</v>
      </c>
      <c r="Y170" s="4">
        <v>21.597000000000001</v>
      </c>
      <c r="Z170">
        <v>7.3190999031066903</v>
      </c>
      <c r="AA170">
        <f t="shared" si="12"/>
        <v>11.043633585968013</v>
      </c>
      <c r="AB170">
        <f t="shared" si="13"/>
        <v>0.51923688385558364</v>
      </c>
      <c r="AC170" s="4">
        <v>0.51923688385558897</v>
      </c>
      <c r="AD170">
        <v>-0.22155247611958201</v>
      </c>
      <c r="AE170">
        <v>6.2815940170940188</v>
      </c>
      <c r="AG170" s="12">
        <f t="shared" si="14"/>
        <v>0</v>
      </c>
      <c r="AH170" s="12">
        <f t="shared" si="15"/>
        <v>0</v>
      </c>
      <c r="AI170" s="13">
        <f t="shared" si="16"/>
        <v>0</v>
      </c>
      <c r="AJ170" s="14">
        <f t="shared" si="17"/>
        <v>0.94646160950751845</v>
      </c>
    </row>
    <row r="171" spans="1:36" x14ac:dyDescent="0.2">
      <c r="A171">
        <v>2023</v>
      </c>
      <c r="B171" t="s">
        <v>189</v>
      </c>
      <c r="C171">
        <f>VLOOKUP(B171,Sheet5!$B$2:$C$2166,2,FALSE)</f>
        <v>1430</v>
      </c>
      <c r="D171">
        <v>490</v>
      </c>
      <c r="E171">
        <v>200</v>
      </c>
      <c r="F171" t="s">
        <v>196</v>
      </c>
      <c r="G171">
        <v>5</v>
      </c>
      <c r="H171">
        <v>6.1944053911046719</v>
      </c>
      <c r="I171">
        <v>1</v>
      </c>
      <c r="J171">
        <v>1</v>
      </c>
      <c r="K171">
        <v>1</v>
      </c>
      <c r="L171">
        <v>3</v>
      </c>
      <c r="M171" t="s">
        <v>25</v>
      </c>
      <c r="N171" t="s">
        <v>189</v>
      </c>
      <c r="O171">
        <v>1</v>
      </c>
      <c r="P171">
        <v>1</v>
      </c>
      <c r="Q171" t="s">
        <v>190</v>
      </c>
      <c r="R171" t="str">
        <f>VLOOKUP(Q171,GDP!$A$2:$B$266,1,FALSE)</f>
        <v>SWE</v>
      </c>
      <c r="S171" t="str">
        <f>VLOOKUP(Q171,GDP!$A$2:$B$266,2,FALSE)</f>
        <v>Sweden</v>
      </c>
      <c r="T171">
        <f>VLOOKUP(Q171,GDP!$A$1:$L$266,10,FALSE)</f>
        <v>62122.5116950792</v>
      </c>
      <c r="U171" s="4">
        <v>62122.5116950792</v>
      </c>
      <c r="V171" s="5">
        <f>VLOOKUP(Q171,POP!$B$5:$M$269,10,FALSE)</f>
        <v>6555238</v>
      </c>
      <c r="W171" s="4">
        <v>6555238</v>
      </c>
      <c r="X171">
        <f>VLOOKUP(Q171,YU!$B$1:$M$266,10,FALSE)</f>
        <v>21.940999999999999</v>
      </c>
      <c r="Y171" s="4">
        <v>21.940999999999999</v>
      </c>
      <c r="AA171">
        <f t="shared" si="12"/>
        <v>11.036863709398858</v>
      </c>
      <c r="AB171">
        <f t="shared" si="13"/>
        <v>0.51246700728642836</v>
      </c>
      <c r="AC171" s="4">
        <v>0.51246700728643368</v>
      </c>
      <c r="AD171">
        <v>-0.21611012535867499</v>
      </c>
      <c r="AE171">
        <v>6.6255940170940164</v>
      </c>
      <c r="AG171" s="12">
        <f t="shared" si="14"/>
        <v>0</v>
      </c>
      <c r="AH171" s="12">
        <f t="shared" si="15"/>
        <v>0</v>
      </c>
      <c r="AI171" s="13">
        <f t="shared" si="16"/>
        <v>0</v>
      </c>
      <c r="AJ171" s="14">
        <f t="shared" si="17"/>
        <v>1.0710243321492809</v>
      </c>
    </row>
    <row r="172" spans="1:36" x14ac:dyDescent="0.2">
      <c r="A172">
        <v>2024</v>
      </c>
      <c r="B172" t="s">
        <v>189</v>
      </c>
      <c r="C172">
        <f>VLOOKUP(B172,Sheet5!$B$2:$C$2166,2,FALSE)</f>
        <v>1430</v>
      </c>
      <c r="D172">
        <v>415</v>
      </c>
      <c r="E172">
        <v>160</v>
      </c>
      <c r="F172" t="s">
        <v>122</v>
      </c>
      <c r="G172">
        <v>0</v>
      </c>
      <c r="H172">
        <v>6.0282785202306979</v>
      </c>
      <c r="I172">
        <v>1</v>
      </c>
      <c r="J172">
        <v>1</v>
      </c>
      <c r="K172">
        <v>1</v>
      </c>
      <c r="L172">
        <v>4</v>
      </c>
      <c r="M172" t="s">
        <v>25</v>
      </c>
      <c r="N172" t="s">
        <v>189</v>
      </c>
      <c r="O172">
        <v>1</v>
      </c>
      <c r="P172">
        <v>1</v>
      </c>
      <c r="Q172" t="s">
        <v>190</v>
      </c>
      <c r="R172" t="str">
        <f>VLOOKUP(Q172,GDP!$A$2:$B$266,1,FALSE)</f>
        <v>SWE</v>
      </c>
      <c r="S172" t="str">
        <f>VLOOKUP(Q172,GDP!$A$2:$B$266,2,FALSE)</f>
        <v>Sweden</v>
      </c>
      <c r="T172">
        <f>VLOOKUP(Q172,GDP!$A$1:$L$266,11,FALSE)</f>
        <v>62558.406587604055</v>
      </c>
      <c r="U172" s="4">
        <v>62558.406587604099</v>
      </c>
      <c r="V172" s="5">
        <f>VLOOKUP(Q172,POP!$B$5:$M$269,11,FALSE)</f>
        <v>6581488</v>
      </c>
      <c r="W172" s="4">
        <v>6581488</v>
      </c>
      <c r="X172">
        <f>VLOOKUP(Q172,YU!$B$1:$M$266,11,FALSE)</f>
        <v>24.335999999999999</v>
      </c>
      <c r="Y172" s="4">
        <v>24.335999999999999</v>
      </c>
      <c r="AA172">
        <f t="shared" si="12"/>
        <v>11.043855904747829</v>
      </c>
      <c r="AB172">
        <f t="shared" si="13"/>
        <v>0.51945920263539946</v>
      </c>
      <c r="AC172" s="4">
        <v>0.51945920263540479</v>
      </c>
      <c r="AD172">
        <v>-0.21211369048782031</v>
      </c>
      <c r="AE172">
        <v>9.020594017094016</v>
      </c>
      <c r="AG172" s="12">
        <f t="shared" si="14"/>
        <v>0</v>
      </c>
      <c r="AH172" s="12">
        <f t="shared" si="15"/>
        <v>0</v>
      </c>
      <c r="AI172" s="13">
        <f t="shared" si="16"/>
        <v>0</v>
      </c>
      <c r="AJ172" s="14">
        <f t="shared" si="17"/>
        <v>1.237151203023255</v>
      </c>
    </row>
    <row r="173" spans="1:36" x14ac:dyDescent="0.2">
      <c r="A173">
        <v>2016</v>
      </c>
      <c r="B173" t="s">
        <v>197</v>
      </c>
      <c r="C173">
        <f>VLOOKUP(B173,Sheet5!$B$2:$C$2166,2,FALSE)</f>
        <v>470</v>
      </c>
      <c r="D173">
        <v>470</v>
      </c>
      <c r="E173">
        <v>295</v>
      </c>
      <c r="F173" t="s">
        <v>198</v>
      </c>
      <c r="G173">
        <v>0</v>
      </c>
      <c r="H173">
        <v>6.1527326947041043</v>
      </c>
      <c r="I173">
        <v>1</v>
      </c>
      <c r="J173">
        <v>1</v>
      </c>
      <c r="K173">
        <v>0</v>
      </c>
      <c r="L173">
        <v>-4</v>
      </c>
      <c r="M173" t="s">
        <v>25</v>
      </c>
      <c r="N173" t="s">
        <v>197</v>
      </c>
      <c r="O173">
        <v>1</v>
      </c>
      <c r="P173">
        <v>0</v>
      </c>
      <c r="Q173" t="s">
        <v>199</v>
      </c>
      <c r="R173" t="str">
        <f>VLOOKUP(Q173,GDP!$A$2:$B$266,1,FALSE)</f>
        <v>EST</v>
      </c>
      <c r="S173" t="str">
        <f>VLOOKUP(Q173,GDP!$A$2:$B$266,2,FALSE)</f>
        <v>Estonia</v>
      </c>
      <c r="T173">
        <f>VLOOKUP(Q173,GDP!$A$1:$C$266,3,FALSE)</f>
        <v>37466.556183931774</v>
      </c>
      <c r="U173" s="4">
        <v>37466.556183931803</v>
      </c>
      <c r="V173" s="5">
        <f>VLOOKUP(Q173,POP!$B$5:$M$269,3,FALSE)</f>
        <v>850825</v>
      </c>
      <c r="W173" s="4">
        <v>850825</v>
      </c>
      <c r="X173">
        <f>VLOOKUP(Q173,YU!$B$1:$D$266,3,FALSE)</f>
        <v>14.125</v>
      </c>
      <c r="Y173" s="4">
        <v>14.125</v>
      </c>
      <c r="Z173">
        <v>5.0551199913024902</v>
      </c>
      <c r="AA173">
        <f t="shared" si="12"/>
        <v>10.531203978941827</v>
      </c>
      <c r="AB173">
        <f t="shared" si="13"/>
        <v>6.8072768293969688E-3</v>
      </c>
      <c r="AC173" s="4">
        <v>6.8072768294022978E-3</v>
      </c>
      <c r="AD173">
        <v>-2.2579233620556072</v>
      </c>
      <c r="AE173">
        <v>-1.190405982905983</v>
      </c>
      <c r="AG173" s="12">
        <f t="shared" si="14"/>
        <v>0</v>
      </c>
      <c r="AH173" s="12">
        <f t="shared" si="15"/>
        <v>0</v>
      </c>
      <c r="AI173" s="13">
        <f t="shared" si="16"/>
        <v>0</v>
      </c>
      <c r="AJ173" s="14">
        <f t="shared" si="17"/>
        <v>0</v>
      </c>
    </row>
    <row r="174" spans="1:36" x14ac:dyDescent="0.2">
      <c r="A174">
        <v>2017</v>
      </c>
      <c r="B174" t="s">
        <v>197</v>
      </c>
      <c r="C174">
        <f>VLOOKUP(B174,Sheet5!$B$2:$C$2166,2,FALSE)</f>
        <v>470</v>
      </c>
      <c r="D174">
        <v>410</v>
      </c>
      <c r="E174">
        <v>245</v>
      </c>
      <c r="F174" t="s">
        <v>140</v>
      </c>
      <c r="G174">
        <v>0</v>
      </c>
      <c r="H174">
        <v>6.0161571596983539</v>
      </c>
      <c r="I174">
        <v>1</v>
      </c>
      <c r="J174">
        <v>1</v>
      </c>
      <c r="K174">
        <v>0</v>
      </c>
      <c r="L174">
        <v>-3</v>
      </c>
      <c r="M174" t="s">
        <v>25</v>
      </c>
      <c r="N174" t="s">
        <v>197</v>
      </c>
      <c r="O174">
        <v>1</v>
      </c>
      <c r="P174">
        <v>0</v>
      </c>
      <c r="Q174" t="s">
        <v>199</v>
      </c>
      <c r="R174" t="str">
        <f>VLOOKUP(Q174,GDP!$A$2:$B$266,1,FALSE)</f>
        <v>EST</v>
      </c>
      <c r="S174" t="str">
        <f>VLOOKUP(Q174,GDP!$A$2:$B$266,2,FALSE)</f>
        <v>Estonia</v>
      </c>
      <c r="T174">
        <f>VLOOKUP(Q174,GDP!$A$1:$L$266,4,FALSE)</f>
        <v>39529.78597327898</v>
      </c>
      <c r="U174" s="4">
        <v>39529.785973279002</v>
      </c>
      <c r="V174" s="5">
        <f>VLOOKUP(Q174,POP!$B$5:$M$269,4,FALSE)</f>
        <v>846512</v>
      </c>
      <c r="W174" s="4">
        <v>846512</v>
      </c>
      <c r="X174">
        <f>VLOOKUP(Q174,YU!$B$1:$M$266,4,FALSE)</f>
        <v>12.176</v>
      </c>
      <c r="Y174" s="4">
        <v>12.176</v>
      </c>
      <c r="Z174">
        <v>4.8628802299499503</v>
      </c>
      <c r="AA174">
        <f t="shared" si="12"/>
        <v>10.58480974199019</v>
      </c>
      <c r="AB174">
        <f t="shared" si="13"/>
        <v>6.0413039877760255E-2</v>
      </c>
      <c r="AC174" s="4">
        <v>6.0413039877765577E-2</v>
      </c>
      <c r="AD174">
        <v>-2.2630054515674458</v>
      </c>
      <c r="AE174">
        <v>-3.1394059829059819</v>
      </c>
      <c r="AG174" s="12">
        <f t="shared" si="14"/>
        <v>0</v>
      </c>
      <c r="AH174" s="12">
        <f t="shared" si="15"/>
        <v>0</v>
      </c>
      <c r="AI174" s="13">
        <f t="shared" si="16"/>
        <v>0</v>
      </c>
      <c r="AJ174" s="14">
        <f t="shared" si="17"/>
        <v>0.13657553500575048</v>
      </c>
    </row>
    <row r="175" spans="1:36" x14ac:dyDescent="0.2">
      <c r="A175">
        <v>2018</v>
      </c>
      <c r="B175" t="s">
        <v>197</v>
      </c>
      <c r="C175">
        <f>VLOOKUP(B175,Sheet5!$B$2:$C$2166,2,FALSE)</f>
        <v>470</v>
      </c>
      <c r="D175">
        <v>395</v>
      </c>
      <c r="E175">
        <v>225</v>
      </c>
      <c r="F175" t="s">
        <v>200</v>
      </c>
      <c r="G175">
        <v>0</v>
      </c>
      <c r="H175">
        <v>5.978885764901122</v>
      </c>
      <c r="I175">
        <v>1</v>
      </c>
      <c r="J175">
        <v>1</v>
      </c>
      <c r="K175">
        <v>0</v>
      </c>
      <c r="L175">
        <v>-2</v>
      </c>
      <c r="M175" t="s">
        <v>25</v>
      </c>
      <c r="N175" t="s">
        <v>197</v>
      </c>
      <c r="O175">
        <v>1</v>
      </c>
      <c r="P175">
        <v>0</v>
      </c>
      <c r="Q175" t="s">
        <v>199</v>
      </c>
      <c r="R175" t="str">
        <f>VLOOKUP(Q175,GDP!$A$2:$B$266,1,FALSE)</f>
        <v>EST</v>
      </c>
      <c r="S175" t="str">
        <f>VLOOKUP(Q175,GDP!$A$2:$B$266,2,FALSE)</f>
        <v>Estonia</v>
      </c>
      <c r="T175">
        <f>VLOOKUP(Q175,GDP!$A$1:$L$266,5,FALSE)</f>
        <v>40849.847347556373</v>
      </c>
      <c r="U175" s="4">
        <v>40849.847347556402</v>
      </c>
      <c r="V175" s="5">
        <f>VLOOKUP(Q175,POP!$B$5:$M$269,5,FALSE)</f>
        <v>845545</v>
      </c>
      <c r="W175" s="4">
        <v>845545</v>
      </c>
      <c r="X175">
        <f>VLOOKUP(Q175,YU!$B$1:$M$266,5,FALSE)</f>
        <v>12.076000000000001</v>
      </c>
      <c r="Y175" s="4">
        <v>12.076000000000001</v>
      </c>
      <c r="Z175">
        <v>5.1396298408508301</v>
      </c>
      <c r="AA175">
        <f t="shared" si="12"/>
        <v>10.617658363379242</v>
      </c>
      <c r="AB175">
        <f t="shared" si="13"/>
        <v>9.3261661266812013E-2</v>
      </c>
      <c r="AC175" s="4">
        <v>9.3261661266817342E-2</v>
      </c>
      <c r="AD175">
        <v>-2.264148439191711</v>
      </c>
      <c r="AE175">
        <v>-3.239405982905982</v>
      </c>
      <c r="AG175" s="12">
        <f t="shared" si="14"/>
        <v>0</v>
      </c>
      <c r="AH175" s="12">
        <f t="shared" si="15"/>
        <v>0</v>
      </c>
      <c r="AI175" s="13">
        <f t="shared" si="16"/>
        <v>0</v>
      </c>
      <c r="AJ175" s="14">
        <f t="shared" si="17"/>
        <v>0.17384692980298233</v>
      </c>
    </row>
    <row r="176" spans="1:36" x14ac:dyDescent="0.2">
      <c r="A176">
        <v>2019</v>
      </c>
      <c r="B176" t="s">
        <v>197</v>
      </c>
      <c r="C176">
        <f>VLOOKUP(B176,Sheet5!$B$2:$C$2166,2,FALSE)</f>
        <v>470</v>
      </c>
      <c r="D176">
        <v>410</v>
      </c>
      <c r="E176">
        <v>245</v>
      </c>
      <c r="F176" t="s">
        <v>103</v>
      </c>
      <c r="G176">
        <v>0</v>
      </c>
      <c r="H176">
        <v>6.0161571596983539</v>
      </c>
      <c r="I176">
        <v>1</v>
      </c>
      <c r="J176">
        <v>1</v>
      </c>
      <c r="K176">
        <v>0</v>
      </c>
      <c r="L176">
        <v>-1</v>
      </c>
      <c r="M176" t="s">
        <v>25</v>
      </c>
      <c r="N176" t="s">
        <v>197</v>
      </c>
      <c r="O176">
        <v>1</v>
      </c>
      <c r="P176">
        <v>0</v>
      </c>
      <c r="Q176" t="s">
        <v>199</v>
      </c>
      <c r="R176" t="str">
        <f>VLOOKUP(Q176,GDP!$A$2:$B$266,1,FALSE)</f>
        <v>EST</v>
      </c>
      <c r="S176" t="str">
        <f>VLOOKUP(Q176,GDP!$A$2:$B$266,2,FALSE)</f>
        <v>Estonia</v>
      </c>
      <c r="T176">
        <f>VLOOKUP(Q176,GDP!$A$1:$L$266,6,FALSE)</f>
        <v>42215.034383581064</v>
      </c>
      <c r="U176" s="4">
        <v>42215.0343835811</v>
      </c>
      <c r="V176" s="5">
        <f>VLOOKUP(Q176,POP!$B$5:$M$269,6,FALSE)</f>
        <v>844816</v>
      </c>
      <c r="W176" s="4">
        <v>844816</v>
      </c>
      <c r="X176">
        <f>VLOOKUP(Q176,YU!$B$1:$M$266,6,FALSE)</f>
        <v>11.622999999999999</v>
      </c>
      <c r="Y176" s="4">
        <v>11.622999999999999</v>
      </c>
      <c r="Z176">
        <v>5.1641502380371103</v>
      </c>
      <c r="AA176">
        <f t="shared" si="12"/>
        <v>10.650531701590561</v>
      </c>
      <c r="AB176">
        <f t="shared" si="13"/>
        <v>0.12613499947813089</v>
      </c>
      <c r="AC176" s="4">
        <v>0.126134999478138</v>
      </c>
      <c r="AD176">
        <v>-2.2650109768924689</v>
      </c>
      <c r="AE176">
        <v>-3.6924059829059832</v>
      </c>
      <c r="AG176" s="12">
        <f t="shared" si="14"/>
        <v>0</v>
      </c>
      <c r="AH176" s="12">
        <f t="shared" si="15"/>
        <v>0</v>
      </c>
      <c r="AI176" s="13">
        <f t="shared" si="16"/>
        <v>0</v>
      </c>
      <c r="AJ176" s="14">
        <f t="shared" si="17"/>
        <v>0.13657553500575048</v>
      </c>
    </row>
    <row r="177" spans="1:36" x14ac:dyDescent="0.2">
      <c r="A177">
        <v>2020</v>
      </c>
      <c r="B177" t="s">
        <v>197</v>
      </c>
      <c r="C177">
        <f>VLOOKUP(B177,Sheet5!$B$2:$C$2166,2,FALSE)</f>
        <v>470</v>
      </c>
      <c r="D177">
        <v>400</v>
      </c>
      <c r="E177">
        <v>210</v>
      </c>
      <c r="F177" t="s">
        <v>201</v>
      </c>
      <c r="G177">
        <v>0</v>
      </c>
      <c r="H177">
        <v>5.9914645471079817</v>
      </c>
      <c r="I177">
        <v>1</v>
      </c>
      <c r="J177">
        <v>1</v>
      </c>
      <c r="K177">
        <v>0</v>
      </c>
      <c r="L177">
        <v>0</v>
      </c>
      <c r="M177" t="s">
        <v>25</v>
      </c>
      <c r="N177" t="s">
        <v>197</v>
      </c>
      <c r="O177">
        <v>1</v>
      </c>
      <c r="P177">
        <v>0</v>
      </c>
      <c r="Q177" t="s">
        <v>199</v>
      </c>
      <c r="R177" t="str">
        <f>VLOOKUP(Q177,GDP!$A$2:$B$266,1,FALSE)</f>
        <v>EST</v>
      </c>
      <c r="S177" t="str">
        <f>VLOOKUP(Q177,GDP!$A$2:$B$266,2,FALSE)</f>
        <v>Estonia</v>
      </c>
      <c r="T177">
        <f>VLOOKUP(Q177,GDP!$A$1:$L$266,7,FALSE)</f>
        <v>40916.719411332728</v>
      </c>
      <c r="U177" s="4">
        <v>40916.719411332699</v>
      </c>
      <c r="V177" s="5">
        <f>VLOOKUP(Q177,POP!$B$5:$M$269,7,FALSE)</f>
        <v>842406</v>
      </c>
      <c r="W177" s="4">
        <v>842406</v>
      </c>
      <c r="X177">
        <f>VLOOKUP(Q177,YU!$B$1:$M$266,7,FALSE)</f>
        <v>18.417000000000002</v>
      </c>
      <c r="Y177" s="4">
        <v>18.417000000000002</v>
      </c>
      <c r="Z177">
        <v>5.4418001174926802</v>
      </c>
      <c r="AA177">
        <f t="shared" si="12"/>
        <v>10.619294046063168</v>
      </c>
      <c r="AB177">
        <f t="shared" si="13"/>
        <v>9.4897343950737678E-2</v>
      </c>
      <c r="AC177" s="4">
        <v>9.4897343950743007E-2</v>
      </c>
      <c r="AD177">
        <v>-2.2678677457575351</v>
      </c>
      <c r="AE177">
        <v>3.1015940170940191</v>
      </c>
      <c r="AG177" s="12">
        <f t="shared" si="14"/>
        <v>0</v>
      </c>
      <c r="AH177" s="12">
        <f t="shared" si="15"/>
        <v>0</v>
      </c>
      <c r="AI177" s="13">
        <f t="shared" si="16"/>
        <v>0</v>
      </c>
      <c r="AJ177" s="14">
        <f t="shared" si="17"/>
        <v>0.16126814759612262</v>
      </c>
    </row>
    <row r="178" spans="1:36" x14ac:dyDescent="0.2">
      <c r="A178">
        <v>2021</v>
      </c>
      <c r="B178" t="s">
        <v>197</v>
      </c>
      <c r="C178">
        <f>VLOOKUP(B178,Sheet5!$B$2:$C$2166,2,FALSE)</f>
        <v>470</v>
      </c>
      <c r="D178">
        <v>140</v>
      </c>
      <c r="E178">
        <v>55</v>
      </c>
      <c r="F178" t="s">
        <v>118</v>
      </c>
      <c r="G178">
        <v>0</v>
      </c>
      <c r="H178">
        <v>4.9416424226093039</v>
      </c>
      <c r="I178">
        <v>1</v>
      </c>
      <c r="J178">
        <v>1</v>
      </c>
      <c r="K178">
        <v>1</v>
      </c>
      <c r="L178">
        <v>1</v>
      </c>
      <c r="M178" t="s">
        <v>25</v>
      </c>
      <c r="N178" t="s">
        <v>197</v>
      </c>
      <c r="O178">
        <v>1</v>
      </c>
      <c r="P178">
        <v>1</v>
      </c>
      <c r="Q178" t="s">
        <v>199</v>
      </c>
      <c r="R178" t="str">
        <f>VLOOKUP(Q178,GDP!$A$2:$B$266,1,FALSE)</f>
        <v>EST</v>
      </c>
      <c r="S178" t="str">
        <f>VLOOKUP(Q178,GDP!$A$2:$B$266,2,FALSE)</f>
        <v>Estonia</v>
      </c>
      <c r="T178">
        <f>VLOOKUP(Q178,GDP!$A$1:$L$266,8,FALSE)</f>
        <v>44247.419897187276</v>
      </c>
      <c r="U178" s="4">
        <v>44247.419897187297</v>
      </c>
      <c r="V178" s="5">
        <f>VLOOKUP(Q178,POP!$B$5:$M$269,8,FALSE)</f>
        <v>840945</v>
      </c>
      <c r="W178" s="4">
        <v>840945</v>
      </c>
      <c r="X178">
        <f>VLOOKUP(Q178,YU!$B$1:$M$266,8,FALSE)</f>
        <v>16.622</v>
      </c>
      <c r="Y178" s="4">
        <v>16.622</v>
      </c>
      <c r="Z178">
        <v>5.21514987945557</v>
      </c>
      <c r="AA178">
        <f t="shared" si="12"/>
        <v>10.697552341327935</v>
      </c>
      <c r="AB178">
        <f t="shared" si="13"/>
        <v>0.17315563921550492</v>
      </c>
      <c r="AC178" s="4">
        <v>0.173155639215512</v>
      </c>
      <c r="AD178">
        <v>-2.2696035695599899</v>
      </c>
      <c r="AE178">
        <v>1.3065940170940169</v>
      </c>
      <c r="AG178" s="12">
        <f t="shared" si="14"/>
        <v>0</v>
      </c>
      <c r="AH178" s="12">
        <f t="shared" si="15"/>
        <v>0</v>
      </c>
      <c r="AI178" s="13">
        <f t="shared" si="16"/>
        <v>0</v>
      </c>
      <c r="AJ178" s="14">
        <f t="shared" si="17"/>
        <v>1.2110902720948005</v>
      </c>
    </row>
    <row r="179" spans="1:36" x14ac:dyDescent="0.2">
      <c r="A179">
        <v>2022</v>
      </c>
      <c r="B179" t="s">
        <v>197</v>
      </c>
      <c r="C179">
        <f>VLOOKUP(B179,Sheet5!$B$2:$C$2166,2,FALSE)</f>
        <v>470</v>
      </c>
      <c r="D179">
        <v>105</v>
      </c>
      <c r="E179">
        <v>45</v>
      </c>
      <c r="F179" t="s">
        <v>92</v>
      </c>
      <c r="G179">
        <v>0</v>
      </c>
      <c r="H179">
        <v>4.6539603501575231</v>
      </c>
      <c r="I179">
        <v>1</v>
      </c>
      <c r="J179">
        <v>1</v>
      </c>
      <c r="K179">
        <v>1</v>
      </c>
      <c r="L179">
        <v>2</v>
      </c>
      <c r="M179" t="s">
        <v>25</v>
      </c>
      <c r="N179" t="s">
        <v>197</v>
      </c>
      <c r="O179">
        <v>1</v>
      </c>
      <c r="P179">
        <v>1</v>
      </c>
      <c r="Q179" t="s">
        <v>199</v>
      </c>
      <c r="R179" t="str">
        <f>VLOOKUP(Q179,GDP!$A$2:$B$266,1,FALSE)</f>
        <v>EST</v>
      </c>
      <c r="S179" t="str">
        <f>VLOOKUP(Q179,GDP!$A$2:$B$266,2,FALSE)</f>
        <v>Estonia</v>
      </c>
      <c r="T179">
        <f>VLOOKUP(Q179,GDP!$A$1:$L$266,9,FALSE)</f>
        <v>43124.619656377537</v>
      </c>
      <c r="U179" s="4">
        <v>43124.619656377501</v>
      </c>
      <c r="V179" s="5">
        <f>VLOOKUP(Q179,POP!$B$5:$M$269,9,FALSE)</f>
        <v>851614</v>
      </c>
      <c r="W179" s="4">
        <v>851614</v>
      </c>
      <c r="X179">
        <f>VLOOKUP(Q179,YU!$B$1:$M$266,9,FALSE)</f>
        <v>18.391999999999999</v>
      </c>
      <c r="Y179" s="4">
        <v>18.391999999999999</v>
      </c>
      <c r="Z179">
        <v>5.2073397636413601</v>
      </c>
      <c r="AA179">
        <f t="shared" si="12"/>
        <v>10.671849334732508</v>
      </c>
      <c r="AB179">
        <f t="shared" si="13"/>
        <v>0.14745263262007846</v>
      </c>
      <c r="AC179" s="4">
        <v>0.14745263262008379</v>
      </c>
      <c r="AD179">
        <v>-2.256996456531839</v>
      </c>
      <c r="AE179">
        <v>3.0765940170940169</v>
      </c>
      <c r="AG179" s="12">
        <f t="shared" si="14"/>
        <v>0</v>
      </c>
      <c r="AH179" s="12">
        <f t="shared" si="15"/>
        <v>0</v>
      </c>
      <c r="AI179" s="13">
        <f t="shared" si="16"/>
        <v>0</v>
      </c>
      <c r="AJ179" s="14">
        <f t="shared" si="17"/>
        <v>1.4987723445465813</v>
      </c>
    </row>
    <row r="180" spans="1:36" x14ac:dyDescent="0.2">
      <c r="A180">
        <v>2023</v>
      </c>
      <c r="B180" t="s">
        <v>197</v>
      </c>
      <c r="C180">
        <f>VLOOKUP(B180,Sheet5!$B$2:$C$2166,2,FALSE)</f>
        <v>470</v>
      </c>
      <c r="D180">
        <v>95</v>
      </c>
      <c r="E180">
        <v>30</v>
      </c>
      <c r="F180" t="s">
        <v>202</v>
      </c>
      <c r="G180">
        <v>0</v>
      </c>
      <c r="H180">
        <v>4.5538768916005408</v>
      </c>
      <c r="I180">
        <v>1</v>
      </c>
      <c r="J180">
        <v>1</v>
      </c>
      <c r="K180">
        <v>1</v>
      </c>
      <c r="L180">
        <v>3</v>
      </c>
      <c r="M180" t="s">
        <v>25</v>
      </c>
      <c r="N180" t="s">
        <v>197</v>
      </c>
      <c r="O180">
        <v>1</v>
      </c>
      <c r="P180">
        <v>1</v>
      </c>
      <c r="Q180" t="s">
        <v>199</v>
      </c>
      <c r="R180" t="str">
        <f>VLOOKUP(Q180,GDP!$A$2:$B$266,1,FALSE)</f>
        <v>EST</v>
      </c>
      <c r="S180" t="str">
        <f>VLOOKUP(Q180,GDP!$A$2:$B$266,2,FALSE)</f>
        <v>Estonia</v>
      </c>
      <c r="T180">
        <f>VLOOKUP(Q180,GDP!$A$1:$L$266,10,FALSE)</f>
        <v>41284.774687553152</v>
      </c>
      <c r="U180" s="4">
        <v>41284.774687553203</v>
      </c>
      <c r="V180" s="5">
        <f>VLOOKUP(Q180,POP!$B$5:$M$269,10,FALSE)</f>
        <v>864892</v>
      </c>
      <c r="W180" s="4">
        <v>864892</v>
      </c>
      <c r="X180">
        <f>VLOOKUP(Q180,YU!$B$1:$M$266,10,FALSE)</f>
        <v>17.207000000000001</v>
      </c>
      <c r="Y180" s="4">
        <v>17.207000000000001</v>
      </c>
      <c r="AA180">
        <f t="shared" si="12"/>
        <v>10.62824905934731</v>
      </c>
      <c r="AB180">
        <f t="shared" si="13"/>
        <v>0.10385235723487973</v>
      </c>
      <c r="AC180" s="4">
        <v>0.1038523572348868</v>
      </c>
      <c r="AD180">
        <v>-2.2415251854136038</v>
      </c>
      <c r="AE180">
        <v>1.891594017094018</v>
      </c>
      <c r="AG180" s="12">
        <f t="shared" si="14"/>
        <v>0</v>
      </c>
      <c r="AH180" s="12">
        <f t="shared" si="15"/>
        <v>0</v>
      </c>
      <c r="AI180" s="13">
        <f t="shared" si="16"/>
        <v>0</v>
      </c>
      <c r="AJ180" s="14">
        <f t="shared" si="17"/>
        <v>1.5988558031035636</v>
      </c>
    </row>
    <row r="181" spans="1:36" x14ac:dyDescent="0.2">
      <c r="A181">
        <v>2024</v>
      </c>
      <c r="B181" t="s">
        <v>197</v>
      </c>
      <c r="C181">
        <f>VLOOKUP(B181,Sheet5!$B$2:$C$2166,2,FALSE)</f>
        <v>470</v>
      </c>
      <c r="D181">
        <v>85</v>
      </c>
      <c r="E181">
        <v>35</v>
      </c>
      <c r="F181" t="s">
        <v>163</v>
      </c>
      <c r="G181">
        <v>0</v>
      </c>
      <c r="H181">
        <v>4.4426512564903167</v>
      </c>
      <c r="I181">
        <v>1</v>
      </c>
      <c r="J181">
        <v>1</v>
      </c>
      <c r="K181">
        <v>1</v>
      </c>
      <c r="L181">
        <v>4</v>
      </c>
      <c r="M181" t="s">
        <v>25</v>
      </c>
      <c r="N181" t="s">
        <v>197</v>
      </c>
      <c r="O181">
        <v>1</v>
      </c>
      <c r="P181">
        <v>1</v>
      </c>
      <c r="Q181" t="s">
        <v>199</v>
      </c>
      <c r="R181" t="str">
        <f>VLOOKUP(Q181,GDP!$A$2:$B$266,1,FALSE)</f>
        <v>EST</v>
      </c>
      <c r="S181" t="str">
        <f>VLOOKUP(Q181,GDP!$A$2:$B$266,2,FALSE)</f>
        <v>Estonia</v>
      </c>
      <c r="T181">
        <f>VLOOKUP(Q181,GDP!$A$1:$L$266,11,FALSE)</f>
        <v>41185.834835610876</v>
      </c>
      <c r="U181" s="4">
        <v>41185.834835610898</v>
      </c>
      <c r="V181" s="5">
        <f>VLOOKUP(Q181,POP!$B$5:$M$269,11,FALSE)</f>
        <v>865468</v>
      </c>
      <c r="W181" s="4">
        <v>865468</v>
      </c>
      <c r="X181">
        <f>VLOOKUP(Q181,YU!$B$1:$M$266,11,FALSE)</f>
        <v>19.256</v>
      </c>
      <c r="Y181" s="4">
        <v>19.256</v>
      </c>
      <c r="AA181">
        <f t="shared" si="12"/>
        <v>10.625849661550165</v>
      </c>
      <c r="AB181">
        <f t="shared" si="13"/>
        <v>0.10145295943773469</v>
      </c>
      <c r="AC181" s="4">
        <v>0.10145295943774001</v>
      </c>
      <c r="AD181">
        <v>-2.240859427974371</v>
      </c>
      <c r="AE181">
        <v>3.9405940170940181</v>
      </c>
      <c r="AG181" s="12">
        <f t="shared" si="14"/>
        <v>0</v>
      </c>
      <c r="AH181" s="12">
        <f t="shared" si="15"/>
        <v>0</v>
      </c>
      <c r="AI181" s="13">
        <f t="shared" si="16"/>
        <v>0</v>
      </c>
      <c r="AJ181" s="14">
        <f t="shared" si="17"/>
        <v>1.7100814382137877</v>
      </c>
    </row>
    <row r="182" spans="1:36" x14ac:dyDescent="0.2">
      <c r="A182">
        <v>2016</v>
      </c>
      <c r="B182" t="s">
        <v>203</v>
      </c>
      <c r="C182">
        <f>VLOOKUP(B182,Sheet5!$B$2:$C$2166,2,FALSE)</f>
        <v>590</v>
      </c>
      <c r="D182">
        <v>590</v>
      </c>
      <c r="E182">
        <v>375</v>
      </c>
      <c r="F182" t="s">
        <v>204</v>
      </c>
      <c r="G182">
        <v>0</v>
      </c>
      <c r="H182">
        <v>6.3801225368997647</v>
      </c>
      <c r="I182">
        <v>1</v>
      </c>
      <c r="J182">
        <v>1</v>
      </c>
      <c r="K182">
        <v>0</v>
      </c>
      <c r="L182">
        <v>-4</v>
      </c>
      <c r="M182" t="s">
        <v>25</v>
      </c>
      <c r="N182" t="s">
        <v>203</v>
      </c>
      <c r="O182">
        <v>1</v>
      </c>
      <c r="P182">
        <v>0</v>
      </c>
      <c r="Q182" t="s">
        <v>205</v>
      </c>
      <c r="R182" t="str">
        <f>VLOOKUP(Q182,GDP!$A$2:$B$266,1,FALSE)</f>
        <v>LVA</v>
      </c>
      <c r="S182" t="str">
        <f>VLOOKUP(Q182,GDP!$A$2:$B$266,2,FALSE)</f>
        <v>Latvia</v>
      </c>
      <c r="T182">
        <f>VLOOKUP(Q182,GDP!$A$1:$C$266,3,FALSE)</f>
        <v>31668.51484426617</v>
      </c>
      <c r="U182" s="4">
        <v>31668.514844266199</v>
      </c>
      <c r="V182" s="5">
        <f>VLOOKUP(Q182,POP!$B$5:$M$269,3,FALSE)</f>
        <v>1270152</v>
      </c>
      <c r="W182" s="4">
        <v>1270152</v>
      </c>
      <c r="X182">
        <f>VLOOKUP(Q182,YU!$B$1:$D$266,3,FALSE)</f>
        <v>17.271000000000001</v>
      </c>
      <c r="Y182" s="4">
        <v>17.271000000000001</v>
      </c>
      <c r="Z182">
        <v>4.8235001564025897</v>
      </c>
      <c r="AA182">
        <f t="shared" si="12"/>
        <v>10.363078243714627</v>
      </c>
      <c r="AB182">
        <f t="shared" si="13"/>
        <v>-0.1613184583978029</v>
      </c>
      <c r="AC182" s="4">
        <v>-0.16131845839779579</v>
      </c>
      <c r="AD182">
        <v>-1.8572379717287339</v>
      </c>
      <c r="AE182">
        <v>1.955594017094018</v>
      </c>
      <c r="AG182" s="12">
        <f t="shared" si="14"/>
        <v>-2.9103830456733704E-11</v>
      </c>
      <c r="AH182" s="12">
        <f t="shared" si="15"/>
        <v>0</v>
      </c>
      <c r="AI182" s="13">
        <f t="shared" si="16"/>
        <v>0</v>
      </c>
      <c r="AJ182" s="14">
        <f t="shared" si="17"/>
        <v>0</v>
      </c>
    </row>
    <row r="183" spans="1:36" x14ac:dyDescent="0.2">
      <c r="A183">
        <v>2017</v>
      </c>
      <c r="B183" t="s">
        <v>203</v>
      </c>
      <c r="C183">
        <f>VLOOKUP(B183,Sheet5!$B$2:$C$2166,2,FALSE)</f>
        <v>590</v>
      </c>
      <c r="D183">
        <v>590</v>
      </c>
      <c r="E183">
        <v>385</v>
      </c>
      <c r="F183" t="s">
        <v>206</v>
      </c>
      <c r="G183">
        <v>0</v>
      </c>
      <c r="H183">
        <v>6.3801225368997647</v>
      </c>
      <c r="I183">
        <v>1</v>
      </c>
      <c r="J183">
        <v>1</v>
      </c>
      <c r="K183">
        <v>0</v>
      </c>
      <c r="L183">
        <v>-3</v>
      </c>
      <c r="M183" t="s">
        <v>25</v>
      </c>
      <c r="N183" t="s">
        <v>203</v>
      </c>
      <c r="O183">
        <v>1</v>
      </c>
      <c r="P183">
        <v>0</v>
      </c>
      <c r="Q183" t="s">
        <v>205</v>
      </c>
      <c r="R183" t="str">
        <f>VLOOKUP(Q183,GDP!$A$2:$B$266,1,FALSE)</f>
        <v>LVA</v>
      </c>
      <c r="S183" t="str">
        <f>VLOOKUP(Q183,GDP!$A$2:$B$266,2,FALSE)</f>
        <v>Latvia</v>
      </c>
      <c r="T183">
        <f>VLOOKUP(Q183,GDP!$A$1:$L$266,4,FALSE)</f>
        <v>33036.391594343688</v>
      </c>
      <c r="U183" s="4">
        <v>33036.391594343702</v>
      </c>
      <c r="V183" s="5">
        <f>VLOOKUP(Q183,POP!$B$5:$M$269,4,FALSE)</f>
        <v>1249196</v>
      </c>
      <c r="W183" s="4">
        <v>1249196</v>
      </c>
      <c r="X183">
        <f>VLOOKUP(Q183,YU!$B$1:$M$266,4,FALSE)</f>
        <v>16.971</v>
      </c>
      <c r="Y183" s="4">
        <v>16.971</v>
      </c>
      <c r="Z183">
        <v>4.5290598869323704</v>
      </c>
      <c r="AA183">
        <f t="shared" si="12"/>
        <v>10.405365008424457</v>
      </c>
      <c r="AB183">
        <f t="shared" si="13"/>
        <v>-0.11903169368797251</v>
      </c>
      <c r="AC183" s="4">
        <v>-0.1190316936879672</v>
      </c>
      <c r="AD183">
        <v>-1.8738744057045731</v>
      </c>
      <c r="AE183">
        <v>1.655594017094018</v>
      </c>
      <c r="AG183" s="12">
        <f t="shared" si="14"/>
        <v>0</v>
      </c>
      <c r="AH183" s="12">
        <f t="shared" si="15"/>
        <v>0</v>
      </c>
      <c r="AI183" s="13">
        <f t="shared" si="16"/>
        <v>0</v>
      </c>
      <c r="AJ183" s="14">
        <f t="shared" si="17"/>
        <v>0</v>
      </c>
    </row>
    <row r="184" spans="1:36" x14ac:dyDescent="0.2">
      <c r="A184">
        <v>2018</v>
      </c>
      <c r="B184" t="s">
        <v>203</v>
      </c>
      <c r="C184">
        <f>VLOOKUP(B184,Sheet5!$B$2:$C$2166,2,FALSE)</f>
        <v>590</v>
      </c>
      <c r="D184">
        <v>575</v>
      </c>
      <c r="E184">
        <v>345</v>
      </c>
      <c r="F184" t="s">
        <v>140</v>
      </c>
      <c r="G184">
        <v>0</v>
      </c>
      <c r="H184">
        <v>6.3543700407973507</v>
      </c>
      <c r="I184">
        <v>1</v>
      </c>
      <c r="J184">
        <v>1</v>
      </c>
      <c r="K184">
        <v>0</v>
      </c>
      <c r="L184">
        <v>-2</v>
      </c>
      <c r="M184" t="s">
        <v>25</v>
      </c>
      <c r="N184" t="s">
        <v>203</v>
      </c>
      <c r="O184">
        <v>1</v>
      </c>
      <c r="P184">
        <v>0</v>
      </c>
      <c r="Q184" t="s">
        <v>205</v>
      </c>
      <c r="R184" t="str">
        <f>VLOOKUP(Q184,GDP!$A$2:$B$266,1,FALSE)</f>
        <v>LVA</v>
      </c>
      <c r="S184" t="str">
        <f>VLOOKUP(Q184,GDP!$A$2:$B$266,2,FALSE)</f>
        <v>Latvia</v>
      </c>
      <c r="T184">
        <f>VLOOKUP(Q184,GDP!$A$1:$L$266,5,FALSE)</f>
        <v>34729.706276305653</v>
      </c>
      <c r="U184" s="4">
        <v>34729.706276305697</v>
      </c>
      <c r="V184" s="5">
        <f>VLOOKUP(Q184,POP!$B$5:$M$269,5,FALSE)</f>
        <v>1232794</v>
      </c>
      <c r="W184" s="4">
        <v>1232794</v>
      </c>
      <c r="X184">
        <f>VLOOKUP(Q184,YU!$B$1:$M$266,5,FALSE)</f>
        <v>12.192</v>
      </c>
      <c r="Y184" s="4">
        <v>12.192</v>
      </c>
      <c r="Z184">
        <v>4.3943099975585902</v>
      </c>
      <c r="AA184">
        <f t="shared" si="12"/>
        <v>10.455350688354406</v>
      </c>
      <c r="AB184">
        <f t="shared" si="13"/>
        <v>-6.9046013758024216E-2</v>
      </c>
      <c r="AC184" s="4">
        <v>-6.9046013758018887E-2</v>
      </c>
      <c r="AD184">
        <v>-1.887091412034497</v>
      </c>
      <c r="AE184">
        <v>-3.1234059829059819</v>
      </c>
      <c r="AG184" s="12">
        <f t="shared" si="14"/>
        <v>0</v>
      </c>
      <c r="AH184" s="12">
        <f t="shared" si="15"/>
        <v>0</v>
      </c>
      <c r="AI184" s="13">
        <f t="shared" si="16"/>
        <v>0</v>
      </c>
      <c r="AJ184" s="14">
        <f t="shared" si="17"/>
        <v>2.5752496102414035E-2</v>
      </c>
    </row>
    <row r="185" spans="1:36" x14ac:dyDescent="0.2">
      <c r="A185">
        <v>2019</v>
      </c>
      <c r="B185" t="s">
        <v>203</v>
      </c>
      <c r="C185">
        <f>VLOOKUP(B185,Sheet5!$B$2:$C$2166,2,FALSE)</f>
        <v>590</v>
      </c>
      <c r="D185">
        <v>610</v>
      </c>
      <c r="E185">
        <v>405</v>
      </c>
      <c r="F185" t="s">
        <v>207</v>
      </c>
      <c r="G185">
        <v>5</v>
      </c>
      <c r="H185">
        <v>6.4134589571673573</v>
      </c>
      <c r="I185">
        <v>1</v>
      </c>
      <c r="J185">
        <v>1</v>
      </c>
      <c r="K185">
        <v>0</v>
      </c>
      <c r="L185">
        <v>-1</v>
      </c>
      <c r="M185" t="s">
        <v>25</v>
      </c>
      <c r="N185" t="s">
        <v>203</v>
      </c>
      <c r="O185">
        <v>1</v>
      </c>
      <c r="P185">
        <v>0</v>
      </c>
      <c r="Q185" t="s">
        <v>205</v>
      </c>
      <c r="R185" t="str">
        <f>VLOOKUP(Q185,GDP!$A$2:$B$266,1,FALSE)</f>
        <v>LVA</v>
      </c>
      <c r="S185" t="str">
        <f>VLOOKUP(Q185,GDP!$A$2:$B$266,2,FALSE)</f>
        <v>Latvia</v>
      </c>
      <c r="T185">
        <f>VLOOKUP(Q185,GDP!$A$1:$L$266,6,FALSE)</f>
        <v>35208.193459085865</v>
      </c>
      <c r="U185" s="4">
        <v>35208.193459085902</v>
      </c>
      <c r="V185" s="5">
        <f>VLOOKUP(Q185,POP!$B$5:$M$269,6,FALSE)</f>
        <v>1218197</v>
      </c>
      <c r="W185" s="4">
        <v>1218197</v>
      </c>
      <c r="X185">
        <f>VLOOKUP(Q185,YU!$B$1:$M$266,6,FALSE)</f>
        <v>12.414999999999999</v>
      </c>
      <c r="Y185" s="4">
        <v>12.414999999999999</v>
      </c>
      <c r="Z185">
        <v>4.5867500305175799</v>
      </c>
      <c r="AA185">
        <f t="shared" si="12"/>
        <v>10.469034103223782</v>
      </c>
      <c r="AB185">
        <f t="shared" si="13"/>
        <v>-5.5362598888647696E-2</v>
      </c>
      <c r="AC185" s="4">
        <v>-5.5362598888640591E-2</v>
      </c>
      <c r="AD185">
        <v>-1.8990026533095179</v>
      </c>
      <c r="AE185">
        <v>-2.9004059829059829</v>
      </c>
      <c r="AG185" s="12">
        <f t="shared" si="14"/>
        <v>0</v>
      </c>
      <c r="AH185" s="12">
        <f t="shared" si="15"/>
        <v>0</v>
      </c>
      <c r="AI185" s="13">
        <f t="shared" si="16"/>
        <v>0</v>
      </c>
      <c r="AJ185" s="14">
        <f t="shared" si="17"/>
        <v>-3.3336420267592537E-2</v>
      </c>
    </row>
    <row r="186" spans="1:36" x14ac:dyDescent="0.2">
      <c r="A186">
        <v>2020</v>
      </c>
      <c r="B186" t="s">
        <v>203</v>
      </c>
      <c r="C186">
        <f>VLOOKUP(B186,Sheet5!$B$2:$C$2166,2,FALSE)</f>
        <v>590</v>
      </c>
      <c r="D186">
        <v>660</v>
      </c>
      <c r="E186">
        <v>425</v>
      </c>
      <c r="F186" t="s">
        <v>208</v>
      </c>
      <c r="G186">
        <v>0</v>
      </c>
      <c r="H186">
        <v>6.4922398350204711</v>
      </c>
      <c r="I186">
        <v>1</v>
      </c>
      <c r="J186">
        <v>1</v>
      </c>
      <c r="K186">
        <v>0</v>
      </c>
      <c r="L186">
        <v>0</v>
      </c>
      <c r="M186" t="s">
        <v>25</v>
      </c>
      <c r="N186" t="s">
        <v>203</v>
      </c>
      <c r="O186">
        <v>1</v>
      </c>
      <c r="P186">
        <v>0</v>
      </c>
      <c r="Q186" t="s">
        <v>205</v>
      </c>
      <c r="R186" t="str">
        <f>VLOOKUP(Q186,GDP!$A$2:$B$266,1,FALSE)</f>
        <v>LVA</v>
      </c>
      <c r="S186" t="str">
        <f>VLOOKUP(Q186,GDP!$A$2:$B$266,2,FALSE)</f>
        <v>Latvia</v>
      </c>
      <c r="T186">
        <f>VLOOKUP(Q186,GDP!$A$1:$L$266,7,FALSE)</f>
        <v>34225.897604405814</v>
      </c>
      <c r="U186" s="4">
        <v>34225.8976044058</v>
      </c>
      <c r="V186" s="5">
        <f>VLOOKUP(Q186,POP!$B$5:$M$269,7,FALSE)</f>
        <v>1203554</v>
      </c>
      <c r="W186" s="4">
        <v>1203554</v>
      </c>
      <c r="X186">
        <f>VLOOKUP(Q186,YU!$B$1:$M$266,7,FALSE)</f>
        <v>14.868</v>
      </c>
      <c r="Y186" s="4">
        <v>14.868</v>
      </c>
      <c r="Z186">
        <v>4.9974999427795401</v>
      </c>
      <c r="AA186">
        <f t="shared" si="12"/>
        <v>10.440737876384128</v>
      </c>
      <c r="AB186">
        <f t="shared" si="13"/>
        <v>-8.3658825728301522E-2</v>
      </c>
      <c r="AC186" s="4">
        <v>-8.3658825728296193E-2</v>
      </c>
      <c r="AD186">
        <v>-1.911095703710822</v>
      </c>
      <c r="AE186">
        <v>-0.44740598290598221</v>
      </c>
      <c r="AG186" s="12">
        <f t="shared" si="14"/>
        <v>0</v>
      </c>
      <c r="AH186" s="12">
        <f t="shared" si="15"/>
        <v>0</v>
      </c>
      <c r="AI186" s="13">
        <f t="shared" si="16"/>
        <v>0</v>
      </c>
      <c r="AJ186" s="14">
        <f t="shared" si="17"/>
        <v>-0.11211729812070637</v>
      </c>
    </row>
    <row r="187" spans="1:36" x14ac:dyDescent="0.2">
      <c r="A187">
        <v>2021</v>
      </c>
      <c r="B187" t="s">
        <v>203</v>
      </c>
      <c r="C187">
        <f>VLOOKUP(B187,Sheet5!$B$2:$C$2166,2,FALSE)</f>
        <v>590</v>
      </c>
      <c r="D187">
        <v>220</v>
      </c>
      <c r="E187">
        <v>130</v>
      </c>
      <c r="F187" t="s">
        <v>105</v>
      </c>
      <c r="G187">
        <v>0</v>
      </c>
      <c r="H187">
        <v>5.393627546352362</v>
      </c>
      <c r="I187">
        <v>1</v>
      </c>
      <c r="J187">
        <v>1</v>
      </c>
      <c r="K187">
        <v>1</v>
      </c>
      <c r="L187">
        <v>1</v>
      </c>
      <c r="M187" t="s">
        <v>25</v>
      </c>
      <c r="N187" t="s">
        <v>203</v>
      </c>
      <c r="O187">
        <v>1</v>
      </c>
      <c r="P187">
        <v>1</v>
      </c>
      <c r="Q187" t="s">
        <v>205</v>
      </c>
      <c r="R187" t="str">
        <f>VLOOKUP(Q187,GDP!$A$2:$B$266,1,FALSE)</f>
        <v>LVA</v>
      </c>
      <c r="S187" t="str">
        <f>VLOOKUP(Q187,GDP!$A$2:$B$266,2,FALSE)</f>
        <v>Latvia</v>
      </c>
      <c r="T187">
        <f>VLOOKUP(Q187,GDP!$A$1:$L$266,8,FALSE)</f>
        <v>36912.013060216064</v>
      </c>
      <c r="U187" s="4">
        <v>36912.013060216101</v>
      </c>
      <c r="V187" s="5">
        <f>VLOOKUP(Q187,POP!$B$5:$M$269,8,FALSE)</f>
        <v>1190051</v>
      </c>
      <c r="W187" s="4">
        <v>1190051</v>
      </c>
      <c r="X187">
        <f>VLOOKUP(Q187,YU!$B$1:$M$266,8,FALSE)</f>
        <v>14.785</v>
      </c>
      <c r="Y187" s="4">
        <v>14.785</v>
      </c>
      <c r="Z187">
        <v>4.7677497863769496</v>
      </c>
      <c r="AA187">
        <f t="shared" si="12"/>
        <v>10.516292334233803</v>
      </c>
      <c r="AB187">
        <f t="shared" si="13"/>
        <v>-8.1043678786265616E-3</v>
      </c>
      <c r="AC187" s="4">
        <v>-8.1043678786194562E-3</v>
      </c>
      <c r="AD187">
        <v>-1.922378386728967</v>
      </c>
      <c r="AE187">
        <v>-0.5304059829059824</v>
      </c>
      <c r="AG187" s="12">
        <f t="shared" si="14"/>
        <v>0</v>
      </c>
      <c r="AH187" s="12">
        <f t="shared" si="15"/>
        <v>0</v>
      </c>
      <c r="AI187" s="13">
        <f t="shared" si="16"/>
        <v>0</v>
      </c>
      <c r="AJ187" s="14">
        <f t="shared" si="17"/>
        <v>0.98649499054740275</v>
      </c>
    </row>
    <row r="188" spans="1:36" x14ac:dyDescent="0.2">
      <c r="A188">
        <v>2022</v>
      </c>
      <c r="B188" t="s">
        <v>203</v>
      </c>
      <c r="C188">
        <f>VLOOKUP(B188,Sheet5!$B$2:$C$2166,2,FALSE)</f>
        <v>590</v>
      </c>
      <c r="D188">
        <v>130</v>
      </c>
      <c r="E188">
        <v>75</v>
      </c>
      <c r="F188" t="s">
        <v>209</v>
      </c>
      <c r="G188">
        <v>0</v>
      </c>
      <c r="H188">
        <v>4.8675344504555822</v>
      </c>
      <c r="I188">
        <v>1</v>
      </c>
      <c r="J188">
        <v>1</v>
      </c>
      <c r="K188">
        <v>1</v>
      </c>
      <c r="L188">
        <v>2</v>
      </c>
      <c r="M188" t="s">
        <v>25</v>
      </c>
      <c r="N188" t="s">
        <v>203</v>
      </c>
      <c r="O188">
        <v>1</v>
      </c>
      <c r="P188">
        <v>1</v>
      </c>
      <c r="Q188" t="s">
        <v>205</v>
      </c>
      <c r="R188" t="str">
        <f>VLOOKUP(Q188,GDP!$A$2:$B$266,1,FALSE)</f>
        <v>LVA</v>
      </c>
      <c r="S188" t="str">
        <f>VLOOKUP(Q188,GDP!$A$2:$B$266,2,FALSE)</f>
        <v>Latvia</v>
      </c>
      <c r="T188">
        <f>VLOOKUP(Q188,GDP!$A$1:$L$266,9,FALSE)</f>
        <v>37718.709795836723</v>
      </c>
      <c r="U188" s="4">
        <v>37718.709795836701</v>
      </c>
      <c r="V188" s="5">
        <f>VLOOKUP(Q188,POP!$B$5:$M$269,9,FALSE)</f>
        <v>1185181</v>
      </c>
      <c r="W188" s="4">
        <v>1185181</v>
      </c>
      <c r="X188">
        <f>VLOOKUP(Q188,YU!$B$1:$M$266,9,FALSE)</f>
        <v>15.27</v>
      </c>
      <c r="Y188" s="4">
        <v>15.27</v>
      </c>
      <c r="Z188">
        <v>4.3196702003479004</v>
      </c>
      <c r="AA188">
        <f t="shared" si="12"/>
        <v>10.537911531386063</v>
      </c>
      <c r="AB188">
        <f t="shared" si="13"/>
        <v>1.3514829273633566E-2</v>
      </c>
      <c r="AC188" s="4">
        <v>1.3514829273638901E-2</v>
      </c>
      <c r="AD188">
        <v>-1.9264790445377591</v>
      </c>
      <c r="AE188">
        <v>-4.5405982905982967E-2</v>
      </c>
      <c r="AG188" s="12">
        <f t="shared" si="14"/>
        <v>0</v>
      </c>
      <c r="AH188" s="12">
        <f t="shared" si="15"/>
        <v>0</v>
      </c>
      <c r="AI188" s="13">
        <f t="shared" si="16"/>
        <v>0</v>
      </c>
      <c r="AJ188" s="14">
        <f t="shared" si="17"/>
        <v>1.5125880864441825</v>
      </c>
    </row>
    <row r="189" spans="1:36" x14ac:dyDescent="0.2">
      <c r="A189">
        <v>2023</v>
      </c>
      <c r="B189" t="s">
        <v>203</v>
      </c>
      <c r="C189">
        <f>VLOOKUP(B189,Sheet5!$B$2:$C$2166,2,FALSE)</f>
        <v>590</v>
      </c>
      <c r="D189">
        <v>115</v>
      </c>
      <c r="E189">
        <v>50</v>
      </c>
      <c r="F189" t="s">
        <v>92</v>
      </c>
      <c r="G189">
        <v>5</v>
      </c>
      <c r="H189">
        <v>4.7449321283632502</v>
      </c>
      <c r="I189">
        <v>1</v>
      </c>
      <c r="J189">
        <v>1</v>
      </c>
      <c r="K189">
        <v>1</v>
      </c>
      <c r="L189">
        <v>3</v>
      </c>
      <c r="M189" t="s">
        <v>25</v>
      </c>
      <c r="N189" t="s">
        <v>203</v>
      </c>
      <c r="O189">
        <v>1</v>
      </c>
      <c r="P189">
        <v>1</v>
      </c>
      <c r="Q189" t="s">
        <v>205</v>
      </c>
      <c r="R189" t="str">
        <f>VLOOKUP(Q189,GDP!$A$2:$B$266,1,FALSE)</f>
        <v>LVA</v>
      </c>
      <c r="S189" t="str">
        <f>VLOOKUP(Q189,GDP!$A$2:$B$266,2,FALSE)</f>
        <v>Latvia</v>
      </c>
      <c r="T189">
        <f>VLOOKUP(Q189,GDP!$A$1:$L$266,10,FALSE)</f>
        <v>37277.721722131726</v>
      </c>
      <c r="U189" s="4">
        <v>37277.721722131697</v>
      </c>
      <c r="V189" s="5">
        <f>VLOOKUP(Q189,POP!$B$5:$M$269,10,FALSE)</f>
        <v>1186283</v>
      </c>
      <c r="W189" s="4">
        <v>1186283</v>
      </c>
      <c r="X189">
        <f>VLOOKUP(Q189,YU!$B$1:$M$266,10,FALSE)</f>
        <v>12.323</v>
      </c>
      <c r="Y189" s="4">
        <v>12.323</v>
      </c>
      <c r="AA189">
        <f t="shared" si="12"/>
        <v>10.526151154328314</v>
      </c>
      <c r="AB189">
        <f t="shared" si="13"/>
        <v>1.7544522158843279E-3</v>
      </c>
      <c r="AC189" s="4">
        <v>1.754452215887881E-3</v>
      </c>
      <c r="AD189">
        <v>-1.925549660765268</v>
      </c>
      <c r="AE189">
        <v>-2.9924059829059821</v>
      </c>
      <c r="AG189" s="12">
        <f t="shared" si="14"/>
        <v>0</v>
      </c>
      <c r="AH189" s="12">
        <f t="shared" si="15"/>
        <v>0</v>
      </c>
      <c r="AI189" s="13">
        <f t="shared" si="16"/>
        <v>0</v>
      </c>
      <c r="AJ189" s="14">
        <f t="shared" si="17"/>
        <v>1.6351904085365145</v>
      </c>
    </row>
    <row r="190" spans="1:36" x14ac:dyDescent="0.2">
      <c r="A190">
        <v>2024</v>
      </c>
      <c r="B190" t="s">
        <v>203</v>
      </c>
      <c r="C190">
        <f>VLOOKUP(B190,Sheet5!$B$2:$C$2166,2,FALSE)</f>
        <v>590</v>
      </c>
      <c r="D190">
        <v>125</v>
      </c>
      <c r="E190">
        <v>50</v>
      </c>
      <c r="F190" t="s">
        <v>210</v>
      </c>
      <c r="G190">
        <v>0</v>
      </c>
      <c r="H190">
        <v>4.8283137373023024</v>
      </c>
      <c r="I190">
        <v>1</v>
      </c>
      <c r="J190">
        <v>1</v>
      </c>
      <c r="K190">
        <v>1</v>
      </c>
      <c r="L190">
        <v>4</v>
      </c>
      <c r="M190" t="s">
        <v>25</v>
      </c>
      <c r="N190" t="s">
        <v>203</v>
      </c>
      <c r="O190">
        <v>1</v>
      </c>
      <c r="P190">
        <v>1</v>
      </c>
      <c r="Q190" t="s">
        <v>205</v>
      </c>
      <c r="R190" t="str">
        <f>VLOOKUP(Q190,GDP!$A$2:$B$266,1,FALSE)</f>
        <v>LVA</v>
      </c>
      <c r="S190" t="str">
        <f>VLOOKUP(Q190,GDP!$A$2:$B$266,2,FALSE)</f>
        <v>Latvia</v>
      </c>
      <c r="T190">
        <f>VLOOKUP(Q190,GDP!$A$1:$L$266,11,FALSE)</f>
        <v>37615.076245074364</v>
      </c>
      <c r="U190" s="4">
        <v>37615.076245074401</v>
      </c>
      <c r="V190" s="5">
        <f>VLOOKUP(Q190,POP!$B$5:$M$269,11,FALSE)</f>
        <v>1172875</v>
      </c>
      <c r="W190" s="4">
        <v>1172875</v>
      </c>
      <c r="X190">
        <f>VLOOKUP(Q190,YU!$B$1:$M$266,11,FALSE)</f>
        <v>13.614000000000001</v>
      </c>
      <c r="Y190" s="4">
        <v>13.614000000000001</v>
      </c>
      <c r="AA190">
        <f t="shared" si="12"/>
        <v>10.535160212978161</v>
      </c>
      <c r="AB190">
        <f t="shared" si="13"/>
        <v>1.0763510865730908E-2</v>
      </c>
      <c r="AC190" s="4">
        <v>1.076351086573624E-2</v>
      </c>
      <c r="AD190">
        <v>-1.9369165504488439</v>
      </c>
      <c r="AE190">
        <v>-1.701405982905982</v>
      </c>
      <c r="AG190" s="12">
        <f t="shared" si="14"/>
        <v>0</v>
      </c>
      <c r="AH190" s="12">
        <f t="shared" si="15"/>
        <v>0</v>
      </c>
      <c r="AI190" s="13">
        <f t="shared" si="16"/>
        <v>0</v>
      </c>
      <c r="AJ190" s="14">
        <f t="shared" si="17"/>
        <v>1.5518087995974623</v>
      </c>
    </row>
    <row r="191" spans="1:36" x14ac:dyDescent="0.2">
      <c r="A191">
        <v>2016</v>
      </c>
      <c r="B191" t="s">
        <v>211</v>
      </c>
      <c r="C191">
        <f>VLOOKUP(B191,Sheet5!$B$2:$C$2166,2,FALSE)</f>
        <v>1930</v>
      </c>
      <c r="D191">
        <v>1930</v>
      </c>
      <c r="E191">
        <v>1240</v>
      </c>
      <c r="F191" t="s">
        <v>212</v>
      </c>
      <c r="G191">
        <v>5</v>
      </c>
      <c r="H191">
        <v>7.5652752818989324</v>
      </c>
      <c r="I191">
        <v>1</v>
      </c>
      <c r="J191">
        <v>1</v>
      </c>
      <c r="K191">
        <v>0</v>
      </c>
      <c r="L191">
        <v>-4</v>
      </c>
      <c r="M191" t="s">
        <v>25</v>
      </c>
      <c r="N191" t="s">
        <v>211</v>
      </c>
      <c r="O191">
        <v>1</v>
      </c>
      <c r="P191">
        <v>0</v>
      </c>
      <c r="Q191" t="s">
        <v>213</v>
      </c>
      <c r="R191" t="str">
        <f>VLOOKUP(Q191,GDP!$A$2:$B$266,1,FALSE)</f>
        <v>LTU</v>
      </c>
      <c r="S191" t="str">
        <f>VLOOKUP(Q191,GDP!$A$2:$B$266,2,FALSE)</f>
        <v>Lithuania</v>
      </c>
      <c r="T191">
        <f>VLOOKUP(Q191,GDP!$A$1:$C$266,3,FALSE)</f>
        <v>36632.083279843835</v>
      </c>
      <c r="U191" s="4">
        <v>36632.083279843799</v>
      </c>
      <c r="V191" s="5">
        <f>VLOOKUP(Q191,POP!$B$5:$M$269,3,FALSE)</f>
        <v>1901397</v>
      </c>
      <c r="W191" s="4">
        <v>1901397</v>
      </c>
      <c r="X191">
        <f>VLOOKUP(Q191,YU!$B$1:$D$266,3,FALSE)</f>
        <v>14.455</v>
      </c>
      <c r="Y191" s="4">
        <v>14.455</v>
      </c>
      <c r="Z191">
        <v>4.0114398002624503</v>
      </c>
      <c r="AA191">
        <f t="shared" si="12"/>
        <v>10.508679727752229</v>
      </c>
      <c r="AB191">
        <f t="shared" si="13"/>
        <v>-1.5716974360200808E-2</v>
      </c>
      <c r="AC191" s="4">
        <v>-1.5716974360197259E-2</v>
      </c>
      <c r="AD191">
        <v>-1.453785670920164</v>
      </c>
      <c r="AE191">
        <v>-0.86040598290598247</v>
      </c>
      <c r="AG191" s="12">
        <f t="shared" si="14"/>
        <v>0</v>
      </c>
      <c r="AH191" s="12">
        <f t="shared" si="15"/>
        <v>0</v>
      </c>
      <c r="AI191" s="13">
        <f t="shared" si="16"/>
        <v>0</v>
      </c>
      <c r="AJ191" s="14">
        <f t="shared" si="17"/>
        <v>0</v>
      </c>
    </row>
    <row r="192" spans="1:36" x14ac:dyDescent="0.2">
      <c r="A192">
        <v>2017</v>
      </c>
      <c r="B192" t="s">
        <v>211</v>
      </c>
      <c r="C192">
        <f>VLOOKUP(B192,Sheet5!$B$2:$C$2166,2,FALSE)</f>
        <v>1930</v>
      </c>
      <c r="D192">
        <v>2065</v>
      </c>
      <c r="E192">
        <v>1395</v>
      </c>
      <c r="F192" t="s">
        <v>214</v>
      </c>
      <c r="G192">
        <v>0</v>
      </c>
      <c r="H192">
        <v>7.6328855053951328</v>
      </c>
      <c r="I192">
        <v>1</v>
      </c>
      <c r="J192">
        <v>1</v>
      </c>
      <c r="K192">
        <v>0</v>
      </c>
      <c r="L192">
        <v>-3</v>
      </c>
      <c r="M192" t="s">
        <v>25</v>
      </c>
      <c r="N192" t="s">
        <v>211</v>
      </c>
      <c r="O192">
        <v>1</v>
      </c>
      <c r="P192">
        <v>0</v>
      </c>
      <c r="Q192" t="s">
        <v>213</v>
      </c>
      <c r="R192" t="str">
        <f>VLOOKUP(Q192,GDP!$A$2:$B$266,1,FALSE)</f>
        <v>LTU</v>
      </c>
      <c r="S192" t="str">
        <f>VLOOKUP(Q192,GDP!$A$2:$B$266,2,FALSE)</f>
        <v>Lithuania</v>
      </c>
      <c r="T192">
        <f>VLOOKUP(Q192,GDP!$A$1:$L$266,4,FALSE)</f>
        <v>38789.24631790354</v>
      </c>
      <c r="U192" s="4">
        <v>38789.246317903497</v>
      </c>
      <c r="V192" s="5">
        <f>VLOOKUP(Q192,POP!$B$5:$M$269,4,FALSE)</f>
        <v>1864396</v>
      </c>
      <c r="W192" s="4">
        <v>1864396</v>
      </c>
      <c r="X192">
        <f>VLOOKUP(Q192,YU!$B$1:$M$266,4,FALSE)</f>
        <v>13.266</v>
      </c>
      <c r="Y192" s="4">
        <v>13.266</v>
      </c>
      <c r="Z192">
        <v>3.81236004829407</v>
      </c>
      <c r="AA192">
        <f t="shared" si="12"/>
        <v>10.56589833044127</v>
      </c>
      <c r="AB192">
        <f t="shared" si="13"/>
        <v>4.1501628328839857E-2</v>
      </c>
      <c r="AC192" s="4">
        <v>4.150162832884341E-2</v>
      </c>
      <c r="AD192">
        <v>-1.473437410025122</v>
      </c>
      <c r="AE192">
        <v>-2.049405982905983</v>
      </c>
      <c r="AG192" s="12">
        <f t="shared" si="14"/>
        <v>0</v>
      </c>
      <c r="AH192" s="12">
        <f t="shared" si="15"/>
        <v>0</v>
      </c>
      <c r="AI192" s="13">
        <f t="shared" si="16"/>
        <v>0</v>
      </c>
      <c r="AJ192" s="14">
        <f t="shared" si="17"/>
        <v>-6.7610223496201272E-2</v>
      </c>
    </row>
    <row r="193" spans="1:36" x14ac:dyDescent="0.2">
      <c r="A193">
        <v>2018</v>
      </c>
      <c r="B193" t="s">
        <v>211</v>
      </c>
      <c r="C193">
        <f>VLOOKUP(B193,Sheet5!$B$2:$C$2166,2,FALSE)</f>
        <v>1930</v>
      </c>
      <c r="D193">
        <v>2125</v>
      </c>
      <c r="E193">
        <v>1445</v>
      </c>
      <c r="F193" t="s">
        <v>175</v>
      </c>
      <c r="G193">
        <v>5</v>
      </c>
      <c r="H193">
        <v>7.6615270813585168</v>
      </c>
      <c r="I193">
        <v>1</v>
      </c>
      <c r="J193">
        <v>1</v>
      </c>
      <c r="K193">
        <v>0</v>
      </c>
      <c r="L193">
        <v>-2</v>
      </c>
      <c r="M193" t="s">
        <v>25</v>
      </c>
      <c r="N193" t="s">
        <v>211</v>
      </c>
      <c r="O193">
        <v>1</v>
      </c>
      <c r="P193">
        <v>0</v>
      </c>
      <c r="Q193" t="s">
        <v>213</v>
      </c>
      <c r="R193" t="str">
        <f>VLOOKUP(Q193,GDP!$A$2:$B$266,1,FALSE)</f>
        <v>LTU</v>
      </c>
      <c r="S193" t="str">
        <f>VLOOKUP(Q193,GDP!$A$2:$B$266,2,FALSE)</f>
        <v>Lithuania</v>
      </c>
      <c r="T193">
        <f>VLOOKUP(Q193,GDP!$A$1:$L$266,5,FALSE)</f>
        <v>41035.401815273246</v>
      </c>
      <c r="U193" s="4">
        <v>41035.401815273202</v>
      </c>
      <c r="V193" s="5">
        <f>VLOOKUP(Q193,POP!$B$5:$M$269,5,FALSE)</f>
        <v>1838746</v>
      </c>
      <c r="W193" s="4">
        <v>1838746</v>
      </c>
      <c r="X193">
        <f>VLOOKUP(Q193,YU!$B$1:$M$266,5,FALSE)</f>
        <v>11.117000000000001</v>
      </c>
      <c r="Y193" s="4">
        <v>11.117000000000001</v>
      </c>
      <c r="Z193">
        <v>3.85628008842468</v>
      </c>
      <c r="AA193">
        <f t="shared" si="12"/>
        <v>10.622190432029353</v>
      </c>
      <c r="AB193">
        <f t="shared" si="13"/>
        <v>9.77937299169227E-2</v>
      </c>
      <c r="AC193" s="4">
        <v>9.7793729916928029E-2</v>
      </c>
      <c r="AD193">
        <v>-1.487290732536668</v>
      </c>
      <c r="AE193">
        <v>-4.1984059829059817</v>
      </c>
      <c r="AG193" s="12">
        <f t="shared" si="14"/>
        <v>0</v>
      </c>
      <c r="AH193" s="12">
        <f t="shared" si="15"/>
        <v>0</v>
      </c>
      <c r="AI193" s="13">
        <f t="shared" si="16"/>
        <v>0</v>
      </c>
      <c r="AJ193" s="14">
        <f t="shared" si="17"/>
        <v>-9.6251799459585285E-2</v>
      </c>
    </row>
    <row r="194" spans="1:36" x14ac:dyDescent="0.2">
      <c r="A194">
        <v>2019</v>
      </c>
      <c r="B194" t="s">
        <v>211</v>
      </c>
      <c r="C194">
        <f>VLOOKUP(B194,Sheet5!$B$2:$C$2166,2,FALSE)</f>
        <v>1930</v>
      </c>
      <c r="D194">
        <v>1975</v>
      </c>
      <c r="E194">
        <v>1235</v>
      </c>
      <c r="F194" t="s">
        <v>215</v>
      </c>
      <c r="G194">
        <v>5</v>
      </c>
      <c r="H194">
        <v>7.5883236773352234</v>
      </c>
      <c r="I194">
        <v>1</v>
      </c>
      <c r="J194">
        <v>1</v>
      </c>
      <c r="K194">
        <v>0</v>
      </c>
      <c r="L194">
        <v>-1</v>
      </c>
      <c r="M194" t="s">
        <v>25</v>
      </c>
      <c r="N194" t="s">
        <v>211</v>
      </c>
      <c r="O194">
        <v>1</v>
      </c>
      <c r="P194">
        <v>0</v>
      </c>
      <c r="Q194" t="s">
        <v>213</v>
      </c>
      <c r="R194" t="str">
        <f>VLOOKUP(Q194,GDP!$A$2:$B$266,1,FALSE)</f>
        <v>LTU</v>
      </c>
      <c r="S194" t="str">
        <f>VLOOKUP(Q194,GDP!$A$2:$B$266,2,FALSE)</f>
        <v>Lithuania</v>
      </c>
      <c r="T194">
        <f>VLOOKUP(Q194,GDP!$A$1:$L$266,6,FALSE)</f>
        <v>43078.711858546114</v>
      </c>
      <c r="U194" s="4">
        <v>43078.711858546099</v>
      </c>
      <c r="V194" s="5">
        <f>VLOOKUP(Q194,POP!$B$5:$M$269,6,FALSE)</f>
        <v>1828127</v>
      </c>
      <c r="W194" s="4">
        <v>1828127</v>
      </c>
      <c r="X194">
        <f>VLOOKUP(Q194,YU!$B$1:$M$266,6,FALSE)</f>
        <v>11.85</v>
      </c>
      <c r="Y194" s="4">
        <v>11.85</v>
      </c>
      <c r="Z194">
        <v>3.9415500164032</v>
      </c>
      <c r="AA194">
        <f t="shared" si="12"/>
        <v>10.670784229675322</v>
      </c>
      <c r="AB194">
        <f t="shared" si="13"/>
        <v>0.14638752756289186</v>
      </c>
      <c r="AC194" s="4">
        <v>0.14638752756289719</v>
      </c>
      <c r="AD194">
        <v>-1.4930826046223411</v>
      </c>
      <c r="AE194">
        <v>-3.4654059829059829</v>
      </c>
      <c r="AG194" s="12">
        <f t="shared" si="14"/>
        <v>0</v>
      </c>
      <c r="AH194" s="12">
        <f t="shared" si="15"/>
        <v>0</v>
      </c>
      <c r="AI194" s="13">
        <f t="shared" si="16"/>
        <v>0</v>
      </c>
      <c r="AJ194" s="14">
        <f t="shared" si="17"/>
        <v>-2.3048395436291891E-2</v>
      </c>
    </row>
    <row r="195" spans="1:36" x14ac:dyDescent="0.2">
      <c r="A195">
        <v>2020</v>
      </c>
      <c r="B195" t="s">
        <v>211</v>
      </c>
      <c r="C195">
        <f>VLOOKUP(B195,Sheet5!$B$2:$C$2166,2,FALSE)</f>
        <v>1930</v>
      </c>
      <c r="D195">
        <v>1745</v>
      </c>
      <c r="E195">
        <v>1105</v>
      </c>
      <c r="F195" t="s">
        <v>216</v>
      </c>
      <c r="G195">
        <v>5</v>
      </c>
      <c r="H195">
        <v>7.4645098346365284</v>
      </c>
      <c r="I195">
        <v>1</v>
      </c>
      <c r="J195">
        <v>1</v>
      </c>
      <c r="K195">
        <v>0</v>
      </c>
      <c r="L195">
        <v>0</v>
      </c>
      <c r="M195" t="s">
        <v>25</v>
      </c>
      <c r="N195" t="s">
        <v>211</v>
      </c>
      <c r="O195">
        <v>1</v>
      </c>
      <c r="P195">
        <v>0</v>
      </c>
      <c r="Q195" t="s">
        <v>213</v>
      </c>
      <c r="R195" t="str">
        <f>VLOOKUP(Q195,GDP!$A$2:$B$266,1,FALSE)</f>
        <v>LTU</v>
      </c>
      <c r="S195" t="str">
        <f>VLOOKUP(Q195,GDP!$A$2:$B$266,2,FALSE)</f>
        <v>Lithuania</v>
      </c>
      <c r="T195">
        <f>VLOOKUP(Q195,GDP!$A$1:$L$266,7,FALSE)</f>
        <v>43108.197606028261</v>
      </c>
      <c r="U195" s="4">
        <v>43108.197606028298</v>
      </c>
      <c r="V195" s="5">
        <f>VLOOKUP(Q195,POP!$B$5:$M$269,7,FALSE)</f>
        <v>1825346</v>
      </c>
      <c r="W195" s="4">
        <v>1825346</v>
      </c>
      <c r="X195">
        <f>VLOOKUP(Q195,YU!$B$1:$M$266,7,FALSE)</f>
        <v>19.556000000000001</v>
      </c>
      <c r="Y195" s="4">
        <v>19.556000000000001</v>
      </c>
      <c r="Z195">
        <v>4.4734802246093803</v>
      </c>
      <c r="AA195">
        <f t="shared" ref="AA195:AA258" si="18">LN(T195)</f>
        <v>10.671468457682003</v>
      </c>
      <c r="AB195">
        <f t="shared" ref="AB195:AB258" si="19">AA195-AVERAGE($AA$2:$AA$469)</f>
        <v>0.14707175556957353</v>
      </c>
      <c r="AC195" s="4">
        <v>0.1470717555695806</v>
      </c>
      <c r="AD195">
        <v>-1.494604991971102</v>
      </c>
      <c r="AE195">
        <v>4.2405940170940184</v>
      </c>
      <c r="AG195" s="12">
        <f t="shared" ref="AG195:AG258" si="20">T195-U195</f>
        <v>0</v>
      </c>
      <c r="AH195" s="12">
        <f t="shared" ref="AH195:AH258" si="21">V195-W195</f>
        <v>0</v>
      </c>
      <c r="AI195" s="13">
        <f t="shared" ref="AI195:AI258" si="22">X195-Y195</f>
        <v>0</v>
      </c>
      <c r="AJ195" s="14">
        <f t="shared" ref="AJ195:AJ258" si="23">LN(C195)-H195</f>
        <v>0.10076544726240311</v>
      </c>
    </row>
    <row r="196" spans="1:36" x14ac:dyDescent="0.2">
      <c r="A196">
        <v>2021</v>
      </c>
      <c r="B196" t="s">
        <v>211</v>
      </c>
      <c r="C196">
        <f>VLOOKUP(B196,Sheet5!$B$2:$C$2166,2,FALSE)</f>
        <v>1930</v>
      </c>
      <c r="D196">
        <v>545</v>
      </c>
      <c r="E196">
        <v>285</v>
      </c>
      <c r="F196" t="s">
        <v>142</v>
      </c>
      <c r="G196">
        <v>0</v>
      </c>
      <c r="H196">
        <v>6.300785794663244</v>
      </c>
      <c r="I196">
        <v>1</v>
      </c>
      <c r="J196">
        <v>1</v>
      </c>
      <c r="K196">
        <v>1</v>
      </c>
      <c r="L196">
        <v>1</v>
      </c>
      <c r="M196" t="s">
        <v>25</v>
      </c>
      <c r="N196" t="s">
        <v>211</v>
      </c>
      <c r="O196">
        <v>1</v>
      </c>
      <c r="P196">
        <v>1</v>
      </c>
      <c r="Q196" t="s">
        <v>213</v>
      </c>
      <c r="R196" t="str">
        <f>VLOOKUP(Q196,GDP!$A$2:$B$266,1,FALSE)</f>
        <v>LTU</v>
      </c>
      <c r="S196" t="str">
        <f>VLOOKUP(Q196,GDP!$A$2:$B$266,2,FALSE)</f>
        <v>Lithuania</v>
      </c>
      <c r="T196">
        <f>VLOOKUP(Q196,GDP!$A$1:$L$266,8,FALSE)</f>
        <v>45897.371502632741</v>
      </c>
      <c r="U196" s="4">
        <v>45897.371502632697</v>
      </c>
      <c r="V196" s="5">
        <f>VLOOKUP(Q196,POP!$B$5:$M$269,8,FALSE)</f>
        <v>1823846</v>
      </c>
      <c r="W196" s="4">
        <v>1823846</v>
      </c>
      <c r="X196">
        <f>VLOOKUP(Q196,YU!$B$1:$M$266,8,FALSE)</f>
        <v>14.304</v>
      </c>
      <c r="Y196" s="4">
        <v>14.304</v>
      </c>
      <c r="Z196">
        <v>4.2397799491882298</v>
      </c>
      <c r="AA196">
        <f t="shared" si="18"/>
        <v>10.734163128671042</v>
      </c>
      <c r="AB196">
        <f t="shared" si="19"/>
        <v>0.20976642655861255</v>
      </c>
      <c r="AC196" s="4">
        <v>0.20976642655861791</v>
      </c>
      <c r="AD196">
        <v>-1.495427091813742</v>
      </c>
      <c r="AE196">
        <v>-1.011405982905982</v>
      </c>
      <c r="AG196" s="12">
        <f t="shared" si="20"/>
        <v>0</v>
      </c>
      <c r="AH196" s="12">
        <f t="shared" si="21"/>
        <v>0</v>
      </c>
      <c r="AI196" s="13">
        <f t="shared" si="22"/>
        <v>0</v>
      </c>
      <c r="AJ196" s="14">
        <f t="shared" si="23"/>
        <v>1.2644894872356875</v>
      </c>
    </row>
    <row r="197" spans="1:36" x14ac:dyDescent="0.2">
      <c r="A197">
        <v>2022</v>
      </c>
      <c r="B197" t="s">
        <v>211</v>
      </c>
      <c r="C197">
        <f>VLOOKUP(B197,Sheet5!$B$2:$C$2166,2,FALSE)</f>
        <v>1930</v>
      </c>
      <c r="D197">
        <v>230</v>
      </c>
      <c r="E197">
        <v>105</v>
      </c>
      <c r="F197" t="s">
        <v>32</v>
      </c>
      <c r="G197">
        <v>0</v>
      </c>
      <c r="H197">
        <v>5.4380793089231956</v>
      </c>
      <c r="I197">
        <v>1</v>
      </c>
      <c r="J197">
        <v>1</v>
      </c>
      <c r="K197">
        <v>1</v>
      </c>
      <c r="L197">
        <v>2</v>
      </c>
      <c r="M197" t="s">
        <v>25</v>
      </c>
      <c r="N197" t="s">
        <v>211</v>
      </c>
      <c r="O197">
        <v>1</v>
      </c>
      <c r="P197">
        <v>1</v>
      </c>
      <c r="Q197" t="s">
        <v>213</v>
      </c>
      <c r="R197" t="str">
        <f>VLOOKUP(Q197,GDP!$A$2:$B$266,1,FALSE)</f>
        <v>LTU</v>
      </c>
      <c r="S197" t="str">
        <f>VLOOKUP(Q197,GDP!$A$2:$B$266,2,FALSE)</f>
        <v>Lithuania</v>
      </c>
      <c r="T197">
        <f>VLOOKUP(Q197,GDP!$A$1:$L$266,9,FALSE)</f>
        <v>46642.594725108567</v>
      </c>
      <c r="U197" s="4">
        <v>46642.594725108604</v>
      </c>
      <c r="V197" s="5">
        <f>VLOOKUP(Q197,POP!$B$5:$M$269,9,FALSE)</f>
        <v>1843121</v>
      </c>
      <c r="W197" s="4">
        <v>1843121</v>
      </c>
      <c r="X197">
        <f>VLOOKUP(Q197,YU!$B$1:$M$266,9,FALSE)</f>
        <v>11.872999999999999</v>
      </c>
      <c r="Y197" s="4">
        <v>11.872999999999999</v>
      </c>
      <c r="Z197">
        <v>4.2528500556945801</v>
      </c>
      <c r="AA197">
        <f t="shared" si="18"/>
        <v>10.75026945251955</v>
      </c>
      <c r="AB197">
        <f t="shared" si="19"/>
        <v>0.22587275040712029</v>
      </c>
      <c r="AC197" s="4">
        <v>0.22587275040712559</v>
      </c>
      <c r="AD197">
        <v>-1.4849142197190679</v>
      </c>
      <c r="AE197">
        <v>-3.4424059829059832</v>
      </c>
      <c r="AG197" s="12">
        <f t="shared" si="20"/>
        <v>0</v>
      </c>
      <c r="AH197" s="12">
        <f t="shared" si="21"/>
        <v>0</v>
      </c>
      <c r="AI197" s="13">
        <f t="shared" si="22"/>
        <v>0</v>
      </c>
      <c r="AJ197" s="14">
        <f t="shared" si="23"/>
        <v>2.1271959729757359</v>
      </c>
    </row>
    <row r="198" spans="1:36" x14ac:dyDescent="0.2">
      <c r="A198">
        <v>2023</v>
      </c>
      <c r="B198" t="s">
        <v>211</v>
      </c>
      <c r="C198">
        <f>VLOOKUP(B198,Sheet5!$B$2:$C$2166,2,FALSE)</f>
        <v>1930</v>
      </c>
      <c r="D198">
        <v>150</v>
      </c>
      <c r="E198">
        <v>55</v>
      </c>
      <c r="F198" t="s">
        <v>217</v>
      </c>
      <c r="G198">
        <v>5</v>
      </c>
      <c r="H198">
        <v>5.0106352940962564</v>
      </c>
      <c r="I198">
        <v>1</v>
      </c>
      <c r="J198">
        <v>1</v>
      </c>
      <c r="K198">
        <v>1</v>
      </c>
      <c r="L198">
        <v>3</v>
      </c>
      <c r="M198" t="s">
        <v>25</v>
      </c>
      <c r="N198" t="s">
        <v>211</v>
      </c>
      <c r="O198">
        <v>1</v>
      </c>
      <c r="P198">
        <v>1</v>
      </c>
      <c r="Q198" t="s">
        <v>213</v>
      </c>
      <c r="R198" t="str">
        <f>VLOOKUP(Q198,GDP!$A$2:$B$266,1,FALSE)</f>
        <v>LTU</v>
      </c>
      <c r="S198" t="str">
        <f>VLOOKUP(Q198,GDP!$A$2:$B$266,2,FALSE)</f>
        <v>Lithuania</v>
      </c>
      <c r="T198">
        <f>VLOOKUP(Q198,GDP!$A$1:$L$266,10,FALSE)</f>
        <v>46333.900696520606</v>
      </c>
      <c r="U198" s="4">
        <v>46333.900696520599</v>
      </c>
      <c r="V198" s="5">
        <f>VLOOKUP(Q198,POP!$B$5:$M$269,10,FALSE)</f>
        <v>1873901</v>
      </c>
      <c r="W198" s="4">
        <v>1873901</v>
      </c>
      <c r="X198">
        <f>VLOOKUP(Q198,YU!$B$1:$M$266,10,FALSE)</f>
        <v>13.712</v>
      </c>
      <c r="Y198" s="4">
        <v>13.712</v>
      </c>
      <c r="AA198">
        <f t="shared" si="18"/>
        <v>10.743629168618392</v>
      </c>
      <c r="AB198">
        <f t="shared" si="19"/>
        <v>0.21923246650596262</v>
      </c>
      <c r="AC198" s="4">
        <v>0.21923246650596789</v>
      </c>
      <c r="AD198">
        <v>-1.4683521958311749</v>
      </c>
      <c r="AE198">
        <v>-1.603405982905983</v>
      </c>
      <c r="AG198" s="12">
        <f t="shared" si="20"/>
        <v>0</v>
      </c>
      <c r="AH198" s="12">
        <f t="shared" si="21"/>
        <v>0</v>
      </c>
      <c r="AI198" s="13">
        <f t="shared" si="22"/>
        <v>0</v>
      </c>
      <c r="AJ198" s="14">
        <f t="shared" si="23"/>
        <v>2.5546399878026751</v>
      </c>
    </row>
    <row r="199" spans="1:36" x14ac:dyDescent="0.2">
      <c r="A199">
        <v>2024</v>
      </c>
      <c r="B199" t="s">
        <v>211</v>
      </c>
      <c r="C199">
        <f>VLOOKUP(B199,Sheet5!$B$2:$C$2166,2,FALSE)</f>
        <v>1930</v>
      </c>
      <c r="D199">
        <v>155</v>
      </c>
      <c r="E199">
        <v>60</v>
      </c>
      <c r="F199" t="s">
        <v>218</v>
      </c>
      <c r="G199">
        <v>0</v>
      </c>
      <c r="H199">
        <v>5.0434251169192468</v>
      </c>
      <c r="I199">
        <v>1</v>
      </c>
      <c r="J199">
        <v>1</v>
      </c>
      <c r="K199">
        <v>1</v>
      </c>
      <c r="L199">
        <v>4</v>
      </c>
      <c r="M199" t="s">
        <v>25</v>
      </c>
      <c r="N199" t="s">
        <v>211</v>
      </c>
      <c r="O199">
        <v>1</v>
      </c>
      <c r="P199">
        <v>1</v>
      </c>
      <c r="Q199" t="s">
        <v>213</v>
      </c>
      <c r="R199" t="str">
        <f>VLOOKUP(Q199,GDP!$A$2:$B$266,1,FALSE)</f>
        <v>LTU</v>
      </c>
      <c r="S199" t="str">
        <f>VLOOKUP(Q199,GDP!$A$2:$B$266,2,FALSE)</f>
        <v>Lithuania</v>
      </c>
      <c r="T199">
        <f>VLOOKUP(Q199,GDP!$A$1:$L$266,11,FALSE)</f>
        <v>47462.003938697504</v>
      </c>
      <c r="U199" s="4">
        <v>47462.003938697497</v>
      </c>
      <c r="V199" s="5">
        <f>VLOOKUP(Q199,POP!$B$5:$M$269,11,FALSE)</f>
        <v>1881064</v>
      </c>
      <c r="W199" s="4">
        <v>1881064</v>
      </c>
      <c r="X199">
        <f>VLOOKUP(Q199,YU!$B$1:$M$266,11,FALSE)</f>
        <v>13.688000000000001</v>
      </c>
      <c r="Y199" s="4">
        <v>13.688000000000001</v>
      </c>
      <c r="AA199">
        <f t="shared" si="18"/>
        <v>10.767684752838296</v>
      </c>
      <c r="AB199">
        <f t="shared" si="19"/>
        <v>0.2432880507258659</v>
      </c>
      <c r="AC199" s="4">
        <v>0.2432880507258712</v>
      </c>
      <c r="AD199">
        <v>-1.464536975881769</v>
      </c>
      <c r="AE199">
        <v>-1.6274059829059819</v>
      </c>
      <c r="AG199" s="12">
        <f t="shared" si="20"/>
        <v>0</v>
      </c>
      <c r="AH199" s="12">
        <f t="shared" si="21"/>
        <v>0</v>
      </c>
      <c r="AI199" s="13">
        <f t="shared" si="22"/>
        <v>0</v>
      </c>
      <c r="AJ199" s="14">
        <f t="shared" si="23"/>
        <v>2.5218501649796847</v>
      </c>
    </row>
    <row r="200" spans="1:36" x14ac:dyDescent="0.2">
      <c r="A200">
        <v>2016</v>
      </c>
      <c r="B200" t="s">
        <v>219</v>
      </c>
      <c r="C200">
        <f>VLOOKUP(B200,Sheet5!$B$2:$C$2166,2,FALSE)</f>
        <v>375</v>
      </c>
      <c r="D200">
        <v>375</v>
      </c>
      <c r="E200">
        <v>250</v>
      </c>
      <c r="F200" t="s">
        <v>220</v>
      </c>
      <c r="G200">
        <v>0</v>
      </c>
      <c r="H200">
        <v>5.9269260259704106</v>
      </c>
      <c r="I200">
        <v>1</v>
      </c>
      <c r="J200">
        <v>1</v>
      </c>
      <c r="K200">
        <v>0</v>
      </c>
      <c r="L200">
        <v>-4</v>
      </c>
      <c r="M200" t="s">
        <v>25</v>
      </c>
      <c r="N200" t="s">
        <v>219</v>
      </c>
      <c r="O200">
        <v>1</v>
      </c>
      <c r="P200">
        <v>0</v>
      </c>
      <c r="Q200" t="s">
        <v>221</v>
      </c>
      <c r="R200" t="str">
        <f>VLOOKUP(Q200,GDP!$A$2:$B$266,1,FALSE)</f>
        <v>HRV</v>
      </c>
      <c r="S200" t="str">
        <f>VLOOKUP(Q200,GDP!$A$2:$B$266,2,FALSE)</f>
        <v>Croatia</v>
      </c>
      <c r="T200">
        <f>VLOOKUP(Q200,GDP!$A$1:$C$266,3,FALSE)</f>
        <v>30820.805042135464</v>
      </c>
      <c r="U200" s="4">
        <v>30820.8050421355</v>
      </c>
      <c r="V200" s="5">
        <f>VLOOKUP(Q200,POP!$B$5:$M$269,3,FALSE)</f>
        <v>2700822</v>
      </c>
      <c r="W200" s="4">
        <v>2700822</v>
      </c>
      <c r="X200">
        <f>VLOOKUP(Q200,YU!$B$1:$D$266,3,FALSE)</f>
        <v>30.949000000000002</v>
      </c>
      <c r="Y200" s="4">
        <v>30.949000000000002</v>
      </c>
      <c r="AA200">
        <f t="shared" si="18"/>
        <v>10.335945229303098</v>
      </c>
      <c r="AB200">
        <f t="shared" si="19"/>
        <v>-0.18845147280933183</v>
      </c>
      <c r="AC200" s="4">
        <v>-0.1884514728093265</v>
      </c>
      <c r="AD200">
        <v>-1.102818378956</v>
      </c>
      <c r="AE200">
        <v>15.633594017094021</v>
      </c>
      <c r="AG200" s="12">
        <f t="shared" si="20"/>
        <v>-3.637978807091713E-11</v>
      </c>
      <c r="AH200" s="12">
        <f t="shared" si="21"/>
        <v>0</v>
      </c>
      <c r="AI200" s="13">
        <f t="shared" si="22"/>
        <v>0</v>
      </c>
      <c r="AJ200" s="14">
        <f t="shared" si="23"/>
        <v>0</v>
      </c>
    </row>
    <row r="201" spans="1:36" x14ac:dyDescent="0.2">
      <c r="A201">
        <v>2017</v>
      </c>
      <c r="B201" t="s">
        <v>219</v>
      </c>
      <c r="C201">
        <f>VLOOKUP(B201,Sheet5!$B$2:$C$2166,2,FALSE)</f>
        <v>375</v>
      </c>
      <c r="D201">
        <v>335</v>
      </c>
      <c r="E201">
        <v>240</v>
      </c>
      <c r="F201" t="s">
        <v>222</v>
      </c>
      <c r="G201">
        <v>0</v>
      </c>
      <c r="H201">
        <v>5.8141305318250662</v>
      </c>
      <c r="I201">
        <v>1</v>
      </c>
      <c r="J201">
        <v>1</v>
      </c>
      <c r="K201">
        <v>0</v>
      </c>
      <c r="L201">
        <v>-3</v>
      </c>
      <c r="M201" t="s">
        <v>25</v>
      </c>
      <c r="N201" t="s">
        <v>219</v>
      </c>
      <c r="O201">
        <v>1</v>
      </c>
      <c r="P201">
        <v>0</v>
      </c>
      <c r="Q201" t="s">
        <v>221</v>
      </c>
      <c r="R201" t="str">
        <f>VLOOKUP(Q201,GDP!$A$2:$B$266,1,FALSE)</f>
        <v>HRV</v>
      </c>
      <c r="S201" t="str">
        <f>VLOOKUP(Q201,GDP!$A$2:$B$266,2,FALSE)</f>
        <v>Croatia</v>
      </c>
      <c r="T201">
        <f>VLOOKUP(Q201,GDP!$A$1:$L$266,4,FALSE)</f>
        <v>32348.588855617378</v>
      </c>
      <c r="U201" s="4">
        <v>32348.5888556174</v>
      </c>
      <c r="V201" s="5">
        <f>VLOOKUP(Q201,POP!$B$5:$M$269,4,FALSE)</f>
        <v>2638787</v>
      </c>
      <c r="W201" s="4">
        <v>2638787</v>
      </c>
      <c r="X201">
        <f>VLOOKUP(Q201,YU!$B$1:$M$266,4,FALSE)</f>
        <v>27.425000000000001</v>
      </c>
      <c r="Y201" s="4">
        <v>27.425000000000001</v>
      </c>
      <c r="Z201">
        <v>3.87207007408142</v>
      </c>
      <c r="AA201">
        <f t="shared" si="18"/>
        <v>10.384325677822048</v>
      </c>
      <c r="AB201">
        <f t="shared" si="19"/>
        <v>-0.14007102429038198</v>
      </c>
      <c r="AC201" s="4">
        <v>-0.14007102429037491</v>
      </c>
      <c r="AD201">
        <v>-1.1260552082042119</v>
      </c>
      <c r="AE201">
        <v>12.10959401709402</v>
      </c>
      <c r="AG201" s="12">
        <f t="shared" si="20"/>
        <v>0</v>
      </c>
      <c r="AH201" s="12">
        <f t="shared" si="21"/>
        <v>0</v>
      </c>
      <c r="AI201" s="13">
        <f t="shared" si="22"/>
        <v>0</v>
      </c>
      <c r="AJ201" s="14">
        <f t="shared" si="23"/>
        <v>0.1127954941453444</v>
      </c>
    </row>
    <row r="202" spans="1:36" x14ac:dyDescent="0.2">
      <c r="A202">
        <v>2018</v>
      </c>
      <c r="B202" t="s">
        <v>219</v>
      </c>
      <c r="C202">
        <f>VLOOKUP(B202,Sheet5!$B$2:$C$2166,2,FALSE)</f>
        <v>375</v>
      </c>
      <c r="D202">
        <v>405</v>
      </c>
      <c r="E202">
        <v>275</v>
      </c>
      <c r="F202" t="s">
        <v>175</v>
      </c>
      <c r="G202">
        <v>0</v>
      </c>
      <c r="H202">
        <v>6.0038870671065387</v>
      </c>
      <c r="I202">
        <v>1</v>
      </c>
      <c r="J202">
        <v>1</v>
      </c>
      <c r="K202">
        <v>0</v>
      </c>
      <c r="L202">
        <v>-2</v>
      </c>
      <c r="M202" t="s">
        <v>25</v>
      </c>
      <c r="N202" t="s">
        <v>219</v>
      </c>
      <c r="O202">
        <v>1</v>
      </c>
      <c r="P202">
        <v>0</v>
      </c>
      <c r="Q202" t="s">
        <v>221</v>
      </c>
      <c r="R202" t="str">
        <f>VLOOKUP(Q202,GDP!$A$2:$B$266,1,FALSE)</f>
        <v>HRV</v>
      </c>
      <c r="S202" t="str">
        <f>VLOOKUP(Q202,GDP!$A$2:$B$266,2,FALSE)</f>
        <v>Croatia</v>
      </c>
      <c r="T202">
        <f>VLOOKUP(Q202,GDP!$A$1:$L$266,5,FALSE)</f>
        <v>33729.545581194281</v>
      </c>
      <c r="U202" s="4">
        <v>33729.545581194303</v>
      </c>
      <c r="V202" s="5">
        <f>VLOOKUP(Q202,POP!$B$5:$M$269,5,FALSE)</f>
        <v>2583333</v>
      </c>
      <c r="W202" s="4">
        <v>2583333</v>
      </c>
      <c r="X202">
        <f>VLOOKUP(Q202,YU!$B$1:$M$266,5,FALSE)</f>
        <v>23.509</v>
      </c>
      <c r="Y202" s="4">
        <v>23.509</v>
      </c>
      <c r="Z202">
        <v>3.9243299961090101</v>
      </c>
      <c r="AA202">
        <f t="shared" si="18"/>
        <v>10.426129455720481</v>
      </c>
      <c r="AB202">
        <f t="shared" si="19"/>
        <v>-9.8267246391948504E-2</v>
      </c>
      <c r="AC202" s="4">
        <v>-9.8267246391941399E-2</v>
      </c>
      <c r="AD202">
        <v>-1.147294124412042</v>
      </c>
      <c r="AE202">
        <v>8.1935940170940178</v>
      </c>
      <c r="AG202" s="12">
        <f t="shared" si="20"/>
        <v>0</v>
      </c>
      <c r="AH202" s="12">
        <f t="shared" si="21"/>
        <v>0</v>
      </c>
      <c r="AI202" s="13">
        <f t="shared" si="22"/>
        <v>0</v>
      </c>
      <c r="AJ202" s="14">
        <f t="shared" si="23"/>
        <v>-7.6961041136128117E-2</v>
      </c>
    </row>
    <row r="203" spans="1:36" x14ac:dyDescent="0.2">
      <c r="A203">
        <v>2019</v>
      </c>
      <c r="B203" t="s">
        <v>219</v>
      </c>
      <c r="C203">
        <f>VLOOKUP(B203,Sheet5!$B$2:$C$2166,2,FALSE)</f>
        <v>375</v>
      </c>
      <c r="D203">
        <v>365</v>
      </c>
      <c r="E203">
        <v>250</v>
      </c>
      <c r="F203" t="s">
        <v>223</v>
      </c>
      <c r="G203">
        <v>0</v>
      </c>
      <c r="H203">
        <v>5.8998973535824906</v>
      </c>
      <c r="I203">
        <v>1</v>
      </c>
      <c r="J203">
        <v>1</v>
      </c>
      <c r="K203">
        <v>0</v>
      </c>
      <c r="L203">
        <v>-1</v>
      </c>
      <c r="M203" t="s">
        <v>25</v>
      </c>
      <c r="N203" t="s">
        <v>219</v>
      </c>
      <c r="O203">
        <v>1</v>
      </c>
      <c r="P203">
        <v>0</v>
      </c>
      <c r="Q203" t="s">
        <v>221</v>
      </c>
      <c r="R203" t="str">
        <f>VLOOKUP(Q203,GDP!$A$2:$B$266,1,FALSE)</f>
        <v>HRV</v>
      </c>
      <c r="S203" t="str">
        <f>VLOOKUP(Q203,GDP!$A$2:$B$266,2,FALSE)</f>
        <v>Croatia</v>
      </c>
      <c r="T203">
        <f>VLOOKUP(Q203,GDP!$A$1:$L$266,6,FALSE)</f>
        <v>35122.796623100847</v>
      </c>
      <c r="U203" s="4">
        <v>35122.796623100803</v>
      </c>
      <c r="V203" s="5">
        <f>VLOOKUP(Q203,POP!$B$5:$M$269,6,FALSE)</f>
        <v>2538778</v>
      </c>
      <c r="W203" s="4">
        <v>2538778</v>
      </c>
      <c r="X203">
        <f>VLOOKUP(Q203,YU!$B$1:$M$266,6,FALSE)</f>
        <v>16.71</v>
      </c>
      <c r="Y203" s="4">
        <v>16.71</v>
      </c>
      <c r="Z203">
        <v>3.9455599784851101</v>
      </c>
      <c r="AA203">
        <f t="shared" si="18"/>
        <v>10.466605675077028</v>
      </c>
      <c r="AB203">
        <f t="shared" si="19"/>
        <v>-5.7791027035401399E-2</v>
      </c>
      <c r="AC203" s="4">
        <v>-5.779102703539607E-2</v>
      </c>
      <c r="AD203">
        <v>-1.164691687175555</v>
      </c>
      <c r="AE203">
        <v>1.3945940170940181</v>
      </c>
      <c r="AG203" s="12">
        <f t="shared" si="20"/>
        <v>0</v>
      </c>
      <c r="AH203" s="12">
        <f t="shared" si="21"/>
        <v>0</v>
      </c>
      <c r="AI203" s="13">
        <f t="shared" si="22"/>
        <v>0</v>
      </c>
      <c r="AJ203" s="14">
        <f t="shared" si="23"/>
        <v>2.7028672387920061E-2</v>
      </c>
    </row>
    <row r="204" spans="1:36" x14ac:dyDescent="0.2">
      <c r="A204">
        <v>2020</v>
      </c>
      <c r="B204" t="s">
        <v>219</v>
      </c>
      <c r="C204">
        <f>VLOOKUP(B204,Sheet5!$B$2:$C$2166,2,FALSE)</f>
        <v>375</v>
      </c>
      <c r="D204">
        <v>355</v>
      </c>
      <c r="E204">
        <v>240</v>
      </c>
      <c r="F204" t="s">
        <v>224</v>
      </c>
      <c r="G204">
        <v>0</v>
      </c>
      <c r="H204">
        <v>5.872117789475416</v>
      </c>
      <c r="I204">
        <v>1</v>
      </c>
      <c r="J204">
        <v>1</v>
      </c>
      <c r="K204">
        <v>0</v>
      </c>
      <c r="L204">
        <v>0</v>
      </c>
      <c r="M204" t="s">
        <v>25</v>
      </c>
      <c r="N204" t="s">
        <v>219</v>
      </c>
      <c r="O204">
        <v>1</v>
      </c>
      <c r="P204">
        <v>0</v>
      </c>
      <c r="Q204" t="s">
        <v>221</v>
      </c>
      <c r="R204" t="str">
        <f>VLOOKUP(Q204,GDP!$A$2:$B$266,1,FALSE)</f>
        <v>HRV</v>
      </c>
      <c r="S204" t="str">
        <f>VLOOKUP(Q204,GDP!$A$2:$B$266,2,FALSE)</f>
        <v>Croatia</v>
      </c>
      <c r="T204">
        <f>VLOOKUP(Q204,GDP!$A$1:$L$266,7,FALSE)</f>
        <v>32493.401701005521</v>
      </c>
      <c r="U204" s="4">
        <v>32493.401701005499</v>
      </c>
      <c r="V204" s="5">
        <f>VLOOKUP(Q204,POP!$B$5:$M$269,7,FALSE)</f>
        <v>2500475</v>
      </c>
      <c r="W204" s="4">
        <v>2500475</v>
      </c>
      <c r="X204">
        <f>VLOOKUP(Q204,YU!$B$1:$M$266,7,FALSE)</f>
        <v>20.672999999999998</v>
      </c>
      <c r="Y204" s="4">
        <v>20.672999999999998</v>
      </c>
      <c r="Z204">
        <v>4.4085497856140101</v>
      </c>
      <c r="AA204">
        <f t="shared" si="18"/>
        <v>10.388792323121102</v>
      </c>
      <c r="AB204">
        <f t="shared" si="19"/>
        <v>-0.13560437899132793</v>
      </c>
      <c r="AC204" s="4">
        <v>-0.1356043789913226</v>
      </c>
      <c r="AD204">
        <v>-1.1798938362504801</v>
      </c>
      <c r="AE204">
        <v>5.3575940170940157</v>
      </c>
      <c r="AG204" s="12">
        <f t="shared" si="20"/>
        <v>0</v>
      </c>
      <c r="AH204" s="12">
        <f t="shared" si="21"/>
        <v>0</v>
      </c>
      <c r="AI204" s="13">
        <f t="shared" si="22"/>
        <v>0</v>
      </c>
      <c r="AJ204" s="14">
        <f t="shared" si="23"/>
        <v>5.4808236494994667E-2</v>
      </c>
    </row>
    <row r="205" spans="1:36" x14ac:dyDescent="0.2">
      <c r="A205">
        <v>2021</v>
      </c>
      <c r="B205" t="s">
        <v>219</v>
      </c>
      <c r="C205">
        <f>VLOOKUP(B205,Sheet5!$B$2:$C$2166,2,FALSE)</f>
        <v>375</v>
      </c>
      <c r="D205">
        <v>100</v>
      </c>
      <c r="E205">
        <v>55</v>
      </c>
      <c r="F205" t="s">
        <v>153</v>
      </c>
      <c r="G205">
        <v>0</v>
      </c>
      <c r="H205">
        <v>4.6051701859880918</v>
      </c>
      <c r="I205">
        <v>1</v>
      </c>
      <c r="J205">
        <v>1</v>
      </c>
      <c r="K205">
        <v>1</v>
      </c>
      <c r="L205">
        <v>1</v>
      </c>
      <c r="M205" t="s">
        <v>25</v>
      </c>
      <c r="N205" t="s">
        <v>219</v>
      </c>
      <c r="O205">
        <v>1</v>
      </c>
      <c r="P205">
        <v>1</v>
      </c>
      <c r="Q205" t="s">
        <v>221</v>
      </c>
      <c r="R205" t="str">
        <f>VLOOKUP(Q205,GDP!$A$2:$B$266,1,FALSE)</f>
        <v>HRV</v>
      </c>
      <c r="S205" t="str">
        <f>VLOOKUP(Q205,GDP!$A$2:$B$266,2,FALSE)</f>
        <v>Croatia</v>
      </c>
      <c r="T205">
        <f>VLOOKUP(Q205,GDP!$A$1:$L$266,8,FALSE)</f>
        <v>36930.076102198997</v>
      </c>
      <c r="U205" s="4">
        <v>36930.076102198997</v>
      </c>
      <c r="V205" s="5">
        <f>VLOOKUP(Q205,POP!$B$5:$M$269,8,FALSE)</f>
        <v>2463901</v>
      </c>
      <c r="W205" s="4">
        <v>2463901</v>
      </c>
      <c r="X205">
        <f>VLOOKUP(Q205,YU!$B$1:$M$266,8,FALSE)</f>
        <v>21.542000000000002</v>
      </c>
      <c r="Y205" s="4">
        <v>21.542000000000002</v>
      </c>
      <c r="Z205">
        <v>4.0916600227356001</v>
      </c>
      <c r="AA205">
        <f t="shared" si="18"/>
        <v>10.516781568559324</v>
      </c>
      <c r="AB205">
        <f t="shared" si="19"/>
        <v>-7.6151335531058351E-3</v>
      </c>
      <c r="AC205" s="4">
        <v>-7.615133553100506E-3</v>
      </c>
      <c r="AD205">
        <v>-1.194628683784257</v>
      </c>
      <c r="AE205">
        <v>6.2265940170940191</v>
      </c>
      <c r="AG205" s="12">
        <f t="shared" si="20"/>
        <v>0</v>
      </c>
      <c r="AH205" s="12">
        <f t="shared" si="21"/>
        <v>0</v>
      </c>
      <c r="AI205" s="13">
        <f t="shared" si="22"/>
        <v>0</v>
      </c>
      <c r="AJ205" s="14">
        <f t="shared" si="23"/>
        <v>1.3217558399823188</v>
      </c>
    </row>
    <row r="206" spans="1:36" x14ac:dyDescent="0.2">
      <c r="A206">
        <v>2022</v>
      </c>
      <c r="B206" t="s">
        <v>219</v>
      </c>
      <c r="C206">
        <f>VLOOKUP(B206,Sheet5!$B$2:$C$2166,2,FALSE)</f>
        <v>375</v>
      </c>
      <c r="D206">
        <v>75</v>
      </c>
      <c r="E206">
        <v>35</v>
      </c>
      <c r="F206" t="s">
        <v>225</v>
      </c>
      <c r="G206">
        <v>0</v>
      </c>
      <c r="H206">
        <v>4.3174881135363101</v>
      </c>
      <c r="I206">
        <v>1</v>
      </c>
      <c r="J206">
        <v>1</v>
      </c>
      <c r="K206">
        <v>1</v>
      </c>
      <c r="L206">
        <v>2</v>
      </c>
      <c r="M206" t="s">
        <v>25</v>
      </c>
      <c r="N206" t="s">
        <v>219</v>
      </c>
      <c r="O206">
        <v>1</v>
      </c>
      <c r="P206">
        <v>1</v>
      </c>
      <c r="Q206" t="s">
        <v>221</v>
      </c>
      <c r="R206" t="str">
        <f>VLOOKUP(Q206,GDP!$A$2:$B$266,1,FALSE)</f>
        <v>HRV</v>
      </c>
      <c r="S206" t="str">
        <f>VLOOKUP(Q206,GDP!$A$2:$B$266,2,FALSE)</f>
        <v>Croatia</v>
      </c>
      <c r="T206">
        <f>VLOOKUP(Q206,GDP!$A$1:$L$266,9,FALSE)</f>
        <v>39863.910937764878</v>
      </c>
      <c r="U206" s="4">
        <v>39863.9109377649</v>
      </c>
      <c r="V206" s="5">
        <f>VLOOKUP(Q206,POP!$B$5:$M$269,9,FALSE)</f>
        <v>2437319</v>
      </c>
      <c r="W206" s="4">
        <v>2437319</v>
      </c>
      <c r="X206">
        <f>VLOOKUP(Q206,YU!$B$1:$M$266,9,FALSE)</f>
        <v>17.744</v>
      </c>
      <c r="Y206" s="4">
        <v>17.744</v>
      </c>
      <c r="AA206">
        <f t="shared" si="18"/>
        <v>10.59322670580675</v>
      </c>
      <c r="AB206">
        <f t="shared" si="19"/>
        <v>6.8830003694319686E-2</v>
      </c>
      <c r="AC206" s="4">
        <v>6.8830003694326791E-2</v>
      </c>
      <c r="AD206">
        <v>-1.205475885354456</v>
      </c>
      <c r="AE206">
        <v>2.4285940170940168</v>
      </c>
      <c r="AG206" s="12">
        <f t="shared" si="20"/>
        <v>0</v>
      </c>
      <c r="AH206" s="12">
        <f t="shared" si="21"/>
        <v>0</v>
      </c>
      <c r="AI206" s="13">
        <f t="shared" si="22"/>
        <v>0</v>
      </c>
      <c r="AJ206" s="14">
        <f t="shared" si="23"/>
        <v>1.6094379124341005</v>
      </c>
    </row>
    <row r="207" spans="1:36" x14ac:dyDescent="0.2">
      <c r="A207">
        <v>2023</v>
      </c>
      <c r="B207" t="s">
        <v>219</v>
      </c>
      <c r="C207">
        <f>VLOOKUP(B207,Sheet5!$B$2:$C$2166,2,FALSE)</f>
        <v>375</v>
      </c>
      <c r="D207">
        <v>60</v>
      </c>
      <c r="E207">
        <v>20</v>
      </c>
      <c r="F207" t="s">
        <v>226</v>
      </c>
      <c r="G207">
        <v>0</v>
      </c>
      <c r="H207">
        <v>4.0943445622221004</v>
      </c>
      <c r="I207">
        <v>1</v>
      </c>
      <c r="J207">
        <v>1</v>
      </c>
      <c r="K207">
        <v>1</v>
      </c>
      <c r="L207">
        <v>3</v>
      </c>
      <c r="M207" t="s">
        <v>25</v>
      </c>
      <c r="N207" t="s">
        <v>219</v>
      </c>
      <c r="O207">
        <v>1</v>
      </c>
      <c r="P207">
        <v>1</v>
      </c>
      <c r="Q207" t="s">
        <v>221</v>
      </c>
      <c r="R207" t="str">
        <f>VLOOKUP(Q207,GDP!$A$2:$B$266,1,FALSE)</f>
        <v>HRV</v>
      </c>
      <c r="S207" t="str">
        <f>VLOOKUP(Q207,GDP!$A$2:$B$266,2,FALSE)</f>
        <v>Croatia</v>
      </c>
      <c r="T207">
        <f>VLOOKUP(Q207,GDP!$A$1:$L$266,10,FALSE)</f>
        <v>41320.257995771972</v>
      </c>
      <c r="U207" s="4">
        <v>41320.257995772001</v>
      </c>
      <c r="V207" s="5">
        <f>VLOOKUP(Q207,POP!$B$5:$M$269,10,FALSE)</f>
        <v>2433381</v>
      </c>
      <c r="W207" s="4">
        <v>2433381</v>
      </c>
      <c r="X207">
        <f>VLOOKUP(Q207,YU!$B$1:$M$266,10,FALSE)</f>
        <v>18.91</v>
      </c>
      <c r="Y207" s="4">
        <v>18.91</v>
      </c>
      <c r="AA207">
        <f t="shared" si="18"/>
        <v>10.629108167061419</v>
      </c>
      <c r="AB207">
        <f t="shared" si="19"/>
        <v>0.10471146494898953</v>
      </c>
      <c r="AC207" s="4">
        <v>0.1047114649489949</v>
      </c>
      <c r="AD207">
        <v>-1.207092901741452</v>
      </c>
      <c r="AE207">
        <v>3.594594017094018</v>
      </c>
      <c r="AG207" s="12">
        <f t="shared" si="20"/>
        <v>0</v>
      </c>
      <c r="AH207" s="12">
        <f t="shared" si="21"/>
        <v>0</v>
      </c>
      <c r="AI207" s="13">
        <f t="shared" si="22"/>
        <v>0</v>
      </c>
      <c r="AJ207" s="14">
        <f t="shared" si="23"/>
        <v>1.8325814637483102</v>
      </c>
    </row>
    <row r="208" spans="1:36" x14ac:dyDescent="0.2">
      <c r="A208">
        <v>2024</v>
      </c>
      <c r="B208" t="s">
        <v>219</v>
      </c>
      <c r="C208">
        <f>VLOOKUP(B208,Sheet5!$B$2:$C$2166,2,FALSE)</f>
        <v>375</v>
      </c>
      <c r="D208">
        <v>70</v>
      </c>
      <c r="E208">
        <v>30</v>
      </c>
      <c r="F208" t="s">
        <v>126</v>
      </c>
      <c r="G208">
        <v>0</v>
      </c>
      <c r="H208">
        <v>4.2484952420493594</v>
      </c>
      <c r="I208">
        <v>1</v>
      </c>
      <c r="J208">
        <v>1</v>
      </c>
      <c r="K208">
        <v>1</v>
      </c>
      <c r="L208">
        <v>4</v>
      </c>
      <c r="M208" t="s">
        <v>25</v>
      </c>
      <c r="N208" t="s">
        <v>219</v>
      </c>
      <c r="O208">
        <v>1</v>
      </c>
      <c r="P208">
        <v>1</v>
      </c>
      <c r="Q208" t="s">
        <v>221</v>
      </c>
      <c r="R208" t="str">
        <f>VLOOKUP(Q208,GDP!$A$2:$B$266,1,FALSE)</f>
        <v>HRV</v>
      </c>
      <c r="S208" t="str">
        <f>VLOOKUP(Q208,GDP!$A$2:$B$266,2,FALSE)</f>
        <v>Croatia</v>
      </c>
      <c r="T208">
        <f>VLOOKUP(Q208,GDP!$A$1:$L$266,11,FALSE)</f>
        <v>42828.799727356913</v>
      </c>
      <c r="U208" s="4">
        <v>42828.799727356898</v>
      </c>
      <c r="V208" s="5">
        <f>VLOOKUP(Q208,POP!$B$5:$M$269,11,FALSE)</f>
        <v>2431415</v>
      </c>
      <c r="W208" s="4">
        <v>2431415</v>
      </c>
      <c r="X208">
        <f>VLOOKUP(Q208,YU!$B$1:$M$266,11,FALSE)</f>
        <v>16.478999999999999</v>
      </c>
      <c r="Y208" s="4">
        <v>16.478999999999999</v>
      </c>
      <c r="AA208">
        <f t="shared" si="18"/>
        <v>10.664966046106459</v>
      </c>
      <c r="AB208">
        <f t="shared" si="19"/>
        <v>0.14056934399402898</v>
      </c>
      <c r="AC208" s="4">
        <v>0.14056934399403431</v>
      </c>
      <c r="AD208">
        <v>-1.2079011576712091</v>
      </c>
      <c r="AE208">
        <v>1.1635940170940171</v>
      </c>
      <c r="AG208" s="12">
        <f t="shared" si="20"/>
        <v>0</v>
      </c>
      <c r="AH208" s="12">
        <f t="shared" si="21"/>
        <v>0</v>
      </c>
      <c r="AI208" s="13">
        <f t="shared" si="22"/>
        <v>0</v>
      </c>
      <c r="AJ208" s="14">
        <f t="shared" si="23"/>
        <v>1.6784307839210513</v>
      </c>
    </row>
    <row r="209" spans="1:36" x14ac:dyDescent="0.2">
      <c r="A209">
        <v>2016</v>
      </c>
      <c r="B209" t="s">
        <v>227</v>
      </c>
      <c r="C209">
        <f>VLOOKUP(B209,Sheet5!$B$2:$C$2166,2,FALSE)</f>
        <v>155</v>
      </c>
      <c r="D209">
        <v>155</v>
      </c>
      <c r="E209">
        <v>85</v>
      </c>
      <c r="F209" t="s">
        <v>228</v>
      </c>
      <c r="G209">
        <v>0</v>
      </c>
      <c r="H209">
        <v>5.0434251169192468</v>
      </c>
      <c r="I209">
        <v>1</v>
      </c>
      <c r="J209">
        <v>1</v>
      </c>
      <c r="K209">
        <v>0</v>
      </c>
      <c r="L209">
        <v>-4</v>
      </c>
      <c r="M209" t="s">
        <v>25</v>
      </c>
      <c r="N209" t="s">
        <v>227</v>
      </c>
      <c r="O209">
        <v>1</v>
      </c>
      <c r="P209">
        <v>0</v>
      </c>
      <c r="Q209" t="s">
        <v>229</v>
      </c>
      <c r="R209" t="str">
        <f>VLOOKUP(Q209,GDP!$A$2:$B$266,1,FALSE)</f>
        <v>SVN</v>
      </c>
      <c r="S209" t="str">
        <f>VLOOKUP(Q209,GDP!$A$2:$B$266,2,FALSE)</f>
        <v>Slovenia</v>
      </c>
      <c r="T209">
        <f>VLOOKUP(Q209,GDP!$A$1:$C$266,3,FALSE)</f>
        <v>39674.893156196777</v>
      </c>
      <c r="U209" s="4">
        <v>39674.893156196798</v>
      </c>
      <c r="V209" s="5">
        <f>VLOOKUP(Q209,POP!$B$5:$M$269,3,FALSE)</f>
        <v>1374712</v>
      </c>
      <c r="W209" s="4">
        <v>1374712</v>
      </c>
      <c r="X209">
        <f>VLOOKUP(Q209,YU!$B$1:$D$266,3,FALSE)</f>
        <v>15.243</v>
      </c>
      <c r="Y209" s="4">
        <v>15.243</v>
      </c>
      <c r="Z209">
        <v>4.8441901206970197</v>
      </c>
      <c r="AA209">
        <f t="shared" si="18"/>
        <v>10.588473852415477</v>
      </c>
      <c r="AB209">
        <f t="shared" si="19"/>
        <v>6.4077150303047503E-2</v>
      </c>
      <c r="AC209" s="4">
        <v>6.4077150303052832E-2</v>
      </c>
      <c r="AD209">
        <v>-1.7781302954425089</v>
      </c>
      <c r="AE209">
        <v>-7.2405982905982214E-2</v>
      </c>
      <c r="AG209" s="12">
        <f t="shared" si="20"/>
        <v>0</v>
      </c>
      <c r="AH209" s="12">
        <f t="shared" si="21"/>
        <v>0</v>
      </c>
      <c r="AI209" s="13">
        <f t="shared" si="22"/>
        <v>0</v>
      </c>
      <c r="AJ209" s="14">
        <f t="shared" si="23"/>
        <v>0</v>
      </c>
    </row>
    <row r="210" spans="1:36" x14ac:dyDescent="0.2">
      <c r="A210">
        <v>2017</v>
      </c>
      <c r="B210" t="s">
        <v>227</v>
      </c>
      <c r="C210">
        <f>VLOOKUP(B210,Sheet5!$B$2:$C$2166,2,FALSE)</f>
        <v>155</v>
      </c>
      <c r="D210">
        <v>160</v>
      </c>
      <c r="E210">
        <v>65</v>
      </c>
      <c r="F210" t="s">
        <v>82</v>
      </c>
      <c r="G210">
        <v>0</v>
      </c>
      <c r="H210">
        <v>5.0751738152338266</v>
      </c>
      <c r="I210">
        <v>1</v>
      </c>
      <c r="J210">
        <v>1</v>
      </c>
      <c r="K210">
        <v>0</v>
      </c>
      <c r="L210">
        <v>-3</v>
      </c>
      <c r="M210" t="s">
        <v>25</v>
      </c>
      <c r="N210" t="s">
        <v>227</v>
      </c>
      <c r="O210">
        <v>1</v>
      </c>
      <c r="P210">
        <v>0</v>
      </c>
      <c r="Q210" t="s">
        <v>229</v>
      </c>
      <c r="R210" t="str">
        <f>VLOOKUP(Q210,GDP!$A$2:$B$266,1,FALSE)</f>
        <v>SVN</v>
      </c>
      <c r="S210" t="str">
        <f>VLOOKUP(Q210,GDP!$A$2:$B$266,2,FALSE)</f>
        <v>Slovenia</v>
      </c>
      <c r="T210">
        <f>VLOOKUP(Q210,GDP!$A$1:$L$266,4,FALSE)</f>
        <v>41700.651085028039</v>
      </c>
      <c r="U210" s="4">
        <v>41700.651085028003</v>
      </c>
      <c r="V210" s="5">
        <f>VLOOKUP(Q210,POP!$B$5:$M$269,4,FALSE)</f>
        <v>1363515</v>
      </c>
      <c r="W210" s="4">
        <v>1363515</v>
      </c>
      <c r="X210">
        <f>VLOOKUP(Q210,YU!$B$1:$M$266,4,FALSE)</f>
        <v>11.24</v>
      </c>
      <c r="Y210" s="4">
        <v>11.24</v>
      </c>
      <c r="Z210">
        <v>4.8238101005554199</v>
      </c>
      <c r="AA210">
        <f t="shared" si="18"/>
        <v>10.638272021214835</v>
      </c>
      <c r="AB210">
        <f t="shared" si="19"/>
        <v>0.11387531910240511</v>
      </c>
      <c r="AC210" s="4">
        <v>0.1138753191024104</v>
      </c>
      <c r="AD210">
        <v>-1.786308625733817</v>
      </c>
      <c r="AE210">
        <v>-4.0754059829059823</v>
      </c>
      <c r="AG210" s="12">
        <f t="shared" si="20"/>
        <v>0</v>
      </c>
      <c r="AH210" s="12">
        <f t="shared" si="21"/>
        <v>0</v>
      </c>
      <c r="AI210" s="13">
        <f t="shared" si="22"/>
        <v>0</v>
      </c>
      <c r="AJ210" s="14">
        <f t="shared" si="23"/>
        <v>-3.1748698314579826E-2</v>
      </c>
    </row>
    <row r="211" spans="1:36" x14ac:dyDescent="0.2">
      <c r="A211">
        <v>2018</v>
      </c>
      <c r="B211" t="s">
        <v>227</v>
      </c>
      <c r="C211">
        <f>VLOOKUP(B211,Sheet5!$B$2:$C$2166,2,FALSE)</f>
        <v>155</v>
      </c>
      <c r="D211">
        <v>160</v>
      </c>
      <c r="E211">
        <v>90</v>
      </c>
      <c r="F211" t="s">
        <v>230</v>
      </c>
      <c r="G211">
        <v>0</v>
      </c>
      <c r="H211">
        <v>5.0751738152338266</v>
      </c>
      <c r="I211">
        <v>1</v>
      </c>
      <c r="J211">
        <v>1</v>
      </c>
      <c r="K211">
        <v>0</v>
      </c>
      <c r="L211">
        <v>-2</v>
      </c>
      <c r="M211" t="s">
        <v>25</v>
      </c>
      <c r="N211" t="s">
        <v>227</v>
      </c>
      <c r="O211">
        <v>1</v>
      </c>
      <c r="P211">
        <v>0</v>
      </c>
      <c r="Q211" t="s">
        <v>229</v>
      </c>
      <c r="R211" t="str">
        <f>VLOOKUP(Q211,GDP!$A$2:$B$266,1,FALSE)</f>
        <v>SVN</v>
      </c>
      <c r="S211" t="str">
        <f>VLOOKUP(Q211,GDP!$A$2:$B$266,2,FALSE)</f>
        <v>Slovenia</v>
      </c>
      <c r="T211">
        <f>VLOOKUP(Q211,GDP!$A$1:$L$266,5,FALSE)</f>
        <v>43369.221946980986</v>
      </c>
      <c r="U211" s="4">
        <v>43369.221946981001</v>
      </c>
      <c r="V211" s="5">
        <f>VLOOKUP(Q211,POP!$B$5:$M$269,5,FALSE)</f>
        <v>1357416</v>
      </c>
      <c r="W211" s="4">
        <v>1357416</v>
      </c>
      <c r="X211">
        <f>VLOOKUP(Q211,YU!$B$1:$M$266,5,FALSE)</f>
        <v>8.8170000000000002</v>
      </c>
      <c r="Y211" s="4">
        <v>8.8170000000000002</v>
      </c>
      <c r="Z211">
        <v>4.9794898033142099</v>
      </c>
      <c r="AA211">
        <f t="shared" si="18"/>
        <v>10.677505296778728</v>
      </c>
      <c r="AB211">
        <f t="shared" si="19"/>
        <v>0.153108594666298</v>
      </c>
      <c r="AC211" s="4">
        <v>0.1531085946663033</v>
      </c>
      <c r="AD211">
        <v>-1.790791657618557</v>
      </c>
      <c r="AE211">
        <v>-6.4984059829059824</v>
      </c>
      <c r="AG211" s="12">
        <f t="shared" si="20"/>
        <v>0</v>
      </c>
      <c r="AH211" s="12">
        <f t="shared" si="21"/>
        <v>0</v>
      </c>
      <c r="AI211" s="13">
        <f t="shared" si="22"/>
        <v>0</v>
      </c>
      <c r="AJ211" s="14">
        <f t="shared" si="23"/>
        <v>-3.1748698314579826E-2</v>
      </c>
    </row>
    <row r="212" spans="1:36" x14ac:dyDescent="0.2">
      <c r="A212">
        <v>2019</v>
      </c>
      <c r="B212" t="s">
        <v>227</v>
      </c>
      <c r="C212">
        <f>VLOOKUP(B212,Sheet5!$B$2:$C$2166,2,FALSE)</f>
        <v>155</v>
      </c>
      <c r="D212">
        <v>140</v>
      </c>
      <c r="E212">
        <v>70</v>
      </c>
      <c r="F212" t="s">
        <v>187</v>
      </c>
      <c r="G212">
        <v>0</v>
      </c>
      <c r="H212">
        <v>4.9416424226093039</v>
      </c>
      <c r="I212">
        <v>1</v>
      </c>
      <c r="J212">
        <v>1</v>
      </c>
      <c r="K212">
        <v>0</v>
      </c>
      <c r="L212">
        <v>-1</v>
      </c>
      <c r="M212" t="s">
        <v>25</v>
      </c>
      <c r="N212" t="s">
        <v>227</v>
      </c>
      <c r="O212">
        <v>1</v>
      </c>
      <c r="P212">
        <v>0</v>
      </c>
      <c r="Q212" t="s">
        <v>229</v>
      </c>
      <c r="R212" t="str">
        <f>VLOOKUP(Q212,GDP!$A$2:$B$266,1,FALSE)</f>
        <v>SVN</v>
      </c>
      <c r="S212" t="str">
        <f>VLOOKUP(Q212,GDP!$A$2:$B$266,2,FALSE)</f>
        <v>Slovenia</v>
      </c>
      <c r="T212">
        <f>VLOOKUP(Q212,GDP!$A$1:$L$266,6,FALSE)</f>
        <v>44577.941858306949</v>
      </c>
      <c r="U212" s="4">
        <v>44577.941858306898</v>
      </c>
      <c r="V212" s="5">
        <f>VLOOKUP(Q212,POP!$B$5:$M$269,6,FALSE)</f>
        <v>1358304</v>
      </c>
      <c r="W212" s="4">
        <v>1358304</v>
      </c>
      <c r="X212">
        <f>VLOOKUP(Q212,YU!$B$1:$M$266,6,FALSE)</f>
        <v>8.1359999999999992</v>
      </c>
      <c r="Y212" s="4">
        <v>8.1359999999999992</v>
      </c>
      <c r="Z212">
        <v>4.9347901344299299</v>
      </c>
      <c r="AA212">
        <f t="shared" si="18"/>
        <v>10.704994438496522</v>
      </c>
      <c r="AB212">
        <f t="shared" si="19"/>
        <v>0.18059773638409204</v>
      </c>
      <c r="AC212" s="4">
        <v>0.1805977363840956</v>
      </c>
      <c r="AD212">
        <v>-1.790137687377406</v>
      </c>
      <c r="AE212">
        <v>-7.1794059829059833</v>
      </c>
      <c r="AG212" s="12">
        <f t="shared" si="20"/>
        <v>0</v>
      </c>
      <c r="AH212" s="12">
        <f t="shared" si="21"/>
        <v>0</v>
      </c>
      <c r="AI212" s="13">
        <f t="shared" si="22"/>
        <v>0</v>
      </c>
      <c r="AJ212" s="14">
        <f t="shared" si="23"/>
        <v>0.10178269430994291</v>
      </c>
    </row>
    <row r="213" spans="1:36" x14ac:dyDescent="0.2">
      <c r="A213">
        <v>2020</v>
      </c>
      <c r="B213" t="s">
        <v>227</v>
      </c>
      <c r="C213">
        <f>VLOOKUP(B213,Sheet5!$B$2:$C$2166,2,FALSE)</f>
        <v>155</v>
      </c>
      <c r="D213">
        <v>125</v>
      </c>
      <c r="E213">
        <v>65</v>
      </c>
      <c r="F213" t="s">
        <v>59</v>
      </c>
      <c r="G213">
        <v>0</v>
      </c>
      <c r="H213">
        <v>4.8283137373023024</v>
      </c>
      <c r="I213">
        <v>1</v>
      </c>
      <c r="J213">
        <v>1</v>
      </c>
      <c r="K213">
        <v>0</v>
      </c>
      <c r="L213">
        <v>0</v>
      </c>
      <c r="M213" t="s">
        <v>25</v>
      </c>
      <c r="N213" t="s">
        <v>227</v>
      </c>
      <c r="O213">
        <v>1</v>
      </c>
      <c r="P213">
        <v>0</v>
      </c>
      <c r="Q213" t="s">
        <v>229</v>
      </c>
      <c r="R213" t="str">
        <f>VLOOKUP(Q213,GDP!$A$2:$B$266,1,FALSE)</f>
        <v>SVN</v>
      </c>
      <c r="S213" t="str">
        <f>VLOOKUP(Q213,GDP!$A$2:$B$266,2,FALSE)</f>
        <v>Slovenia</v>
      </c>
      <c r="T213">
        <f>VLOOKUP(Q213,GDP!$A$1:$L$266,7,FALSE)</f>
        <v>42471.522803127664</v>
      </c>
      <c r="U213" s="4">
        <v>42471.5228031277</v>
      </c>
      <c r="V213" s="5">
        <f>VLOOKUP(Q213,POP!$B$5:$M$269,7,FALSE)</f>
        <v>1361114</v>
      </c>
      <c r="W213" s="4">
        <v>1361114</v>
      </c>
      <c r="X213">
        <f>VLOOKUP(Q213,YU!$B$1:$M$266,7,FALSE)</f>
        <v>14.179</v>
      </c>
      <c r="Y213" s="4">
        <v>14.179</v>
      </c>
      <c r="Z213">
        <v>5.4190101623535201</v>
      </c>
      <c r="AA213">
        <f t="shared" si="18"/>
        <v>10.656589078636433</v>
      </c>
      <c r="AB213">
        <f t="shared" si="19"/>
        <v>0.13219237652400295</v>
      </c>
      <c r="AC213" s="4">
        <v>0.13219237652400831</v>
      </c>
      <c r="AD213">
        <v>-1.7880710679756771</v>
      </c>
      <c r="AE213">
        <v>-1.136405982905982</v>
      </c>
      <c r="AG213" s="12">
        <f t="shared" si="20"/>
        <v>0</v>
      </c>
      <c r="AH213" s="12">
        <f t="shared" si="21"/>
        <v>0</v>
      </c>
      <c r="AI213" s="13">
        <f t="shared" si="22"/>
        <v>0</v>
      </c>
      <c r="AJ213" s="14">
        <f t="shared" si="23"/>
        <v>0.21511137961694438</v>
      </c>
    </row>
    <row r="214" spans="1:36" x14ac:dyDescent="0.2">
      <c r="A214">
        <v>2021</v>
      </c>
      <c r="B214" t="s">
        <v>227</v>
      </c>
      <c r="C214">
        <f>VLOOKUP(B214,Sheet5!$B$2:$C$2166,2,FALSE)</f>
        <v>155</v>
      </c>
      <c r="D214">
        <v>55</v>
      </c>
      <c r="E214">
        <v>20</v>
      </c>
      <c r="F214" t="s">
        <v>231</v>
      </c>
      <c r="G214">
        <v>0</v>
      </c>
      <c r="H214">
        <v>4.0073331852324712</v>
      </c>
      <c r="I214">
        <v>1</v>
      </c>
      <c r="J214">
        <v>1</v>
      </c>
      <c r="K214">
        <v>1</v>
      </c>
      <c r="L214">
        <v>1</v>
      </c>
      <c r="M214" t="s">
        <v>25</v>
      </c>
      <c r="N214" t="s">
        <v>227</v>
      </c>
      <c r="O214">
        <v>1</v>
      </c>
      <c r="P214">
        <v>1</v>
      </c>
      <c r="Q214" t="s">
        <v>229</v>
      </c>
      <c r="R214" t="str">
        <f>VLOOKUP(Q214,GDP!$A$2:$B$266,1,FALSE)</f>
        <v>SVN</v>
      </c>
      <c r="S214" t="str">
        <f>VLOOKUP(Q214,GDP!$A$2:$B$266,2,FALSE)</f>
        <v>Slovenia</v>
      </c>
      <c r="T214">
        <f>VLOOKUP(Q214,GDP!$A$1:$L$266,8,FALSE)</f>
        <v>45922.663260013418</v>
      </c>
      <c r="U214" s="4">
        <v>45922.663260013403</v>
      </c>
      <c r="V214" s="5">
        <f>VLOOKUP(Q214,POP!$B$5:$M$269,8,FALSE)</f>
        <v>1357746</v>
      </c>
      <c r="W214" s="4">
        <v>1357746</v>
      </c>
      <c r="X214">
        <f>VLOOKUP(Q214,YU!$B$1:$M$266,8,FALSE)</f>
        <v>12.846</v>
      </c>
      <c r="Y214" s="4">
        <v>12.846</v>
      </c>
      <c r="Z214">
        <v>5.3916702270507804</v>
      </c>
      <c r="AA214">
        <f t="shared" si="18"/>
        <v>10.734714027134231</v>
      </c>
      <c r="AB214">
        <f t="shared" si="19"/>
        <v>0.21031732502180134</v>
      </c>
      <c r="AC214" s="4">
        <v>0.21031732502180669</v>
      </c>
      <c r="AD214">
        <v>-1.7905485781988939</v>
      </c>
      <c r="AE214">
        <v>-2.469405982905982</v>
      </c>
      <c r="AG214" s="12">
        <f t="shared" si="20"/>
        <v>0</v>
      </c>
      <c r="AH214" s="12">
        <f t="shared" si="21"/>
        <v>0</v>
      </c>
      <c r="AI214" s="13">
        <f t="shared" si="22"/>
        <v>0</v>
      </c>
      <c r="AJ214" s="14">
        <f t="shared" si="23"/>
        <v>1.0360919316867756</v>
      </c>
    </row>
    <row r="215" spans="1:36" x14ac:dyDescent="0.2">
      <c r="A215">
        <v>2022</v>
      </c>
      <c r="B215" t="s">
        <v>227</v>
      </c>
      <c r="C215">
        <f>VLOOKUP(B215,Sheet5!$B$2:$C$2166,2,FALSE)</f>
        <v>155</v>
      </c>
      <c r="D215">
        <v>45</v>
      </c>
      <c r="E215">
        <v>20</v>
      </c>
      <c r="F215" t="s">
        <v>232</v>
      </c>
      <c r="G215">
        <v>0</v>
      </c>
      <c r="H215">
        <v>3.8066624897703201</v>
      </c>
      <c r="I215">
        <v>1</v>
      </c>
      <c r="J215">
        <v>1</v>
      </c>
      <c r="K215">
        <v>1</v>
      </c>
      <c r="L215">
        <v>2</v>
      </c>
      <c r="M215" t="s">
        <v>25</v>
      </c>
      <c r="N215" t="s">
        <v>227</v>
      </c>
      <c r="O215">
        <v>1</v>
      </c>
      <c r="P215">
        <v>1</v>
      </c>
      <c r="Q215" t="s">
        <v>229</v>
      </c>
      <c r="R215" t="str">
        <f>VLOOKUP(Q215,GDP!$A$2:$B$266,1,FALSE)</f>
        <v>SVN</v>
      </c>
      <c r="S215" t="str">
        <f>VLOOKUP(Q215,GDP!$A$2:$B$266,2,FALSE)</f>
        <v>Slovenia</v>
      </c>
      <c r="T215">
        <f>VLOOKUP(Q215,GDP!$A$1:$L$266,9,FALSE)</f>
        <v>47058.886596002812</v>
      </c>
      <c r="U215" s="4">
        <v>47058.886596002798</v>
      </c>
      <c r="V215" s="5">
        <f>VLOOKUP(Q215,POP!$B$5:$M$269,9,FALSE)</f>
        <v>1352205</v>
      </c>
      <c r="W215" s="4">
        <v>1352205</v>
      </c>
      <c r="X215">
        <f>VLOOKUP(Q215,YU!$B$1:$M$266,9,FALSE)</f>
        <v>10.14</v>
      </c>
      <c r="Y215" s="4">
        <v>10.14</v>
      </c>
      <c r="Z215">
        <v>5.2806501388549796</v>
      </c>
      <c r="AA215">
        <f t="shared" si="18"/>
        <v>10.759155002758011</v>
      </c>
      <c r="AB215">
        <f t="shared" si="19"/>
        <v>0.23475830064558068</v>
      </c>
      <c r="AC215" s="4">
        <v>0.234758300645586</v>
      </c>
      <c r="AD215">
        <v>-1.7946379567314581</v>
      </c>
      <c r="AE215">
        <v>-5.175405982905982</v>
      </c>
      <c r="AG215" s="12">
        <f t="shared" si="20"/>
        <v>0</v>
      </c>
      <c r="AH215" s="12">
        <f t="shared" si="21"/>
        <v>0</v>
      </c>
      <c r="AI215" s="13">
        <f t="shared" si="22"/>
        <v>0</v>
      </c>
      <c r="AJ215" s="14">
        <f t="shared" si="23"/>
        <v>1.2367626271489267</v>
      </c>
    </row>
    <row r="216" spans="1:36" x14ac:dyDescent="0.2">
      <c r="A216">
        <v>2023</v>
      </c>
      <c r="B216" t="s">
        <v>227</v>
      </c>
      <c r="C216">
        <f>VLOOKUP(B216,Sheet5!$B$2:$C$2166,2,FALSE)</f>
        <v>155</v>
      </c>
      <c r="D216">
        <v>35</v>
      </c>
      <c r="E216">
        <v>15</v>
      </c>
      <c r="F216" t="s">
        <v>233</v>
      </c>
      <c r="G216">
        <v>0</v>
      </c>
      <c r="H216">
        <v>3.555348061489414</v>
      </c>
      <c r="I216">
        <v>1</v>
      </c>
      <c r="J216">
        <v>1</v>
      </c>
      <c r="K216">
        <v>1</v>
      </c>
      <c r="L216">
        <v>3</v>
      </c>
      <c r="M216" t="s">
        <v>25</v>
      </c>
      <c r="N216" t="s">
        <v>227</v>
      </c>
      <c r="O216">
        <v>1</v>
      </c>
      <c r="P216">
        <v>1</v>
      </c>
      <c r="Q216" t="s">
        <v>229</v>
      </c>
      <c r="R216" t="str">
        <f>VLOOKUP(Q216,GDP!$A$2:$B$266,1,FALSE)</f>
        <v>SVN</v>
      </c>
      <c r="S216" t="str">
        <f>VLOOKUP(Q216,GDP!$A$2:$B$266,2,FALSE)</f>
        <v>Slovenia</v>
      </c>
      <c r="T216">
        <f>VLOOKUP(Q216,GDP!$A$1:$L$266,10,FALSE)</f>
        <v>47986.419585582138</v>
      </c>
      <c r="U216" s="4">
        <v>47986.419585582102</v>
      </c>
      <c r="V216" s="5">
        <f>VLOOKUP(Q216,POP!$B$5:$M$269,10,FALSE)</f>
        <v>1351536</v>
      </c>
      <c r="W216" s="4">
        <v>1351536</v>
      </c>
      <c r="X216">
        <f>VLOOKUP(Q216,YU!$B$1:$M$266,10,FALSE)</f>
        <v>9.9480000000000004</v>
      </c>
      <c r="Y216" s="4">
        <v>9.9480000000000004</v>
      </c>
      <c r="AA216">
        <f t="shared" si="18"/>
        <v>10.778673324558742</v>
      </c>
      <c r="AB216">
        <f t="shared" si="19"/>
        <v>0.25427662244631222</v>
      </c>
      <c r="AC216" s="4">
        <v>0.25427662244631749</v>
      </c>
      <c r="AD216">
        <v>-1.7951328266273949</v>
      </c>
      <c r="AE216">
        <v>-5.3674059829059821</v>
      </c>
      <c r="AG216" s="12">
        <f t="shared" si="20"/>
        <v>0</v>
      </c>
      <c r="AH216" s="12">
        <f t="shared" si="21"/>
        <v>0</v>
      </c>
      <c r="AI216" s="13">
        <f t="shared" si="22"/>
        <v>0</v>
      </c>
      <c r="AJ216" s="14">
        <f t="shared" si="23"/>
        <v>1.4880770554298328</v>
      </c>
    </row>
    <row r="217" spans="1:36" x14ac:dyDescent="0.2">
      <c r="A217">
        <v>2024</v>
      </c>
      <c r="B217" t="s">
        <v>227</v>
      </c>
      <c r="C217">
        <f>VLOOKUP(B217,Sheet5!$B$2:$C$2166,2,FALSE)</f>
        <v>155</v>
      </c>
      <c r="D217">
        <v>50</v>
      </c>
      <c r="E217">
        <v>15</v>
      </c>
      <c r="F217" t="s">
        <v>234</v>
      </c>
      <c r="G217">
        <v>0</v>
      </c>
      <c r="H217">
        <v>3.912023005428146</v>
      </c>
      <c r="I217">
        <v>1</v>
      </c>
      <c r="J217">
        <v>1</v>
      </c>
      <c r="K217">
        <v>1</v>
      </c>
      <c r="L217">
        <v>4</v>
      </c>
      <c r="M217" t="s">
        <v>25</v>
      </c>
      <c r="N217" t="s">
        <v>227</v>
      </c>
      <c r="O217">
        <v>1</v>
      </c>
      <c r="P217">
        <v>1</v>
      </c>
      <c r="Q217" t="s">
        <v>229</v>
      </c>
      <c r="R217" t="str">
        <f>VLOOKUP(Q217,GDP!$A$2:$B$266,1,FALSE)</f>
        <v>SVN</v>
      </c>
      <c r="S217" t="str">
        <f>VLOOKUP(Q217,GDP!$A$2:$B$266,2,FALSE)</f>
        <v>Slovenia</v>
      </c>
      <c r="T217">
        <f>VLOOKUP(Q217,GDP!$A$1:$L$266,11,FALSE)</f>
        <v>48658.026518026731</v>
      </c>
      <c r="U217" s="4">
        <v>48658.026518026702</v>
      </c>
      <c r="V217" s="5">
        <f>VLOOKUP(Q217,POP!$B$5:$M$269,11,FALSE)</f>
        <v>1351170</v>
      </c>
      <c r="W217" s="4">
        <v>1351170</v>
      </c>
      <c r="X217">
        <f>VLOOKUP(Q217,YU!$B$1:$M$266,11,FALSE)</f>
        <v>11.029</v>
      </c>
      <c r="Y217" s="4">
        <v>11.029</v>
      </c>
      <c r="AA217">
        <f t="shared" si="18"/>
        <v>10.792572058959932</v>
      </c>
      <c r="AB217">
        <f t="shared" si="19"/>
        <v>0.26817535684750204</v>
      </c>
      <c r="AC217" s="4">
        <v>0.2681753568475056</v>
      </c>
      <c r="AD217">
        <v>-1.795403666298625</v>
      </c>
      <c r="AE217">
        <v>-4.2864059829059826</v>
      </c>
      <c r="AG217" s="12">
        <f t="shared" si="20"/>
        <v>0</v>
      </c>
      <c r="AH217" s="12">
        <f t="shared" si="21"/>
        <v>0</v>
      </c>
      <c r="AI217" s="13">
        <f t="shared" si="22"/>
        <v>0</v>
      </c>
      <c r="AJ217" s="14">
        <f t="shared" si="23"/>
        <v>1.1314021114911008</v>
      </c>
    </row>
    <row r="218" spans="1:36" x14ac:dyDescent="0.2">
      <c r="A218">
        <v>2016</v>
      </c>
      <c r="B218" t="s">
        <v>235</v>
      </c>
      <c r="C218">
        <f>VLOOKUP(B218,Sheet5!$B$2:$C$2166,2,FALSE)</f>
        <v>1115</v>
      </c>
      <c r="D218">
        <v>1115</v>
      </c>
      <c r="E218">
        <v>750</v>
      </c>
      <c r="F218" t="s">
        <v>236</v>
      </c>
      <c r="G218">
        <v>0</v>
      </c>
      <c r="H218">
        <v>7.0166096838942194</v>
      </c>
      <c r="I218">
        <v>1</v>
      </c>
      <c r="J218">
        <v>1</v>
      </c>
      <c r="K218">
        <v>0</v>
      </c>
      <c r="L218">
        <v>-4</v>
      </c>
      <c r="M218" t="s">
        <v>25</v>
      </c>
      <c r="N218" t="s">
        <v>235</v>
      </c>
      <c r="O218">
        <v>1</v>
      </c>
      <c r="P218">
        <v>0</v>
      </c>
      <c r="Q218" t="s">
        <v>237</v>
      </c>
      <c r="R218" t="str">
        <f>VLOOKUP(Q218,GDP!$A$2:$B$266,1,FALSE)</f>
        <v>CZE</v>
      </c>
      <c r="S218" t="str">
        <f>VLOOKUP(Q218,GDP!$A$2:$B$266,2,FALSE)</f>
        <v>Czechia</v>
      </c>
      <c r="T218">
        <f>VLOOKUP(Q218,GDP!$A$1:$C$266,3,FALSE)</f>
        <v>43069.465974472711</v>
      </c>
      <c r="U218" s="4">
        <v>43069.465974472703</v>
      </c>
      <c r="V218" s="5">
        <f>VLOOKUP(Q218,POP!$B$5:$M$269,3,FALSE)</f>
        <v>6969569</v>
      </c>
      <c r="W218" s="4">
        <v>6969569</v>
      </c>
      <c r="X218">
        <f>VLOOKUP(Q218,YU!$B$1:$D$266,3,FALSE)</f>
        <v>10.488</v>
      </c>
      <c r="Y218" s="4">
        <v>10.488</v>
      </c>
      <c r="Z218">
        <v>5.5008001327514604</v>
      </c>
      <c r="AA218">
        <f t="shared" si="18"/>
        <v>10.670569578957419</v>
      </c>
      <c r="AB218">
        <f t="shared" si="19"/>
        <v>0.14617287684498947</v>
      </c>
      <c r="AC218" s="4">
        <v>0.1461728768449948</v>
      </c>
      <c r="AD218">
        <v>-0.15482116365833501</v>
      </c>
      <c r="AE218">
        <v>-4.827405982905983</v>
      </c>
      <c r="AG218" s="12">
        <f t="shared" si="20"/>
        <v>0</v>
      </c>
      <c r="AH218" s="12">
        <f t="shared" si="21"/>
        <v>0</v>
      </c>
      <c r="AI218" s="13">
        <f t="shared" si="22"/>
        <v>0</v>
      </c>
      <c r="AJ218" s="14">
        <f t="shared" si="23"/>
        <v>0</v>
      </c>
    </row>
    <row r="219" spans="1:36" x14ac:dyDescent="0.2">
      <c r="A219">
        <v>2017</v>
      </c>
      <c r="B219" t="s">
        <v>235</v>
      </c>
      <c r="C219">
        <f>VLOOKUP(B219,Sheet5!$B$2:$C$2166,2,FALSE)</f>
        <v>1115</v>
      </c>
      <c r="D219">
        <v>1095</v>
      </c>
      <c r="E219">
        <v>700</v>
      </c>
      <c r="F219" t="s">
        <v>112</v>
      </c>
      <c r="G219">
        <v>0</v>
      </c>
      <c r="H219">
        <v>6.9985096422506006</v>
      </c>
      <c r="I219">
        <v>1</v>
      </c>
      <c r="J219">
        <v>1</v>
      </c>
      <c r="K219">
        <v>0</v>
      </c>
      <c r="L219">
        <v>-3</v>
      </c>
      <c r="M219" t="s">
        <v>25</v>
      </c>
      <c r="N219" t="s">
        <v>235</v>
      </c>
      <c r="O219">
        <v>1</v>
      </c>
      <c r="P219">
        <v>0</v>
      </c>
      <c r="Q219" t="s">
        <v>237</v>
      </c>
      <c r="R219" t="str">
        <f>VLOOKUP(Q219,GDP!$A$2:$B$266,1,FALSE)</f>
        <v>CZE</v>
      </c>
      <c r="S219" t="str">
        <f>VLOOKUP(Q219,GDP!$A$2:$B$266,2,FALSE)</f>
        <v>Czechia</v>
      </c>
      <c r="T219">
        <f>VLOOKUP(Q219,GDP!$A$1:$L$266,4,FALSE)</f>
        <v>45177.522605363367</v>
      </c>
      <c r="U219" s="4">
        <v>45177.522605363403</v>
      </c>
      <c r="V219" s="5">
        <f>VLOOKUP(Q219,POP!$B$5:$M$269,4,FALSE)</f>
        <v>6918187</v>
      </c>
      <c r="W219" s="4">
        <v>6918187</v>
      </c>
      <c r="X219">
        <f>VLOOKUP(Q219,YU!$B$1:$M$266,4,FALSE)</f>
        <v>7.9359999999999999</v>
      </c>
      <c r="Y219" s="4">
        <v>7.9359999999999999</v>
      </c>
      <c r="Z219">
        <v>3.7557499408721902</v>
      </c>
      <c r="AA219">
        <f t="shared" si="18"/>
        <v>10.718354954639929</v>
      </c>
      <c r="AB219">
        <f t="shared" si="19"/>
        <v>0.19395825252749965</v>
      </c>
      <c r="AC219" s="4">
        <v>0.19395825252750501</v>
      </c>
      <c r="AD219">
        <v>-0.16222080899347799</v>
      </c>
      <c r="AE219">
        <v>-7.3794059829059826</v>
      </c>
      <c r="AG219" s="12">
        <f t="shared" si="20"/>
        <v>0</v>
      </c>
      <c r="AH219" s="12">
        <f t="shared" si="21"/>
        <v>0</v>
      </c>
      <c r="AI219" s="13">
        <f t="shared" si="22"/>
        <v>0</v>
      </c>
      <c r="AJ219" s="14">
        <f t="shared" si="23"/>
        <v>1.8100041643618781E-2</v>
      </c>
    </row>
    <row r="220" spans="1:36" x14ac:dyDescent="0.2">
      <c r="A220">
        <v>2018</v>
      </c>
      <c r="B220" t="s">
        <v>235</v>
      </c>
      <c r="C220">
        <f>VLOOKUP(B220,Sheet5!$B$2:$C$2166,2,FALSE)</f>
        <v>1115</v>
      </c>
      <c r="D220">
        <v>1100</v>
      </c>
      <c r="E220">
        <v>765</v>
      </c>
      <c r="F220" t="s">
        <v>97</v>
      </c>
      <c r="G220">
        <v>0</v>
      </c>
      <c r="H220">
        <v>7.0030654587864616</v>
      </c>
      <c r="I220">
        <v>1</v>
      </c>
      <c r="J220">
        <v>1</v>
      </c>
      <c r="K220">
        <v>0</v>
      </c>
      <c r="L220">
        <v>-2</v>
      </c>
      <c r="M220" t="s">
        <v>25</v>
      </c>
      <c r="N220" t="s">
        <v>235</v>
      </c>
      <c r="O220">
        <v>1</v>
      </c>
      <c r="P220">
        <v>0</v>
      </c>
      <c r="Q220" t="s">
        <v>237</v>
      </c>
      <c r="R220" t="str">
        <f>VLOOKUP(Q220,GDP!$A$2:$B$266,1,FALSE)</f>
        <v>CZE</v>
      </c>
      <c r="S220" t="str">
        <f>VLOOKUP(Q220,GDP!$A$2:$B$266,2,FALSE)</f>
        <v>Czechia</v>
      </c>
      <c r="T220">
        <f>VLOOKUP(Q220,GDP!$A$1:$L$266,5,FALSE)</f>
        <v>46301.082036028994</v>
      </c>
      <c r="U220" s="4">
        <v>46301.082036029002</v>
      </c>
      <c r="V220" s="5">
        <f>VLOOKUP(Q220,POP!$B$5:$M$269,5,FALSE)</f>
        <v>6876667</v>
      </c>
      <c r="W220" s="4">
        <v>6876667</v>
      </c>
      <c r="X220">
        <f>VLOOKUP(Q220,YU!$B$1:$M$266,5,FALSE)</f>
        <v>6.7140000000000004</v>
      </c>
      <c r="Y220" s="4">
        <v>6.7140000000000004</v>
      </c>
      <c r="Z220">
        <v>4.2154102325439498</v>
      </c>
      <c r="AA220">
        <f t="shared" si="18"/>
        <v>10.742920609909866</v>
      </c>
      <c r="AB220">
        <f t="shared" si="19"/>
        <v>0.21852390779743658</v>
      </c>
      <c r="AC220" s="4">
        <v>0.21852390779744191</v>
      </c>
      <c r="AD220">
        <v>-0.1682404631887735</v>
      </c>
      <c r="AE220">
        <v>-8.6014059829059821</v>
      </c>
      <c r="AG220" s="12">
        <f t="shared" si="20"/>
        <v>0</v>
      </c>
      <c r="AH220" s="12">
        <f t="shared" si="21"/>
        <v>0</v>
      </c>
      <c r="AI220" s="13">
        <f t="shared" si="22"/>
        <v>0</v>
      </c>
      <c r="AJ220" s="14">
        <f t="shared" si="23"/>
        <v>1.3544225107757768E-2</v>
      </c>
    </row>
    <row r="221" spans="1:36" x14ac:dyDescent="0.2">
      <c r="A221">
        <v>2019</v>
      </c>
      <c r="B221" t="s">
        <v>235</v>
      </c>
      <c r="C221">
        <f>VLOOKUP(B221,Sheet5!$B$2:$C$2166,2,FALSE)</f>
        <v>1115</v>
      </c>
      <c r="D221">
        <v>1190</v>
      </c>
      <c r="E221">
        <v>810</v>
      </c>
      <c r="F221" t="s">
        <v>238</v>
      </c>
      <c r="G221">
        <v>5</v>
      </c>
      <c r="H221">
        <v>7.0817085861055746</v>
      </c>
      <c r="I221">
        <v>1</v>
      </c>
      <c r="J221">
        <v>1</v>
      </c>
      <c r="K221">
        <v>0</v>
      </c>
      <c r="L221">
        <v>-1</v>
      </c>
      <c r="M221" t="s">
        <v>25</v>
      </c>
      <c r="N221" t="s">
        <v>235</v>
      </c>
      <c r="O221">
        <v>1</v>
      </c>
      <c r="P221">
        <v>0</v>
      </c>
      <c r="Q221" t="s">
        <v>237</v>
      </c>
      <c r="R221" t="str">
        <f>VLOOKUP(Q221,GDP!$A$2:$B$266,1,FALSE)</f>
        <v>CZE</v>
      </c>
      <c r="S221" t="str">
        <f>VLOOKUP(Q221,GDP!$A$2:$B$266,2,FALSE)</f>
        <v>Czechia</v>
      </c>
      <c r="T221">
        <f>VLOOKUP(Q221,GDP!$A$1:$L$266,6,FALSE)</f>
        <v>47763.616552025429</v>
      </c>
      <c r="U221" s="4">
        <v>47763.6165520254</v>
      </c>
      <c r="V221" s="5">
        <f>VLOOKUP(Q221,POP!$B$5:$M$269,6,FALSE)</f>
        <v>6844943</v>
      </c>
      <c r="W221" s="4">
        <v>6844943</v>
      </c>
      <c r="X221">
        <f>VLOOKUP(Q221,YU!$B$1:$M$266,6,FALSE)</f>
        <v>5.6150000000000002</v>
      </c>
      <c r="Y221" s="4">
        <v>5.6150000000000002</v>
      </c>
      <c r="Z221">
        <v>4.4673700332641602</v>
      </c>
      <c r="AA221">
        <f t="shared" si="18"/>
        <v>10.774019468650726</v>
      </c>
      <c r="AB221">
        <f t="shared" si="19"/>
        <v>0.2496227665382964</v>
      </c>
      <c r="AC221" s="4">
        <v>0.2496227665383017</v>
      </c>
      <c r="AD221">
        <v>-0.17286441861734581</v>
      </c>
      <c r="AE221">
        <v>-9.7004059829059823</v>
      </c>
      <c r="AG221" s="12">
        <f t="shared" si="20"/>
        <v>0</v>
      </c>
      <c r="AH221" s="12">
        <f t="shared" si="21"/>
        <v>0</v>
      </c>
      <c r="AI221" s="13">
        <f t="shared" si="22"/>
        <v>0</v>
      </c>
      <c r="AJ221" s="14">
        <f t="shared" si="23"/>
        <v>-6.5098902211355281E-2</v>
      </c>
    </row>
    <row r="222" spans="1:36" x14ac:dyDescent="0.2">
      <c r="A222">
        <v>2020</v>
      </c>
      <c r="B222" t="s">
        <v>235</v>
      </c>
      <c r="C222">
        <f>VLOOKUP(B222,Sheet5!$B$2:$C$2166,2,FALSE)</f>
        <v>1115</v>
      </c>
      <c r="D222">
        <v>1320</v>
      </c>
      <c r="E222">
        <v>875</v>
      </c>
      <c r="F222" t="s">
        <v>207</v>
      </c>
      <c r="G222">
        <v>0</v>
      </c>
      <c r="H222">
        <v>7.1853870155804156</v>
      </c>
      <c r="I222">
        <v>1</v>
      </c>
      <c r="J222">
        <v>1</v>
      </c>
      <c r="K222">
        <v>0</v>
      </c>
      <c r="L222">
        <v>0</v>
      </c>
      <c r="M222" t="s">
        <v>25</v>
      </c>
      <c r="N222" t="s">
        <v>235</v>
      </c>
      <c r="O222">
        <v>1</v>
      </c>
      <c r="P222">
        <v>0</v>
      </c>
      <c r="Q222" t="s">
        <v>237</v>
      </c>
      <c r="R222" t="str">
        <f>VLOOKUP(Q222,GDP!$A$2:$B$266,1,FALSE)</f>
        <v>CZE</v>
      </c>
      <c r="S222" t="str">
        <f>VLOOKUP(Q222,GDP!$A$2:$B$266,2,FALSE)</f>
        <v>Czechia</v>
      </c>
      <c r="T222">
        <f>VLOOKUP(Q222,GDP!$A$1:$L$266,7,FALSE)</f>
        <v>45119.93873091392</v>
      </c>
      <c r="U222" s="4">
        <v>45119.938730913898</v>
      </c>
      <c r="V222" s="5">
        <f>VLOOKUP(Q222,POP!$B$5:$M$269,7,FALSE)</f>
        <v>6814879</v>
      </c>
      <c r="W222" s="4">
        <v>6814879</v>
      </c>
      <c r="X222">
        <f>VLOOKUP(Q222,YU!$B$1:$M$266,7,FALSE)</f>
        <v>7.9359999999999999</v>
      </c>
      <c r="Y222" s="4">
        <v>7.9359999999999999</v>
      </c>
      <c r="Z222">
        <v>4.6250300407409703</v>
      </c>
      <c r="AA222">
        <f t="shared" si="18"/>
        <v>10.717079528256876</v>
      </c>
      <c r="AB222">
        <f t="shared" si="19"/>
        <v>0.19268282614444665</v>
      </c>
      <c r="AC222" s="4">
        <v>0.19268282614445201</v>
      </c>
      <c r="AD222">
        <v>-0.1772662400383567</v>
      </c>
      <c r="AE222">
        <v>-7.3794059829059826</v>
      </c>
      <c r="AG222" s="12">
        <f t="shared" si="20"/>
        <v>0</v>
      </c>
      <c r="AH222" s="12">
        <f t="shared" si="21"/>
        <v>0</v>
      </c>
      <c r="AI222" s="13">
        <f t="shared" si="22"/>
        <v>0</v>
      </c>
      <c r="AJ222" s="14">
        <f t="shared" si="23"/>
        <v>-0.16877733168619624</v>
      </c>
    </row>
    <row r="223" spans="1:36" x14ac:dyDescent="0.2">
      <c r="A223">
        <v>2021</v>
      </c>
      <c r="B223" t="s">
        <v>235</v>
      </c>
      <c r="C223">
        <f>VLOOKUP(B223,Sheet5!$B$2:$C$2166,2,FALSE)</f>
        <v>1115</v>
      </c>
      <c r="D223">
        <v>460</v>
      </c>
      <c r="E223">
        <v>245</v>
      </c>
      <c r="F223" t="s">
        <v>145</v>
      </c>
      <c r="G223">
        <v>0</v>
      </c>
      <c r="H223">
        <v>6.131226489483141</v>
      </c>
      <c r="I223">
        <v>1</v>
      </c>
      <c r="J223">
        <v>1</v>
      </c>
      <c r="K223">
        <v>1</v>
      </c>
      <c r="L223">
        <v>1</v>
      </c>
      <c r="M223" t="s">
        <v>25</v>
      </c>
      <c r="N223" t="s">
        <v>235</v>
      </c>
      <c r="O223">
        <v>1</v>
      </c>
      <c r="P223">
        <v>1</v>
      </c>
      <c r="Q223" t="s">
        <v>237</v>
      </c>
      <c r="R223" t="str">
        <f>VLOOKUP(Q223,GDP!$A$2:$B$266,1,FALSE)</f>
        <v>CZE</v>
      </c>
      <c r="S223" t="str">
        <f>VLOOKUP(Q223,GDP!$A$2:$B$266,2,FALSE)</f>
        <v>Czechia</v>
      </c>
      <c r="T223">
        <f>VLOOKUP(Q223,GDP!$A$1:$L$266,8,FALSE)</f>
        <v>47796.0337408466</v>
      </c>
      <c r="U223" s="4">
        <v>47796.0337408466</v>
      </c>
      <c r="V223" s="5">
        <f>VLOOKUP(Q223,POP!$B$5:$M$269,8,FALSE)</f>
        <v>6660022</v>
      </c>
      <c r="W223" s="4">
        <v>6660022</v>
      </c>
      <c r="X223">
        <f>VLOOKUP(Q223,YU!$B$1:$M$266,8,FALSE)</f>
        <v>8.1340000000000003</v>
      </c>
      <c r="Y223" s="4">
        <v>8.1340000000000003</v>
      </c>
      <c r="Z223">
        <v>4.6516399383544904</v>
      </c>
      <c r="AA223">
        <f t="shared" si="18"/>
        <v>10.774697938903921</v>
      </c>
      <c r="AB223">
        <f t="shared" si="19"/>
        <v>0.25030123679149163</v>
      </c>
      <c r="AC223" s="4">
        <v>0.25030123679149702</v>
      </c>
      <c r="AD223">
        <v>-0.20025176222677571</v>
      </c>
      <c r="AE223">
        <v>-7.1814059829059822</v>
      </c>
      <c r="AG223" s="12">
        <f t="shared" si="20"/>
        <v>0</v>
      </c>
      <c r="AH223" s="12">
        <f t="shared" si="21"/>
        <v>0</v>
      </c>
      <c r="AI223" s="13">
        <f t="shared" si="22"/>
        <v>0</v>
      </c>
      <c r="AJ223" s="14">
        <f t="shared" si="23"/>
        <v>0.88538319441107838</v>
      </c>
    </row>
    <row r="224" spans="1:36" x14ac:dyDescent="0.2">
      <c r="A224">
        <v>2022</v>
      </c>
      <c r="B224" t="s">
        <v>235</v>
      </c>
      <c r="C224">
        <f>VLOOKUP(B224,Sheet5!$B$2:$C$2166,2,FALSE)</f>
        <v>1115</v>
      </c>
      <c r="D224">
        <v>365</v>
      </c>
      <c r="E224">
        <v>180</v>
      </c>
      <c r="F224" t="s">
        <v>43</v>
      </c>
      <c r="G224">
        <v>0</v>
      </c>
      <c r="H224">
        <v>5.8998973535824906</v>
      </c>
      <c r="I224">
        <v>1</v>
      </c>
      <c r="J224">
        <v>1</v>
      </c>
      <c r="K224">
        <v>1</v>
      </c>
      <c r="L224">
        <v>2</v>
      </c>
      <c r="M224" t="s">
        <v>25</v>
      </c>
      <c r="N224" t="s">
        <v>235</v>
      </c>
      <c r="O224">
        <v>1</v>
      </c>
      <c r="P224">
        <v>1</v>
      </c>
      <c r="Q224" t="s">
        <v>237</v>
      </c>
      <c r="R224" t="str">
        <f>VLOOKUP(Q224,GDP!$A$2:$B$266,1,FALSE)</f>
        <v>CZE</v>
      </c>
      <c r="S224" t="str">
        <f>VLOOKUP(Q224,GDP!$A$2:$B$266,2,FALSE)</f>
        <v>Czechia</v>
      </c>
      <c r="T224">
        <f>VLOOKUP(Q224,GDP!$A$1:$L$266,9,FALSE)</f>
        <v>48390.661678674951</v>
      </c>
      <c r="U224" s="4">
        <v>48390.661678675002</v>
      </c>
      <c r="V224" s="5">
        <f>VLOOKUP(Q224,POP!$B$5:$M$269,9,FALSE)</f>
        <v>6780422</v>
      </c>
      <c r="W224" s="4">
        <v>6780422</v>
      </c>
      <c r="X224">
        <f>VLOOKUP(Q224,YU!$B$1:$M$266,9,FALSE)</f>
        <v>6.72</v>
      </c>
      <c r="Y224" s="4">
        <v>6.72</v>
      </c>
      <c r="Z224">
        <v>4.3029198646545401</v>
      </c>
      <c r="AA224">
        <f t="shared" si="18"/>
        <v>10.78706213356606</v>
      </c>
      <c r="AB224">
        <f t="shared" si="19"/>
        <v>0.2626654314536303</v>
      </c>
      <c r="AC224" s="4">
        <v>0.26266543145363741</v>
      </c>
      <c r="AD224">
        <v>-0.182335208173658</v>
      </c>
      <c r="AE224">
        <v>-8.5954059829059837</v>
      </c>
      <c r="AG224" s="12">
        <f t="shared" si="20"/>
        <v>0</v>
      </c>
      <c r="AH224" s="12">
        <f t="shared" si="21"/>
        <v>0</v>
      </c>
      <c r="AI224" s="13">
        <f t="shared" si="22"/>
        <v>0</v>
      </c>
      <c r="AJ224" s="14">
        <f t="shared" si="23"/>
        <v>1.1167123303117288</v>
      </c>
    </row>
    <row r="225" spans="1:36" x14ac:dyDescent="0.2">
      <c r="A225">
        <v>2023</v>
      </c>
      <c r="B225" t="s">
        <v>235</v>
      </c>
      <c r="C225">
        <f>VLOOKUP(B225,Sheet5!$B$2:$C$2166,2,FALSE)</f>
        <v>1115</v>
      </c>
      <c r="D225">
        <v>365</v>
      </c>
      <c r="E225">
        <v>175</v>
      </c>
      <c r="F225" t="s">
        <v>51</v>
      </c>
      <c r="G225">
        <v>0</v>
      </c>
      <c r="H225">
        <v>5.8998973535824906</v>
      </c>
      <c r="I225">
        <v>1</v>
      </c>
      <c r="J225">
        <v>1</v>
      </c>
      <c r="K225">
        <v>1</v>
      </c>
      <c r="L225">
        <v>3</v>
      </c>
      <c r="M225" t="s">
        <v>25</v>
      </c>
      <c r="N225" t="s">
        <v>235</v>
      </c>
      <c r="O225">
        <v>1</v>
      </c>
      <c r="P225">
        <v>1</v>
      </c>
      <c r="Q225" t="s">
        <v>237</v>
      </c>
      <c r="R225" t="str">
        <f>VLOOKUP(Q225,GDP!$A$2:$B$266,1,FALSE)</f>
        <v>CZE</v>
      </c>
      <c r="S225" t="str">
        <f>VLOOKUP(Q225,GDP!$A$2:$B$266,2,FALSE)</f>
        <v>Czechia</v>
      </c>
      <c r="T225">
        <f>VLOOKUP(Q225,GDP!$A$1:$L$266,10,FALSE)</f>
        <v>47558.410676331405</v>
      </c>
      <c r="U225" s="4">
        <v>47558.410676331398</v>
      </c>
      <c r="V225" s="5">
        <f>VLOOKUP(Q225,POP!$B$5:$M$269,10,FALSE)</f>
        <v>6929136</v>
      </c>
      <c r="W225" s="4">
        <v>6929136</v>
      </c>
      <c r="X225">
        <f>VLOOKUP(Q225,YU!$B$1:$M$266,10,FALSE)</f>
        <v>8.5069999999999997</v>
      </c>
      <c r="Y225" s="4">
        <v>8.5069999999999997</v>
      </c>
      <c r="AA225">
        <f t="shared" si="18"/>
        <v>10.769713933011939</v>
      </c>
      <c r="AB225">
        <f t="shared" si="19"/>
        <v>0.2453172308995093</v>
      </c>
      <c r="AC225" s="4">
        <v>0.2453172308995146</v>
      </c>
      <c r="AD225">
        <v>-0.16063941997239969</v>
      </c>
      <c r="AE225">
        <v>-6.8084059829059829</v>
      </c>
      <c r="AG225" s="12">
        <f t="shared" si="20"/>
        <v>0</v>
      </c>
      <c r="AH225" s="12">
        <f t="shared" si="21"/>
        <v>0</v>
      </c>
      <c r="AI225" s="13">
        <f t="shared" si="22"/>
        <v>0</v>
      </c>
      <c r="AJ225" s="14">
        <f t="shared" si="23"/>
        <v>1.1167123303117288</v>
      </c>
    </row>
    <row r="226" spans="1:36" x14ac:dyDescent="0.2">
      <c r="A226">
        <v>2024</v>
      </c>
      <c r="B226" t="s">
        <v>235</v>
      </c>
      <c r="C226">
        <f>VLOOKUP(B226,Sheet5!$B$2:$C$2166,2,FALSE)</f>
        <v>1115</v>
      </c>
      <c r="D226">
        <v>375</v>
      </c>
      <c r="E226">
        <v>170</v>
      </c>
      <c r="F226" t="s">
        <v>232</v>
      </c>
      <c r="G226">
        <v>0</v>
      </c>
      <c r="H226">
        <v>5.9269260259704106</v>
      </c>
      <c r="I226">
        <v>1</v>
      </c>
      <c r="J226">
        <v>1</v>
      </c>
      <c r="K226">
        <v>1</v>
      </c>
      <c r="L226">
        <v>4</v>
      </c>
      <c r="M226" t="s">
        <v>25</v>
      </c>
      <c r="N226" t="s">
        <v>235</v>
      </c>
      <c r="O226">
        <v>1</v>
      </c>
      <c r="P226">
        <v>1</v>
      </c>
      <c r="Q226" t="s">
        <v>237</v>
      </c>
      <c r="R226" t="str">
        <f>VLOOKUP(Q226,GDP!$A$2:$B$266,1,FALSE)</f>
        <v>CZE</v>
      </c>
      <c r="S226" t="str">
        <f>VLOOKUP(Q226,GDP!$A$2:$B$266,2,FALSE)</f>
        <v>Czechia</v>
      </c>
      <c r="T226">
        <f>VLOOKUP(Q226,GDP!$A$1:$L$266,11,FALSE)</f>
        <v>47972.531717920043</v>
      </c>
      <c r="U226" s="4">
        <v>47972.531717919999</v>
      </c>
      <c r="V226" s="5">
        <f>VLOOKUP(Q226,POP!$B$5:$M$269,11,FALSE)</f>
        <v>6952754</v>
      </c>
      <c r="W226" s="4">
        <v>6952754</v>
      </c>
      <c r="X226">
        <f>VLOOKUP(Q226,YU!$B$1:$M$266,11,FALSE)</f>
        <v>9.1999999999999993</v>
      </c>
      <c r="Y226" s="4">
        <v>9.1999999999999993</v>
      </c>
      <c r="AA226">
        <f t="shared" si="18"/>
        <v>10.778383870212474</v>
      </c>
      <c r="AB226">
        <f t="shared" si="19"/>
        <v>0.25398716810004451</v>
      </c>
      <c r="AC226" s="4">
        <v>0.25398716810004812</v>
      </c>
      <c r="AD226">
        <v>-0.15723670999727449</v>
      </c>
      <c r="AE226">
        <v>-6.1154059829059833</v>
      </c>
      <c r="AG226" s="12">
        <f t="shared" si="20"/>
        <v>0</v>
      </c>
      <c r="AH226" s="12">
        <f t="shared" si="21"/>
        <v>0</v>
      </c>
      <c r="AI226" s="13">
        <f t="shared" si="22"/>
        <v>0</v>
      </c>
      <c r="AJ226" s="14">
        <f t="shared" si="23"/>
        <v>1.0896836579238087</v>
      </c>
    </row>
    <row r="227" spans="1:36" x14ac:dyDescent="0.2">
      <c r="A227">
        <v>2016</v>
      </c>
      <c r="B227" t="s">
        <v>239</v>
      </c>
      <c r="C227">
        <f>VLOOKUP(B227,Sheet5!$B$2:$C$2166,2,FALSE)</f>
        <v>830</v>
      </c>
      <c r="D227">
        <v>830</v>
      </c>
      <c r="E227">
        <v>555</v>
      </c>
      <c r="F227" t="s">
        <v>240</v>
      </c>
      <c r="G227">
        <v>5</v>
      </c>
      <c r="H227">
        <v>6.7214257007906433</v>
      </c>
      <c r="I227">
        <v>1</v>
      </c>
      <c r="J227">
        <v>1</v>
      </c>
      <c r="K227">
        <v>0</v>
      </c>
      <c r="L227">
        <v>-4</v>
      </c>
      <c r="M227" t="s">
        <v>25</v>
      </c>
      <c r="N227" t="s">
        <v>239</v>
      </c>
      <c r="O227">
        <v>1</v>
      </c>
      <c r="P227">
        <v>0</v>
      </c>
      <c r="Q227" t="s">
        <v>241</v>
      </c>
      <c r="R227" t="str">
        <f>VLOOKUP(Q227,GDP!$A$2:$B$266,1,FALSE)</f>
        <v>SVK</v>
      </c>
      <c r="S227" t="str">
        <f>VLOOKUP(Q227,GDP!$A$2:$B$266,2,FALSE)</f>
        <v>Slovak Republic</v>
      </c>
      <c r="T227">
        <f>VLOOKUP(Q227,GDP!$A$1:$C$266,3,FALSE)</f>
        <v>34116.450203927299</v>
      </c>
      <c r="U227" s="4">
        <v>34116.450203927299</v>
      </c>
      <c r="V227" s="5">
        <f>VLOOKUP(Q227,POP!$B$5:$M$269,3,FALSE)</f>
        <v>3797828</v>
      </c>
      <c r="W227" s="4">
        <v>3797828</v>
      </c>
      <c r="X227">
        <f>VLOOKUP(Q227,YU!$B$1:$D$266,3,FALSE)</f>
        <v>22.274000000000001</v>
      </c>
      <c r="Y227" s="4">
        <v>22.274000000000001</v>
      </c>
      <c r="Z227">
        <v>3.8837599754333501</v>
      </c>
      <c r="AA227">
        <f t="shared" si="18"/>
        <v>10.437534957621343</v>
      </c>
      <c r="AB227">
        <f t="shared" si="19"/>
        <v>-8.6861744491086412E-2</v>
      </c>
      <c r="AC227" s="4">
        <v>-8.6861744491081083E-2</v>
      </c>
      <c r="AD227">
        <v>-0.76194522570546752</v>
      </c>
      <c r="AE227">
        <v>6.9585940170940184</v>
      </c>
      <c r="AG227" s="12">
        <f t="shared" si="20"/>
        <v>0</v>
      </c>
      <c r="AH227" s="12">
        <f t="shared" si="21"/>
        <v>0</v>
      </c>
      <c r="AI227" s="13">
        <f t="shared" si="22"/>
        <v>0</v>
      </c>
      <c r="AJ227" s="14">
        <f t="shared" si="23"/>
        <v>0</v>
      </c>
    </row>
    <row r="228" spans="1:36" x14ac:dyDescent="0.2">
      <c r="A228">
        <v>2017</v>
      </c>
      <c r="B228" t="s">
        <v>239</v>
      </c>
      <c r="C228">
        <f>VLOOKUP(B228,Sheet5!$B$2:$C$2166,2,FALSE)</f>
        <v>830</v>
      </c>
      <c r="D228">
        <v>700</v>
      </c>
      <c r="E228">
        <v>445</v>
      </c>
      <c r="F228" t="s">
        <v>242</v>
      </c>
      <c r="G228">
        <v>0</v>
      </c>
      <c r="H228">
        <v>6.5510803350434044</v>
      </c>
      <c r="I228">
        <v>1</v>
      </c>
      <c r="J228">
        <v>1</v>
      </c>
      <c r="K228">
        <v>0</v>
      </c>
      <c r="L228">
        <v>-3</v>
      </c>
      <c r="M228" t="s">
        <v>25</v>
      </c>
      <c r="N228" t="s">
        <v>239</v>
      </c>
      <c r="O228">
        <v>1</v>
      </c>
      <c r="P228">
        <v>0</v>
      </c>
      <c r="Q228" t="s">
        <v>241</v>
      </c>
      <c r="R228" t="str">
        <f>VLOOKUP(Q228,GDP!$A$2:$B$266,1,FALSE)</f>
        <v>SVK</v>
      </c>
      <c r="S228" t="str">
        <f>VLOOKUP(Q228,GDP!$A$2:$B$266,2,FALSE)</f>
        <v>Slovak Republic</v>
      </c>
      <c r="T228">
        <f>VLOOKUP(Q228,GDP!$A$1:$L$266,4,FALSE)</f>
        <v>35042.785892561842</v>
      </c>
      <c r="U228" s="4">
        <v>35042.785892561798</v>
      </c>
      <c r="V228" s="5">
        <f>VLOOKUP(Q228,POP!$B$5:$M$269,4,FALSE)</f>
        <v>3766947</v>
      </c>
      <c r="W228" s="4">
        <v>3766947</v>
      </c>
      <c r="X228">
        <f>VLOOKUP(Q228,YU!$B$1:$M$266,4,FALSE)</f>
        <v>18.962</v>
      </c>
      <c r="Y228" s="4">
        <v>18.962</v>
      </c>
      <c r="Z228">
        <v>3.9187600612640399</v>
      </c>
      <c r="AA228">
        <f t="shared" si="18"/>
        <v>10.46432504795615</v>
      </c>
      <c r="AB228">
        <f t="shared" si="19"/>
        <v>-6.0071654156280019E-2</v>
      </c>
      <c r="AC228" s="4">
        <v>-6.007165415627469E-2</v>
      </c>
      <c r="AD228">
        <v>-0.77010969101736215</v>
      </c>
      <c r="AE228">
        <v>3.6465940170940172</v>
      </c>
      <c r="AG228" s="12">
        <f t="shared" si="20"/>
        <v>0</v>
      </c>
      <c r="AH228" s="12">
        <f t="shared" si="21"/>
        <v>0</v>
      </c>
      <c r="AI228" s="13">
        <f t="shared" si="22"/>
        <v>0</v>
      </c>
      <c r="AJ228" s="14">
        <f t="shared" si="23"/>
        <v>0.17034536574723891</v>
      </c>
    </row>
    <row r="229" spans="1:36" x14ac:dyDescent="0.2">
      <c r="A229">
        <v>2018</v>
      </c>
      <c r="B229" t="s">
        <v>239</v>
      </c>
      <c r="C229">
        <f>VLOOKUP(B229,Sheet5!$B$2:$C$2166,2,FALSE)</f>
        <v>830</v>
      </c>
      <c r="D229">
        <v>815</v>
      </c>
      <c r="E229">
        <v>480</v>
      </c>
      <c r="F229" t="s">
        <v>105</v>
      </c>
      <c r="G229">
        <v>0</v>
      </c>
      <c r="H229">
        <v>6.7031881132408628</v>
      </c>
      <c r="I229">
        <v>1</v>
      </c>
      <c r="J229">
        <v>1</v>
      </c>
      <c r="K229">
        <v>0</v>
      </c>
      <c r="L229">
        <v>-2</v>
      </c>
      <c r="M229" t="s">
        <v>25</v>
      </c>
      <c r="N229" t="s">
        <v>239</v>
      </c>
      <c r="O229">
        <v>1</v>
      </c>
      <c r="P229">
        <v>0</v>
      </c>
      <c r="Q229" t="s">
        <v>241</v>
      </c>
      <c r="R229" t="str">
        <f>VLOOKUP(Q229,GDP!$A$2:$B$266,1,FALSE)</f>
        <v>SVK</v>
      </c>
      <c r="S229" t="str">
        <f>VLOOKUP(Q229,GDP!$A$2:$B$266,2,FALSE)</f>
        <v>Slovak Republic</v>
      </c>
      <c r="T229">
        <f>VLOOKUP(Q229,GDP!$A$1:$L$266,5,FALSE)</f>
        <v>36415.792052950746</v>
      </c>
      <c r="U229" s="4">
        <v>36415.792052950703</v>
      </c>
      <c r="V229" s="5">
        <f>VLOOKUP(Q229,POP!$B$5:$M$269,5,FALSE)</f>
        <v>3735731</v>
      </c>
      <c r="W229" s="4">
        <v>3735731</v>
      </c>
      <c r="X229">
        <f>VLOOKUP(Q229,YU!$B$1:$M$266,5,FALSE)</f>
        <v>14.971</v>
      </c>
      <c r="Y229" s="4">
        <v>14.971</v>
      </c>
      <c r="Z229">
        <v>3.9353499412536599</v>
      </c>
      <c r="AA229">
        <f t="shared" si="18"/>
        <v>10.502757807148706</v>
      </c>
      <c r="AB229">
        <f t="shared" si="19"/>
        <v>-2.1638894963723843E-2</v>
      </c>
      <c r="AC229" s="4">
        <v>-2.163889496371851E-2</v>
      </c>
      <c r="AD229">
        <v>-0.77843103444393158</v>
      </c>
      <c r="AE229">
        <v>-0.34440598290598251</v>
      </c>
      <c r="AG229" s="12">
        <f t="shared" si="20"/>
        <v>0</v>
      </c>
      <c r="AH229" s="12">
        <f t="shared" si="21"/>
        <v>0</v>
      </c>
      <c r="AI229" s="13">
        <f t="shared" si="22"/>
        <v>0</v>
      </c>
      <c r="AJ229" s="14">
        <f t="shared" si="23"/>
        <v>1.8237587549780443E-2</v>
      </c>
    </row>
    <row r="230" spans="1:36" x14ac:dyDescent="0.2">
      <c r="A230">
        <v>2019</v>
      </c>
      <c r="B230" t="s">
        <v>239</v>
      </c>
      <c r="C230">
        <f>VLOOKUP(B230,Sheet5!$B$2:$C$2166,2,FALSE)</f>
        <v>830</v>
      </c>
      <c r="D230">
        <v>1010</v>
      </c>
      <c r="E230">
        <v>640</v>
      </c>
      <c r="F230" t="s">
        <v>216</v>
      </c>
      <c r="G230">
        <v>0</v>
      </c>
      <c r="H230">
        <v>6.9177056098353047</v>
      </c>
      <c r="I230">
        <v>1</v>
      </c>
      <c r="J230">
        <v>1</v>
      </c>
      <c r="K230">
        <v>0</v>
      </c>
      <c r="L230">
        <v>-1</v>
      </c>
      <c r="M230" t="s">
        <v>25</v>
      </c>
      <c r="N230" t="s">
        <v>239</v>
      </c>
      <c r="O230">
        <v>1</v>
      </c>
      <c r="P230">
        <v>0</v>
      </c>
      <c r="Q230" t="s">
        <v>241</v>
      </c>
      <c r="R230" t="str">
        <f>VLOOKUP(Q230,GDP!$A$2:$B$266,1,FALSE)</f>
        <v>SVK</v>
      </c>
      <c r="S230" t="str">
        <f>VLOOKUP(Q230,GDP!$A$2:$B$266,2,FALSE)</f>
        <v>Slovak Republic</v>
      </c>
      <c r="T230">
        <f>VLOOKUP(Q230,GDP!$A$1:$L$266,6,FALSE)</f>
        <v>37194.210454869797</v>
      </c>
      <c r="U230" s="4">
        <v>37194.210454869797</v>
      </c>
      <c r="V230" s="5">
        <f>VLOOKUP(Q230,POP!$B$5:$M$269,6,FALSE)</f>
        <v>3705908</v>
      </c>
      <c r="W230" s="4">
        <v>3705908</v>
      </c>
      <c r="X230">
        <f>VLOOKUP(Q230,YU!$B$1:$M$266,6,FALSE)</f>
        <v>16.12</v>
      </c>
      <c r="Y230" s="4">
        <v>16.12</v>
      </c>
      <c r="Z230">
        <v>4.26779985427856</v>
      </c>
      <c r="AA230">
        <f t="shared" si="18"/>
        <v>10.523908395215569</v>
      </c>
      <c r="AB230">
        <f t="shared" si="19"/>
        <v>-4.8830689686063522E-4</v>
      </c>
      <c r="AC230" s="4">
        <v>-4.8830689685530615E-4</v>
      </c>
      <c r="AD230">
        <v>-0.78644624713063216</v>
      </c>
      <c r="AE230">
        <v>0.80459401709401845</v>
      </c>
      <c r="AG230" s="12">
        <f t="shared" si="20"/>
        <v>0</v>
      </c>
      <c r="AH230" s="12">
        <f t="shared" si="21"/>
        <v>0</v>
      </c>
      <c r="AI230" s="13">
        <f t="shared" si="22"/>
        <v>0</v>
      </c>
      <c r="AJ230" s="14">
        <f t="shared" si="23"/>
        <v>-0.19627990904466142</v>
      </c>
    </row>
    <row r="231" spans="1:36" x14ac:dyDescent="0.2">
      <c r="A231">
        <v>2020</v>
      </c>
      <c r="B231" t="s">
        <v>239</v>
      </c>
      <c r="C231">
        <f>VLOOKUP(B231,Sheet5!$B$2:$C$2166,2,FALSE)</f>
        <v>830</v>
      </c>
      <c r="D231">
        <v>1035</v>
      </c>
      <c r="E231">
        <v>605</v>
      </c>
      <c r="F231" t="s">
        <v>243</v>
      </c>
      <c r="G231">
        <v>5</v>
      </c>
      <c r="H231">
        <v>6.9421567056994693</v>
      </c>
      <c r="I231">
        <v>1</v>
      </c>
      <c r="J231">
        <v>1</v>
      </c>
      <c r="K231">
        <v>0</v>
      </c>
      <c r="L231">
        <v>0</v>
      </c>
      <c r="M231" t="s">
        <v>25</v>
      </c>
      <c r="N231" t="s">
        <v>239</v>
      </c>
      <c r="O231">
        <v>1</v>
      </c>
      <c r="P231">
        <v>0</v>
      </c>
      <c r="Q231" t="s">
        <v>241</v>
      </c>
      <c r="R231" t="str">
        <f>VLOOKUP(Q231,GDP!$A$2:$B$266,1,FALSE)</f>
        <v>SVK</v>
      </c>
      <c r="S231" t="str">
        <f>VLOOKUP(Q231,GDP!$A$2:$B$266,2,FALSE)</f>
        <v>Slovak Republic</v>
      </c>
      <c r="T231">
        <f>VLOOKUP(Q231,GDP!$A$1:$L$266,7,FALSE)</f>
        <v>36201.486380553295</v>
      </c>
      <c r="U231" s="4">
        <v>36201.486380553302</v>
      </c>
      <c r="V231" s="5">
        <f>VLOOKUP(Q231,POP!$B$5:$M$269,7,FALSE)</f>
        <v>3678223</v>
      </c>
      <c r="W231" s="4">
        <v>3678223</v>
      </c>
      <c r="X231">
        <f>VLOOKUP(Q231,YU!$B$1:$M$266,7,FALSE)</f>
        <v>19.437999999999999</v>
      </c>
      <c r="Y231" s="4">
        <v>19.437999999999999</v>
      </c>
      <c r="Z231">
        <v>4.7202901840209996</v>
      </c>
      <c r="AA231">
        <f t="shared" si="18"/>
        <v>10.496855457207193</v>
      </c>
      <c r="AB231">
        <f t="shared" si="19"/>
        <v>-2.7541244905236795E-2</v>
      </c>
      <c r="AC231" s="4">
        <v>-2.7541244905231469E-2</v>
      </c>
      <c r="AD231">
        <v>-0.79394479495516634</v>
      </c>
      <c r="AE231">
        <v>4.1225940170940163</v>
      </c>
      <c r="AG231" s="12">
        <f t="shared" si="20"/>
        <v>0</v>
      </c>
      <c r="AH231" s="12">
        <f t="shared" si="21"/>
        <v>0</v>
      </c>
      <c r="AI231" s="13">
        <f t="shared" si="22"/>
        <v>0</v>
      </c>
      <c r="AJ231" s="14">
        <f t="shared" si="23"/>
        <v>-0.22073100490882602</v>
      </c>
    </row>
    <row r="232" spans="1:36" x14ac:dyDescent="0.2">
      <c r="A232">
        <v>2021</v>
      </c>
      <c r="B232" t="s">
        <v>239</v>
      </c>
      <c r="C232">
        <f>VLOOKUP(B232,Sheet5!$B$2:$C$2166,2,FALSE)</f>
        <v>830</v>
      </c>
      <c r="D232">
        <v>270</v>
      </c>
      <c r="E232">
        <v>130</v>
      </c>
      <c r="F232" t="s">
        <v>244</v>
      </c>
      <c r="G232">
        <v>0</v>
      </c>
      <c r="H232">
        <v>5.598421958998375</v>
      </c>
      <c r="I232">
        <v>1</v>
      </c>
      <c r="J232">
        <v>1</v>
      </c>
      <c r="K232">
        <v>1</v>
      </c>
      <c r="L232">
        <v>1</v>
      </c>
      <c r="M232" t="s">
        <v>25</v>
      </c>
      <c r="N232" t="s">
        <v>239</v>
      </c>
      <c r="O232">
        <v>1</v>
      </c>
      <c r="P232">
        <v>1</v>
      </c>
      <c r="Q232" t="s">
        <v>241</v>
      </c>
      <c r="R232" t="str">
        <f>VLOOKUP(Q232,GDP!$A$2:$B$266,1,FALSE)</f>
        <v>SVK</v>
      </c>
      <c r="S232" t="str">
        <f>VLOOKUP(Q232,GDP!$A$2:$B$266,2,FALSE)</f>
        <v>Slovak Republic</v>
      </c>
      <c r="T232">
        <f>VLOOKUP(Q232,GDP!$A$1:$L$266,8,FALSE)</f>
        <v>38330.302743446962</v>
      </c>
      <c r="U232" s="4">
        <v>38330.302743446999</v>
      </c>
      <c r="V232" s="5">
        <f>VLOOKUP(Q232,POP!$B$5:$M$269,8,FALSE)</f>
        <v>3644696</v>
      </c>
      <c r="W232" s="4">
        <v>3644696</v>
      </c>
      <c r="X232">
        <f>VLOOKUP(Q232,YU!$B$1:$M$266,8,FALSE)</f>
        <v>21.210999999999999</v>
      </c>
      <c r="Y232" s="4">
        <v>21.210999999999999</v>
      </c>
      <c r="Z232">
        <v>4.7176699638366699</v>
      </c>
      <c r="AA232">
        <f t="shared" si="18"/>
        <v>10.55399605668536</v>
      </c>
      <c r="AB232">
        <f t="shared" si="19"/>
        <v>2.9599354572930281E-2</v>
      </c>
      <c r="AC232" s="4">
        <v>2.959935457293561E-2</v>
      </c>
      <c r="AD232">
        <v>-0.80310159001487236</v>
      </c>
      <c r="AE232">
        <v>5.895594017094016</v>
      </c>
      <c r="AG232" s="12">
        <f t="shared" si="20"/>
        <v>0</v>
      </c>
      <c r="AH232" s="12">
        <f t="shared" si="21"/>
        <v>0</v>
      </c>
      <c r="AI232" s="13">
        <f t="shared" si="22"/>
        <v>0</v>
      </c>
      <c r="AJ232" s="14">
        <f t="shared" si="23"/>
        <v>1.1230037417922683</v>
      </c>
    </row>
    <row r="233" spans="1:36" x14ac:dyDescent="0.2">
      <c r="A233">
        <v>2022</v>
      </c>
      <c r="B233" t="s">
        <v>239</v>
      </c>
      <c r="C233">
        <f>VLOOKUP(B233,Sheet5!$B$2:$C$2166,2,FALSE)</f>
        <v>830</v>
      </c>
      <c r="D233">
        <v>185</v>
      </c>
      <c r="E233">
        <v>85</v>
      </c>
      <c r="F233" t="s">
        <v>132</v>
      </c>
      <c r="G233">
        <v>0</v>
      </c>
      <c r="H233">
        <v>5.2203558250783244</v>
      </c>
      <c r="I233">
        <v>1</v>
      </c>
      <c r="J233">
        <v>1</v>
      </c>
      <c r="K233">
        <v>1</v>
      </c>
      <c r="L233">
        <v>2</v>
      </c>
      <c r="M233" t="s">
        <v>25</v>
      </c>
      <c r="N233" t="s">
        <v>239</v>
      </c>
      <c r="O233">
        <v>1</v>
      </c>
      <c r="P233">
        <v>1</v>
      </c>
      <c r="Q233" t="s">
        <v>241</v>
      </c>
      <c r="R233" t="str">
        <f>VLOOKUP(Q233,GDP!$A$2:$B$266,1,FALSE)</f>
        <v>SVK</v>
      </c>
      <c r="S233" t="str">
        <f>VLOOKUP(Q233,GDP!$A$2:$B$266,2,FALSE)</f>
        <v>Slovak Republic</v>
      </c>
      <c r="T233">
        <f>VLOOKUP(Q233,GDP!$A$1:$L$266,9,FALSE)</f>
        <v>38648.985574691884</v>
      </c>
      <c r="U233" s="4">
        <v>38648.985574691898</v>
      </c>
      <c r="V233" s="5">
        <f>VLOOKUP(Q233,POP!$B$5:$M$269,9,FALSE)</f>
        <v>3609998</v>
      </c>
      <c r="W233" s="4">
        <v>3609998</v>
      </c>
      <c r="X233">
        <f>VLOOKUP(Q233,YU!$B$1:$M$266,9,FALSE)</f>
        <v>19.923999999999999</v>
      </c>
      <c r="Y233" s="4">
        <v>19.923999999999999</v>
      </c>
      <c r="Z233">
        <v>4.6568899154663104</v>
      </c>
      <c r="AA233">
        <f t="shared" si="18"/>
        <v>10.56227580722072</v>
      </c>
      <c r="AB233">
        <f t="shared" si="19"/>
        <v>3.787910510829029E-2</v>
      </c>
      <c r="AC233" s="4">
        <v>3.7879105108295619E-2</v>
      </c>
      <c r="AD233">
        <v>-0.81266733174890504</v>
      </c>
      <c r="AE233">
        <v>4.6085940170940169</v>
      </c>
      <c r="AG233" s="12">
        <f t="shared" si="20"/>
        <v>0</v>
      </c>
      <c r="AH233" s="12">
        <f t="shared" si="21"/>
        <v>0</v>
      </c>
      <c r="AI233" s="13">
        <f t="shared" si="22"/>
        <v>0</v>
      </c>
      <c r="AJ233" s="14">
        <f t="shared" si="23"/>
        <v>1.5010698757123189</v>
      </c>
    </row>
    <row r="234" spans="1:36" x14ac:dyDescent="0.2">
      <c r="A234">
        <v>2023</v>
      </c>
      <c r="B234" t="s">
        <v>239</v>
      </c>
      <c r="C234">
        <f>VLOOKUP(B234,Sheet5!$B$2:$C$2166,2,FALSE)</f>
        <v>830</v>
      </c>
      <c r="D234">
        <v>215</v>
      </c>
      <c r="E234">
        <v>95</v>
      </c>
      <c r="F234" t="s">
        <v>245</v>
      </c>
      <c r="G234">
        <v>0</v>
      </c>
      <c r="H234">
        <v>5.3706380281276616</v>
      </c>
      <c r="I234">
        <v>1</v>
      </c>
      <c r="J234">
        <v>1</v>
      </c>
      <c r="K234">
        <v>1</v>
      </c>
      <c r="L234">
        <v>3</v>
      </c>
      <c r="M234" t="s">
        <v>25</v>
      </c>
      <c r="N234" t="s">
        <v>239</v>
      </c>
      <c r="O234">
        <v>1</v>
      </c>
      <c r="P234">
        <v>1</v>
      </c>
      <c r="Q234" t="s">
        <v>241</v>
      </c>
      <c r="R234" t="str">
        <f>VLOOKUP(Q234,GDP!$A$2:$B$266,1,FALSE)</f>
        <v>SVK</v>
      </c>
      <c r="S234" t="str">
        <f>VLOOKUP(Q234,GDP!$A$2:$B$266,2,FALSE)</f>
        <v>Slovak Republic</v>
      </c>
      <c r="T234">
        <f>VLOOKUP(Q234,GDP!$A$1:$L$266,10,FALSE)</f>
        <v>39501.947423196158</v>
      </c>
      <c r="U234" s="4">
        <v>39501.947423196201</v>
      </c>
      <c r="V234" s="5">
        <f>VLOOKUP(Q234,POP!$B$5:$M$269,10,FALSE)</f>
        <v>3583927</v>
      </c>
      <c r="W234" s="4">
        <v>3583927</v>
      </c>
      <c r="X234">
        <f>VLOOKUP(Q234,YU!$B$1:$M$266,10,FALSE)</f>
        <v>19.867000000000001</v>
      </c>
      <c r="Y234" s="4">
        <v>19.867000000000001</v>
      </c>
      <c r="AA234">
        <f t="shared" si="18"/>
        <v>10.584105251526983</v>
      </c>
      <c r="AB234">
        <f t="shared" si="19"/>
        <v>5.9708549414553502E-2</v>
      </c>
      <c r="AC234" s="4">
        <v>5.9708549414560608E-2</v>
      </c>
      <c r="AD234">
        <v>-0.81991542347524593</v>
      </c>
      <c r="AE234">
        <v>4.5515940170940183</v>
      </c>
      <c r="AG234" s="12">
        <f t="shared" si="20"/>
        <v>0</v>
      </c>
      <c r="AH234" s="12">
        <f t="shared" si="21"/>
        <v>0</v>
      </c>
      <c r="AI234" s="13">
        <f t="shared" si="22"/>
        <v>0</v>
      </c>
      <c r="AJ234" s="14">
        <f t="shared" si="23"/>
        <v>1.3507876726629817</v>
      </c>
    </row>
    <row r="235" spans="1:36" x14ac:dyDescent="0.2">
      <c r="A235">
        <v>2024</v>
      </c>
      <c r="B235" t="s">
        <v>239</v>
      </c>
      <c r="C235">
        <f>VLOOKUP(B235,Sheet5!$B$2:$C$2166,2,FALSE)</f>
        <v>830</v>
      </c>
      <c r="D235">
        <v>165</v>
      </c>
      <c r="E235">
        <v>75</v>
      </c>
      <c r="F235" t="s">
        <v>162</v>
      </c>
      <c r="G235">
        <v>0</v>
      </c>
      <c r="H235">
        <v>5.1059454739005803</v>
      </c>
      <c r="I235">
        <v>1</v>
      </c>
      <c r="J235">
        <v>1</v>
      </c>
      <c r="K235">
        <v>1</v>
      </c>
      <c r="L235">
        <v>4</v>
      </c>
      <c r="M235" t="s">
        <v>25</v>
      </c>
      <c r="N235" t="s">
        <v>239</v>
      </c>
      <c r="O235">
        <v>1</v>
      </c>
      <c r="P235">
        <v>1</v>
      </c>
      <c r="Q235" t="s">
        <v>241</v>
      </c>
      <c r="R235" t="str">
        <f>VLOOKUP(Q235,GDP!$A$2:$B$266,1,FALSE)</f>
        <v>SVK</v>
      </c>
      <c r="S235" t="str">
        <f>VLOOKUP(Q235,GDP!$A$2:$B$266,2,FALSE)</f>
        <v>Slovak Republic</v>
      </c>
      <c r="T235">
        <f>VLOOKUP(Q235,GDP!$A$1:$L$266,11,FALSE)</f>
        <v>40302.451428842447</v>
      </c>
      <c r="U235" s="4">
        <v>40302.451428842403</v>
      </c>
      <c r="V235" s="5">
        <f>VLOOKUP(Q235,POP!$B$5:$M$269,11,FALSE)</f>
        <v>3562375</v>
      </c>
      <c r="W235" s="4">
        <v>3562375</v>
      </c>
      <c r="X235">
        <f>VLOOKUP(Q235,YU!$B$1:$M$266,11,FALSE)</f>
        <v>18.995000000000001</v>
      </c>
      <c r="Y235" s="4">
        <v>18.995000000000001</v>
      </c>
      <c r="AA235">
        <f t="shared" si="18"/>
        <v>10.604167575584547</v>
      </c>
      <c r="AB235">
        <f t="shared" si="19"/>
        <v>7.9770873472117643E-2</v>
      </c>
      <c r="AC235" s="4">
        <v>7.9770873472122972E-2</v>
      </c>
      <c r="AD235">
        <v>-0.82594709281703871</v>
      </c>
      <c r="AE235">
        <v>3.679594017094018</v>
      </c>
      <c r="AG235" s="12">
        <f t="shared" si="20"/>
        <v>0</v>
      </c>
      <c r="AH235" s="12">
        <f t="shared" si="21"/>
        <v>0</v>
      </c>
      <c r="AI235" s="13">
        <f t="shared" si="22"/>
        <v>0</v>
      </c>
      <c r="AJ235" s="14">
        <f t="shared" si="23"/>
        <v>1.615480226890063</v>
      </c>
    </row>
    <row r="236" spans="1:36" x14ac:dyDescent="0.2">
      <c r="A236">
        <v>2016</v>
      </c>
      <c r="B236" t="s">
        <v>246</v>
      </c>
      <c r="C236">
        <f>VLOOKUP(B236,Sheet5!$B$2:$C$2166,2,FALSE)</f>
        <v>3140</v>
      </c>
      <c r="D236">
        <v>3140</v>
      </c>
      <c r="E236">
        <v>2340</v>
      </c>
      <c r="F236" t="s">
        <v>247</v>
      </c>
      <c r="G236">
        <v>10</v>
      </c>
      <c r="H236">
        <v>8.0519780789022999</v>
      </c>
      <c r="I236">
        <v>1</v>
      </c>
      <c r="J236">
        <v>1</v>
      </c>
      <c r="K236">
        <v>0</v>
      </c>
      <c r="L236">
        <v>-4</v>
      </c>
      <c r="M236" t="s">
        <v>25</v>
      </c>
      <c r="N236" t="s">
        <v>246</v>
      </c>
      <c r="O236">
        <v>1</v>
      </c>
      <c r="P236">
        <v>0</v>
      </c>
      <c r="Q236" t="s">
        <v>248</v>
      </c>
      <c r="R236" t="str">
        <f>VLOOKUP(Q236,GDP!$A$2:$B$266,1,FALSE)</f>
        <v>CYP</v>
      </c>
      <c r="S236" t="str">
        <f>VLOOKUP(Q236,GDP!$A$2:$B$266,2,FALSE)</f>
        <v>Cyprus</v>
      </c>
      <c r="T236">
        <f>VLOOKUP(Q236,GDP!$A$1:$C$266,3,FALSE)</f>
        <v>39500.8515625</v>
      </c>
      <c r="U236" s="4">
        <v>39500.8515625</v>
      </c>
      <c r="V236" s="5">
        <f>VLOOKUP(Q236,POP!$B$5:$M$269,3,FALSE)</f>
        <v>882388</v>
      </c>
      <c r="W236" s="4">
        <v>882388</v>
      </c>
      <c r="X236">
        <f>VLOOKUP(Q236,YU!$B$1:$D$266,3,FALSE)</f>
        <v>28.902000000000001</v>
      </c>
      <c r="Y236" s="4">
        <v>28.902000000000001</v>
      </c>
      <c r="Z236">
        <v>6.1181101799011204</v>
      </c>
      <c r="AA236">
        <f t="shared" si="18"/>
        <v>10.584077509201135</v>
      </c>
      <c r="AB236">
        <f t="shared" si="19"/>
        <v>5.9680807088705379E-2</v>
      </c>
      <c r="AC236" s="4">
        <v>5.9680807088710708E-2</v>
      </c>
      <c r="AD236">
        <v>-2.2214979604869431</v>
      </c>
      <c r="AE236">
        <v>13.58659401709402</v>
      </c>
      <c r="AG236" s="12">
        <f t="shared" si="20"/>
        <v>0</v>
      </c>
      <c r="AH236" s="12">
        <f t="shared" si="21"/>
        <v>0</v>
      </c>
      <c r="AI236" s="13">
        <f t="shared" si="22"/>
        <v>0</v>
      </c>
      <c r="AJ236" s="14">
        <f t="shared" si="23"/>
        <v>0</v>
      </c>
    </row>
    <row r="237" spans="1:36" x14ac:dyDescent="0.2">
      <c r="A237">
        <v>2017</v>
      </c>
      <c r="B237" t="s">
        <v>246</v>
      </c>
      <c r="C237">
        <f>VLOOKUP(B237,Sheet5!$B$2:$C$2166,2,FALSE)</f>
        <v>3140</v>
      </c>
      <c r="D237">
        <v>3345</v>
      </c>
      <c r="E237">
        <v>2635</v>
      </c>
      <c r="F237" t="s">
        <v>249</v>
      </c>
      <c r="G237">
        <v>10</v>
      </c>
      <c r="H237">
        <v>8.1152219725623294</v>
      </c>
      <c r="I237">
        <v>1</v>
      </c>
      <c r="J237">
        <v>1</v>
      </c>
      <c r="K237">
        <v>0</v>
      </c>
      <c r="L237">
        <v>-3</v>
      </c>
      <c r="M237" t="s">
        <v>25</v>
      </c>
      <c r="N237" t="s">
        <v>246</v>
      </c>
      <c r="O237">
        <v>1</v>
      </c>
      <c r="P237">
        <v>0</v>
      </c>
      <c r="Q237" t="s">
        <v>248</v>
      </c>
      <c r="R237" t="str">
        <f>VLOOKUP(Q237,GDP!$A$2:$B$266,1,FALSE)</f>
        <v>CYP</v>
      </c>
      <c r="S237" t="str">
        <f>VLOOKUP(Q237,GDP!$A$2:$B$266,2,FALSE)</f>
        <v>Cyprus</v>
      </c>
      <c r="T237">
        <f>VLOOKUP(Q237,GDP!$A$1:$L$266,4,FALSE)</f>
        <v>41417.98828125</v>
      </c>
      <c r="U237" s="4">
        <v>41417.98828125</v>
      </c>
      <c r="V237" s="5">
        <f>VLOOKUP(Q237,POP!$B$5:$M$269,4,FALSE)</f>
        <v>892005</v>
      </c>
      <c r="W237" s="4">
        <v>892005</v>
      </c>
      <c r="X237">
        <f>VLOOKUP(Q237,YU!$B$1:$M$266,4,FALSE)</f>
        <v>25.013000000000002</v>
      </c>
      <c r="Y237" s="4">
        <v>25.013000000000002</v>
      </c>
      <c r="Z237">
        <v>5.6996197700500497</v>
      </c>
      <c r="AA237">
        <f t="shared" si="18"/>
        <v>10.631470564992913</v>
      </c>
      <c r="AB237">
        <f t="shared" si="19"/>
        <v>0.10707386288048326</v>
      </c>
      <c r="AC237" s="4">
        <v>0.1070738628804886</v>
      </c>
      <c r="AD237">
        <v>-2.210658091113594</v>
      </c>
      <c r="AE237">
        <v>9.6975940170940191</v>
      </c>
      <c r="AG237" s="12">
        <f t="shared" si="20"/>
        <v>0</v>
      </c>
      <c r="AH237" s="12">
        <f t="shared" si="21"/>
        <v>0</v>
      </c>
      <c r="AI237" s="13">
        <f t="shared" si="22"/>
        <v>0</v>
      </c>
      <c r="AJ237" s="14">
        <f t="shared" si="23"/>
        <v>-6.3243893660029471E-2</v>
      </c>
    </row>
    <row r="238" spans="1:36" x14ac:dyDescent="0.2">
      <c r="A238">
        <v>2018</v>
      </c>
      <c r="B238" t="s">
        <v>246</v>
      </c>
      <c r="C238">
        <f>VLOOKUP(B238,Sheet5!$B$2:$C$2166,2,FALSE)</f>
        <v>3140</v>
      </c>
      <c r="D238">
        <v>2795</v>
      </c>
      <c r="E238">
        <v>2160</v>
      </c>
      <c r="F238" t="s">
        <v>250</v>
      </c>
      <c r="G238">
        <v>15</v>
      </c>
      <c r="H238">
        <v>7.9355873855891996</v>
      </c>
      <c r="I238">
        <v>1</v>
      </c>
      <c r="J238">
        <v>1</v>
      </c>
      <c r="K238">
        <v>0</v>
      </c>
      <c r="L238">
        <v>-2</v>
      </c>
      <c r="M238" t="s">
        <v>25</v>
      </c>
      <c r="N238" t="s">
        <v>246</v>
      </c>
      <c r="O238">
        <v>1</v>
      </c>
      <c r="P238">
        <v>0</v>
      </c>
      <c r="Q238" t="s">
        <v>248</v>
      </c>
      <c r="R238" t="str">
        <f>VLOOKUP(Q238,GDP!$A$2:$B$266,1,FALSE)</f>
        <v>CYP</v>
      </c>
      <c r="S238" t="str">
        <f>VLOOKUP(Q238,GDP!$A$2:$B$266,2,FALSE)</f>
        <v>Cyprus</v>
      </c>
      <c r="T238">
        <f>VLOOKUP(Q238,GDP!$A$1:$L$266,5,FALSE)</f>
        <v>43510.03125</v>
      </c>
      <c r="U238" s="4">
        <v>43510.03125</v>
      </c>
      <c r="V238" s="5">
        <f>VLOOKUP(Q238,POP!$B$5:$M$269,5,FALSE)</f>
        <v>901063</v>
      </c>
      <c r="W238" s="4">
        <v>901063</v>
      </c>
      <c r="X238">
        <f>VLOOKUP(Q238,YU!$B$1:$M$266,5,FALSE)</f>
        <v>20.654</v>
      </c>
      <c r="Y238" s="4">
        <v>20.654</v>
      </c>
      <c r="AA238">
        <f t="shared" si="18"/>
        <v>10.680746793940163</v>
      </c>
      <c r="AB238">
        <f t="shared" si="19"/>
        <v>0.15635009182773274</v>
      </c>
      <c r="AC238" s="4">
        <v>0.1563500918277381</v>
      </c>
      <c r="AD238">
        <v>-2.200554651586625</v>
      </c>
      <c r="AE238">
        <v>5.3385940170940174</v>
      </c>
      <c r="AG238" s="12">
        <f t="shared" si="20"/>
        <v>0</v>
      </c>
      <c r="AH238" s="12">
        <f t="shared" si="21"/>
        <v>0</v>
      </c>
      <c r="AI238" s="13">
        <f t="shared" si="22"/>
        <v>0</v>
      </c>
      <c r="AJ238" s="14">
        <f t="shared" si="23"/>
        <v>0.11639069331310026</v>
      </c>
    </row>
    <row r="239" spans="1:36" x14ac:dyDescent="0.2">
      <c r="A239">
        <v>2019</v>
      </c>
      <c r="B239" t="s">
        <v>246</v>
      </c>
      <c r="C239">
        <f>VLOOKUP(B239,Sheet5!$B$2:$C$2166,2,FALSE)</f>
        <v>3140</v>
      </c>
      <c r="D239">
        <v>2705</v>
      </c>
      <c r="E239">
        <v>2070</v>
      </c>
      <c r="F239" t="s">
        <v>251</v>
      </c>
      <c r="G239">
        <v>10</v>
      </c>
      <c r="H239">
        <v>7.9028571912805816</v>
      </c>
      <c r="I239">
        <v>1</v>
      </c>
      <c r="J239">
        <v>1</v>
      </c>
      <c r="K239">
        <v>0</v>
      </c>
      <c r="L239">
        <v>-1</v>
      </c>
      <c r="M239" t="s">
        <v>25</v>
      </c>
      <c r="N239" t="s">
        <v>246</v>
      </c>
      <c r="O239">
        <v>1</v>
      </c>
      <c r="P239">
        <v>0</v>
      </c>
      <c r="Q239" t="s">
        <v>248</v>
      </c>
      <c r="R239" t="str">
        <f>VLOOKUP(Q239,GDP!$A$2:$B$266,1,FALSE)</f>
        <v>CYP</v>
      </c>
      <c r="S239" t="str">
        <f>VLOOKUP(Q239,GDP!$A$2:$B$266,2,FALSE)</f>
        <v>Cyprus</v>
      </c>
      <c r="T239">
        <f>VLOOKUP(Q239,GDP!$A$1:$L$266,6,FALSE)</f>
        <v>45454.17578125</v>
      </c>
      <c r="U239" s="4">
        <v>45454.17578125</v>
      </c>
      <c r="V239" s="5">
        <f>VLOOKUP(Q239,POP!$B$5:$M$269,6,FALSE)</f>
        <v>909536</v>
      </c>
      <c r="W239" s="4">
        <v>909536</v>
      </c>
      <c r="X239">
        <f>VLOOKUP(Q239,YU!$B$1:$M$266,6,FALSE)</f>
        <v>16.856000000000002</v>
      </c>
      <c r="Y239" s="4">
        <v>16.856000000000002</v>
      </c>
      <c r="Z239">
        <v>5.1629300117492702</v>
      </c>
      <c r="AA239">
        <f t="shared" si="18"/>
        <v>10.724459971760387</v>
      </c>
      <c r="AB239">
        <f t="shared" si="19"/>
        <v>0.2000632696479574</v>
      </c>
      <c r="AC239" s="4">
        <v>0.2000632696479627</v>
      </c>
      <c r="AD239">
        <v>-2.1911952496962201</v>
      </c>
      <c r="AE239">
        <v>1.5405940170940191</v>
      </c>
      <c r="AG239" s="12">
        <f t="shared" si="20"/>
        <v>0</v>
      </c>
      <c r="AH239" s="12">
        <f t="shared" si="21"/>
        <v>0</v>
      </c>
      <c r="AI239" s="13">
        <f t="shared" si="22"/>
        <v>0</v>
      </c>
      <c r="AJ239" s="14">
        <f t="shared" si="23"/>
        <v>0.14912088762171827</v>
      </c>
    </row>
    <row r="240" spans="1:36" x14ac:dyDescent="0.2">
      <c r="A240">
        <v>2020</v>
      </c>
      <c r="B240" t="s">
        <v>246</v>
      </c>
      <c r="C240">
        <f>VLOOKUP(B240,Sheet5!$B$2:$C$2166,2,FALSE)</f>
        <v>3140</v>
      </c>
      <c r="D240">
        <v>2655</v>
      </c>
      <c r="E240">
        <v>2050</v>
      </c>
      <c r="F240" t="s">
        <v>252</v>
      </c>
      <c r="G240">
        <v>10</v>
      </c>
      <c r="H240">
        <v>7.8841999336760393</v>
      </c>
      <c r="I240">
        <v>1</v>
      </c>
      <c r="J240">
        <v>1</v>
      </c>
      <c r="K240">
        <v>0</v>
      </c>
      <c r="L240">
        <v>0</v>
      </c>
      <c r="M240" t="s">
        <v>25</v>
      </c>
      <c r="N240" t="s">
        <v>246</v>
      </c>
      <c r="O240">
        <v>1</v>
      </c>
      <c r="P240">
        <v>0</v>
      </c>
      <c r="Q240" t="s">
        <v>248</v>
      </c>
      <c r="R240" t="str">
        <f>VLOOKUP(Q240,GDP!$A$2:$B$266,1,FALSE)</f>
        <v>CYP</v>
      </c>
      <c r="S240" t="str">
        <f>VLOOKUP(Q240,GDP!$A$2:$B$266,2,FALSE)</f>
        <v>Cyprus</v>
      </c>
      <c r="T240">
        <f>VLOOKUP(Q240,GDP!$A$1:$L$266,7,FALSE)</f>
        <v>43402.359375</v>
      </c>
      <c r="U240" s="4">
        <v>43402.359375</v>
      </c>
      <c r="V240" s="5">
        <f>VLOOKUP(Q240,POP!$B$5:$M$269,7,FALSE)</f>
        <v>917297</v>
      </c>
      <c r="W240" s="4">
        <v>917297</v>
      </c>
      <c r="X240">
        <f>VLOOKUP(Q240,YU!$B$1:$M$266,7,FALSE)</f>
        <v>18.491</v>
      </c>
      <c r="Y240" s="4">
        <v>18.491</v>
      </c>
      <c r="Z240">
        <v>5.5646200180053702</v>
      </c>
      <c r="AA240">
        <f t="shared" si="18"/>
        <v>10.678269082090118</v>
      </c>
      <c r="AB240">
        <f t="shared" si="19"/>
        <v>0.15387237997768821</v>
      </c>
      <c r="AC240" s="4">
        <v>0.15387237997769351</v>
      </c>
      <c r="AD240">
        <v>-2.1826985270164729</v>
      </c>
      <c r="AE240">
        <v>3.1755940170940171</v>
      </c>
      <c r="AG240" s="12">
        <f t="shared" si="20"/>
        <v>0</v>
      </c>
      <c r="AH240" s="12">
        <f t="shared" si="21"/>
        <v>0</v>
      </c>
      <c r="AI240" s="13">
        <f t="shared" si="22"/>
        <v>0</v>
      </c>
      <c r="AJ240" s="14">
        <f t="shared" si="23"/>
        <v>0.16777814522626056</v>
      </c>
    </row>
    <row r="241" spans="1:36" x14ac:dyDescent="0.2">
      <c r="A241">
        <v>2021</v>
      </c>
      <c r="B241" t="s">
        <v>246</v>
      </c>
      <c r="C241">
        <f>VLOOKUP(B241,Sheet5!$B$2:$C$2166,2,FALSE)</f>
        <v>3140</v>
      </c>
      <c r="D241">
        <v>1335</v>
      </c>
      <c r="E241">
        <v>885</v>
      </c>
      <c r="F241" t="s">
        <v>253</v>
      </c>
      <c r="G241">
        <v>5</v>
      </c>
      <c r="H241">
        <v>7.1966865708343501</v>
      </c>
      <c r="I241">
        <v>1</v>
      </c>
      <c r="J241">
        <v>1</v>
      </c>
      <c r="K241">
        <v>1</v>
      </c>
      <c r="L241">
        <v>1</v>
      </c>
      <c r="M241" t="s">
        <v>25</v>
      </c>
      <c r="N241" t="s">
        <v>246</v>
      </c>
      <c r="O241">
        <v>1</v>
      </c>
      <c r="P241">
        <v>1</v>
      </c>
      <c r="Q241" t="s">
        <v>248</v>
      </c>
      <c r="R241" t="str">
        <f>VLOOKUP(Q241,GDP!$A$2:$B$266,1,FALSE)</f>
        <v>CYP</v>
      </c>
      <c r="S241" t="str">
        <f>VLOOKUP(Q241,GDP!$A$2:$B$266,2,FALSE)</f>
        <v>Cyprus</v>
      </c>
      <c r="T241">
        <f>VLOOKUP(Q241,GDP!$A$1:$L$266,8,FALSE)</f>
        <v>47632.5703125</v>
      </c>
      <c r="U241" s="4">
        <v>47632.5703125</v>
      </c>
      <c r="V241" s="5">
        <f>VLOOKUP(Q241,POP!$B$5:$M$269,8,FALSE)</f>
        <v>924212</v>
      </c>
      <c r="W241" s="4">
        <v>924212</v>
      </c>
      <c r="X241">
        <f>VLOOKUP(Q241,YU!$B$1:$M$266,8,FALSE)</f>
        <v>17.172999999999998</v>
      </c>
      <c r="Y241" s="4">
        <v>17.172999999999998</v>
      </c>
      <c r="Z241">
        <v>5.08247995376587</v>
      </c>
      <c r="AA241">
        <f t="shared" si="18"/>
        <v>10.771272056489639</v>
      </c>
      <c r="AB241">
        <f t="shared" si="19"/>
        <v>0.24687535437720953</v>
      </c>
      <c r="AC241" s="4">
        <v>0.24687535437721489</v>
      </c>
      <c r="AD241">
        <v>-2.1751883465046329</v>
      </c>
      <c r="AE241">
        <v>1.8575940170940159</v>
      </c>
      <c r="AG241" s="12">
        <f t="shared" si="20"/>
        <v>0</v>
      </c>
      <c r="AH241" s="12">
        <f t="shared" si="21"/>
        <v>0</v>
      </c>
      <c r="AI241" s="13">
        <f t="shared" si="22"/>
        <v>0</v>
      </c>
      <c r="AJ241" s="14">
        <f t="shared" si="23"/>
        <v>0.85529150806794974</v>
      </c>
    </row>
    <row r="242" spans="1:36" x14ac:dyDescent="0.2">
      <c r="A242">
        <v>2022</v>
      </c>
      <c r="B242" t="s">
        <v>246</v>
      </c>
      <c r="C242">
        <f>VLOOKUP(B242,Sheet5!$B$2:$C$2166,2,FALSE)</f>
        <v>3140</v>
      </c>
      <c r="D242">
        <v>1210</v>
      </c>
      <c r="E242">
        <v>820</v>
      </c>
      <c r="F242" t="s">
        <v>214</v>
      </c>
      <c r="G242">
        <v>5</v>
      </c>
      <c r="H242">
        <v>7.0983756385907864</v>
      </c>
      <c r="I242">
        <v>1</v>
      </c>
      <c r="J242">
        <v>1</v>
      </c>
      <c r="K242">
        <v>1</v>
      </c>
      <c r="L242">
        <v>2</v>
      </c>
      <c r="M242" t="s">
        <v>25</v>
      </c>
      <c r="N242" t="s">
        <v>246</v>
      </c>
      <c r="O242">
        <v>1</v>
      </c>
      <c r="P242">
        <v>1</v>
      </c>
      <c r="Q242" t="s">
        <v>248</v>
      </c>
      <c r="R242" t="str">
        <f>VLOOKUP(Q242,GDP!$A$2:$B$266,1,FALSE)</f>
        <v>CYP</v>
      </c>
      <c r="S242" t="str">
        <f>VLOOKUP(Q242,GDP!$A$2:$B$266,2,FALSE)</f>
        <v>Cyprus</v>
      </c>
      <c r="T242">
        <f>VLOOKUP(Q242,GDP!$A$1:$L$266,9,FALSE)</f>
        <v>50840.9140625</v>
      </c>
      <c r="U242" s="4">
        <v>50840.9140625</v>
      </c>
      <c r="V242" s="5">
        <f>VLOOKUP(Q242,POP!$B$5:$M$269,9,FALSE)</f>
        <v>930479</v>
      </c>
      <c r="W242" s="4">
        <v>930479</v>
      </c>
      <c r="X242">
        <f>VLOOKUP(Q242,YU!$B$1:$M$266,9,FALSE)</f>
        <v>18.707000000000001</v>
      </c>
      <c r="Y242" s="4">
        <v>18.707000000000001</v>
      </c>
      <c r="Z242">
        <v>4.7421097755432102</v>
      </c>
      <c r="AA242">
        <f t="shared" si="18"/>
        <v>10.836456704341217</v>
      </c>
      <c r="AB242">
        <f t="shared" si="19"/>
        <v>0.31206000222878671</v>
      </c>
      <c r="AC242" s="4">
        <v>0.31206000222879199</v>
      </c>
      <c r="AD242">
        <v>-2.1684303217429779</v>
      </c>
      <c r="AE242">
        <v>3.3915940170940182</v>
      </c>
      <c r="AG242" s="12">
        <f t="shared" si="20"/>
        <v>0</v>
      </c>
      <c r="AH242" s="12">
        <f t="shared" si="21"/>
        <v>0</v>
      </c>
      <c r="AI242" s="13">
        <f t="shared" si="22"/>
        <v>0</v>
      </c>
      <c r="AJ242" s="14">
        <f t="shared" si="23"/>
        <v>0.95360244031151353</v>
      </c>
    </row>
    <row r="243" spans="1:36" x14ac:dyDescent="0.2">
      <c r="A243">
        <v>2023</v>
      </c>
      <c r="B243" t="s">
        <v>246</v>
      </c>
      <c r="C243">
        <f>VLOOKUP(B243,Sheet5!$B$2:$C$2166,2,FALSE)</f>
        <v>3140</v>
      </c>
      <c r="D243">
        <v>1225</v>
      </c>
      <c r="E243">
        <v>845</v>
      </c>
      <c r="F243" t="s">
        <v>254</v>
      </c>
      <c r="G243">
        <v>5</v>
      </c>
      <c r="H243">
        <v>7.110696122978827</v>
      </c>
      <c r="I243">
        <v>1</v>
      </c>
      <c r="J243">
        <v>1</v>
      </c>
      <c r="K243">
        <v>1</v>
      </c>
      <c r="L243">
        <v>3</v>
      </c>
      <c r="M243" t="s">
        <v>25</v>
      </c>
      <c r="N243" t="s">
        <v>246</v>
      </c>
      <c r="O243">
        <v>1</v>
      </c>
      <c r="P243">
        <v>1</v>
      </c>
      <c r="Q243" t="s">
        <v>248</v>
      </c>
      <c r="R243" t="str">
        <f>VLOOKUP(Q243,GDP!$A$2:$B$266,1,FALSE)</f>
        <v>CYP</v>
      </c>
      <c r="S243" t="str">
        <f>VLOOKUP(Q243,GDP!$A$2:$B$266,2,FALSE)</f>
        <v>Cyprus</v>
      </c>
      <c r="T243">
        <f>VLOOKUP(Q243,GDP!$A$1:$L$266,10,FALSE)</f>
        <v>51674.90234375</v>
      </c>
      <c r="U243" s="4">
        <v>51674.90234375</v>
      </c>
      <c r="V243" s="5">
        <f>VLOOKUP(Q243,POP!$B$5:$M$269,10,FALSE)</f>
        <v>936410</v>
      </c>
      <c r="W243" s="4">
        <v>936410</v>
      </c>
      <c r="X243">
        <f>VLOOKUP(Q243,YU!$B$1:$M$266,10,FALSE)</f>
        <v>16.22</v>
      </c>
      <c r="Y243" s="4">
        <v>16.22</v>
      </c>
      <c r="AA243">
        <f t="shared" si="18"/>
        <v>10.852727494732024</v>
      </c>
      <c r="AB243">
        <f t="shared" si="19"/>
        <v>0.32833079261959419</v>
      </c>
      <c r="AC243" s="4">
        <v>0.32833079261959952</v>
      </c>
      <c r="AD243">
        <v>-2.1620764143024012</v>
      </c>
      <c r="AE243">
        <v>0.90459401709401632</v>
      </c>
      <c r="AG243" s="12">
        <f t="shared" si="20"/>
        <v>0</v>
      </c>
      <c r="AH243" s="12">
        <f t="shared" si="21"/>
        <v>0</v>
      </c>
      <c r="AI243" s="13">
        <f t="shared" si="22"/>
        <v>0</v>
      </c>
      <c r="AJ243" s="14">
        <f t="shared" si="23"/>
        <v>0.94128195592347286</v>
      </c>
    </row>
    <row r="244" spans="1:36" x14ac:dyDescent="0.2">
      <c r="A244">
        <v>2024</v>
      </c>
      <c r="B244" t="s">
        <v>246</v>
      </c>
      <c r="C244">
        <f>VLOOKUP(B244,Sheet5!$B$2:$C$2166,2,FALSE)</f>
        <v>3140</v>
      </c>
      <c r="D244">
        <v>1180</v>
      </c>
      <c r="E244">
        <v>820</v>
      </c>
      <c r="F244" t="s">
        <v>177</v>
      </c>
      <c r="G244">
        <v>0</v>
      </c>
      <c r="H244">
        <v>7.0732697174597101</v>
      </c>
      <c r="I244">
        <v>1</v>
      </c>
      <c r="J244">
        <v>1</v>
      </c>
      <c r="K244">
        <v>1</v>
      </c>
      <c r="L244">
        <v>4</v>
      </c>
      <c r="M244" t="s">
        <v>25</v>
      </c>
      <c r="N244" t="s">
        <v>246</v>
      </c>
      <c r="O244">
        <v>1</v>
      </c>
      <c r="P244">
        <v>1</v>
      </c>
      <c r="Q244" t="s">
        <v>248</v>
      </c>
      <c r="R244" t="str">
        <f>VLOOKUP(Q244,GDP!$A$2:$B$266,1,FALSE)</f>
        <v>CYP</v>
      </c>
      <c r="S244" t="str">
        <f>VLOOKUP(Q244,GDP!$A$2:$B$266,2,FALSE)</f>
        <v>Cyprus</v>
      </c>
      <c r="T244">
        <f>VLOOKUP(Q244,GDP!$A$1:$L$266,11,FALSE)</f>
        <v>52861.8359375</v>
      </c>
      <c r="U244" s="4">
        <v>52861.8359375</v>
      </c>
      <c r="V244" s="5">
        <f>VLOOKUP(Q244,POP!$B$5:$M$269,11,FALSE)</f>
        <v>941447</v>
      </c>
      <c r="W244" s="4">
        <v>941447</v>
      </c>
      <c r="X244">
        <f>VLOOKUP(Q244,YU!$B$1:$M$266,11,FALSE)</f>
        <v>12.856999999999999</v>
      </c>
      <c r="Y244" s="4">
        <v>12.856999999999999</v>
      </c>
      <c r="AA244">
        <f t="shared" si="18"/>
        <v>10.875436919630429</v>
      </c>
      <c r="AB244">
        <f t="shared" si="19"/>
        <v>0.35104021751799941</v>
      </c>
      <c r="AC244" s="4">
        <v>0.35104021751800468</v>
      </c>
      <c r="AD244">
        <v>-2.1567117756955998</v>
      </c>
      <c r="AE244">
        <v>-2.4584059829059828</v>
      </c>
      <c r="AG244" s="12">
        <f t="shared" si="20"/>
        <v>0</v>
      </c>
      <c r="AH244" s="12">
        <f t="shared" si="21"/>
        <v>0</v>
      </c>
      <c r="AI244" s="13">
        <f t="shared" si="22"/>
        <v>0</v>
      </c>
      <c r="AJ244" s="14">
        <f t="shared" si="23"/>
        <v>0.97870836144258977</v>
      </c>
    </row>
    <row r="245" spans="1:36" x14ac:dyDescent="0.2">
      <c r="A245">
        <v>2016</v>
      </c>
      <c r="B245" t="s">
        <v>255</v>
      </c>
      <c r="C245">
        <f>VLOOKUP(B245,Sheet5!$B$2:$C$2166,2,FALSE)</f>
        <v>1075</v>
      </c>
      <c r="D245">
        <v>1075</v>
      </c>
      <c r="E245">
        <v>730</v>
      </c>
      <c r="F245" t="s">
        <v>256</v>
      </c>
      <c r="G245">
        <v>0</v>
      </c>
      <c r="H245">
        <v>6.9800759405617629</v>
      </c>
      <c r="I245">
        <v>0</v>
      </c>
      <c r="J245">
        <v>0</v>
      </c>
      <c r="K245">
        <v>0</v>
      </c>
      <c r="L245">
        <v>-4</v>
      </c>
      <c r="M245" t="s">
        <v>119</v>
      </c>
      <c r="N245" t="s">
        <v>120</v>
      </c>
      <c r="O245">
        <v>2.8028213812056282</v>
      </c>
      <c r="P245">
        <v>0</v>
      </c>
      <c r="Q245" t="s">
        <v>257</v>
      </c>
      <c r="R245" t="str">
        <f>VLOOKUP(Q245,GDP!$A$2:$B$266,1,FALSE)</f>
        <v>RUS</v>
      </c>
      <c r="S245" t="str">
        <f>VLOOKUP(Q245,GDP!$A$2:$B$266,2,FALSE)</f>
        <v>Russian Federation</v>
      </c>
      <c r="T245">
        <f>VLOOKUP(Q245,GDP!$A$1:$C$266,3,FALSE)</f>
        <v>35005.4453125</v>
      </c>
      <c r="U245" s="4">
        <v>35005.4453125</v>
      </c>
      <c r="V245" s="5">
        <f>VLOOKUP(Q245,POP!$B$5:$M$269,3,FALSE)</f>
        <v>99951021</v>
      </c>
      <c r="W245" s="4">
        <v>99951021</v>
      </c>
      <c r="X245">
        <f>VLOOKUP(Q245,YU!$B$1:$D$266,3,FALSE)</f>
        <v>16.687999999999999</v>
      </c>
      <c r="Y245" s="4">
        <v>16.687999999999999</v>
      </c>
      <c r="Z245">
        <v>3.7604401111602801</v>
      </c>
      <c r="AA245">
        <f t="shared" si="18"/>
        <v>10.463258908727324</v>
      </c>
      <c r="AB245">
        <f t="shared" si="19"/>
        <v>-6.113779338510561E-2</v>
      </c>
      <c r="AC245" s="4">
        <v>-6.1137793385100281E-2</v>
      </c>
      <c r="AD245">
        <v>2.5083057259248691</v>
      </c>
      <c r="AE245">
        <v>1.3725940170940161</v>
      </c>
      <c r="AG245" s="12">
        <f t="shared" si="20"/>
        <v>0</v>
      </c>
      <c r="AH245" s="12">
        <f t="shared" si="21"/>
        <v>0</v>
      </c>
      <c r="AI245" s="13">
        <f t="shared" si="22"/>
        <v>0</v>
      </c>
      <c r="AJ245" s="14">
        <f t="shared" si="23"/>
        <v>0</v>
      </c>
    </row>
    <row r="246" spans="1:36" x14ac:dyDescent="0.2">
      <c r="A246">
        <v>2017</v>
      </c>
      <c r="B246" t="s">
        <v>255</v>
      </c>
      <c r="C246">
        <f>VLOOKUP(B246,Sheet5!$B$2:$C$2166,2,FALSE)</f>
        <v>1075</v>
      </c>
      <c r="D246">
        <v>955</v>
      </c>
      <c r="E246">
        <v>645</v>
      </c>
      <c r="F246" t="s">
        <v>258</v>
      </c>
      <c r="G246">
        <v>0</v>
      </c>
      <c r="H246">
        <v>6.8617113404807304</v>
      </c>
      <c r="I246">
        <v>0</v>
      </c>
      <c r="J246">
        <v>0</v>
      </c>
      <c r="K246">
        <v>0</v>
      </c>
      <c r="L246">
        <v>-3</v>
      </c>
      <c r="M246" t="s">
        <v>119</v>
      </c>
      <c r="N246" t="s">
        <v>120</v>
      </c>
      <c r="O246">
        <v>2.8028213812056282</v>
      </c>
      <c r="P246">
        <v>0</v>
      </c>
      <c r="Q246" t="s">
        <v>257</v>
      </c>
      <c r="R246" t="str">
        <f>VLOOKUP(Q246,GDP!$A$2:$B$266,1,FALSE)</f>
        <v>RUS</v>
      </c>
      <c r="S246" t="str">
        <f>VLOOKUP(Q246,GDP!$A$2:$B$266,2,FALSE)</f>
        <v>Russian Federation</v>
      </c>
      <c r="T246">
        <f>VLOOKUP(Q246,GDP!$A$1:$L$266,4,FALSE)</f>
        <v>35570.703125</v>
      </c>
      <c r="U246" s="4">
        <v>35570.703125</v>
      </c>
      <c r="V246" s="5">
        <f>VLOOKUP(Q246,POP!$B$5:$M$269,4,FALSE)</f>
        <v>99236636</v>
      </c>
      <c r="W246" s="4">
        <v>99236636</v>
      </c>
      <c r="X246">
        <f>VLOOKUP(Q246,YU!$B$1:$M$266,4,FALSE)</f>
        <v>16.329000000000001</v>
      </c>
      <c r="Y246" s="4">
        <v>16.329000000000001</v>
      </c>
      <c r="Z246">
        <v>4.6899099349975604</v>
      </c>
      <c r="AA246">
        <f t="shared" si="18"/>
        <v>10.479277632107264</v>
      </c>
      <c r="AB246">
        <f t="shared" si="19"/>
        <v>-4.5119070005165796E-2</v>
      </c>
      <c r="AC246" s="4">
        <v>-4.5119070005160473E-2</v>
      </c>
      <c r="AD246">
        <v>2.5011327105502139</v>
      </c>
      <c r="AE246">
        <v>1.0135940170940181</v>
      </c>
      <c r="AG246" s="12">
        <f t="shared" si="20"/>
        <v>0</v>
      </c>
      <c r="AH246" s="12">
        <f t="shared" si="21"/>
        <v>0</v>
      </c>
      <c r="AI246" s="13">
        <f t="shared" si="22"/>
        <v>0</v>
      </c>
      <c r="AJ246" s="14">
        <f t="shared" si="23"/>
        <v>0.11836460008103256</v>
      </c>
    </row>
    <row r="247" spans="1:36" x14ac:dyDescent="0.2">
      <c r="A247">
        <v>2018</v>
      </c>
      <c r="B247" t="s">
        <v>255</v>
      </c>
      <c r="C247">
        <f>VLOOKUP(B247,Sheet5!$B$2:$C$2166,2,FALSE)</f>
        <v>1075</v>
      </c>
      <c r="D247">
        <v>890</v>
      </c>
      <c r="E247">
        <v>565</v>
      </c>
      <c r="F247" t="s">
        <v>259</v>
      </c>
      <c r="G247">
        <v>0</v>
      </c>
      <c r="H247">
        <v>6.7912214627261864</v>
      </c>
      <c r="I247">
        <v>0</v>
      </c>
      <c r="J247">
        <v>0</v>
      </c>
      <c r="K247">
        <v>0</v>
      </c>
      <c r="L247">
        <v>-2</v>
      </c>
      <c r="M247" t="s">
        <v>119</v>
      </c>
      <c r="N247" t="s">
        <v>120</v>
      </c>
      <c r="O247">
        <v>2.8028213812056282</v>
      </c>
      <c r="P247">
        <v>0</v>
      </c>
      <c r="Q247" t="s">
        <v>257</v>
      </c>
      <c r="R247" t="str">
        <f>VLOOKUP(Q247,GDP!$A$2:$B$266,1,FALSE)</f>
        <v>RUS</v>
      </c>
      <c r="S247" t="str">
        <f>VLOOKUP(Q247,GDP!$A$2:$B$266,2,FALSE)</f>
        <v>Russian Federation</v>
      </c>
      <c r="T247">
        <f>VLOOKUP(Q247,GDP!$A$1:$L$266,5,FALSE)</f>
        <v>36536.6953125</v>
      </c>
      <c r="U247" s="4">
        <v>36536.6953125</v>
      </c>
      <c r="V247" s="5">
        <f>VLOOKUP(Q247,POP!$B$5:$M$269,5,FALSE)</f>
        <v>98555561</v>
      </c>
      <c r="W247" s="4">
        <v>98555561</v>
      </c>
      <c r="X247">
        <f>VLOOKUP(Q247,YU!$B$1:$M$266,5,FALSE)</f>
        <v>16.989999999999998</v>
      </c>
      <c r="Y247" s="4">
        <v>16.989999999999998</v>
      </c>
      <c r="Z247">
        <v>4.6781902313232404</v>
      </c>
      <c r="AA247">
        <f t="shared" si="18"/>
        <v>10.506072385571095</v>
      </c>
      <c r="AB247">
        <f t="shared" si="19"/>
        <v>-1.8324316541335151E-2</v>
      </c>
      <c r="AC247" s="4">
        <v>-1.8324316541329821E-2</v>
      </c>
      <c r="AD247">
        <v>2.4942459101388281</v>
      </c>
      <c r="AE247">
        <v>1.6745940170940159</v>
      </c>
      <c r="AG247" s="12">
        <f t="shared" si="20"/>
        <v>0</v>
      </c>
      <c r="AH247" s="12">
        <f t="shared" si="21"/>
        <v>0</v>
      </c>
      <c r="AI247" s="13">
        <f t="shared" si="22"/>
        <v>0</v>
      </c>
      <c r="AJ247" s="14">
        <f t="shared" si="23"/>
        <v>0.18885447783557652</v>
      </c>
    </row>
    <row r="248" spans="1:36" x14ac:dyDescent="0.2">
      <c r="A248">
        <v>2019</v>
      </c>
      <c r="B248" t="s">
        <v>255</v>
      </c>
      <c r="C248">
        <f>VLOOKUP(B248,Sheet5!$B$2:$C$2166,2,FALSE)</f>
        <v>1075</v>
      </c>
      <c r="D248">
        <v>795</v>
      </c>
      <c r="E248">
        <v>535</v>
      </c>
      <c r="F248" t="s">
        <v>260</v>
      </c>
      <c r="G248">
        <v>0</v>
      </c>
      <c r="H248">
        <v>6.678342114654332</v>
      </c>
      <c r="I248">
        <v>0</v>
      </c>
      <c r="J248">
        <v>0</v>
      </c>
      <c r="K248">
        <v>0</v>
      </c>
      <c r="L248">
        <v>-1</v>
      </c>
      <c r="M248" t="s">
        <v>119</v>
      </c>
      <c r="N248" t="s">
        <v>120</v>
      </c>
      <c r="O248">
        <v>2.8028213812056282</v>
      </c>
      <c r="P248">
        <v>0</v>
      </c>
      <c r="Q248" t="s">
        <v>257</v>
      </c>
      <c r="R248" t="str">
        <f>VLOOKUP(Q248,GDP!$A$2:$B$266,1,FALSE)</f>
        <v>RUS</v>
      </c>
      <c r="S248" t="str">
        <f>VLOOKUP(Q248,GDP!$A$2:$B$266,2,FALSE)</f>
        <v>Russian Federation</v>
      </c>
      <c r="T248">
        <f>VLOOKUP(Q248,GDP!$A$1:$L$266,6,FALSE)</f>
        <v>37319.3203125</v>
      </c>
      <c r="U248" s="4">
        <v>37319.3203125</v>
      </c>
      <c r="V248" s="5">
        <f>VLOOKUP(Q248,POP!$B$5:$M$269,6,FALSE)</f>
        <v>97886135</v>
      </c>
      <c r="W248" s="4">
        <v>97886135</v>
      </c>
      <c r="X248">
        <f>VLOOKUP(Q248,YU!$B$1:$M$266,6,FALSE)</f>
        <v>15.209</v>
      </c>
      <c r="Y248" s="4">
        <v>15.209</v>
      </c>
      <c r="Z248">
        <v>3.6956142919833601</v>
      </c>
      <c r="AA248">
        <f t="shared" si="18"/>
        <v>10.527266442375819</v>
      </c>
      <c r="AB248">
        <f t="shared" si="19"/>
        <v>2.8697402633888203E-3</v>
      </c>
      <c r="AC248" s="4">
        <v>2.8697402633941489E-3</v>
      </c>
      <c r="AD248">
        <v>2.4874303653236729</v>
      </c>
      <c r="AE248">
        <v>-0.1064059829059829</v>
      </c>
      <c r="AG248" s="12">
        <f t="shared" si="20"/>
        <v>0</v>
      </c>
      <c r="AH248" s="12">
        <f t="shared" si="21"/>
        <v>0</v>
      </c>
      <c r="AI248" s="13">
        <f t="shared" si="22"/>
        <v>0</v>
      </c>
      <c r="AJ248" s="14">
        <f t="shared" si="23"/>
        <v>0.30173382590743092</v>
      </c>
    </row>
    <row r="249" spans="1:36" x14ac:dyDescent="0.2">
      <c r="A249">
        <v>2020</v>
      </c>
      <c r="B249" t="s">
        <v>255</v>
      </c>
      <c r="C249">
        <f>VLOOKUP(B249,Sheet5!$B$2:$C$2166,2,FALSE)</f>
        <v>1075</v>
      </c>
      <c r="D249">
        <v>830</v>
      </c>
      <c r="E249">
        <v>565</v>
      </c>
      <c r="F249" t="s">
        <v>258</v>
      </c>
      <c r="G249">
        <v>0</v>
      </c>
      <c r="H249">
        <v>6.7214257007906433</v>
      </c>
      <c r="I249">
        <v>0</v>
      </c>
      <c r="J249">
        <v>0</v>
      </c>
      <c r="K249">
        <v>0</v>
      </c>
      <c r="L249">
        <v>0</v>
      </c>
      <c r="M249" t="s">
        <v>119</v>
      </c>
      <c r="N249" t="s">
        <v>120</v>
      </c>
      <c r="O249">
        <v>2.8028213812056282</v>
      </c>
      <c r="P249">
        <v>0</v>
      </c>
      <c r="Q249" t="s">
        <v>257</v>
      </c>
      <c r="R249" t="str">
        <f>VLOOKUP(Q249,GDP!$A$2:$B$266,1,FALSE)</f>
        <v>RUS</v>
      </c>
      <c r="S249" t="str">
        <f>VLOOKUP(Q249,GDP!$A$2:$B$266,2,FALSE)</f>
        <v>Russian Federation</v>
      </c>
      <c r="T249">
        <f>VLOOKUP(Q249,GDP!$A$1:$L$266,7,FALSE)</f>
        <v>36376.3359375</v>
      </c>
      <c r="U249" s="4">
        <v>36376.3359375</v>
      </c>
      <c r="V249" s="5">
        <f>VLOOKUP(Q249,POP!$B$5:$M$269,7,FALSE)</f>
        <v>97109905</v>
      </c>
      <c r="W249" s="4">
        <v>97109905</v>
      </c>
      <c r="X249">
        <f>VLOOKUP(Q249,YU!$B$1:$M$266,7,FALSE)</f>
        <v>16.986000000000001</v>
      </c>
      <c r="Y249" s="4">
        <v>16.986000000000001</v>
      </c>
      <c r="Z249">
        <v>4.0164186438363698</v>
      </c>
      <c r="AA249">
        <f t="shared" si="18"/>
        <v>10.501673730603505</v>
      </c>
      <c r="AB249">
        <f t="shared" si="19"/>
        <v>-2.2722971508924772E-2</v>
      </c>
      <c r="AC249" s="4">
        <v>-2.2722971508919439E-2</v>
      </c>
      <c r="AD249">
        <v>2.4794688282568011</v>
      </c>
      <c r="AE249">
        <v>1.6705940170940179</v>
      </c>
      <c r="AG249" s="12">
        <f t="shared" si="20"/>
        <v>0</v>
      </c>
      <c r="AH249" s="12">
        <f t="shared" si="21"/>
        <v>0</v>
      </c>
      <c r="AI249" s="13">
        <f t="shared" si="22"/>
        <v>0</v>
      </c>
      <c r="AJ249" s="14">
        <f t="shared" si="23"/>
        <v>0.25865023977111967</v>
      </c>
    </row>
    <row r="250" spans="1:36" x14ac:dyDescent="0.2">
      <c r="A250">
        <v>2021</v>
      </c>
      <c r="B250" t="s">
        <v>255</v>
      </c>
      <c r="C250">
        <f>VLOOKUP(B250,Sheet5!$B$2:$C$2166,2,FALSE)</f>
        <v>1075</v>
      </c>
      <c r="D250">
        <v>885</v>
      </c>
      <c r="E250">
        <v>590</v>
      </c>
      <c r="F250" t="s">
        <v>261</v>
      </c>
      <c r="G250">
        <v>5</v>
      </c>
      <c r="H250">
        <v>6.7855876450079293</v>
      </c>
      <c r="I250">
        <v>0</v>
      </c>
      <c r="J250">
        <v>0</v>
      </c>
      <c r="K250">
        <v>1</v>
      </c>
      <c r="L250">
        <v>1</v>
      </c>
      <c r="M250" t="s">
        <v>119</v>
      </c>
      <c r="N250" t="s">
        <v>120</v>
      </c>
      <c r="O250">
        <v>2.8028213812056282</v>
      </c>
      <c r="P250">
        <v>0</v>
      </c>
      <c r="Q250" t="s">
        <v>257</v>
      </c>
      <c r="R250" t="str">
        <f>VLOOKUP(Q250,GDP!$A$2:$B$266,1,FALSE)</f>
        <v>RUS</v>
      </c>
      <c r="S250" t="str">
        <f>VLOOKUP(Q250,GDP!$A$2:$B$266,2,FALSE)</f>
        <v>Russian Federation</v>
      </c>
      <c r="T250">
        <f>VLOOKUP(Q250,GDP!$A$1:$L$266,8,FALSE)</f>
        <v>38638.4296875</v>
      </c>
      <c r="U250" s="4">
        <v>38638.4296875</v>
      </c>
      <c r="V250" s="5">
        <f>VLOOKUP(Q250,POP!$B$5:$M$269,8,FALSE)</f>
        <v>96323352</v>
      </c>
      <c r="W250" s="4">
        <v>96323352</v>
      </c>
      <c r="X250">
        <f>VLOOKUP(Q250,YU!$B$1:$M$266,8,FALSE)</f>
        <v>16.143999999999998</v>
      </c>
      <c r="Y250" s="4">
        <v>16.143999999999998</v>
      </c>
      <c r="Z250">
        <v>3.9948069786477398</v>
      </c>
      <c r="AA250">
        <f t="shared" si="18"/>
        <v>10.562002647943192</v>
      </c>
      <c r="AB250">
        <f t="shared" si="19"/>
        <v>3.7605945830762266E-2</v>
      </c>
      <c r="AC250" s="4">
        <v>3.7605945830767602E-2</v>
      </c>
      <c r="AD250">
        <v>2.471336231542514</v>
      </c>
      <c r="AE250">
        <v>0.82859401709401581</v>
      </c>
      <c r="AG250" s="12">
        <f t="shared" si="20"/>
        <v>0</v>
      </c>
      <c r="AH250" s="12">
        <f t="shared" si="21"/>
        <v>0</v>
      </c>
      <c r="AI250" s="13">
        <f t="shared" si="22"/>
        <v>0</v>
      </c>
      <c r="AJ250" s="14">
        <f t="shared" si="23"/>
        <v>0.19448829555383362</v>
      </c>
    </row>
    <row r="251" spans="1:36" x14ac:dyDescent="0.2">
      <c r="A251">
        <v>2022</v>
      </c>
      <c r="B251" t="s">
        <v>255</v>
      </c>
      <c r="C251">
        <f>VLOOKUP(B251,Sheet5!$B$2:$C$2166,2,FALSE)</f>
        <v>1075</v>
      </c>
      <c r="D251">
        <v>900</v>
      </c>
      <c r="E251">
        <v>545</v>
      </c>
      <c r="F251" t="s">
        <v>262</v>
      </c>
      <c r="G251">
        <v>5</v>
      </c>
      <c r="H251">
        <v>6.8023947633243109</v>
      </c>
      <c r="I251">
        <v>0</v>
      </c>
      <c r="J251">
        <v>0</v>
      </c>
      <c r="K251">
        <v>1</v>
      </c>
      <c r="L251">
        <v>2</v>
      </c>
      <c r="M251" t="s">
        <v>119</v>
      </c>
      <c r="N251" t="s">
        <v>120</v>
      </c>
      <c r="O251">
        <v>2.8028213812056282</v>
      </c>
      <c r="P251">
        <v>0</v>
      </c>
      <c r="Q251" t="s">
        <v>257</v>
      </c>
      <c r="R251" t="str">
        <f>VLOOKUP(Q251,GDP!$A$2:$B$266,1,FALSE)</f>
        <v>RUS</v>
      </c>
      <c r="S251" t="str">
        <f>VLOOKUP(Q251,GDP!$A$2:$B$266,2,FALSE)</f>
        <v>Russian Federation</v>
      </c>
      <c r="T251">
        <f>VLOOKUP(Q251,GDP!$A$1:$L$266,9,FALSE)</f>
        <v>38214.69140625</v>
      </c>
      <c r="U251" s="4">
        <v>38214.69140625</v>
      </c>
      <c r="V251" s="5">
        <f>VLOOKUP(Q251,POP!$B$5:$M$269,9,FALSE)</f>
        <v>95535540</v>
      </c>
      <c r="W251" s="4">
        <v>95535540</v>
      </c>
      <c r="X251">
        <f>VLOOKUP(Q251,YU!$B$1:$M$266,9,FALSE)</f>
        <v>14.388</v>
      </c>
      <c r="Y251" s="4">
        <v>14.388</v>
      </c>
      <c r="Z251">
        <v>4.0540275532377699</v>
      </c>
      <c r="AA251">
        <f t="shared" si="18"/>
        <v>10.550975312444852</v>
      </c>
      <c r="AB251">
        <f t="shared" si="19"/>
        <v>2.6578610332421704E-2</v>
      </c>
      <c r="AC251" s="4">
        <v>2.6578610332427029E-2</v>
      </c>
      <c r="AD251">
        <v>2.463123774777253</v>
      </c>
      <c r="AE251">
        <v>-0.92740598290598264</v>
      </c>
      <c r="AG251" s="12">
        <f t="shared" si="20"/>
        <v>0</v>
      </c>
      <c r="AH251" s="12">
        <f t="shared" si="21"/>
        <v>0</v>
      </c>
      <c r="AI251" s="13">
        <f t="shared" si="22"/>
        <v>0</v>
      </c>
      <c r="AJ251" s="14">
        <f t="shared" si="23"/>
        <v>0.17768117723745203</v>
      </c>
    </row>
    <row r="252" spans="1:36" x14ac:dyDescent="0.2">
      <c r="A252">
        <v>2023</v>
      </c>
      <c r="B252" t="s">
        <v>255</v>
      </c>
      <c r="C252">
        <f>VLOOKUP(B252,Sheet5!$B$2:$C$2166,2,FALSE)</f>
        <v>1075</v>
      </c>
      <c r="D252">
        <v>730</v>
      </c>
      <c r="E252">
        <v>435</v>
      </c>
      <c r="F252" t="s">
        <v>263</v>
      </c>
      <c r="G252">
        <v>0</v>
      </c>
      <c r="H252">
        <v>6.5930445341424369</v>
      </c>
      <c r="I252">
        <v>0</v>
      </c>
      <c r="J252">
        <v>0</v>
      </c>
      <c r="K252">
        <v>1</v>
      </c>
      <c r="L252">
        <v>3</v>
      </c>
      <c r="M252" t="s">
        <v>119</v>
      </c>
      <c r="N252" t="s">
        <v>120</v>
      </c>
      <c r="O252">
        <v>2.8028213812056282</v>
      </c>
      <c r="P252">
        <v>0</v>
      </c>
      <c r="Q252" t="s">
        <v>257</v>
      </c>
      <c r="R252" t="str">
        <f>VLOOKUP(Q252,GDP!$A$2:$B$266,1,FALSE)</f>
        <v>RUS</v>
      </c>
      <c r="S252" t="str">
        <f>VLOOKUP(Q252,GDP!$A$2:$B$266,2,FALSE)</f>
        <v>Russian Federation</v>
      </c>
      <c r="T252">
        <f>VLOOKUP(Q252,GDP!$A$1:$L$266,10,FALSE)</f>
        <v>39881.44921875</v>
      </c>
      <c r="U252" s="4">
        <v>39881.44921875</v>
      </c>
      <c r="V252" s="5">
        <f>VLOOKUP(Q252,POP!$B$5:$M$269,10,FALSE)</f>
        <v>94753195</v>
      </c>
      <c r="W252" s="4">
        <v>94753195</v>
      </c>
      <c r="X252">
        <f>VLOOKUP(Q252,YU!$B$1:$M$266,10,FALSE)</f>
        <v>11.147</v>
      </c>
      <c r="Y252" s="4">
        <v>11.147</v>
      </c>
      <c r="Z252">
        <v>4.1645485339422503</v>
      </c>
      <c r="AA252">
        <f t="shared" si="18"/>
        <v>10.593666562902722</v>
      </c>
      <c r="AB252">
        <f t="shared" si="19"/>
        <v>6.9269860790292626E-2</v>
      </c>
      <c r="AC252" s="4">
        <v>6.9269860790297955E-2</v>
      </c>
      <c r="AD252">
        <v>2.4549010136337208</v>
      </c>
      <c r="AE252">
        <v>-4.1684059829059823</v>
      </c>
      <c r="AG252" s="12">
        <f t="shared" si="20"/>
        <v>0</v>
      </c>
      <c r="AH252" s="12">
        <f t="shared" si="21"/>
        <v>0</v>
      </c>
      <c r="AI252" s="13">
        <f t="shared" si="22"/>
        <v>0</v>
      </c>
      <c r="AJ252" s="14">
        <f t="shared" si="23"/>
        <v>0.3870314064193261</v>
      </c>
    </row>
    <row r="253" spans="1:36" x14ac:dyDescent="0.2">
      <c r="A253">
        <v>2024</v>
      </c>
      <c r="B253" t="s">
        <v>255</v>
      </c>
      <c r="C253">
        <f>VLOOKUP(B253,Sheet5!$B$2:$C$2166,2,FALSE)</f>
        <v>1075</v>
      </c>
      <c r="D253">
        <v>665</v>
      </c>
      <c r="E253">
        <v>395</v>
      </c>
      <c r="F253" t="s">
        <v>264</v>
      </c>
      <c r="G253">
        <v>0</v>
      </c>
      <c r="H253">
        <v>6.4997870406558542</v>
      </c>
      <c r="I253">
        <v>0</v>
      </c>
      <c r="J253">
        <v>0</v>
      </c>
      <c r="K253">
        <v>1</v>
      </c>
      <c r="L253">
        <v>4</v>
      </c>
      <c r="M253" t="s">
        <v>119</v>
      </c>
      <c r="N253" t="s">
        <v>120</v>
      </c>
      <c r="O253">
        <v>2.8028213812056282</v>
      </c>
      <c r="P253">
        <v>0</v>
      </c>
      <c r="Q253" t="s">
        <v>257</v>
      </c>
      <c r="R253" t="str">
        <f>VLOOKUP(Q253,GDP!$A$2:$B$266,1,FALSE)</f>
        <v>RUS</v>
      </c>
      <c r="S253" t="str">
        <f>VLOOKUP(Q253,GDP!$A$2:$B$266,2,FALSE)</f>
        <v>Russian Federation</v>
      </c>
      <c r="T253">
        <f>VLOOKUP(Q253,GDP!$A$1:$L$266,11,FALSE)</f>
        <v>41891.171875</v>
      </c>
      <c r="U253" s="4">
        <v>41891.171875</v>
      </c>
      <c r="V253" s="5">
        <f>VLOOKUP(Q253,POP!$B$5:$M$269,11,FALSE)</f>
        <v>94167097</v>
      </c>
      <c r="W253" s="4">
        <v>94167097</v>
      </c>
      <c r="X253">
        <f>VLOOKUP(Q253,YU!$B$1:$M$266,11,FALSE)</f>
        <v>8.2560000000000002</v>
      </c>
      <c r="Y253" s="4">
        <v>8.2560000000000002</v>
      </c>
      <c r="AA253">
        <f t="shared" si="18"/>
        <v>10.642830388603498</v>
      </c>
      <c r="AB253">
        <f t="shared" si="19"/>
        <v>0.118433686491068</v>
      </c>
      <c r="AC253" s="4">
        <v>0.1184336864910733</v>
      </c>
      <c r="AD253">
        <v>2.4486962817425262</v>
      </c>
      <c r="AE253">
        <v>-7.0594059829059823</v>
      </c>
      <c r="AG253" s="12">
        <f t="shared" si="20"/>
        <v>0</v>
      </c>
      <c r="AH253" s="12">
        <f t="shared" si="21"/>
        <v>0</v>
      </c>
      <c r="AI253" s="13">
        <f t="shared" si="22"/>
        <v>0</v>
      </c>
      <c r="AJ253" s="14">
        <f t="shared" si="23"/>
        <v>0.48028889990590873</v>
      </c>
    </row>
    <row r="254" spans="1:36" x14ac:dyDescent="0.2">
      <c r="A254">
        <v>2016</v>
      </c>
      <c r="B254" t="s">
        <v>265</v>
      </c>
      <c r="C254">
        <f>VLOOKUP(B254,Sheet5!$B$2:$C$2166,2,FALSE)</f>
        <v>420</v>
      </c>
      <c r="D254">
        <v>420</v>
      </c>
      <c r="E254">
        <v>190</v>
      </c>
      <c r="F254" t="s">
        <v>232</v>
      </c>
      <c r="G254">
        <v>0</v>
      </c>
      <c r="H254">
        <v>6.0402547112774139</v>
      </c>
      <c r="I254">
        <v>0</v>
      </c>
      <c r="J254">
        <v>0</v>
      </c>
      <c r="K254">
        <v>0</v>
      </c>
      <c r="L254">
        <v>-4</v>
      </c>
      <c r="M254" t="s">
        <v>119</v>
      </c>
      <c r="N254" t="s">
        <v>120</v>
      </c>
      <c r="O254">
        <v>2.0662634416684118</v>
      </c>
      <c r="P254">
        <v>0</v>
      </c>
      <c r="Q254" t="s">
        <v>266</v>
      </c>
      <c r="R254" t="str">
        <f>VLOOKUP(Q254,GDP!$A$2:$B$266,1,FALSE)</f>
        <v>MUS</v>
      </c>
      <c r="S254" t="str">
        <f>VLOOKUP(Q254,GDP!$A$2:$B$266,2,FALSE)</f>
        <v>Mauritius</v>
      </c>
      <c r="T254">
        <f>VLOOKUP(Q254,GDP!$A$1:$C$266,3,FALSE)</f>
        <v>23357.230006620994</v>
      </c>
      <c r="U254" s="4">
        <v>23357.230006621001</v>
      </c>
      <c r="V254" s="5">
        <f>VLOOKUP(Q254,POP!$B$5:$M$269,3,FALSE)</f>
        <v>912700</v>
      </c>
      <c r="W254" s="4">
        <v>912700</v>
      </c>
      <c r="X254">
        <f>VLOOKUP(Q254,YU!$B$1:$D$266,3,FALSE)</f>
        <v>22.978999999999999</v>
      </c>
      <c r="Y254" s="4">
        <v>22.978999999999999</v>
      </c>
      <c r="Z254">
        <v>4.8820700645446804</v>
      </c>
      <c r="AA254">
        <f t="shared" si="18"/>
        <v>10.058661851427489</v>
      </c>
      <c r="AB254">
        <f t="shared" si="19"/>
        <v>-0.46573485068494058</v>
      </c>
      <c r="AC254" s="4">
        <v>-0.46573485068493531</v>
      </c>
      <c r="AD254">
        <v>-2.1877225895362269</v>
      </c>
      <c r="AE254">
        <v>7.6635940170940167</v>
      </c>
      <c r="AG254" s="12">
        <f t="shared" si="20"/>
        <v>0</v>
      </c>
      <c r="AH254" s="12">
        <f t="shared" si="21"/>
        <v>0</v>
      </c>
      <c r="AI254" s="13">
        <f t="shared" si="22"/>
        <v>0</v>
      </c>
      <c r="AJ254" s="14">
        <f t="shared" si="23"/>
        <v>0</v>
      </c>
    </row>
    <row r="255" spans="1:36" x14ac:dyDescent="0.2">
      <c r="A255">
        <v>2017</v>
      </c>
      <c r="B255" t="s">
        <v>265</v>
      </c>
      <c r="C255">
        <f>VLOOKUP(B255,Sheet5!$B$2:$C$2166,2,FALSE)</f>
        <v>420</v>
      </c>
      <c r="D255">
        <v>380</v>
      </c>
      <c r="E255">
        <v>185</v>
      </c>
      <c r="F255" t="s">
        <v>267</v>
      </c>
      <c r="G255">
        <v>0</v>
      </c>
      <c r="H255">
        <v>5.9401712527204316</v>
      </c>
      <c r="I255">
        <v>0</v>
      </c>
      <c r="J255">
        <v>0</v>
      </c>
      <c r="K255">
        <v>0</v>
      </c>
      <c r="L255">
        <v>-3</v>
      </c>
      <c r="M255" t="s">
        <v>119</v>
      </c>
      <c r="N255" t="s">
        <v>120</v>
      </c>
      <c r="O255">
        <v>2.0662634416684118</v>
      </c>
      <c r="P255">
        <v>0</v>
      </c>
      <c r="Q255" t="s">
        <v>266</v>
      </c>
      <c r="R255" t="str">
        <f>VLOOKUP(Q255,GDP!$A$2:$B$266,1,FALSE)</f>
        <v>MUS</v>
      </c>
      <c r="S255" t="str">
        <f>VLOOKUP(Q255,GDP!$A$2:$B$266,2,FALSE)</f>
        <v>Mauritius</v>
      </c>
      <c r="T255">
        <f>VLOOKUP(Q255,GDP!$A$1:$L$266,4,FALSE)</f>
        <v>24258.988821567043</v>
      </c>
      <c r="U255" s="4">
        <v>24258.988821567</v>
      </c>
      <c r="V255" s="5">
        <f>VLOOKUP(Q255,POP!$B$5:$M$269,4,FALSE)</f>
        <v>913205</v>
      </c>
      <c r="W255" s="4">
        <v>913205</v>
      </c>
      <c r="X255">
        <f>VLOOKUP(Q255,YU!$B$1:$M$266,4,FALSE)</f>
        <v>24.231000000000002</v>
      </c>
      <c r="Y255" s="4">
        <v>24.231000000000002</v>
      </c>
      <c r="Z255">
        <v>4.8788700103759801</v>
      </c>
      <c r="AA255">
        <f t="shared" si="18"/>
        <v>10.096542500737655</v>
      </c>
      <c r="AB255">
        <f t="shared" si="19"/>
        <v>-0.42785420137477459</v>
      </c>
      <c r="AC255" s="4">
        <v>-0.42785420137477098</v>
      </c>
      <c r="AD255">
        <v>-2.1871694391665462</v>
      </c>
      <c r="AE255">
        <v>8.9155940170940191</v>
      </c>
      <c r="AG255" s="12">
        <f t="shared" si="20"/>
        <v>4.3655745685100555E-11</v>
      </c>
      <c r="AH255" s="12">
        <f t="shared" si="21"/>
        <v>0</v>
      </c>
      <c r="AI255" s="13">
        <f t="shared" si="22"/>
        <v>0</v>
      </c>
      <c r="AJ255" s="14">
        <f t="shared" si="23"/>
        <v>0.10008345855698231</v>
      </c>
    </row>
    <row r="256" spans="1:36" x14ac:dyDescent="0.2">
      <c r="A256">
        <v>2018</v>
      </c>
      <c r="B256" t="s">
        <v>265</v>
      </c>
      <c r="C256">
        <f>VLOOKUP(B256,Sheet5!$B$2:$C$2166,2,FALSE)</f>
        <v>420</v>
      </c>
      <c r="D256">
        <v>365</v>
      </c>
      <c r="E256">
        <v>175</v>
      </c>
      <c r="F256" t="s">
        <v>268</v>
      </c>
      <c r="G256">
        <v>0</v>
      </c>
      <c r="H256">
        <v>5.8998973535824906</v>
      </c>
      <c r="I256">
        <v>0</v>
      </c>
      <c r="J256">
        <v>0</v>
      </c>
      <c r="K256">
        <v>0</v>
      </c>
      <c r="L256">
        <v>-2</v>
      </c>
      <c r="M256" t="s">
        <v>119</v>
      </c>
      <c r="N256" t="s">
        <v>120</v>
      </c>
      <c r="O256">
        <v>2.0662634416684118</v>
      </c>
      <c r="P256">
        <v>0</v>
      </c>
      <c r="Q256" t="s">
        <v>266</v>
      </c>
      <c r="R256" t="str">
        <f>VLOOKUP(Q256,GDP!$A$2:$B$266,1,FALSE)</f>
        <v>MUS</v>
      </c>
      <c r="S256" t="str">
        <f>VLOOKUP(Q256,GDP!$A$2:$B$266,2,FALSE)</f>
        <v>Mauritius</v>
      </c>
      <c r="T256">
        <f>VLOOKUP(Q256,GDP!$A$1:$L$266,5,FALSE)</f>
        <v>25243.886462030987</v>
      </c>
      <c r="U256" s="4">
        <v>25243.886462031001</v>
      </c>
      <c r="V256" s="5">
        <f>VLOOKUP(Q256,POP!$B$5:$M$269,5,FALSE)</f>
        <v>913819</v>
      </c>
      <c r="W256" s="4">
        <v>913819</v>
      </c>
      <c r="X256">
        <f>VLOOKUP(Q256,YU!$B$1:$M$266,5,FALSE)</f>
        <v>24.196000000000002</v>
      </c>
      <c r="Y256" s="4">
        <v>24.196000000000002</v>
      </c>
      <c r="Z256">
        <v>4.6744799613952601</v>
      </c>
      <c r="AA256">
        <f t="shared" si="18"/>
        <v>10.136339285072046</v>
      </c>
      <c r="AB256">
        <f t="shared" si="19"/>
        <v>-0.38805741704038432</v>
      </c>
      <c r="AC256" s="4">
        <v>-0.38805741704037899</v>
      </c>
      <c r="AD256">
        <v>-2.186497307850138</v>
      </c>
      <c r="AE256">
        <v>8.880594017094019</v>
      </c>
      <c r="AG256" s="12">
        <f t="shared" si="20"/>
        <v>0</v>
      </c>
      <c r="AH256" s="12">
        <f t="shared" si="21"/>
        <v>0</v>
      </c>
      <c r="AI256" s="13">
        <f t="shared" si="22"/>
        <v>0</v>
      </c>
      <c r="AJ256" s="14">
        <f t="shared" si="23"/>
        <v>0.1403573576949233</v>
      </c>
    </row>
    <row r="257" spans="1:36" x14ac:dyDescent="0.2">
      <c r="A257">
        <v>2019</v>
      </c>
      <c r="B257" t="s">
        <v>265</v>
      </c>
      <c r="C257">
        <f>VLOOKUP(B257,Sheet5!$B$2:$C$2166,2,FALSE)</f>
        <v>420</v>
      </c>
      <c r="D257">
        <v>345</v>
      </c>
      <c r="E257">
        <v>145</v>
      </c>
      <c r="F257" t="s">
        <v>269</v>
      </c>
      <c r="G257">
        <v>5</v>
      </c>
      <c r="H257">
        <v>5.8435444170313602</v>
      </c>
      <c r="I257">
        <v>0</v>
      </c>
      <c r="J257">
        <v>0</v>
      </c>
      <c r="K257">
        <v>0</v>
      </c>
      <c r="L257">
        <v>-1</v>
      </c>
      <c r="M257" t="s">
        <v>119</v>
      </c>
      <c r="N257" t="s">
        <v>120</v>
      </c>
      <c r="O257">
        <v>2.0662634416684118</v>
      </c>
      <c r="P257">
        <v>0</v>
      </c>
      <c r="Q257" t="s">
        <v>266</v>
      </c>
      <c r="R257" t="str">
        <f>VLOOKUP(Q257,GDP!$A$2:$B$266,1,FALSE)</f>
        <v>MUS</v>
      </c>
      <c r="S257" t="str">
        <f>VLOOKUP(Q257,GDP!$A$2:$B$266,2,FALSE)</f>
        <v>Mauritius</v>
      </c>
      <c r="T257">
        <f>VLOOKUP(Q257,GDP!$A$1:$L$266,6,FALSE)</f>
        <v>25958.490028146538</v>
      </c>
      <c r="U257" s="4">
        <v>25958.490028146502</v>
      </c>
      <c r="V257" s="5">
        <f>VLOOKUP(Q257,POP!$B$5:$M$269,6,FALSE)</f>
        <v>914458</v>
      </c>
      <c r="W257" s="4">
        <v>914458</v>
      </c>
      <c r="X257">
        <f>VLOOKUP(Q257,YU!$B$1:$M$266,6,FALSE)</f>
        <v>22.082999999999998</v>
      </c>
      <c r="Y257" s="4">
        <v>22.082999999999998</v>
      </c>
      <c r="Z257">
        <v>4.5419502258300799</v>
      </c>
      <c r="AA257">
        <f t="shared" si="18"/>
        <v>10.164254003800725</v>
      </c>
      <c r="AB257">
        <f t="shared" si="19"/>
        <v>-0.36014269831170509</v>
      </c>
      <c r="AC257" s="4">
        <v>-0.36014269831170148</v>
      </c>
      <c r="AD257">
        <v>-2.1857982890187242</v>
      </c>
      <c r="AE257">
        <v>6.7675940170940159</v>
      </c>
      <c r="AG257" s="12">
        <f t="shared" si="20"/>
        <v>3.637978807091713E-11</v>
      </c>
      <c r="AH257" s="12">
        <f t="shared" si="21"/>
        <v>0</v>
      </c>
      <c r="AI257" s="13">
        <f t="shared" si="22"/>
        <v>0</v>
      </c>
      <c r="AJ257" s="14">
        <f t="shared" si="23"/>
        <v>0.19671029424605369</v>
      </c>
    </row>
    <row r="258" spans="1:36" x14ac:dyDescent="0.2">
      <c r="A258">
        <v>2020</v>
      </c>
      <c r="B258" t="s">
        <v>265</v>
      </c>
      <c r="C258">
        <f>VLOOKUP(B258,Sheet5!$B$2:$C$2166,2,FALSE)</f>
        <v>420</v>
      </c>
      <c r="D258">
        <v>335</v>
      </c>
      <c r="E258">
        <v>160</v>
      </c>
      <c r="F258" t="s">
        <v>185</v>
      </c>
      <c r="G258">
        <v>0</v>
      </c>
      <c r="H258">
        <v>5.8141305318250662</v>
      </c>
      <c r="I258">
        <v>0</v>
      </c>
      <c r="J258">
        <v>0</v>
      </c>
      <c r="K258">
        <v>0</v>
      </c>
      <c r="L258">
        <v>0</v>
      </c>
      <c r="M258" t="s">
        <v>119</v>
      </c>
      <c r="N258" t="s">
        <v>120</v>
      </c>
      <c r="O258">
        <v>2.0662634416684118</v>
      </c>
      <c r="P258">
        <v>0</v>
      </c>
      <c r="Q258" t="s">
        <v>266</v>
      </c>
      <c r="R258" t="str">
        <f>VLOOKUP(Q258,GDP!$A$2:$B$266,1,FALSE)</f>
        <v>MUS</v>
      </c>
      <c r="S258" t="str">
        <f>VLOOKUP(Q258,GDP!$A$2:$B$266,2,FALSE)</f>
        <v>Mauritius</v>
      </c>
      <c r="T258">
        <f>VLOOKUP(Q258,GDP!$A$1:$L$266,7,FALSE)</f>
        <v>22272.539869667697</v>
      </c>
      <c r="U258" s="4">
        <v>22272.5398696677</v>
      </c>
      <c r="V258" s="5">
        <f>VLOOKUP(Q258,POP!$B$5:$M$269,7,FALSE)</f>
        <v>914621</v>
      </c>
      <c r="W258" s="4">
        <v>914621</v>
      </c>
      <c r="X258">
        <f>VLOOKUP(Q258,YU!$B$1:$M$266,7,FALSE)</f>
        <v>25.032</v>
      </c>
      <c r="Y258" s="4">
        <v>25.032</v>
      </c>
      <c r="Z258">
        <v>4.3524398803710902</v>
      </c>
      <c r="AA258">
        <f t="shared" si="18"/>
        <v>10.011109802678176</v>
      </c>
      <c r="AB258">
        <f t="shared" si="19"/>
        <v>-0.5132868994342541</v>
      </c>
      <c r="AC258" s="4">
        <v>-0.51328689943424877</v>
      </c>
      <c r="AD258">
        <v>-2.1856200572414952</v>
      </c>
      <c r="AE258">
        <v>9.7165940170940175</v>
      </c>
      <c r="AG258" s="12">
        <f t="shared" si="20"/>
        <v>0</v>
      </c>
      <c r="AH258" s="12">
        <f t="shared" si="21"/>
        <v>0</v>
      </c>
      <c r="AI258" s="13">
        <f t="shared" si="22"/>
        <v>0</v>
      </c>
      <c r="AJ258" s="14">
        <f t="shared" si="23"/>
        <v>0.22612417945234764</v>
      </c>
    </row>
    <row r="259" spans="1:36" x14ac:dyDescent="0.2">
      <c r="A259">
        <v>2021</v>
      </c>
      <c r="B259" t="s">
        <v>265</v>
      </c>
      <c r="C259">
        <f>VLOOKUP(B259,Sheet5!$B$2:$C$2166,2,FALSE)</f>
        <v>420</v>
      </c>
      <c r="D259">
        <v>290</v>
      </c>
      <c r="E259">
        <v>155</v>
      </c>
      <c r="F259" t="s">
        <v>228</v>
      </c>
      <c r="G259">
        <v>0</v>
      </c>
      <c r="H259">
        <v>5.6698809229805196</v>
      </c>
      <c r="I259">
        <v>0</v>
      </c>
      <c r="J259">
        <v>0</v>
      </c>
      <c r="K259">
        <v>1</v>
      </c>
      <c r="L259">
        <v>1</v>
      </c>
      <c r="M259" t="s">
        <v>119</v>
      </c>
      <c r="N259" t="s">
        <v>120</v>
      </c>
      <c r="O259">
        <v>2.0662634416684118</v>
      </c>
      <c r="P259">
        <v>0</v>
      </c>
      <c r="Q259" t="s">
        <v>266</v>
      </c>
      <c r="R259" t="str">
        <f>VLOOKUP(Q259,GDP!$A$2:$B$266,1,FALSE)</f>
        <v>MUS</v>
      </c>
      <c r="S259" t="str">
        <f>VLOOKUP(Q259,GDP!$A$2:$B$266,2,FALSE)</f>
        <v>Mauritius</v>
      </c>
      <c r="T259">
        <f>VLOOKUP(Q259,GDP!$A$1:$L$266,8,FALSE)</f>
        <v>23010.201382690571</v>
      </c>
      <c r="U259" s="4">
        <v>23010.2013826906</v>
      </c>
      <c r="V259" s="5">
        <f>VLOOKUP(Q259,POP!$B$5:$M$269,8,FALSE)</f>
        <v>914500</v>
      </c>
      <c r="W259" s="4">
        <v>914500</v>
      </c>
      <c r="X259">
        <f>VLOOKUP(Q259,YU!$B$1:$M$266,8,FALSE)</f>
        <v>25.369</v>
      </c>
      <c r="Y259" s="4">
        <v>25.369</v>
      </c>
      <c r="Z259">
        <v>4.6715102195739702</v>
      </c>
      <c r="AA259">
        <f t="shared" ref="AA259:AA322" si="24">LN(T259)</f>
        <v>10.043692934955066</v>
      </c>
      <c r="AB259">
        <f t="shared" ref="AB259:AB322" si="25">AA259-AVERAGE($AA$2:$AA$469)</f>
        <v>-0.48070376715736352</v>
      </c>
      <c r="AC259" s="4">
        <v>-0.48070376715735641</v>
      </c>
      <c r="AD259">
        <v>-2.185752361228138</v>
      </c>
      <c r="AE259">
        <v>10.053594017094021</v>
      </c>
      <c r="AG259" s="12">
        <f t="shared" ref="AG259:AG322" si="26">T259-U259</f>
        <v>-2.9103830456733704E-11</v>
      </c>
      <c r="AH259" s="12">
        <f t="shared" ref="AH259:AH322" si="27">V259-W259</f>
        <v>0</v>
      </c>
      <c r="AI259" s="13">
        <f t="shared" ref="AI259:AI322" si="28">X259-Y259</f>
        <v>0</v>
      </c>
      <c r="AJ259" s="14">
        <f t="shared" ref="AJ259:AJ322" si="29">LN(C259)-H259</f>
        <v>0.37037378829689427</v>
      </c>
    </row>
    <row r="260" spans="1:36" x14ac:dyDescent="0.2">
      <c r="A260">
        <v>2022</v>
      </c>
      <c r="B260" t="s">
        <v>265</v>
      </c>
      <c r="C260">
        <f>VLOOKUP(B260,Sheet5!$B$2:$C$2166,2,FALSE)</f>
        <v>420</v>
      </c>
      <c r="D260">
        <v>305</v>
      </c>
      <c r="E260">
        <v>145</v>
      </c>
      <c r="F260" t="s">
        <v>270</v>
      </c>
      <c r="G260">
        <v>5</v>
      </c>
      <c r="H260">
        <v>5.7203117766074119</v>
      </c>
      <c r="I260">
        <v>0</v>
      </c>
      <c r="J260">
        <v>0</v>
      </c>
      <c r="K260">
        <v>1</v>
      </c>
      <c r="L260">
        <v>2</v>
      </c>
      <c r="M260" t="s">
        <v>119</v>
      </c>
      <c r="N260" t="s">
        <v>120</v>
      </c>
      <c r="O260">
        <v>2.0662634416684118</v>
      </c>
      <c r="P260">
        <v>0</v>
      </c>
      <c r="Q260" t="s">
        <v>266</v>
      </c>
      <c r="R260" t="str">
        <f>VLOOKUP(Q260,GDP!$A$2:$B$266,1,FALSE)</f>
        <v>MUS</v>
      </c>
      <c r="S260" t="str">
        <f>VLOOKUP(Q260,GDP!$A$2:$B$266,2,FALSE)</f>
        <v>Mauritius</v>
      </c>
      <c r="T260">
        <f>VLOOKUP(Q260,GDP!$A$1:$L$266,9,FALSE)</f>
        <v>25005.06661457229</v>
      </c>
      <c r="U260" s="4">
        <v>25005.066614572301</v>
      </c>
      <c r="V260" s="5">
        <f>VLOOKUP(Q260,POP!$B$5:$M$269,9,FALSE)</f>
        <v>910641</v>
      </c>
      <c r="W260" s="4">
        <v>910641</v>
      </c>
      <c r="X260">
        <f>VLOOKUP(Q260,YU!$B$1:$M$266,9,FALSE)</f>
        <v>22.321000000000002</v>
      </c>
      <c r="Y260" s="4">
        <v>22.321000000000002</v>
      </c>
      <c r="Z260">
        <v>4.84085988998413</v>
      </c>
      <c r="AA260">
        <f t="shared" si="24"/>
        <v>10.126833747899537</v>
      </c>
      <c r="AB260">
        <f t="shared" si="25"/>
        <v>-0.39756295421289245</v>
      </c>
      <c r="AC260" s="4">
        <v>-0.39756295421288712</v>
      </c>
      <c r="AD260">
        <v>-2.1899810819139121</v>
      </c>
      <c r="AE260">
        <v>7.005594017094019</v>
      </c>
      <c r="AG260" s="12">
        <f t="shared" si="26"/>
        <v>0</v>
      </c>
      <c r="AH260" s="12">
        <f t="shared" si="27"/>
        <v>0</v>
      </c>
      <c r="AI260" s="13">
        <f t="shared" si="28"/>
        <v>0</v>
      </c>
      <c r="AJ260" s="14">
        <f t="shared" si="29"/>
        <v>0.31994293467000201</v>
      </c>
    </row>
    <row r="261" spans="1:36" x14ac:dyDescent="0.2">
      <c r="A261">
        <v>2023</v>
      </c>
      <c r="B261" t="s">
        <v>265</v>
      </c>
      <c r="C261">
        <f>VLOOKUP(B261,Sheet5!$B$2:$C$2166,2,FALSE)</f>
        <v>420</v>
      </c>
      <c r="D261">
        <v>335</v>
      </c>
      <c r="E261">
        <v>140</v>
      </c>
      <c r="F261" t="s">
        <v>123</v>
      </c>
      <c r="G261">
        <v>0</v>
      </c>
      <c r="H261">
        <v>5.8141305318250662</v>
      </c>
      <c r="I261">
        <v>0</v>
      </c>
      <c r="J261">
        <v>0</v>
      </c>
      <c r="K261">
        <v>1</v>
      </c>
      <c r="L261">
        <v>3</v>
      </c>
      <c r="M261" t="s">
        <v>119</v>
      </c>
      <c r="N261" t="s">
        <v>120</v>
      </c>
      <c r="O261">
        <v>2.0662634416684118</v>
      </c>
      <c r="P261">
        <v>0</v>
      </c>
      <c r="Q261" t="s">
        <v>266</v>
      </c>
      <c r="R261" t="str">
        <f>VLOOKUP(Q261,GDP!$A$2:$B$266,1,FALSE)</f>
        <v>MUS</v>
      </c>
      <c r="S261" t="str">
        <f>VLOOKUP(Q261,GDP!$A$2:$B$266,2,FALSE)</f>
        <v>Mauritius</v>
      </c>
      <c r="T261">
        <f>VLOOKUP(Q261,GDP!$A$1:$L$266,10,FALSE)</f>
        <v>26471.035142289216</v>
      </c>
      <c r="U261" s="4">
        <v>26471.035142289202</v>
      </c>
      <c r="V261" s="5">
        <f>VLOOKUP(Q261,POP!$B$5:$M$269,10,FALSE)</f>
        <v>898204</v>
      </c>
      <c r="W261" s="4">
        <v>898204</v>
      </c>
      <c r="X261">
        <f>VLOOKUP(Q261,YU!$B$1:$M$266,10,FALSE)</f>
        <v>16.448</v>
      </c>
      <c r="Y261" s="4">
        <v>16.448</v>
      </c>
      <c r="Z261">
        <v>4.57479000091553</v>
      </c>
      <c r="AA261">
        <f t="shared" si="24"/>
        <v>10.183806400700917</v>
      </c>
      <c r="AB261">
        <f t="shared" si="25"/>
        <v>-0.34059030141151325</v>
      </c>
      <c r="AC261" s="4">
        <v>-0.3405903014115097</v>
      </c>
      <c r="AD261">
        <v>-2.2037326150641898</v>
      </c>
      <c r="AE261">
        <v>1.1325940170940181</v>
      </c>
      <c r="AG261" s="12">
        <f t="shared" si="26"/>
        <v>0</v>
      </c>
      <c r="AH261" s="12">
        <f t="shared" si="27"/>
        <v>0</v>
      </c>
      <c r="AI261" s="13">
        <f t="shared" si="28"/>
        <v>0</v>
      </c>
      <c r="AJ261" s="14">
        <f t="shared" si="29"/>
        <v>0.22612417945234764</v>
      </c>
    </row>
    <row r="262" spans="1:36" x14ac:dyDescent="0.2">
      <c r="A262">
        <v>2024</v>
      </c>
      <c r="B262" t="s">
        <v>265</v>
      </c>
      <c r="C262">
        <f>VLOOKUP(B262,Sheet5!$B$2:$C$2166,2,FALSE)</f>
        <v>420</v>
      </c>
      <c r="D262">
        <v>395</v>
      </c>
      <c r="E262">
        <v>175</v>
      </c>
      <c r="F262" t="s">
        <v>83</v>
      </c>
      <c r="G262">
        <v>5</v>
      </c>
      <c r="H262">
        <v>5.978885764901122</v>
      </c>
      <c r="I262">
        <v>0</v>
      </c>
      <c r="J262">
        <v>0</v>
      </c>
      <c r="K262">
        <v>1</v>
      </c>
      <c r="L262">
        <v>4</v>
      </c>
      <c r="M262" t="s">
        <v>119</v>
      </c>
      <c r="N262" t="s">
        <v>120</v>
      </c>
      <c r="O262">
        <v>2.0662634416684118</v>
      </c>
      <c r="P262">
        <v>0</v>
      </c>
      <c r="Q262" t="s">
        <v>266</v>
      </c>
      <c r="R262" t="str">
        <f>VLOOKUP(Q262,GDP!$A$2:$B$266,1,FALSE)</f>
        <v>MUS</v>
      </c>
      <c r="S262" t="str">
        <f>VLOOKUP(Q262,GDP!$A$2:$B$266,2,FALSE)</f>
        <v>Mauritius</v>
      </c>
      <c r="T262">
        <f>VLOOKUP(Q262,GDP!$A$1:$L$266,11,FALSE)</f>
        <v>27844.89561148312</v>
      </c>
      <c r="U262" s="4">
        <v>27844.895611483102</v>
      </c>
      <c r="V262" s="5">
        <f>VLOOKUP(Q262,POP!$B$5:$M$269,11,FALSE)</f>
        <v>892766</v>
      </c>
      <c r="W262" s="4">
        <v>892766</v>
      </c>
      <c r="X262">
        <f>VLOOKUP(Q262,YU!$B$1:$M$266,11,FALSE)</f>
        <v>16.498999999999999</v>
      </c>
      <c r="Y262" s="4">
        <v>16.498999999999999</v>
      </c>
      <c r="Z262">
        <v>4.2473897933959996</v>
      </c>
      <c r="AA262">
        <f t="shared" si="24"/>
        <v>10.234404947102506</v>
      </c>
      <c r="AB262">
        <f t="shared" si="25"/>
        <v>-0.28999175500992358</v>
      </c>
      <c r="AC262" s="4">
        <v>-0.28999175500991831</v>
      </c>
      <c r="AD262">
        <v>-2.2098053205944428</v>
      </c>
      <c r="AE262">
        <v>1.183594017094016</v>
      </c>
      <c r="AG262" s="12">
        <f t="shared" si="26"/>
        <v>0</v>
      </c>
      <c r="AH262" s="12">
        <f t="shared" si="27"/>
        <v>0</v>
      </c>
      <c r="AI262" s="13">
        <f t="shared" si="28"/>
        <v>0</v>
      </c>
      <c r="AJ262" s="14">
        <f t="shared" si="29"/>
        <v>6.1368946376291866E-2</v>
      </c>
    </row>
    <row r="263" spans="1:36" x14ac:dyDescent="0.2">
      <c r="A263">
        <v>2016</v>
      </c>
      <c r="B263" t="s">
        <v>271</v>
      </c>
      <c r="C263">
        <f>VLOOKUP(B263,Sheet5!$B$2:$C$2166,2,FALSE)</f>
        <v>210</v>
      </c>
      <c r="D263">
        <v>210</v>
      </c>
      <c r="E263">
        <v>70</v>
      </c>
      <c r="F263" t="s">
        <v>272</v>
      </c>
      <c r="G263">
        <v>0</v>
      </c>
      <c r="H263">
        <v>5.3471075307174676</v>
      </c>
      <c r="I263">
        <v>0</v>
      </c>
      <c r="J263">
        <v>0</v>
      </c>
      <c r="K263">
        <v>0</v>
      </c>
      <c r="L263">
        <v>-4</v>
      </c>
      <c r="M263" t="s">
        <v>119</v>
      </c>
      <c r="N263" t="s">
        <v>120</v>
      </c>
      <c r="O263">
        <v>0.61902087510885651</v>
      </c>
      <c r="P263">
        <v>0</v>
      </c>
      <c r="Q263" t="s">
        <v>273</v>
      </c>
      <c r="R263" t="str">
        <f>VLOOKUP(Q263,GDP!$A$2:$B$266,1,FALSE)</f>
        <v>MEX</v>
      </c>
      <c r="S263" t="str">
        <f>VLOOKUP(Q263,GDP!$A$2:$B$266,2,FALSE)</f>
        <v>Mexico</v>
      </c>
      <c r="T263">
        <f>VLOOKUP(Q263,GDP!$A$1:$C$266,3,FALSE)</f>
        <v>21578.263354125986</v>
      </c>
      <c r="U263" s="4">
        <v>21578.263354126</v>
      </c>
      <c r="V263" s="5">
        <f>VLOOKUP(Q263,POP!$B$5:$M$269,3,FALSE)</f>
        <v>80219079</v>
      </c>
      <c r="W263" s="4">
        <v>80219079</v>
      </c>
      <c r="X263">
        <f>VLOOKUP(Q263,YU!$B$1:$D$266,3,FALSE)</f>
        <v>7.6210000000000004</v>
      </c>
      <c r="Y263" s="4">
        <v>7.6210000000000004</v>
      </c>
      <c r="Z263">
        <v>4.7579598426818803</v>
      </c>
      <c r="AA263">
        <f t="shared" si="24"/>
        <v>9.9794417607882213</v>
      </c>
      <c r="AB263">
        <f t="shared" si="25"/>
        <v>-0.54495494132420852</v>
      </c>
      <c r="AC263" s="4">
        <v>-0.54495494132420319</v>
      </c>
      <c r="AD263">
        <v>2.2883868292716278</v>
      </c>
      <c r="AE263">
        <v>-7.6944059829059821</v>
      </c>
      <c r="AG263" s="12">
        <f t="shared" si="26"/>
        <v>0</v>
      </c>
      <c r="AH263" s="12">
        <f t="shared" si="27"/>
        <v>0</v>
      </c>
      <c r="AI263" s="13">
        <f t="shared" si="28"/>
        <v>0</v>
      </c>
      <c r="AJ263" s="14">
        <f t="shared" si="29"/>
        <v>0</v>
      </c>
    </row>
    <row r="264" spans="1:36" x14ac:dyDescent="0.2">
      <c r="A264">
        <v>2017</v>
      </c>
      <c r="B264" t="s">
        <v>271</v>
      </c>
      <c r="C264">
        <f>VLOOKUP(B264,Sheet5!$B$2:$C$2166,2,FALSE)</f>
        <v>210</v>
      </c>
      <c r="D264">
        <v>175</v>
      </c>
      <c r="E264">
        <v>65</v>
      </c>
      <c r="F264" t="s">
        <v>274</v>
      </c>
      <c r="G264">
        <v>0</v>
      </c>
      <c r="H264">
        <v>5.1647859739235136</v>
      </c>
      <c r="I264">
        <v>0</v>
      </c>
      <c r="J264">
        <v>0</v>
      </c>
      <c r="K264">
        <v>0</v>
      </c>
      <c r="L264">
        <v>-3</v>
      </c>
      <c r="M264" t="s">
        <v>119</v>
      </c>
      <c r="N264" t="s">
        <v>120</v>
      </c>
      <c r="O264">
        <v>0.61902087510885651</v>
      </c>
      <c r="P264">
        <v>0</v>
      </c>
      <c r="Q264" t="s">
        <v>273</v>
      </c>
      <c r="R264" t="str">
        <f>VLOOKUP(Q264,GDP!$A$2:$B$266,1,FALSE)</f>
        <v>MEX</v>
      </c>
      <c r="S264" t="str">
        <f>VLOOKUP(Q264,GDP!$A$2:$B$266,2,FALSE)</f>
        <v>Mexico</v>
      </c>
      <c r="T264">
        <f>VLOOKUP(Q264,GDP!$A$1:$L$266,4,FALSE)</f>
        <v>21777.522512727523</v>
      </c>
      <c r="U264" s="4">
        <v>21777.522512727501</v>
      </c>
      <c r="V264" s="5">
        <f>VLOOKUP(Q264,POP!$B$5:$M$269,4,FALSE)</f>
        <v>81281434</v>
      </c>
      <c r="W264" s="4">
        <v>81281434</v>
      </c>
      <c r="X264">
        <f>VLOOKUP(Q264,YU!$B$1:$M$266,4,FALSE)</f>
        <v>6.8490000000000002</v>
      </c>
      <c r="Y264" s="4">
        <v>6.8490000000000002</v>
      </c>
      <c r="Z264">
        <v>4.3975200653076199</v>
      </c>
      <c r="AA264">
        <f t="shared" si="24"/>
        <v>9.9886336394533917</v>
      </c>
      <c r="AB264">
        <f t="shared" si="25"/>
        <v>-0.53576306265903817</v>
      </c>
      <c r="AC264" s="4">
        <v>-0.53576306265903462</v>
      </c>
      <c r="AD264">
        <v>2.301543076314156</v>
      </c>
      <c r="AE264">
        <v>-8.4664059829059823</v>
      </c>
      <c r="AG264" s="12">
        <f t="shared" si="26"/>
        <v>0</v>
      </c>
      <c r="AH264" s="12">
        <f t="shared" si="27"/>
        <v>0</v>
      </c>
      <c r="AI264" s="13">
        <f t="shared" si="28"/>
        <v>0</v>
      </c>
      <c r="AJ264" s="14">
        <f t="shared" si="29"/>
        <v>0.1823215567939549</v>
      </c>
    </row>
    <row r="265" spans="1:36" x14ac:dyDescent="0.2">
      <c r="A265">
        <v>2018</v>
      </c>
      <c r="B265" t="s">
        <v>271</v>
      </c>
      <c r="C265">
        <f>VLOOKUP(B265,Sheet5!$B$2:$C$2166,2,FALSE)</f>
        <v>210</v>
      </c>
      <c r="D265">
        <v>245</v>
      </c>
      <c r="E265">
        <v>95</v>
      </c>
      <c r="F265" t="s">
        <v>210</v>
      </c>
      <c r="G265">
        <v>0</v>
      </c>
      <c r="H265">
        <v>5.5012582105447274</v>
      </c>
      <c r="I265">
        <v>0</v>
      </c>
      <c r="J265">
        <v>0</v>
      </c>
      <c r="K265">
        <v>0</v>
      </c>
      <c r="L265">
        <v>-2</v>
      </c>
      <c r="M265" t="s">
        <v>119</v>
      </c>
      <c r="N265" t="s">
        <v>120</v>
      </c>
      <c r="O265">
        <v>0.61902087510885651</v>
      </c>
      <c r="P265">
        <v>0</v>
      </c>
      <c r="Q265" t="s">
        <v>273</v>
      </c>
      <c r="R265" t="str">
        <f>VLOOKUP(Q265,GDP!$A$2:$B$266,1,FALSE)</f>
        <v>MEX</v>
      </c>
      <c r="S265" t="str">
        <f>VLOOKUP(Q265,GDP!$A$2:$B$266,2,FALSE)</f>
        <v>Mexico</v>
      </c>
      <c r="T265">
        <f>VLOOKUP(Q265,GDP!$A$1:$L$266,5,FALSE)</f>
        <v>21997.773021949441</v>
      </c>
      <c r="U265" s="4">
        <v>21997.773021949401</v>
      </c>
      <c r="V265" s="5">
        <f>VLOOKUP(Q265,POP!$B$5:$M$269,5,FALSE)</f>
        <v>82352438</v>
      </c>
      <c r="W265" s="4">
        <v>82352438</v>
      </c>
      <c r="X265">
        <f>VLOOKUP(Q265,YU!$B$1:$M$266,5,FALSE)</f>
        <v>6.8150000000000004</v>
      </c>
      <c r="Y265" s="4">
        <v>6.8150000000000004</v>
      </c>
      <c r="Z265">
        <v>4.1394400596618697</v>
      </c>
      <c r="AA265">
        <f t="shared" si="24"/>
        <v>9.998696500941703</v>
      </c>
      <c r="AB265">
        <f t="shared" si="25"/>
        <v>-0.5257002011707268</v>
      </c>
      <c r="AC265" s="4">
        <v>-0.52570020117072325</v>
      </c>
      <c r="AD265">
        <v>2.3146335114515448</v>
      </c>
      <c r="AE265">
        <v>-8.5004059829059813</v>
      </c>
      <c r="AG265" s="12">
        <f t="shared" si="26"/>
        <v>4.0017766878008842E-11</v>
      </c>
      <c r="AH265" s="12">
        <f t="shared" si="27"/>
        <v>0</v>
      </c>
      <c r="AI265" s="13">
        <f t="shared" si="28"/>
        <v>0</v>
      </c>
      <c r="AJ265" s="14">
        <f t="shared" si="29"/>
        <v>-0.15415067982725894</v>
      </c>
    </row>
    <row r="266" spans="1:36" x14ac:dyDescent="0.2">
      <c r="A266">
        <v>2019</v>
      </c>
      <c r="B266" t="s">
        <v>271</v>
      </c>
      <c r="C266">
        <f>VLOOKUP(B266,Sheet5!$B$2:$C$2166,2,FALSE)</f>
        <v>210</v>
      </c>
      <c r="D266">
        <v>265</v>
      </c>
      <c r="E266">
        <v>110</v>
      </c>
      <c r="F266" t="s">
        <v>275</v>
      </c>
      <c r="G266">
        <v>0</v>
      </c>
      <c r="H266">
        <v>5.579729825986222</v>
      </c>
      <c r="I266">
        <v>0</v>
      </c>
      <c r="J266">
        <v>0</v>
      </c>
      <c r="K266">
        <v>0</v>
      </c>
      <c r="L266">
        <v>-1</v>
      </c>
      <c r="M266" t="s">
        <v>119</v>
      </c>
      <c r="N266" t="s">
        <v>120</v>
      </c>
      <c r="O266">
        <v>0.61902087510885651</v>
      </c>
      <c r="P266">
        <v>0</v>
      </c>
      <c r="Q266" t="s">
        <v>273</v>
      </c>
      <c r="R266" t="str">
        <f>VLOOKUP(Q266,GDP!$A$2:$B$266,1,FALSE)</f>
        <v>MEX</v>
      </c>
      <c r="S266" t="str">
        <f>VLOOKUP(Q266,GDP!$A$2:$B$266,2,FALSE)</f>
        <v>Mexico</v>
      </c>
      <c r="T266">
        <f>VLOOKUP(Q266,GDP!$A$1:$L$266,6,FALSE)</f>
        <v>21704.185952747954</v>
      </c>
      <c r="U266" s="4">
        <v>21704.185952748001</v>
      </c>
      <c r="V266" s="5">
        <f>VLOOKUP(Q266,POP!$B$5:$M$269,6,FALSE)</f>
        <v>83404230</v>
      </c>
      <c r="W266" s="4">
        <v>83404230</v>
      </c>
      <c r="X266">
        <f>VLOOKUP(Q266,YU!$B$1:$M$266,6,FALSE)</f>
        <v>7.16</v>
      </c>
      <c r="Y266" s="4">
        <v>7.16</v>
      </c>
      <c r="AA266">
        <f t="shared" si="24"/>
        <v>9.9852604219738286</v>
      </c>
      <c r="AB266">
        <f t="shared" si="25"/>
        <v>-0.53913628013860126</v>
      </c>
      <c r="AC266" s="4">
        <v>-0.53913628013859416</v>
      </c>
      <c r="AD266">
        <v>2.3273244774260551</v>
      </c>
      <c r="AE266">
        <v>-8.1554059829059824</v>
      </c>
      <c r="AG266" s="12">
        <f t="shared" si="26"/>
        <v>-4.7293724492192268E-11</v>
      </c>
      <c r="AH266" s="12">
        <f t="shared" si="27"/>
        <v>0</v>
      </c>
      <c r="AI266" s="13">
        <f t="shared" si="28"/>
        <v>0</v>
      </c>
      <c r="AJ266" s="14">
        <f t="shared" si="29"/>
        <v>-0.23262229526875355</v>
      </c>
    </row>
    <row r="267" spans="1:36" x14ac:dyDescent="0.2">
      <c r="A267">
        <v>2020</v>
      </c>
      <c r="B267" t="s">
        <v>271</v>
      </c>
      <c r="C267">
        <f>VLOOKUP(B267,Sheet5!$B$2:$C$2166,2,FALSE)</f>
        <v>210</v>
      </c>
      <c r="D267">
        <v>255</v>
      </c>
      <c r="E267">
        <v>90</v>
      </c>
      <c r="F267" t="s">
        <v>276</v>
      </c>
      <c r="G267">
        <v>0</v>
      </c>
      <c r="H267">
        <v>5.5412635451584258</v>
      </c>
      <c r="I267">
        <v>0</v>
      </c>
      <c r="J267">
        <v>0</v>
      </c>
      <c r="K267">
        <v>0</v>
      </c>
      <c r="L267">
        <v>0</v>
      </c>
      <c r="M267" t="s">
        <v>119</v>
      </c>
      <c r="N267" t="s">
        <v>120</v>
      </c>
      <c r="O267">
        <v>0.61902087510885651</v>
      </c>
      <c r="P267">
        <v>0</v>
      </c>
      <c r="Q267" t="s">
        <v>273</v>
      </c>
      <c r="R267" t="str">
        <f>VLOOKUP(Q267,GDP!$A$2:$B$266,1,FALSE)</f>
        <v>MEX</v>
      </c>
      <c r="S267" t="str">
        <f>VLOOKUP(Q267,GDP!$A$2:$B$266,2,FALSE)</f>
        <v>Mexico</v>
      </c>
      <c r="T267">
        <f>VLOOKUP(Q267,GDP!$A$1:$L$266,7,FALSE)</f>
        <v>19728.481782745519</v>
      </c>
      <c r="U267" s="4">
        <v>19728.481782745501</v>
      </c>
      <c r="V267" s="5">
        <f>VLOOKUP(Q267,POP!$B$5:$M$269,7,FALSE)</f>
        <v>84358936</v>
      </c>
      <c r="W267" s="4">
        <v>84358936</v>
      </c>
      <c r="X267">
        <f>VLOOKUP(Q267,YU!$B$1:$M$266,7,FALSE)</f>
        <v>8.0530000000000008</v>
      </c>
      <c r="Y267" s="4">
        <v>8.0530000000000008</v>
      </c>
      <c r="Z267">
        <v>4.4996600151062003</v>
      </c>
      <c r="AA267">
        <f t="shared" si="24"/>
        <v>9.8898186463724311</v>
      </c>
      <c r="AB267">
        <f t="shared" si="25"/>
        <v>-0.6345780557399987</v>
      </c>
      <c r="AC267" s="4">
        <v>-0.63457805573999337</v>
      </c>
      <c r="AD267">
        <v>2.3387061928415012</v>
      </c>
      <c r="AE267">
        <v>-7.2624059829059817</v>
      </c>
      <c r="AG267" s="12">
        <f t="shared" si="26"/>
        <v>0</v>
      </c>
      <c r="AH267" s="12">
        <f t="shared" si="27"/>
        <v>0</v>
      </c>
      <c r="AI267" s="13">
        <f t="shared" si="28"/>
        <v>0</v>
      </c>
      <c r="AJ267" s="14">
        <f t="shared" si="29"/>
        <v>-0.19415601444095731</v>
      </c>
    </row>
    <row r="268" spans="1:36" x14ac:dyDescent="0.2">
      <c r="A268">
        <v>2021</v>
      </c>
      <c r="B268" t="s">
        <v>271</v>
      </c>
      <c r="C268">
        <f>VLOOKUP(B268,Sheet5!$B$2:$C$2166,2,FALSE)</f>
        <v>210</v>
      </c>
      <c r="D268">
        <v>290</v>
      </c>
      <c r="E268">
        <v>110</v>
      </c>
      <c r="F268" t="s">
        <v>277</v>
      </c>
      <c r="G268">
        <v>0</v>
      </c>
      <c r="H268">
        <v>5.6698809229805196</v>
      </c>
      <c r="I268">
        <v>0</v>
      </c>
      <c r="J268">
        <v>0</v>
      </c>
      <c r="K268">
        <v>1</v>
      </c>
      <c r="L268">
        <v>1</v>
      </c>
      <c r="M268" t="s">
        <v>119</v>
      </c>
      <c r="N268" t="s">
        <v>120</v>
      </c>
      <c r="O268">
        <v>0.61902087510885651</v>
      </c>
      <c r="P268">
        <v>0</v>
      </c>
      <c r="Q268" t="s">
        <v>273</v>
      </c>
      <c r="R268" t="str">
        <f>VLOOKUP(Q268,GDP!$A$2:$B$266,1,FALSE)</f>
        <v>MEX</v>
      </c>
      <c r="S268" t="str">
        <f>VLOOKUP(Q268,GDP!$A$2:$B$266,2,FALSE)</f>
        <v>Mexico</v>
      </c>
      <c r="T268">
        <f>VLOOKUP(Q268,GDP!$A$1:$L$266,8,FALSE)</f>
        <v>20782.587744090539</v>
      </c>
      <c r="U268" s="4">
        <v>20782.587744090499</v>
      </c>
      <c r="V268" s="5">
        <f>VLOOKUP(Q268,POP!$B$5:$M$269,8,FALSE)</f>
        <v>85208948</v>
      </c>
      <c r="W268" s="4">
        <v>85208948</v>
      </c>
      <c r="X268">
        <f>VLOOKUP(Q268,YU!$B$1:$M$266,8,FALSE)</f>
        <v>7.6260000000000003</v>
      </c>
      <c r="Y268" s="4">
        <v>7.6260000000000003</v>
      </c>
      <c r="Z268">
        <v>4.2382397651672399</v>
      </c>
      <c r="AA268">
        <f t="shared" si="24"/>
        <v>9.9418707874144001</v>
      </c>
      <c r="AB268">
        <f t="shared" si="25"/>
        <v>-0.58252591469802972</v>
      </c>
      <c r="AC268" s="4">
        <v>-0.58252591469802617</v>
      </c>
      <c r="AD268">
        <v>2.3487319017179491</v>
      </c>
      <c r="AE268">
        <v>-7.6894059829059822</v>
      </c>
      <c r="AG268" s="12">
        <f t="shared" si="26"/>
        <v>4.0017766878008842E-11</v>
      </c>
      <c r="AH268" s="12">
        <f t="shared" si="27"/>
        <v>0</v>
      </c>
      <c r="AI268" s="13">
        <f t="shared" si="28"/>
        <v>0</v>
      </c>
      <c r="AJ268" s="14">
        <f t="shared" si="29"/>
        <v>-0.32277339226305113</v>
      </c>
    </row>
    <row r="269" spans="1:36" x14ac:dyDescent="0.2">
      <c r="A269">
        <v>2022</v>
      </c>
      <c r="B269" t="s">
        <v>271</v>
      </c>
      <c r="C269">
        <f>VLOOKUP(B269,Sheet5!$B$2:$C$2166,2,FALSE)</f>
        <v>210</v>
      </c>
      <c r="D269">
        <v>295</v>
      </c>
      <c r="E269">
        <v>115</v>
      </c>
      <c r="F269" t="s">
        <v>278</v>
      </c>
      <c r="G269">
        <v>0</v>
      </c>
      <c r="H269">
        <v>5.6869753563398202</v>
      </c>
      <c r="I269">
        <v>0</v>
      </c>
      <c r="J269">
        <v>0</v>
      </c>
      <c r="K269">
        <v>1</v>
      </c>
      <c r="L269">
        <v>2</v>
      </c>
      <c r="M269" t="s">
        <v>119</v>
      </c>
      <c r="N269" t="s">
        <v>120</v>
      </c>
      <c r="O269">
        <v>0.61902087510885651</v>
      </c>
      <c r="P269">
        <v>0</v>
      </c>
      <c r="Q269" t="s">
        <v>273</v>
      </c>
      <c r="R269" t="str">
        <f>VLOOKUP(Q269,GDP!$A$2:$B$266,1,FALSE)</f>
        <v>MEX</v>
      </c>
      <c r="S269" t="str">
        <f>VLOOKUP(Q269,GDP!$A$2:$B$266,2,FALSE)</f>
        <v>Mexico</v>
      </c>
      <c r="T269">
        <f>VLOOKUP(Q269,GDP!$A$1:$L$266,9,FALSE)</f>
        <v>21391.857369884536</v>
      </c>
      <c r="U269" s="4">
        <v>21391.857369884499</v>
      </c>
      <c r="V269" s="5">
        <f>VLOOKUP(Q269,POP!$B$5:$M$269,9,FALSE)</f>
        <v>86098005</v>
      </c>
      <c r="W269" s="4">
        <v>86098005</v>
      </c>
      <c r="X269">
        <f>VLOOKUP(Q269,YU!$B$1:$M$266,9,FALSE)</f>
        <v>6.4649999999999999</v>
      </c>
      <c r="Y269" s="4">
        <v>6.4649999999999999</v>
      </c>
      <c r="Z269">
        <v>4.0598797798156703</v>
      </c>
      <c r="AA269">
        <f t="shared" si="24"/>
        <v>9.9707656318683249</v>
      </c>
      <c r="AB269">
        <f t="shared" si="25"/>
        <v>-0.55363107024410496</v>
      </c>
      <c r="AC269" s="4">
        <v>-0.55363107024410141</v>
      </c>
      <c r="AD269">
        <v>2.3591116903566109</v>
      </c>
      <c r="AE269">
        <v>-8.8504059829059827</v>
      </c>
      <c r="AG269" s="12">
        <f t="shared" si="26"/>
        <v>3.637978807091713E-11</v>
      </c>
      <c r="AH269" s="12">
        <f t="shared" si="27"/>
        <v>0</v>
      </c>
      <c r="AI269" s="13">
        <f t="shared" si="28"/>
        <v>0</v>
      </c>
      <c r="AJ269" s="14">
        <f t="shared" si="29"/>
        <v>-0.33986782562235174</v>
      </c>
    </row>
    <row r="270" spans="1:36" x14ac:dyDescent="0.2">
      <c r="A270">
        <v>2023</v>
      </c>
      <c r="B270" t="s">
        <v>271</v>
      </c>
      <c r="C270">
        <f>VLOOKUP(B270,Sheet5!$B$2:$C$2166,2,FALSE)</f>
        <v>210</v>
      </c>
      <c r="D270">
        <v>390</v>
      </c>
      <c r="E270">
        <v>140</v>
      </c>
      <c r="F270" t="s">
        <v>279</v>
      </c>
      <c r="G270">
        <v>0</v>
      </c>
      <c r="H270">
        <v>5.9661467391236922</v>
      </c>
      <c r="I270">
        <v>0</v>
      </c>
      <c r="J270">
        <v>0</v>
      </c>
      <c r="K270">
        <v>1</v>
      </c>
      <c r="L270">
        <v>3</v>
      </c>
      <c r="M270" t="s">
        <v>119</v>
      </c>
      <c r="N270" t="s">
        <v>120</v>
      </c>
      <c r="O270">
        <v>0.61902087510885651</v>
      </c>
      <c r="P270">
        <v>0</v>
      </c>
      <c r="Q270" t="s">
        <v>273</v>
      </c>
      <c r="R270" t="str">
        <f>VLOOKUP(Q270,GDP!$A$2:$B$266,1,FALSE)</f>
        <v>MEX</v>
      </c>
      <c r="S270" t="str">
        <f>VLOOKUP(Q270,GDP!$A$2:$B$266,2,FALSE)</f>
        <v>Mexico</v>
      </c>
      <c r="T270">
        <f>VLOOKUP(Q270,GDP!$A$1:$L$266,10,FALSE)</f>
        <v>21864.923610414531</v>
      </c>
      <c r="U270" s="4">
        <v>21864.923610414498</v>
      </c>
      <c r="V270" s="5">
        <f>VLOOKUP(Q270,POP!$B$5:$M$269,10,FALSE)</f>
        <v>87049387</v>
      </c>
      <c r="W270" s="4">
        <v>87049387</v>
      </c>
      <c r="X270">
        <f>VLOOKUP(Q270,YU!$B$1:$M$266,10,FALSE)</f>
        <v>5.8440000000000003</v>
      </c>
      <c r="Y270" s="4">
        <v>5.8440000000000003</v>
      </c>
      <c r="AA270">
        <f t="shared" si="24"/>
        <v>9.9926389701484659</v>
      </c>
      <c r="AB270">
        <f t="shared" si="25"/>
        <v>-0.53175773196396392</v>
      </c>
      <c r="AC270" s="4">
        <v>-0.53175773196396037</v>
      </c>
      <c r="AD270">
        <v>2.3701010741825548</v>
      </c>
      <c r="AE270">
        <v>-9.4714059829059813</v>
      </c>
      <c r="AG270" s="12">
        <f t="shared" si="26"/>
        <v>3.2741809263825417E-11</v>
      </c>
      <c r="AH270" s="12">
        <f t="shared" si="27"/>
        <v>0</v>
      </c>
      <c r="AI270" s="13">
        <f t="shared" si="28"/>
        <v>0</v>
      </c>
      <c r="AJ270" s="14">
        <f t="shared" si="29"/>
        <v>-0.61903920840622373</v>
      </c>
    </row>
    <row r="271" spans="1:36" x14ac:dyDescent="0.2">
      <c r="A271">
        <v>2024</v>
      </c>
      <c r="B271" t="s">
        <v>271</v>
      </c>
      <c r="C271">
        <f>VLOOKUP(B271,Sheet5!$B$2:$C$2166,2,FALSE)</f>
        <v>210</v>
      </c>
      <c r="D271">
        <v>340</v>
      </c>
      <c r="E271">
        <v>110</v>
      </c>
      <c r="F271" t="s">
        <v>280</v>
      </c>
      <c r="G271">
        <v>0</v>
      </c>
      <c r="H271">
        <v>5.8289456176102066</v>
      </c>
      <c r="I271">
        <v>0</v>
      </c>
      <c r="J271">
        <v>0</v>
      </c>
      <c r="K271">
        <v>1</v>
      </c>
      <c r="L271">
        <v>4</v>
      </c>
      <c r="M271" t="s">
        <v>119</v>
      </c>
      <c r="N271" t="s">
        <v>120</v>
      </c>
      <c r="O271">
        <v>0.61902087510885651</v>
      </c>
      <c r="P271">
        <v>0</v>
      </c>
      <c r="Q271" t="s">
        <v>273</v>
      </c>
      <c r="R271" t="str">
        <f>VLOOKUP(Q271,GDP!$A$2:$B$266,1,FALSE)</f>
        <v>MEX</v>
      </c>
      <c r="S271" t="str">
        <f>VLOOKUP(Q271,GDP!$A$2:$B$266,2,FALSE)</f>
        <v>Mexico</v>
      </c>
      <c r="T271">
        <f>VLOOKUP(Q271,GDP!$A$1:$L$266,11,FALSE)</f>
        <v>21970.352041292626</v>
      </c>
      <c r="U271" s="4">
        <v>21970.352041292601</v>
      </c>
      <c r="V271" s="5">
        <f>VLOOKUP(Q271,POP!$B$5:$M$269,11,FALSE)</f>
        <v>87993476</v>
      </c>
      <c r="W271" s="4">
        <v>87993476</v>
      </c>
      <c r="X271">
        <f>VLOOKUP(Q271,YU!$B$1:$M$266,11,FALSE)</f>
        <v>5.76</v>
      </c>
      <c r="Y271" s="4">
        <v>5.76</v>
      </c>
      <c r="AA271">
        <f t="shared" si="24"/>
        <v>9.9974491889777521</v>
      </c>
      <c r="AB271">
        <f t="shared" si="25"/>
        <v>-0.52694751313467769</v>
      </c>
      <c r="AC271" s="4">
        <v>-0.52694751313467414</v>
      </c>
      <c r="AD271">
        <v>2.380888125289411</v>
      </c>
      <c r="AE271">
        <v>-9.5554059829059828</v>
      </c>
      <c r="AG271" s="12">
        <f t="shared" si="26"/>
        <v>0</v>
      </c>
      <c r="AH271" s="12">
        <f t="shared" si="27"/>
        <v>0</v>
      </c>
      <c r="AI271" s="13">
        <f t="shared" si="28"/>
        <v>0</v>
      </c>
      <c r="AJ271" s="14">
        <f t="shared" si="29"/>
        <v>-0.4818380868927381</v>
      </c>
    </row>
    <row r="272" spans="1:36" x14ac:dyDescent="0.2">
      <c r="A272">
        <v>2016</v>
      </c>
      <c r="B272" t="s">
        <v>281</v>
      </c>
      <c r="C272">
        <f>VLOOKUP(B272,Sheet5!$B$2:$C$2166,2,FALSE)</f>
        <v>205</v>
      </c>
      <c r="D272">
        <v>205</v>
      </c>
      <c r="E272">
        <v>60</v>
      </c>
      <c r="F272" t="s">
        <v>282</v>
      </c>
      <c r="G272">
        <v>0</v>
      </c>
      <c r="H272">
        <v>5.3230099791384076</v>
      </c>
      <c r="I272">
        <v>0</v>
      </c>
      <c r="J272">
        <v>0</v>
      </c>
      <c r="K272">
        <v>0</v>
      </c>
      <c r="L272">
        <v>-4</v>
      </c>
      <c r="M272" t="s">
        <v>119</v>
      </c>
      <c r="N272" t="s">
        <v>120</v>
      </c>
      <c r="O272">
        <v>1.1075375949854609</v>
      </c>
      <c r="P272">
        <v>0</v>
      </c>
      <c r="Q272" t="s">
        <v>283</v>
      </c>
      <c r="R272" t="str">
        <f>VLOOKUP(Q272,GDP!$A$2:$B$266,1,FALSE)</f>
        <v>NZL</v>
      </c>
      <c r="S272" t="str">
        <f>VLOOKUP(Q272,GDP!$A$2:$B$266,2,FALSE)</f>
        <v>New Zealand</v>
      </c>
      <c r="T272">
        <f>VLOOKUP(Q272,GDP!$A$1:$C$266,3,FALSE)</f>
        <v>45746.135981068983</v>
      </c>
      <c r="U272" s="4">
        <v>45746.135981068997</v>
      </c>
      <c r="V272" s="5">
        <f>VLOOKUP(Q272,POP!$B$5:$M$269,3,FALSE)</f>
        <v>3095119</v>
      </c>
      <c r="W272" s="4">
        <v>3095119</v>
      </c>
      <c r="X272">
        <f>VLOOKUP(Q272,YU!$B$1:$D$266,3,FALSE)</f>
        <v>13.474</v>
      </c>
      <c r="Y272" s="4">
        <v>13.474</v>
      </c>
      <c r="Z272">
        <v>5.4997200965881303</v>
      </c>
      <c r="AA272">
        <f t="shared" si="24"/>
        <v>10.730862607706582</v>
      </c>
      <c r="AB272">
        <f t="shared" si="25"/>
        <v>0.20646590559415223</v>
      </c>
      <c r="AC272" s="4">
        <v>0.20646590559415931</v>
      </c>
      <c r="AD272">
        <v>-0.9665481955680395</v>
      </c>
      <c r="AE272">
        <v>-1.8414059829059819</v>
      </c>
      <c r="AG272" s="12">
        <f t="shared" si="26"/>
        <v>0</v>
      </c>
      <c r="AH272" s="12">
        <f t="shared" si="27"/>
        <v>0</v>
      </c>
      <c r="AI272" s="13">
        <f t="shared" si="28"/>
        <v>0</v>
      </c>
      <c r="AJ272" s="14">
        <f t="shared" si="29"/>
        <v>0</v>
      </c>
    </row>
    <row r="273" spans="1:36" x14ac:dyDescent="0.2">
      <c r="A273">
        <v>2017</v>
      </c>
      <c r="B273" t="s">
        <v>281</v>
      </c>
      <c r="C273">
        <f>VLOOKUP(B273,Sheet5!$B$2:$C$2166,2,FALSE)</f>
        <v>205</v>
      </c>
      <c r="D273">
        <v>190</v>
      </c>
      <c r="E273">
        <v>60</v>
      </c>
      <c r="F273" t="s">
        <v>231</v>
      </c>
      <c r="G273">
        <v>0</v>
      </c>
      <c r="H273">
        <v>5.2470240721604862</v>
      </c>
      <c r="I273">
        <v>0</v>
      </c>
      <c r="J273">
        <v>0</v>
      </c>
      <c r="K273">
        <v>0</v>
      </c>
      <c r="L273">
        <v>-3</v>
      </c>
      <c r="M273" t="s">
        <v>119</v>
      </c>
      <c r="N273" t="s">
        <v>120</v>
      </c>
      <c r="O273">
        <v>1.1075375949854609</v>
      </c>
      <c r="P273">
        <v>0</v>
      </c>
      <c r="Q273" t="s">
        <v>283</v>
      </c>
      <c r="R273" t="str">
        <f>VLOOKUP(Q273,GDP!$A$2:$B$266,1,FALSE)</f>
        <v>NZL</v>
      </c>
      <c r="S273" t="str">
        <f>VLOOKUP(Q273,GDP!$A$2:$B$266,2,FALSE)</f>
        <v>New Zealand</v>
      </c>
      <c r="T273">
        <f>VLOOKUP(Q273,GDP!$A$1:$L$266,4,FALSE)</f>
        <v>46285.981098064221</v>
      </c>
      <c r="U273" s="4">
        <v>46285.9810980642</v>
      </c>
      <c r="V273" s="5">
        <f>VLOOKUP(Q273,POP!$B$5:$M$269,4,FALSE)</f>
        <v>3161480</v>
      </c>
      <c r="W273" s="4">
        <v>3161480</v>
      </c>
      <c r="X273">
        <f>VLOOKUP(Q273,YU!$B$1:$M$266,4,FALSE)</f>
        <v>12.968</v>
      </c>
      <c r="Y273" s="4">
        <v>12.968</v>
      </c>
      <c r="Z273">
        <v>5.27543020248413</v>
      </c>
      <c r="AA273">
        <f t="shared" si="24"/>
        <v>10.742594410166889</v>
      </c>
      <c r="AB273">
        <f t="shared" si="25"/>
        <v>0.21819770805445948</v>
      </c>
      <c r="AC273" s="4">
        <v>0.21819770805446481</v>
      </c>
      <c r="AD273">
        <v>-0.94533427769142442</v>
      </c>
      <c r="AE273">
        <v>-2.347405982905983</v>
      </c>
      <c r="AG273" s="12">
        <f t="shared" si="26"/>
        <v>0</v>
      </c>
      <c r="AH273" s="12">
        <f t="shared" si="27"/>
        <v>0</v>
      </c>
      <c r="AI273" s="13">
        <f t="shared" si="28"/>
        <v>0</v>
      </c>
      <c r="AJ273" s="14">
        <f t="shared" si="29"/>
        <v>7.5985906977922291E-2</v>
      </c>
    </row>
    <row r="274" spans="1:36" x14ac:dyDescent="0.2">
      <c r="A274">
        <v>2018</v>
      </c>
      <c r="B274" t="s">
        <v>281</v>
      </c>
      <c r="C274">
        <f>VLOOKUP(B274,Sheet5!$B$2:$C$2166,2,FALSE)</f>
        <v>205</v>
      </c>
      <c r="D274">
        <v>210</v>
      </c>
      <c r="E274">
        <v>75</v>
      </c>
      <c r="F274" t="s">
        <v>63</v>
      </c>
      <c r="G274">
        <v>0</v>
      </c>
      <c r="H274">
        <v>5.3471075307174676</v>
      </c>
      <c r="I274">
        <v>0</v>
      </c>
      <c r="J274">
        <v>0</v>
      </c>
      <c r="K274">
        <v>0</v>
      </c>
      <c r="L274">
        <v>-2</v>
      </c>
      <c r="M274" t="s">
        <v>119</v>
      </c>
      <c r="N274" t="s">
        <v>120</v>
      </c>
      <c r="O274">
        <v>1.1075375949854609</v>
      </c>
      <c r="P274">
        <v>0</v>
      </c>
      <c r="Q274" t="s">
        <v>283</v>
      </c>
      <c r="R274" t="str">
        <f>VLOOKUP(Q274,GDP!$A$2:$B$266,1,FALSE)</f>
        <v>NZL</v>
      </c>
      <c r="S274" t="str">
        <f>VLOOKUP(Q274,GDP!$A$2:$B$266,2,FALSE)</f>
        <v>New Zealand</v>
      </c>
      <c r="T274">
        <f>VLOOKUP(Q274,GDP!$A$1:$L$266,5,FALSE)</f>
        <v>46974.681840048186</v>
      </c>
      <c r="U274" s="4">
        <v>46974.681840048201</v>
      </c>
      <c r="V274" s="5">
        <f>VLOOKUP(Q274,POP!$B$5:$M$269,5,FALSE)</f>
        <v>3216227</v>
      </c>
      <c r="W274" s="4">
        <v>3216227</v>
      </c>
      <c r="X274">
        <f>VLOOKUP(Q274,YU!$B$1:$M$266,5,FALSE)</f>
        <v>11.83</v>
      </c>
      <c r="Y274" s="4">
        <v>11.83</v>
      </c>
      <c r="Z274">
        <v>5.1896800994873002</v>
      </c>
      <c r="AA274">
        <f t="shared" si="24"/>
        <v>10.757364051295413</v>
      </c>
      <c r="AB274">
        <f t="shared" si="25"/>
        <v>0.23296734918298334</v>
      </c>
      <c r="AC274" s="4">
        <v>0.2329673491829887</v>
      </c>
      <c r="AD274">
        <v>-0.92816561667406106</v>
      </c>
      <c r="AE274">
        <v>-3.485405982905982</v>
      </c>
      <c r="AG274" s="12">
        <f t="shared" si="26"/>
        <v>0</v>
      </c>
      <c r="AH274" s="12">
        <f t="shared" si="27"/>
        <v>0</v>
      </c>
      <c r="AI274" s="13">
        <f t="shared" si="28"/>
        <v>0</v>
      </c>
      <c r="AJ274" s="14">
        <f t="shared" si="29"/>
        <v>-2.4097551579059129E-2</v>
      </c>
    </row>
    <row r="275" spans="1:36" x14ac:dyDescent="0.2">
      <c r="A275">
        <v>2019</v>
      </c>
      <c r="B275" t="s">
        <v>281</v>
      </c>
      <c r="C275">
        <f>VLOOKUP(B275,Sheet5!$B$2:$C$2166,2,FALSE)</f>
        <v>205</v>
      </c>
      <c r="D275">
        <v>205</v>
      </c>
      <c r="E275">
        <v>85</v>
      </c>
      <c r="F275" t="s">
        <v>284</v>
      </c>
      <c r="G275">
        <v>0</v>
      </c>
      <c r="H275">
        <v>5.3230099791384076</v>
      </c>
      <c r="I275">
        <v>0</v>
      </c>
      <c r="J275">
        <v>0</v>
      </c>
      <c r="K275">
        <v>0</v>
      </c>
      <c r="L275">
        <v>-1</v>
      </c>
      <c r="M275" t="s">
        <v>119</v>
      </c>
      <c r="N275" t="s">
        <v>120</v>
      </c>
      <c r="O275">
        <v>1.1075375949854609</v>
      </c>
      <c r="P275">
        <v>0</v>
      </c>
      <c r="Q275" t="s">
        <v>283</v>
      </c>
      <c r="R275" t="str">
        <f>VLOOKUP(Q275,GDP!$A$2:$B$266,1,FALSE)</f>
        <v>NZL</v>
      </c>
      <c r="S275" t="str">
        <f>VLOOKUP(Q275,GDP!$A$2:$B$266,2,FALSE)</f>
        <v>New Zealand</v>
      </c>
      <c r="T275">
        <f>VLOOKUP(Q275,GDP!$A$1:$L$266,6,FALSE)</f>
        <v>47392.193313517208</v>
      </c>
      <c r="U275" s="4">
        <v>47392.1933135172</v>
      </c>
      <c r="V275" s="5">
        <f>VLOOKUP(Q275,POP!$B$5:$M$269,6,FALSE)</f>
        <v>3257150</v>
      </c>
      <c r="W275" s="4">
        <v>3257150</v>
      </c>
      <c r="X275">
        <f>VLOOKUP(Q275,YU!$B$1:$M$266,6,FALSE)</f>
        <v>11.294</v>
      </c>
      <c r="Y275" s="4">
        <v>11.294</v>
      </c>
      <c r="Z275">
        <v>5.1741099357604998</v>
      </c>
      <c r="AA275">
        <f t="shared" si="24"/>
        <v>10.766212796091896</v>
      </c>
      <c r="AB275">
        <f t="shared" si="25"/>
        <v>0.24181609397946602</v>
      </c>
      <c r="AC275" s="4">
        <v>0.24181609397947129</v>
      </c>
      <c r="AD275">
        <v>-0.91552197019178827</v>
      </c>
      <c r="AE275">
        <v>-4.0214059829059821</v>
      </c>
      <c r="AG275" s="12">
        <f t="shared" si="26"/>
        <v>0</v>
      </c>
      <c r="AH275" s="12">
        <f t="shared" si="27"/>
        <v>0</v>
      </c>
      <c r="AI275" s="13">
        <f t="shared" si="28"/>
        <v>0</v>
      </c>
      <c r="AJ275" s="14">
        <f t="shared" si="29"/>
        <v>0</v>
      </c>
    </row>
    <row r="276" spans="1:36" x14ac:dyDescent="0.2">
      <c r="A276">
        <v>2020</v>
      </c>
      <c r="B276" t="s">
        <v>281</v>
      </c>
      <c r="C276">
        <f>VLOOKUP(B276,Sheet5!$B$2:$C$2166,2,FALSE)</f>
        <v>205</v>
      </c>
      <c r="D276">
        <v>175</v>
      </c>
      <c r="E276">
        <v>65</v>
      </c>
      <c r="F276" t="s">
        <v>285</v>
      </c>
      <c r="G276">
        <v>0</v>
      </c>
      <c r="H276">
        <v>5.1647859739235136</v>
      </c>
      <c r="I276">
        <v>0</v>
      </c>
      <c r="J276">
        <v>0</v>
      </c>
      <c r="K276">
        <v>0</v>
      </c>
      <c r="L276">
        <v>0</v>
      </c>
      <c r="M276" t="s">
        <v>119</v>
      </c>
      <c r="N276" t="s">
        <v>120</v>
      </c>
      <c r="O276">
        <v>1.1075375949854609</v>
      </c>
      <c r="P276">
        <v>0</v>
      </c>
      <c r="Q276" t="s">
        <v>283</v>
      </c>
      <c r="R276" t="str">
        <f>VLOOKUP(Q276,GDP!$A$2:$B$266,1,FALSE)</f>
        <v>NZL</v>
      </c>
      <c r="S276" t="str">
        <f>VLOOKUP(Q276,GDP!$A$2:$B$266,2,FALSE)</f>
        <v>New Zealand</v>
      </c>
      <c r="T276">
        <f>VLOOKUP(Q276,GDP!$A$1:$L$266,7,FALSE)</f>
        <v>46326.380467297589</v>
      </c>
      <c r="U276" s="4">
        <v>46326.380467297597</v>
      </c>
      <c r="V276" s="5">
        <f>VLOOKUP(Q276,POP!$B$5:$M$269,7,FALSE)</f>
        <v>3315334</v>
      </c>
      <c r="W276" s="4">
        <v>3315334</v>
      </c>
      <c r="X276">
        <f>VLOOKUP(Q276,YU!$B$1:$M$266,7,FALSE)</f>
        <v>12.442</v>
      </c>
      <c r="Y276" s="4">
        <v>12.442</v>
      </c>
      <c r="Z276">
        <v>5.6426801681518501</v>
      </c>
      <c r="AA276">
        <f t="shared" si="24"/>
        <v>10.743466850327426</v>
      </c>
      <c r="AB276">
        <f t="shared" si="25"/>
        <v>0.21907014821499615</v>
      </c>
      <c r="AC276" s="4">
        <v>0.21907014821500151</v>
      </c>
      <c r="AD276">
        <v>-0.8978161773666411</v>
      </c>
      <c r="AE276">
        <v>-2.8734059829059819</v>
      </c>
      <c r="AG276" s="12">
        <f t="shared" si="26"/>
        <v>0</v>
      </c>
      <c r="AH276" s="12">
        <f t="shared" si="27"/>
        <v>0</v>
      </c>
      <c r="AI276" s="13">
        <f t="shared" si="28"/>
        <v>0</v>
      </c>
      <c r="AJ276" s="14">
        <f t="shared" si="29"/>
        <v>0.15822400521489488</v>
      </c>
    </row>
    <row r="277" spans="1:36" x14ac:dyDescent="0.2">
      <c r="A277">
        <v>2021</v>
      </c>
      <c r="B277" t="s">
        <v>281</v>
      </c>
      <c r="C277">
        <f>VLOOKUP(B277,Sheet5!$B$2:$C$2166,2,FALSE)</f>
        <v>205</v>
      </c>
      <c r="D277">
        <v>195</v>
      </c>
      <c r="E277">
        <v>55</v>
      </c>
      <c r="F277" t="s">
        <v>286</v>
      </c>
      <c r="G277">
        <v>0</v>
      </c>
      <c r="H277">
        <v>5.2729995585637468</v>
      </c>
      <c r="I277">
        <v>0</v>
      </c>
      <c r="J277">
        <v>0</v>
      </c>
      <c r="K277">
        <v>1</v>
      </c>
      <c r="L277">
        <v>1</v>
      </c>
      <c r="M277" t="s">
        <v>119</v>
      </c>
      <c r="N277" t="s">
        <v>120</v>
      </c>
      <c r="O277">
        <v>1.1075375949854609</v>
      </c>
      <c r="P277">
        <v>0</v>
      </c>
      <c r="Q277" t="s">
        <v>283</v>
      </c>
      <c r="R277" t="str">
        <f>VLOOKUP(Q277,GDP!$A$2:$B$266,1,FALSE)</f>
        <v>NZL</v>
      </c>
      <c r="S277" t="str">
        <f>VLOOKUP(Q277,GDP!$A$2:$B$266,2,FALSE)</f>
        <v>New Zealand</v>
      </c>
      <c r="T277">
        <f>VLOOKUP(Q277,GDP!$A$1:$L$266,8,FALSE)</f>
        <v>48202.091336823345</v>
      </c>
      <c r="U277" s="4">
        <v>48202.091336823301</v>
      </c>
      <c r="V277" s="5">
        <f>VLOOKUP(Q277,POP!$B$5:$M$269,8,FALSE)</f>
        <v>3309704</v>
      </c>
      <c r="W277" s="4">
        <v>3309704</v>
      </c>
      <c r="X277">
        <f>VLOOKUP(Q277,YU!$B$1:$M$266,8,FALSE)</f>
        <v>10.49</v>
      </c>
      <c r="Y277" s="4">
        <v>10.49</v>
      </c>
      <c r="Z277">
        <v>5.5409197807312003</v>
      </c>
      <c r="AA277">
        <f t="shared" si="24"/>
        <v>10.783157687828202</v>
      </c>
      <c r="AB277">
        <f t="shared" si="25"/>
        <v>0.25876098571577266</v>
      </c>
      <c r="AC277" s="4">
        <v>0.25876098571577799</v>
      </c>
      <c r="AD277">
        <v>-0.89951579066856446</v>
      </c>
      <c r="AE277">
        <v>-4.8254059829059823</v>
      </c>
      <c r="AG277" s="12">
        <f t="shared" si="26"/>
        <v>0</v>
      </c>
      <c r="AH277" s="12">
        <f t="shared" si="27"/>
        <v>0</v>
      </c>
      <c r="AI277" s="13">
        <f t="shared" si="28"/>
        <v>0</v>
      </c>
      <c r="AJ277" s="14">
        <f t="shared" si="29"/>
        <v>5.0010420574661651E-2</v>
      </c>
    </row>
    <row r="278" spans="1:36" x14ac:dyDescent="0.2">
      <c r="A278">
        <v>2022</v>
      </c>
      <c r="B278" t="s">
        <v>281</v>
      </c>
      <c r="C278">
        <f>VLOOKUP(B278,Sheet5!$B$2:$C$2166,2,FALSE)</f>
        <v>205</v>
      </c>
      <c r="D278">
        <v>260</v>
      </c>
      <c r="E278">
        <v>90</v>
      </c>
      <c r="F278" t="s">
        <v>287</v>
      </c>
      <c r="G278">
        <v>0</v>
      </c>
      <c r="H278">
        <v>5.5606816310155276</v>
      </c>
      <c r="I278">
        <v>0</v>
      </c>
      <c r="J278">
        <v>0</v>
      </c>
      <c r="K278">
        <v>1</v>
      </c>
      <c r="L278">
        <v>2</v>
      </c>
      <c r="M278" t="s">
        <v>119</v>
      </c>
      <c r="N278" t="s">
        <v>120</v>
      </c>
      <c r="O278">
        <v>1.1075375949854609</v>
      </c>
      <c r="P278">
        <v>0</v>
      </c>
      <c r="Q278" t="s">
        <v>283</v>
      </c>
      <c r="R278" t="str">
        <f>VLOOKUP(Q278,GDP!$A$2:$B$266,1,FALSE)</f>
        <v>NZL</v>
      </c>
      <c r="S278" t="str">
        <f>VLOOKUP(Q278,GDP!$A$2:$B$266,2,FALSE)</f>
        <v>New Zealand</v>
      </c>
      <c r="T278">
        <f>VLOOKUP(Q278,GDP!$A$1:$L$266,9,FALSE)</f>
        <v>49842.984533416151</v>
      </c>
      <c r="U278" s="4">
        <v>49842.984533416202</v>
      </c>
      <c r="V278" s="5">
        <f>VLOOKUP(Q278,POP!$B$5:$M$269,9,FALSE)</f>
        <v>3298702</v>
      </c>
      <c r="W278" s="4">
        <v>3298702</v>
      </c>
      <c r="X278">
        <f>VLOOKUP(Q278,YU!$B$1:$M$266,9,FALSE)</f>
        <v>9.3620000000000001</v>
      </c>
      <c r="Y278" s="4">
        <v>9.3620000000000001</v>
      </c>
      <c r="Z278">
        <v>5.16741991043091</v>
      </c>
      <c r="AA278">
        <f t="shared" si="24"/>
        <v>10.816633033960118</v>
      </c>
      <c r="AB278">
        <f t="shared" si="25"/>
        <v>0.29223633184768794</v>
      </c>
      <c r="AC278" s="4">
        <v>0.29223633184769499</v>
      </c>
      <c r="AD278">
        <v>-0.9028454923136664</v>
      </c>
      <c r="AE278">
        <v>-5.9534059829059824</v>
      </c>
      <c r="AG278" s="12">
        <f t="shared" si="26"/>
        <v>0</v>
      </c>
      <c r="AH278" s="12">
        <f t="shared" si="27"/>
        <v>0</v>
      </c>
      <c r="AI278" s="13">
        <f t="shared" si="28"/>
        <v>0</v>
      </c>
      <c r="AJ278" s="14">
        <f t="shared" si="29"/>
        <v>-0.23767165187711914</v>
      </c>
    </row>
    <row r="279" spans="1:36" x14ac:dyDescent="0.2">
      <c r="A279">
        <v>2023</v>
      </c>
      <c r="B279" t="s">
        <v>281</v>
      </c>
      <c r="C279">
        <f>VLOOKUP(B279,Sheet5!$B$2:$C$2166,2,FALSE)</f>
        <v>205</v>
      </c>
      <c r="D279">
        <v>310</v>
      </c>
      <c r="E279">
        <v>110</v>
      </c>
      <c r="F279" t="s">
        <v>288</v>
      </c>
      <c r="G279">
        <v>0</v>
      </c>
      <c r="H279">
        <v>5.7365722974791922</v>
      </c>
      <c r="I279">
        <v>0</v>
      </c>
      <c r="J279">
        <v>0</v>
      </c>
      <c r="K279">
        <v>1</v>
      </c>
      <c r="L279">
        <v>3</v>
      </c>
      <c r="M279" t="s">
        <v>119</v>
      </c>
      <c r="N279" t="s">
        <v>120</v>
      </c>
      <c r="O279">
        <v>1.1075375949854609</v>
      </c>
      <c r="P279">
        <v>0</v>
      </c>
      <c r="Q279" t="s">
        <v>283</v>
      </c>
      <c r="R279" t="str">
        <f>VLOOKUP(Q279,GDP!$A$2:$B$266,1,FALSE)</f>
        <v>NZL</v>
      </c>
      <c r="S279" t="str">
        <f>VLOOKUP(Q279,GDP!$A$2:$B$266,2,FALSE)</f>
        <v>New Zealand</v>
      </c>
      <c r="T279">
        <f>VLOOKUP(Q279,GDP!$A$1:$L$266,10,FALSE)</f>
        <v>49592.587551209806</v>
      </c>
      <c r="U279" s="4">
        <v>49592.587551209799</v>
      </c>
      <c r="V279" s="5">
        <f>VLOOKUP(Q279,POP!$B$5:$M$269,10,FALSE)</f>
        <v>3370988</v>
      </c>
      <c r="W279" s="4">
        <v>3370988</v>
      </c>
      <c r="X279">
        <f>VLOOKUP(Q279,YU!$B$1:$M$266,10,FALSE)</f>
        <v>10.714</v>
      </c>
      <c r="Y279" s="4">
        <v>10.714</v>
      </c>
      <c r="Z279">
        <v>5.2132601737976101</v>
      </c>
      <c r="AA279">
        <f t="shared" si="24"/>
        <v>10.811596657013011</v>
      </c>
      <c r="AB279">
        <f t="shared" si="25"/>
        <v>0.28719995490058103</v>
      </c>
      <c r="AC279" s="4">
        <v>0.28719995490058642</v>
      </c>
      <c r="AD279">
        <v>-0.88116867360588103</v>
      </c>
      <c r="AE279">
        <v>-4.6014059829059821</v>
      </c>
      <c r="AG279" s="12">
        <f t="shared" si="26"/>
        <v>0</v>
      </c>
      <c r="AH279" s="12">
        <f t="shared" si="27"/>
        <v>0</v>
      </c>
      <c r="AI279" s="13">
        <f t="shared" si="28"/>
        <v>0</v>
      </c>
      <c r="AJ279" s="14">
        <f t="shared" si="29"/>
        <v>-0.41356231834078372</v>
      </c>
    </row>
    <row r="280" spans="1:36" x14ac:dyDescent="0.2">
      <c r="A280">
        <v>2024</v>
      </c>
      <c r="B280" t="s">
        <v>281</v>
      </c>
      <c r="C280">
        <f>VLOOKUP(B280,Sheet5!$B$2:$C$2166,2,FALSE)</f>
        <v>205</v>
      </c>
      <c r="D280">
        <v>225</v>
      </c>
      <c r="E280">
        <v>85</v>
      </c>
      <c r="F280" t="s">
        <v>289</v>
      </c>
      <c r="G280">
        <v>0</v>
      </c>
      <c r="H280">
        <v>5.4161004022044201</v>
      </c>
      <c r="I280">
        <v>0</v>
      </c>
      <c r="J280">
        <v>0</v>
      </c>
      <c r="K280">
        <v>1</v>
      </c>
      <c r="L280">
        <v>4</v>
      </c>
      <c r="M280" t="s">
        <v>119</v>
      </c>
      <c r="N280" t="s">
        <v>120</v>
      </c>
      <c r="O280">
        <v>1.1075375949854609</v>
      </c>
      <c r="P280">
        <v>0</v>
      </c>
      <c r="Q280" t="s">
        <v>283</v>
      </c>
      <c r="R280" t="str">
        <f>VLOOKUP(Q280,GDP!$A$2:$B$266,1,FALSE)</f>
        <v>NZL</v>
      </c>
      <c r="S280" t="str">
        <f>VLOOKUP(Q280,GDP!$A$2:$B$266,2,FALSE)</f>
        <v>New Zealand</v>
      </c>
      <c r="T280">
        <f>VLOOKUP(Q280,GDP!$A$1:$L$266,11,FALSE)</f>
        <v>48325.365098568436</v>
      </c>
      <c r="U280" s="4">
        <v>48325.3650985684</v>
      </c>
      <c r="V280" s="5">
        <f>VLOOKUP(Q280,POP!$B$5:$M$269,11,FALSE)</f>
        <v>3421867</v>
      </c>
      <c r="W280" s="4">
        <v>3421867</v>
      </c>
      <c r="X280">
        <f>VLOOKUP(Q280,YU!$B$1:$M$266,11,FALSE)</f>
        <v>14.039</v>
      </c>
      <c r="Y280" s="4">
        <v>14.039</v>
      </c>
      <c r="AA280">
        <f t="shared" si="24"/>
        <v>10.785711859114075</v>
      </c>
      <c r="AB280">
        <f t="shared" si="25"/>
        <v>0.2613151570016452</v>
      </c>
      <c r="AC280" s="4">
        <v>0.26131515700164881</v>
      </c>
      <c r="AD280">
        <v>-0.8661882415223694</v>
      </c>
      <c r="AE280">
        <v>-1.2764059829059831</v>
      </c>
      <c r="AG280" s="12">
        <f t="shared" si="26"/>
        <v>0</v>
      </c>
      <c r="AH280" s="12">
        <f t="shared" si="27"/>
        <v>0</v>
      </c>
      <c r="AI280" s="13">
        <f t="shared" si="28"/>
        <v>0</v>
      </c>
      <c r="AJ280" s="14">
        <f t="shared" si="29"/>
        <v>-9.3090423066011674E-2</v>
      </c>
    </row>
    <row r="281" spans="1:36" x14ac:dyDescent="0.2">
      <c r="A281">
        <v>2016</v>
      </c>
      <c r="B281" t="s">
        <v>290</v>
      </c>
      <c r="C281">
        <f>VLOOKUP(B281,Sheet5!$B$2:$C$2166,2,FALSE)</f>
        <v>1555</v>
      </c>
      <c r="D281">
        <v>1555</v>
      </c>
      <c r="E281">
        <v>995</v>
      </c>
      <c r="F281" t="s">
        <v>242</v>
      </c>
      <c r="G281">
        <v>5</v>
      </c>
      <c r="H281">
        <v>7.3492308246133344</v>
      </c>
      <c r="I281">
        <v>0</v>
      </c>
      <c r="J281">
        <v>0</v>
      </c>
      <c r="K281">
        <v>0</v>
      </c>
      <c r="L281">
        <v>-4</v>
      </c>
      <c r="M281" t="s">
        <v>119</v>
      </c>
      <c r="N281" t="s">
        <v>120</v>
      </c>
      <c r="O281">
        <v>0.32551640522891673</v>
      </c>
      <c r="P281">
        <v>0</v>
      </c>
      <c r="Q281" t="s">
        <v>291</v>
      </c>
      <c r="R281" t="str">
        <f>VLOOKUP(Q281,GDP!$A$2:$B$266,1,FALSE)</f>
        <v>NOR</v>
      </c>
      <c r="S281" t="str">
        <f>VLOOKUP(Q281,GDP!$A$2:$B$266,2,FALSE)</f>
        <v>Norway</v>
      </c>
      <c r="T281">
        <f>VLOOKUP(Q281,GDP!$A$1:$C$266,3,FALSE)</f>
        <v>88041.641480895618</v>
      </c>
      <c r="U281" s="4">
        <v>88041.641480895603</v>
      </c>
      <c r="V281" s="5">
        <f>VLOOKUP(Q281,POP!$B$5:$M$269,3,FALSE)</f>
        <v>3434359</v>
      </c>
      <c r="W281" s="4">
        <v>3434359</v>
      </c>
      <c r="X281">
        <f>VLOOKUP(Q281,YU!$B$1:$D$266,3,FALSE)</f>
        <v>11.044</v>
      </c>
      <c r="Y281" s="4">
        <v>11.044</v>
      </c>
      <c r="Z281">
        <v>7.9844398498535201</v>
      </c>
      <c r="AA281">
        <f t="shared" si="24"/>
        <v>11.385565180183711</v>
      </c>
      <c r="AB281">
        <f t="shared" si="25"/>
        <v>0.86116847807128138</v>
      </c>
      <c r="AC281" s="4">
        <v>0.86116847807128671</v>
      </c>
      <c r="AD281">
        <v>-0.8625442502586349</v>
      </c>
      <c r="AE281">
        <v>-4.2714059829059821</v>
      </c>
      <c r="AG281" s="12">
        <f t="shared" si="26"/>
        <v>0</v>
      </c>
      <c r="AH281" s="12">
        <f t="shared" si="27"/>
        <v>0</v>
      </c>
      <c r="AI281" s="13">
        <f t="shared" si="28"/>
        <v>0</v>
      </c>
      <c r="AJ281" s="14">
        <f t="shared" si="29"/>
        <v>0</v>
      </c>
    </row>
    <row r="282" spans="1:36" x14ac:dyDescent="0.2">
      <c r="A282">
        <v>2017</v>
      </c>
      <c r="B282" t="s">
        <v>290</v>
      </c>
      <c r="C282">
        <f>VLOOKUP(B282,Sheet5!$B$2:$C$2166,2,FALSE)</f>
        <v>1555</v>
      </c>
      <c r="D282">
        <v>1610</v>
      </c>
      <c r="E282">
        <v>1055</v>
      </c>
      <c r="F282" t="s">
        <v>206</v>
      </c>
      <c r="G282">
        <v>10</v>
      </c>
      <c r="H282">
        <v>7.383989457978509</v>
      </c>
      <c r="I282">
        <v>0</v>
      </c>
      <c r="J282">
        <v>0</v>
      </c>
      <c r="K282">
        <v>0</v>
      </c>
      <c r="L282">
        <v>-3</v>
      </c>
      <c r="M282" t="s">
        <v>119</v>
      </c>
      <c r="N282" t="s">
        <v>120</v>
      </c>
      <c r="O282">
        <v>0.32551640522891673</v>
      </c>
      <c r="P282">
        <v>0</v>
      </c>
      <c r="Q282" t="s">
        <v>291</v>
      </c>
      <c r="R282" t="str">
        <f>VLOOKUP(Q282,GDP!$A$2:$B$266,1,FALSE)</f>
        <v>NOR</v>
      </c>
      <c r="S282" t="str">
        <f>VLOOKUP(Q282,GDP!$A$2:$B$266,2,FALSE)</f>
        <v>Norway</v>
      </c>
      <c r="T282">
        <f>VLOOKUP(Q282,GDP!$A$1:$L$266,4,FALSE)</f>
        <v>89664.908641582937</v>
      </c>
      <c r="U282" s="4">
        <v>89664.908641582893</v>
      </c>
      <c r="V282" s="5">
        <f>VLOOKUP(Q282,POP!$B$5:$M$269,4,FALSE)</f>
        <v>3453090</v>
      </c>
      <c r="W282" s="4">
        <v>3453090</v>
      </c>
      <c r="X282">
        <f>VLOOKUP(Q282,YU!$B$1:$M$266,4,FALSE)</f>
        <v>10.275</v>
      </c>
      <c r="Y282" s="4">
        <v>10.275</v>
      </c>
      <c r="Z282">
        <v>7.8459901809692401</v>
      </c>
      <c r="AA282">
        <f t="shared" si="24"/>
        <v>11.403834763495963</v>
      </c>
      <c r="AB282">
        <f t="shared" si="25"/>
        <v>0.87943806138353331</v>
      </c>
      <c r="AC282" s="4">
        <v>0.87943806138353686</v>
      </c>
      <c r="AD282">
        <v>-0.85710506771681416</v>
      </c>
      <c r="AE282">
        <v>-5.0404059829059822</v>
      </c>
      <c r="AG282" s="12">
        <f t="shared" si="26"/>
        <v>0</v>
      </c>
      <c r="AH282" s="12">
        <f t="shared" si="27"/>
        <v>0</v>
      </c>
      <c r="AI282" s="13">
        <f t="shared" si="28"/>
        <v>0</v>
      </c>
      <c r="AJ282" s="14">
        <f t="shared" si="29"/>
        <v>-3.4758633365174596E-2</v>
      </c>
    </row>
    <row r="283" spans="1:36" x14ac:dyDescent="0.2">
      <c r="A283">
        <v>2018</v>
      </c>
      <c r="B283" t="s">
        <v>290</v>
      </c>
      <c r="C283">
        <f>VLOOKUP(B283,Sheet5!$B$2:$C$2166,2,FALSE)</f>
        <v>1555</v>
      </c>
      <c r="D283">
        <v>1615</v>
      </c>
      <c r="E283">
        <v>975</v>
      </c>
      <c r="F283" t="s">
        <v>292</v>
      </c>
      <c r="G283">
        <v>10</v>
      </c>
      <c r="H283">
        <v>7.3870902356567569</v>
      </c>
      <c r="I283">
        <v>0</v>
      </c>
      <c r="J283">
        <v>0</v>
      </c>
      <c r="K283">
        <v>0</v>
      </c>
      <c r="L283">
        <v>-2</v>
      </c>
      <c r="M283" t="s">
        <v>119</v>
      </c>
      <c r="N283" t="s">
        <v>120</v>
      </c>
      <c r="O283">
        <v>0.32551640522891673</v>
      </c>
      <c r="P283">
        <v>0</v>
      </c>
      <c r="Q283" t="s">
        <v>291</v>
      </c>
      <c r="R283" t="str">
        <f>VLOOKUP(Q283,GDP!$A$2:$B$266,1,FALSE)</f>
        <v>NOR</v>
      </c>
      <c r="S283" t="str">
        <f>VLOOKUP(Q283,GDP!$A$2:$B$266,2,FALSE)</f>
        <v>Norway</v>
      </c>
      <c r="T283">
        <f>VLOOKUP(Q283,GDP!$A$1:$L$266,5,FALSE)</f>
        <v>90064.06879743583</v>
      </c>
      <c r="U283" s="4">
        <v>90064.068797435801</v>
      </c>
      <c r="V283" s="5">
        <f>VLOOKUP(Q283,POP!$B$5:$M$269,5,FALSE)</f>
        <v>3467398</v>
      </c>
      <c r="W283" s="4">
        <v>3467398</v>
      </c>
      <c r="X283">
        <f>VLOOKUP(Q283,YU!$B$1:$M$266,5,FALSE)</f>
        <v>9.5990000000000002</v>
      </c>
      <c r="Y283" s="4">
        <v>9.5990000000000002</v>
      </c>
      <c r="Z283">
        <v>7.5956401824951199</v>
      </c>
      <c r="AA283">
        <f t="shared" si="24"/>
        <v>11.408276571576272</v>
      </c>
      <c r="AB283">
        <f t="shared" si="25"/>
        <v>0.88387986946384167</v>
      </c>
      <c r="AC283" s="4">
        <v>0.883879869463847</v>
      </c>
      <c r="AD283">
        <v>-0.85297009330849782</v>
      </c>
      <c r="AE283">
        <v>-5.7164059829059823</v>
      </c>
      <c r="AG283" s="12">
        <f t="shared" si="26"/>
        <v>0</v>
      </c>
      <c r="AH283" s="12">
        <f t="shared" si="27"/>
        <v>0</v>
      </c>
      <c r="AI283" s="13">
        <f t="shared" si="28"/>
        <v>0</v>
      </c>
      <c r="AJ283" s="14">
        <f t="shared" si="29"/>
        <v>-3.7859411043422497E-2</v>
      </c>
    </row>
    <row r="284" spans="1:36" x14ac:dyDescent="0.2">
      <c r="A284">
        <v>2019</v>
      </c>
      <c r="B284" t="s">
        <v>290</v>
      </c>
      <c r="C284">
        <f>VLOOKUP(B284,Sheet5!$B$2:$C$2166,2,FALSE)</f>
        <v>1555</v>
      </c>
      <c r="D284">
        <v>1545</v>
      </c>
      <c r="E284">
        <v>930</v>
      </c>
      <c r="F284" t="s">
        <v>140</v>
      </c>
      <c r="G284">
        <v>10</v>
      </c>
      <c r="H284">
        <v>7.3427791893318446</v>
      </c>
      <c r="I284">
        <v>0</v>
      </c>
      <c r="J284">
        <v>0</v>
      </c>
      <c r="K284">
        <v>0</v>
      </c>
      <c r="L284">
        <v>-1</v>
      </c>
      <c r="M284" t="s">
        <v>119</v>
      </c>
      <c r="N284" t="s">
        <v>120</v>
      </c>
      <c r="O284">
        <v>0.32551640522891673</v>
      </c>
      <c r="P284">
        <v>0</v>
      </c>
      <c r="Q284" t="s">
        <v>291</v>
      </c>
      <c r="R284" t="str">
        <f>VLOOKUP(Q284,GDP!$A$2:$B$266,1,FALSE)</f>
        <v>NOR</v>
      </c>
      <c r="S284" t="str">
        <f>VLOOKUP(Q284,GDP!$A$2:$B$266,2,FALSE)</f>
        <v>Norway</v>
      </c>
      <c r="T284">
        <f>VLOOKUP(Q284,GDP!$A$1:$L$266,6,FALSE)</f>
        <v>90772.901704186545</v>
      </c>
      <c r="U284" s="4">
        <v>90772.901704186501</v>
      </c>
      <c r="V284" s="5">
        <f>VLOOKUP(Q284,POP!$B$5:$M$269,6,FALSE)</f>
        <v>3485091</v>
      </c>
      <c r="W284" s="4">
        <v>3485091</v>
      </c>
      <c r="X284">
        <f>VLOOKUP(Q284,YU!$B$1:$M$266,6,FALSE)</f>
        <v>9.8130000000000006</v>
      </c>
      <c r="Y284" s="4">
        <v>9.8130000000000006</v>
      </c>
      <c r="Z284">
        <v>7.8645501136779803</v>
      </c>
      <c r="AA284">
        <f t="shared" si="24"/>
        <v>11.416116080666285</v>
      </c>
      <c r="AB284">
        <f t="shared" si="25"/>
        <v>0.89171937855385508</v>
      </c>
      <c r="AC284" s="4">
        <v>0.89171937855386041</v>
      </c>
      <c r="AD284">
        <v>-0.84788039429716555</v>
      </c>
      <c r="AE284">
        <v>-5.5024059829059819</v>
      </c>
      <c r="AG284" s="12">
        <f t="shared" si="26"/>
        <v>0</v>
      </c>
      <c r="AH284" s="12">
        <f t="shared" si="27"/>
        <v>0</v>
      </c>
      <c r="AI284" s="13">
        <f t="shared" si="28"/>
        <v>0</v>
      </c>
      <c r="AJ284" s="14">
        <f t="shared" si="29"/>
        <v>6.4516352814898426E-3</v>
      </c>
    </row>
    <row r="285" spans="1:36" x14ac:dyDescent="0.2">
      <c r="A285">
        <v>2020</v>
      </c>
      <c r="B285" t="s">
        <v>290</v>
      </c>
      <c r="C285">
        <f>VLOOKUP(B285,Sheet5!$B$2:$C$2166,2,FALSE)</f>
        <v>1555</v>
      </c>
      <c r="D285">
        <v>1425</v>
      </c>
      <c r="E285">
        <v>860</v>
      </c>
      <c r="F285" t="s">
        <v>293</v>
      </c>
      <c r="G285">
        <v>5</v>
      </c>
      <c r="H285">
        <v>7.2619270927027513</v>
      </c>
      <c r="I285">
        <v>0</v>
      </c>
      <c r="J285">
        <v>0</v>
      </c>
      <c r="K285">
        <v>0</v>
      </c>
      <c r="L285">
        <v>0</v>
      </c>
      <c r="M285" t="s">
        <v>119</v>
      </c>
      <c r="N285" t="s">
        <v>120</v>
      </c>
      <c r="O285">
        <v>0.32551640522891673</v>
      </c>
      <c r="P285">
        <v>0</v>
      </c>
      <c r="Q285" t="s">
        <v>291</v>
      </c>
      <c r="R285" t="str">
        <f>VLOOKUP(Q285,GDP!$A$2:$B$266,1,FALSE)</f>
        <v>NOR</v>
      </c>
      <c r="S285" t="str">
        <f>VLOOKUP(Q285,GDP!$A$2:$B$266,2,FALSE)</f>
        <v>Norway</v>
      </c>
      <c r="T285">
        <f>VLOOKUP(Q285,GDP!$A$1:$L$266,7,FALSE)</f>
        <v>89012.272380450362</v>
      </c>
      <c r="U285" s="4">
        <v>89012.272380450406</v>
      </c>
      <c r="V285" s="5">
        <f>VLOOKUP(Q285,POP!$B$5:$M$269,7,FALSE)</f>
        <v>3499929</v>
      </c>
      <c r="W285" s="4">
        <v>3499929</v>
      </c>
      <c r="X285">
        <f>VLOOKUP(Q285,YU!$B$1:$M$266,7,FALSE)</f>
        <v>11.215</v>
      </c>
      <c r="Y285" s="4">
        <v>11.215</v>
      </c>
      <c r="Z285">
        <v>8.3728103637695295</v>
      </c>
      <c r="AA285">
        <f t="shared" si="24"/>
        <v>11.396529531123234</v>
      </c>
      <c r="AB285">
        <f t="shared" si="25"/>
        <v>0.87213282901080369</v>
      </c>
      <c r="AC285" s="4">
        <v>0.87213282901080902</v>
      </c>
      <c r="AD285">
        <v>-0.84363186750159613</v>
      </c>
      <c r="AE285">
        <v>-4.1004059829059827</v>
      </c>
      <c r="AG285" s="12">
        <f t="shared" si="26"/>
        <v>0</v>
      </c>
      <c r="AH285" s="12">
        <f t="shared" si="27"/>
        <v>0</v>
      </c>
      <c r="AI285" s="13">
        <f t="shared" si="28"/>
        <v>0</v>
      </c>
      <c r="AJ285" s="14">
        <f t="shared" si="29"/>
        <v>8.730373191058316E-2</v>
      </c>
    </row>
    <row r="286" spans="1:36" x14ac:dyDescent="0.2">
      <c r="A286">
        <v>2021</v>
      </c>
      <c r="B286" t="s">
        <v>290</v>
      </c>
      <c r="C286">
        <f>VLOOKUP(B286,Sheet5!$B$2:$C$2166,2,FALSE)</f>
        <v>1555</v>
      </c>
      <c r="D286">
        <v>1295</v>
      </c>
      <c r="E286">
        <v>705</v>
      </c>
      <c r="F286" t="s">
        <v>294</v>
      </c>
      <c r="G286">
        <v>5</v>
      </c>
      <c r="H286">
        <v>7.1662659741336379</v>
      </c>
      <c r="I286">
        <v>0</v>
      </c>
      <c r="J286">
        <v>0</v>
      </c>
      <c r="K286">
        <v>1</v>
      </c>
      <c r="L286">
        <v>1</v>
      </c>
      <c r="M286" t="s">
        <v>119</v>
      </c>
      <c r="N286" t="s">
        <v>120</v>
      </c>
      <c r="O286">
        <v>0.32551640522891673</v>
      </c>
      <c r="P286">
        <v>0</v>
      </c>
      <c r="Q286" t="s">
        <v>291</v>
      </c>
      <c r="R286" t="str">
        <f>VLOOKUP(Q286,GDP!$A$2:$B$266,1,FALSE)</f>
        <v>NOR</v>
      </c>
      <c r="S286" t="str">
        <f>VLOOKUP(Q286,GDP!$A$2:$B$266,2,FALSE)</f>
        <v>Norway</v>
      </c>
      <c r="T286">
        <f>VLOOKUP(Q286,GDP!$A$1:$L$266,8,FALSE)</f>
        <v>92205.769863604888</v>
      </c>
      <c r="U286" s="4">
        <v>92205.769863604903</v>
      </c>
      <c r="V286" s="5">
        <f>VLOOKUP(Q286,POP!$B$5:$M$269,8,FALSE)</f>
        <v>3512027</v>
      </c>
      <c r="W286" s="4">
        <v>3512027</v>
      </c>
      <c r="X286">
        <f>VLOOKUP(Q286,YU!$B$1:$M$266,8,FALSE)</f>
        <v>12.848000000000001</v>
      </c>
      <c r="Y286" s="4">
        <v>12.848000000000001</v>
      </c>
      <c r="Z286">
        <v>6.9602198600768999</v>
      </c>
      <c r="AA286">
        <f t="shared" si="24"/>
        <v>11.431777987452209</v>
      </c>
      <c r="AB286">
        <f t="shared" si="25"/>
        <v>0.90738128533977935</v>
      </c>
      <c r="AC286" s="4">
        <v>0.90738128533978468</v>
      </c>
      <c r="AD286">
        <v>-0.84018118640649675</v>
      </c>
      <c r="AE286">
        <v>-2.4674059829059818</v>
      </c>
      <c r="AG286" s="12">
        <f t="shared" si="26"/>
        <v>0</v>
      </c>
      <c r="AH286" s="12">
        <f t="shared" si="27"/>
        <v>0</v>
      </c>
      <c r="AI286" s="13">
        <f t="shared" si="28"/>
        <v>0</v>
      </c>
      <c r="AJ286" s="14">
        <f t="shared" si="29"/>
        <v>0.18296485047969657</v>
      </c>
    </row>
    <row r="287" spans="1:36" x14ac:dyDescent="0.2">
      <c r="A287">
        <v>2022</v>
      </c>
      <c r="B287" t="s">
        <v>290</v>
      </c>
      <c r="C287">
        <f>VLOOKUP(B287,Sheet5!$B$2:$C$2166,2,FALSE)</f>
        <v>1555</v>
      </c>
      <c r="D287">
        <v>1120</v>
      </c>
      <c r="E287">
        <v>595</v>
      </c>
      <c r="F287" t="s">
        <v>295</v>
      </c>
      <c r="G287">
        <v>5</v>
      </c>
      <c r="H287">
        <v>7.0210839642891401</v>
      </c>
      <c r="I287">
        <v>0</v>
      </c>
      <c r="J287">
        <v>0</v>
      </c>
      <c r="K287">
        <v>1</v>
      </c>
      <c r="L287">
        <v>2</v>
      </c>
      <c r="M287" t="s">
        <v>119</v>
      </c>
      <c r="N287" t="s">
        <v>120</v>
      </c>
      <c r="O287">
        <v>0.32551640522891673</v>
      </c>
      <c r="P287">
        <v>0</v>
      </c>
      <c r="Q287" t="s">
        <v>291</v>
      </c>
      <c r="R287" t="str">
        <f>VLOOKUP(Q287,GDP!$A$2:$B$266,1,FALSE)</f>
        <v>NOR</v>
      </c>
      <c r="S287" t="str">
        <f>VLOOKUP(Q287,GDP!$A$2:$B$266,2,FALSE)</f>
        <v>Norway</v>
      </c>
      <c r="T287">
        <f>VLOOKUP(Q287,GDP!$A$1:$L$266,9,FALSE)</f>
        <v>95109.820160572897</v>
      </c>
      <c r="U287" s="4">
        <v>95109.820160572897</v>
      </c>
      <c r="V287" s="5">
        <f>VLOOKUP(Q287,POP!$B$5:$M$269,9,FALSE)</f>
        <v>3540787</v>
      </c>
      <c r="W287" s="4">
        <v>3540787</v>
      </c>
      <c r="X287">
        <f>VLOOKUP(Q287,YU!$B$1:$M$266,9,FALSE)</f>
        <v>9.9079999999999995</v>
      </c>
      <c r="Y287" s="4">
        <v>9.9079999999999995</v>
      </c>
      <c r="Z287">
        <v>5.4323401451110804</v>
      </c>
      <c r="AA287">
        <f t="shared" si="24"/>
        <v>11.462787504617456</v>
      </c>
      <c r="AB287">
        <f t="shared" si="25"/>
        <v>0.93839080250502604</v>
      </c>
      <c r="AC287" s="4">
        <v>0.93839080250503137</v>
      </c>
      <c r="AD287">
        <v>-0.83202553125568279</v>
      </c>
      <c r="AE287">
        <v>-5.4074059829059831</v>
      </c>
      <c r="AG287" s="12">
        <f t="shared" si="26"/>
        <v>0</v>
      </c>
      <c r="AH287" s="12">
        <f t="shared" si="27"/>
        <v>0</v>
      </c>
      <c r="AI287" s="13">
        <f t="shared" si="28"/>
        <v>0</v>
      </c>
      <c r="AJ287" s="14">
        <f t="shared" si="29"/>
        <v>0.32814686032419438</v>
      </c>
    </row>
    <row r="288" spans="1:36" x14ac:dyDescent="0.2">
      <c r="A288">
        <v>2023</v>
      </c>
      <c r="B288" t="s">
        <v>290</v>
      </c>
      <c r="C288">
        <f>VLOOKUP(B288,Sheet5!$B$2:$C$2166,2,FALSE)</f>
        <v>1555</v>
      </c>
      <c r="D288">
        <v>965</v>
      </c>
      <c r="E288">
        <v>530</v>
      </c>
      <c r="F288" t="s">
        <v>29</v>
      </c>
      <c r="G288">
        <v>10</v>
      </c>
      <c r="H288">
        <v>6.8721281013389861</v>
      </c>
      <c r="I288">
        <v>0</v>
      </c>
      <c r="J288">
        <v>0</v>
      </c>
      <c r="K288">
        <v>1</v>
      </c>
      <c r="L288">
        <v>3</v>
      </c>
      <c r="M288" t="s">
        <v>119</v>
      </c>
      <c r="N288" t="s">
        <v>120</v>
      </c>
      <c r="O288">
        <v>0.32551640522891673</v>
      </c>
      <c r="P288">
        <v>0</v>
      </c>
      <c r="Q288" t="s">
        <v>291</v>
      </c>
      <c r="R288" t="str">
        <f>VLOOKUP(Q288,GDP!$A$2:$B$266,1,FALSE)</f>
        <v>NOR</v>
      </c>
      <c r="S288" t="str">
        <f>VLOOKUP(Q288,GDP!$A$2:$B$266,2,FALSE)</f>
        <v>Norway</v>
      </c>
      <c r="T288">
        <f>VLOOKUP(Q288,GDP!$A$1:$L$266,10,FALSE)</f>
        <v>94364.964175433561</v>
      </c>
      <c r="U288" s="4">
        <v>94364.964175433604</v>
      </c>
      <c r="V288" s="5">
        <f>VLOOKUP(Q288,POP!$B$5:$M$269,10,FALSE)</f>
        <v>3585499</v>
      </c>
      <c r="W288" s="4">
        <v>3585499</v>
      </c>
      <c r="X288">
        <f>VLOOKUP(Q288,YU!$B$1:$M$266,10,FALSE)</f>
        <v>10.975</v>
      </c>
      <c r="Y288" s="4">
        <v>10.975</v>
      </c>
      <c r="AA288">
        <f t="shared" si="24"/>
        <v>11.454925141033886</v>
      </c>
      <c r="AB288">
        <f t="shared" si="25"/>
        <v>0.93052843892145631</v>
      </c>
      <c r="AC288" s="4">
        <v>0.93052843892146164</v>
      </c>
      <c r="AD288">
        <v>-0.81947689463759765</v>
      </c>
      <c r="AE288">
        <v>-4.3404059829059829</v>
      </c>
      <c r="AG288" s="12">
        <f t="shared" si="26"/>
        <v>0</v>
      </c>
      <c r="AH288" s="12">
        <f t="shared" si="27"/>
        <v>0</v>
      </c>
      <c r="AI288" s="13">
        <f t="shared" si="28"/>
        <v>0</v>
      </c>
      <c r="AJ288" s="14">
        <f t="shared" si="29"/>
        <v>0.47710272327434833</v>
      </c>
    </row>
    <row r="289" spans="1:36" x14ac:dyDescent="0.2">
      <c r="A289">
        <v>2024</v>
      </c>
      <c r="B289" t="s">
        <v>290</v>
      </c>
      <c r="C289">
        <f>VLOOKUP(B289,Sheet5!$B$2:$C$2166,2,FALSE)</f>
        <v>1555</v>
      </c>
      <c r="D289">
        <v>790</v>
      </c>
      <c r="E289">
        <v>390</v>
      </c>
      <c r="F289" t="s">
        <v>296</v>
      </c>
      <c r="G289">
        <v>5</v>
      </c>
      <c r="H289">
        <v>6.6720329454610674</v>
      </c>
      <c r="I289">
        <v>0</v>
      </c>
      <c r="J289">
        <v>0</v>
      </c>
      <c r="K289">
        <v>1</v>
      </c>
      <c r="L289">
        <v>4</v>
      </c>
      <c r="M289" t="s">
        <v>119</v>
      </c>
      <c r="N289" t="s">
        <v>120</v>
      </c>
      <c r="O289">
        <v>0.32551640522891673</v>
      </c>
      <c r="P289">
        <v>0</v>
      </c>
      <c r="Q289" t="s">
        <v>291</v>
      </c>
      <c r="R289" t="str">
        <f>VLOOKUP(Q289,GDP!$A$2:$B$266,1,FALSE)</f>
        <v>NOR</v>
      </c>
      <c r="S289" t="str">
        <f>VLOOKUP(Q289,GDP!$A$2:$B$266,2,FALSE)</f>
        <v>Norway</v>
      </c>
      <c r="T289">
        <f>VLOOKUP(Q289,GDP!$A$1:$L$266,11,FALSE)</f>
        <v>94803.670493164129</v>
      </c>
      <c r="U289" s="4">
        <v>94803.6704931641</v>
      </c>
      <c r="V289" s="5">
        <f>VLOOKUP(Q289,POP!$B$5:$M$269,11,FALSE)</f>
        <v>3623431</v>
      </c>
      <c r="W289" s="4">
        <v>3623431</v>
      </c>
      <c r="X289">
        <f>VLOOKUP(Q289,YU!$B$1:$M$266,11,FALSE)</f>
        <v>12.131</v>
      </c>
      <c r="Y289" s="4">
        <v>12.131</v>
      </c>
      <c r="AA289">
        <f t="shared" si="24"/>
        <v>11.459563405775901</v>
      </c>
      <c r="AB289">
        <f t="shared" si="25"/>
        <v>0.93516670366347121</v>
      </c>
      <c r="AC289" s="4">
        <v>0.93516670366347654</v>
      </c>
      <c r="AD289">
        <v>-0.80895318305338648</v>
      </c>
      <c r="AE289">
        <v>-3.1844059829059819</v>
      </c>
      <c r="AG289" s="12">
        <f t="shared" si="26"/>
        <v>0</v>
      </c>
      <c r="AH289" s="12">
        <f t="shared" si="27"/>
        <v>0</v>
      </c>
      <c r="AI289" s="13">
        <f t="shared" si="28"/>
        <v>0</v>
      </c>
      <c r="AJ289" s="14">
        <f t="shared" si="29"/>
        <v>0.67719787915226703</v>
      </c>
    </row>
    <row r="290" spans="1:36" x14ac:dyDescent="0.2">
      <c r="A290">
        <v>2016</v>
      </c>
      <c r="B290" t="s">
        <v>297</v>
      </c>
      <c r="C290">
        <f>VLOOKUP(B290,Sheet5!$B$2:$C$2166,2,FALSE)</f>
        <v>610</v>
      </c>
      <c r="D290">
        <v>610</v>
      </c>
      <c r="E290">
        <v>225</v>
      </c>
      <c r="F290" t="s">
        <v>298</v>
      </c>
      <c r="G290">
        <v>15</v>
      </c>
      <c r="H290">
        <v>6.4134589571673573</v>
      </c>
      <c r="I290">
        <v>0</v>
      </c>
      <c r="J290">
        <v>0</v>
      </c>
      <c r="K290">
        <v>0</v>
      </c>
      <c r="L290">
        <v>-4</v>
      </c>
      <c r="M290" t="s">
        <v>119</v>
      </c>
      <c r="N290" t="s">
        <v>120</v>
      </c>
      <c r="O290">
        <v>0.99999999109727644</v>
      </c>
      <c r="P290">
        <v>0</v>
      </c>
      <c r="Q290" t="s">
        <v>299</v>
      </c>
      <c r="R290" t="str">
        <f>VLOOKUP(Q290,GDP!$A$2:$B$266,1,FALSE)</f>
        <v>QAT</v>
      </c>
      <c r="S290" t="str">
        <f>VLOOKUP(Q290,GDP!$A$2:$B$266,2,FALSE)</f>
        <v>Qatar</v>
      </c>
      <c r="T290">
        <f>VLOOKUP(Q290,GDP!$A$1:$C$266,3,FALSE)</f>
        <v>120054.40873651773</v>
      </c>
      <c r="U290" s="4">
        <v>120054.408736518</v>
      </c>
      <c r="V290" s="5">
        <f>VLOOKUP(Q290,POP!$B$5:$M$269,3,FALSE)</f>
        <v>2110785</v>
      </c>
      <c r="W290" s="4">
        <v>2110785</v>
      </c>
      <c r="X290">
        <f>VLOOKUP(Q290,YU!$B$1:$D$266,3,FALSE)</f>
        <v>0.48199999999999998</v>
      </c>
      <c r="Y290" s="4">
        <v>0.48199999999999998</v>
      </c>
      <c r="AA290">
        <f t="shared" si="24"/>
        <v>11.695700325144328</v>
      </c>
      <c r="AB290">
        <f t="shared" si="25"/>
        <v>1.1713036230318981</v>
      </c>
      <c r="AC290" s="4">
        <v>1.1713036230319049</v>
      </c>
      <c r="AD290">
        <v>-1.3493146338632001</v>
      </c>
      <c r="AE290">
        <v>-14.83340598290598</v>
      </c>
      <c r="AG290" s="12">
        <f t="shared" si="26"/>
        <v>-2.7648638933897018E-10</v>
      </c>
      <c r="AH290" s="12">
        <f t="shared" si="27"/>
        <v>0</v>
      </c>
      <c r="AI290" s="13">
        <f t="shared" si="28"/>
        <v>0</v>
      </c>
      <c r="AJ290" s="14">
        <f t="shared" si="29"/>
        <v>0</v>
      </c>
    </row>
    <row r="291" spans="1:36" x14ac:dyDescent="0.2">
      <c r="A291">
        <v>2017</v>
      </c>
      <c r="B291" t="s">
        <v>297</v>
      </c>
      <c r="C291">
        <f>VLOOKUP(B291,Sheet5!$B$2:$C$2166,2,FALSE)</f>
        <v>610</v>
      </c>
      <c r="D291">
        <v>590</v>
      </c>
      <c r="E291">
        <v>245</v>
      </c>
      <c r="F291" t="s">
        <v>300</v>
      </c>
      <c r="G291">
        <v>20</v>
      </c>
      <c r="H291">
        <v>6.3801225368997647</v>
      </c>
      <c r="I291">
        <v>0</v>
      </c>
      <c r="J291">
        <v>0</v>
      </c>
      <c r="K291">
        <v>0</v>
      </c>
      <c r="L291">
        <v>-3</v>
      </c>
      <c r="M291" t="s">
        <v>119</v>
      </c>
      <c r="N291" t="s">
        <v>120</v>
      </c>
      <c r="O291">
        <v>0.99999999109727644</v>
      </c>
      <c r="P291">
        <v>0</v>
      </c>
      <c r="Q291" t="s">
        <v>299</v>
      </c>
      <c r="R291" t="str">
        <f>VLOOKUP(Q291,GDP!$A$2:$B$266,1,FALSE)</f>
        <v>QAT</v>
      </c>
      <c r="S291" t="str">
        <f>VLOOKUP(Q291,GDP!$A$2:$B$266,2,FALSE)</f>
        <v>Qatar</v>
      </c>
      <c r="T291">
        <f>VLOOKUP(Q291,GDP!$A$1:$L$266,4,FALSE)</f>
        <v>115064.94366285289</v>
      </c>
      <c r="U291" s="4">
        <v>115064.94366285299</v>
      </c>
      <c r="V291" s="5">
        <f>VLOOKUP(Q291,POP!$B$5:$M$269,4,FALSE)</f>
        <v>2167521</v>
      </c>
      <c r="W291" s="4">
        <v>2167521</v>
      </c>
      <c r="X291">
        <f>VLOOKUP(Q291,YU!$B$1:$M$266,4,FALSE)</f>
        <v>0.505</v>
      </c>
      <c r="Y291" s="4">
        <v>0.505</v>
      </c>
      <c r="Z291">
        <v>2.9674599170684801</v>
      </c>
      <c r="AA291">
        <f t="shared" si="24"/>
        <v>11.653251975449887</v>
      </c>
      <c r="AB291">
        <f t="shared" si="25"/>
        <v>1.1288552733374573</v>
      </c>
      <c r="AC291" s="4">
        <v>1.1288552733374639</v>
      </c>
      <c r="AD291">
        <v>-1.322790431869981</v>
      </c>
      <c r="AE291">
        <v>-14.81040598290598</v>
      </c>
      <c r="AG291" s="12">
        <f t="shared" si="26"/>
        <v>0</v>
      </c>
      <c r="AH291" s="12">
        <f t="shared" si="27"/>
        <v>0</v>
      </c>
      <c r="AI291" s="13">
        <f t="shared" si="28"/>
        <v>0</v>
      </c>
      <c r="AJ291" s="14">
        <f t="shared" si="29"/>
        <v>3.3336420267592537E-2</v>
      </c>
    </row>
    <row r="292" spans="1:36" x14ac:dyDescent="0.2">
      <c r="A292">
        <v>2018</v>
      </c>
      <c r="B292" t="s">
        <v>297</v>
      </c>
      <c r="C292">
        <f>VLOOKUP(B292,Sheet5!$B$2:$C$2166,2,FALSE)</f>
        <v>610</v>
      </c>
      <c r="D292">
        <v>705</v>
      </c>
      <c r="E292">
        <v>325</v>
      </c>
      <c r="F292" t="s">
        <v>301</v>
      </c>
      <c r="G292">
        <v>15</v>
      </c>
      <c r="H292">
        <v>6.5581978028122689</v>
      </c>
      <c r="I292">
        <v>0</v>
      </c>
      <c r="J292">
        <v>0</v>
      </c>
      <c r="K292">
        <v>0</v>
      </c>
      <c r="L292">
        <v>-2</v>
      </c>
      <c r="M292" t="s">
        <v>119</v>
      </c>
      <c r="N292" t="s">
        <v>120</v>
      </c>
      <c r="O292">
        <v>0.99999999109727644</v>
      </c>
      <c r="P292">
        <v>0</v>
      </c>
      <c r="Q292" t="s">
        <v>299</v>
      </c>
      <c r="R292" t="str">
        <f>VLOOKUP(Q292,GDP!$A$2:$B$266,1,FALSE)</f>
        <v>QAT</v>
      </c>
      <c r="S292" t="str">
        <f>VLOOKUP(Q292,GDP!$A$2:$B$266,2,FALSE)</f>
        <v>Qatar</v>
      </c>
      <c r="T292">
        <f>VLOOKUP(Q292,GDP!$A$1:$L$266,5,FALSE)</f>
        <v>114909.94548512687</v>
      </c>
      <c r="U292" s="4">
        <v>114909.945485127</v>
      </c>
      <c r="V292" s="5">
        <f>VLOOKUP(Q292,POP!$B$5:$M$269,5,FALSE)</f>
        <v>2191065</v>
      </c>
      <c r="W292" s="4">
        <v>2191065</v>
      </c>
      <c r="X292">
        <f>VLOOKUP(Q292,YU!$B$1:$M$266,5,FALSE)</f>
        <v>0.309</v>
      </c>
      <c r="Y292" s="4">
        <v>0.309</v>
      </c>
      <c r="AA292">
        <f t="shared" si="24"/>
        <v>11.651904017837911</v>
      </c>
      <c r="AB292">
        <f t="shared" si="25"/>
        <v>1.1275073157254809</v>
      </c>
      <c r="AC292" s="4">
        <v>1.127507315725488</v>
      </c>
      <c r="AD292">
        <v>-1.311986823084839</v>
      </c>
      <c r="AE292">
        <v>-15.00640598290598</v>
      </c>
      <c r="AG292" s="12">
        <f t="shared" si="26"/>
        <v>-1.3096723705530167E-10</v>
      </c>
      <c r="AH292" s="12">
        <f t="shared" si="27"/>
        <v>0</v>
      </c>
      <c r="AI292" s="13">
        <f t="shared" si="28"/>
        <v>0</v>
      </c>
      <c r="AJ292" s="14">
        <f t="shared" si="29"/>
        <v>-0.14473884564491168</v>
      </c>
    </row>
    <row r="293" spans="1:36" x14ac:dyDescent="0.2">
      <c r="A293">
        <v>2019</v>
      </c>
      <c r="B293" t="s">
        <v>297</v>
      </c>
      <c r="C293">
        <f>VLOOKUP(B293,Sheet5!$B$2:$C$2166,2,FALSE)</f>
        <v>610</v>
      </c>
      <c r="D293">
        <v>650</v>
      </c>
      <c r="E293">
        <v>285</v>
      </c>
      <c r="F293" t="s">
        <v>302</v>
      </c>
      <c r="G293">
        <v>10</v>
      </c>
      <c r="H293">
        <v>6.4769723628896827</v>
      </c>
      <c r="I293">
        <v>0</v>
      </c>
      <c r="J293">
        <v>0</v>
      </c>
      <c r="K293">
        <v>0</v>
      </c>
      <c r="L293">
        <v>-1</v>
      </c>
      <c r="M293" t="s">
        <v>119</v>
      </c>
      <c r="N293" t="s">
        <v>120</v>
      </c>
      <c r="O293">
        <v>0.99999999109727644</v>
      </c>
      <c r="P293">
        <v>0</v>
      </c>
      <c r="Q293" t="s">
        <v>299</v>
      </c>
      <c r="R293" t="str">
        <f>VLOOKUP(Q293,GDP!$A$2:$B$266,1,FALSE)</f>
        <v>QAT</v>
      </c>
      <c r="S293" t="str">
        <f>VLOOKUP(Q293,GDP!$A$2:$B$266,2,FALSE)</f>
        <v>Qatar</v>
      </c>
      <c r="T293">
        <f>VLOOKUP(Q293,GDP!$A$1:$L$266,6,FALSE)</f>
        <v>113160.97377933396</v>
      </c>
      <c r="U293" s="4">
        <v>113160.973779334</v>
      </c>
      <c r="V293" s="5">
        <f>VLOOKUP(Q293,POP!$B$5:$M$269,6,FALSE)</f>
        <v>2223655</v>
      </c>
      <c r="W293" s="4">
        <v>2223655</v>
      </c>
      <c r="X293">
        <f>VLOOKUP(Q293,YU!$B$1:$M$266,6,FALSE)</f>
        <v>0.29499999999999998</v>
      </c>
      <c r="Y293" s="4">
        <v>0.29499999999999998</v>
      </c>
      <c r="Z293">
        <v>2.8037800788879399</v>
      </c>
      <c r="AA293">
        <f t="shared" si="24"/>
        <v>11.636566630710167</v>
      </c>
      <c r="AB293">
        <f t="shared" si="25"/>
        <v>1.1121699285977371</v>
      </c>
      <c r="AC293" s="4">
        <v>1.112169928597742</v>
      </c>
      <c r="AD293">
        <v>-1.2972223116211321</v>
      </c>
      <c r="AE293">
        <v>-15.020405982905981</v>
      </c>
      <c r="AG293" s="12">
        <f t="shared" si="26"/>
        <v>0</v>
      </c>
      <c r="AH293" s="12">
        <f t="shared" si="27"/>
        <v>0</v>
      </c>
      <c r="AI293" s="13">
        <f t="shared" si="28"/>
        <v>0</v>
      </c>
      <c r="AJ293" s="14">
        <f t="shared" si="29"/>
        <v>-6.3513405722325444E-2</v>
      </c>
    </row>
    <row r="294" spans="1:36" x14ac:dyDescent="0.2">
      <c r="A294">
        <v>2020</v>
      </c>
      <c r="B294" t="s">
        <v>297</v>
      </c>
      <c r="C294">
        <f>VLOOKUP(B294,Sheet5!$B$2:$C$2166,2,FALSE)</f>
        <v>610</v>
      </c>
      <c r="D294">
        <v>640</v>
      </c>
      <c r="E294">
        <v>325</v>
      </c>
      <c r="F294" t="s">
        <v>303</v>
      </c>
      <c r="G294">
        <v>10</v>
      </c>
      <c r="H294">
        <v>6.4614681763537174</v>
      </c>
      <c r="I294">
        <v>0</v>
      </c>
      <c r="J294">
        <v>0</v>
      </c>
      <c r="K294">
        <v>0</v>
      </c>
      <c r="L294">
        <v>0</v>
      </c>
      <c r="M294" t="s">
        <v>119</v>
      </c>
      <c r="N294" t="s">
        <v>120</v>
      </c>
      <c r="O294">
        <v>0.99999999109727644</v>
      </c>
      <c r="P294">
        <v>0</v>
      </c>
      <c r="Q294" t="s">
        <v>299</v>
      </c>
      <c r="R294" t="str">
        <f>VLOOKUP(Q294,GDP!$A$2:$B$266,1,FALSE)</f>
        <v>QAT</v>
      </c>
      <c r="S294" t="str">
        <f>VLOOKUP(Q294,GDP!$A$2:$B$266,2,FALSE)</f>
        <v>Qatar</v>
      </c>
      <c r="T294">
        <f>VLOOKUP(Q294,GDP!$A$1:$L$266,7,FALSE)</f>
        <v>103061.91342250239</v>
      </c>
      <c r="U294" s="4">
        <v>103061.913422502</v>
      </c>
      <c r="V294" s="5">
        <f>VLOOKUP(Q294,POP!$B$5:$M$269,7,FALSE)</f>
        <v>2329067</v>
      </c>
      <c r="W294" s="4">
        <v>2329067</v>
      </c>
      <c r="X294">
        <f>VLOOKUP(Q294,YU!$B$1:$M$266,7,FALSE)</f>
        <v>0.48</v>
      </c>
      <c r="Y294" s="4">
        <v>0.48</v>
      </c>
      <c r="Z294">
        <v>3.2336800098419198</v>
      </c>
      <c r="AA294">
        <f t="shared" si="24"/>
        <v>11.543085187812162</v>
      </c>
      <c r="AB294">
        <f t="shared" si="25"/>
        <v>1.018688485699732</v>
      </c>
      <c r="AC294" s="4">
        <v>1.018688485699732</v>
      </c>
      <c r="AD294">
        <v>-1.250906791877036</v>
      </c>
      <c r="AE294">
        <v>-14.83540598290598</v>
      </c>
      <c r="AG294" s="12">
        <f t="shared" si="26"/>
        <v>3.92901711165905E-10</v>
      </c>
      <c r="AH294" s="12">
        <f t="shared" si="27"/>
        <v>0</v>
      </c>
      <c r="AI294" s="13">
        <f t="shared" si="28"/>
        <v>0</v>
      </c>
      <c r="AJ294" s="14">
        <f t="shared" si="29"/>
        <v>-4.8009219186360141E-2</v>
      </c>
    </row>
    <row r="295" spans="1:36" x14ac:dyDescent="0.2">
      <c r="A295">
        <v>2021</v>
      </c>
      <c r="B295" t="s">
        <v>297</v>
      </c>
      <c r="C295">
        <f>VLOOKUP(B295,Sheet5!$B$2:$C$2166,2,FALSE)</f>
        <v>610</v>
      </c>
      <c r="D295">
        <v>775</v>
      </c>
      <c r="E295">
        <v>345</v>
      </c>
      <c r="F295" t="s">
        <v>83</v>
      </c>
      <c r="G295">
        <v>20</v>
      </c>
      <c r="H295">
        <v>6.6528630293533473</v>
      </c>
      <c r="I295">
        <v>0</v>
      </c>
      <c r="J295">
        <v>0</v>
      </c>
      <c r="K295">
        <v>1</v>
      </c>
      <c r="L295">
        <v>1</v>
      </c>
      <c r="M295" t="s">
        <v>119</v>
      </c>
      <c r="N295" t="s">
        <v>120</v>
      </c>
      <c r="O295">
        <v>0.99999999109727644</v>
      </c>
      <c r="P295">
        <v>0</v>
      </c>
      <c r="Q295" t="s">
        <v>299</v>
      </c>
      <c r="R295" t="str">
        <f>VLOOKUP(Q295,GDP!$A$2:$B$266,1,FALSE)</f>
        <v>QAT</v>
      </c>
      <c r="S295" t="str">
        <f>VLOOKUP(Q295,GDP!$A$2:$B$266,2,FALSE)</f>
        <v>Qatar</v>
      </c>
      <c r="T295">
        <f>VLOOKUP(Q295,GDP!$A$1:$L$266,8,FALSE)</f>
        <v>116832.57029409787</v>
      </c>
      <c r="U295" s="4">
        <v>116832.570294098</v>
      </c>
      <c r="V295" s="5">
        <f>VLOOKUP(Q295,POP!$B$5:$M$269,8,FALSE)</f>
        <v>2082912</v>
      </c>
      <c r="W295" s="4">
        <v>2082912</v>
      </c>
      <c r="X295">
        <f>VLOOKUP(Q295,YU!$B$1:$M$266,8,FALSE)</f>
        <v>0.69299999999999995</v>
      </c>
      <c r="Y295" s="4">
        <v>0.69299999999999995</v>
      </c>
      <c r="AA295">
        <f t="shared" si="24"/>
        <v>11.66849716576105</v>
      </c>
      <c r="AB295">
        <f t="shared" si="25"/>
        <v>1.1441004636486198</v>
      </c>
      <c r="AC295" s="4">
        <v>1.1441004636486269</v>
      </c>
      <c r="AD295">
        <v>-1.362607635449987</v>
      </c>
      <c r="AE295">
        <v>-14.622405982905979</v>
      </c>
      <c r="AG295" s="12">
        <f t="shared" si="26"/>
        <v>-1.3096723705530167E-10</v>
      </c>
      <c r="AH295" s="12">
        <f t="shared" si="27"/>
        <v>0</v>
      </c>
      <c r="AI295" s="13">
        <f t="shared" si="28"/>
        <v>0</v>
      </c>
      <c r="AJ295" s="14">
        <f t="shared" si="29"/>
        <v>-0.23940407218599002</v>
      </c>
    </row>
    <row r="296" spans="1:36" x14ac:dyDescent="0.2">
      <c r="A296">
        <v>2022</v>
      </c>
      <c r="B296" t="s">
        <v>297</v>
      </c>
      <c r="C296">
        <f>VLOOKUP(B296,Sheet5!$B$2:$C$2166,2,FALSE)</f>
        <v>610</v>
      </c>
      <c r="D296">
        <v>880</v>
      </c>
      <c r="E296">
        <v>365</v>
      </c>
      <c r="F296" t="s">
        <v>304</v>
      </c>
      <c r="G296">
        <v>10</v>
      </c>
      <c r="H296">
        <v>6.7799219074722519</v>
      </c>
      <c r="I296">
        <v>0</v>
      </c>
      <c r="J296">
        <v>0</v>
      </c>
      <c r="K296">
        <v>1</v>
      </c>
      <c r="L296">
        <v>2</v>
      </c>
      <c r="M296" t="s">
        <v>119</v>
      </c>
      <c r="N296" t="s">
        <v>120</v>
      </c>
      <c r="O296">
        <v>0.99999999109727644</v>
      </c>
      <c r="P296">
        <v>0</v>
      </c>
      <c r="Q296" t="s">
        <v>299</v>
      </c>
      <c r="R296" t="str">
        <f>VLOOKUP(Q296,GDP!$A$2:$B$266,1,FALSE)</f>
        <v>QAT</v>
      </c>
      <c r="S296" t="str">
        <f>VLOOKUP(Q296,GDP!$A$2:$B$266,2,FALSE)</f>
        <v>Qatar</v>
      </c>
      <c r="T296">
        <f>VLOOKUP(Q296,GDP!$A$1:$L$266,9,FALSE)</f>
        <v>114740.12361423005</v>
      </c>
      <c r="U296" s="4">
        <v>114740.12361423</v>
      </c>
      <c r="V296" s="5">
        <f>VLOOKUP(Q296,POP!$B$5:$M$269,9,FALSE)</f>
        <v>2215176</v>
      </c>
      <c r="W296" s="4">
        <v>2215176</v>
      </c>
      <c r="X296">
        <f>VLOOKUP(Q296,YU!$B$1:$M$266,9,FALSE)</f>
        <v>0.55900000000000005</v>
      </c>
      <c r="Y296" s="4">
        <v>0.55900000000000005</v>
      </c>
      <c r="AA296">
        <f t="shared" si="24"/>
        <v>11.65042505549736</v>
      </c>
      <c r="AB296">
        <f t="shared" si="25"/>
        <v>1.12602835338493</v>
      </c>
      <c r="AC296" s="4">
        <v>1.1260283533849349</v>
      </c>
      <c r="AD296">
        <v>-1.301042691497184</v>
      </c>
      <c r="AE296">
        <v>-14.75640598290598</v>
      </c>
      <c r="AG296" s="12">
        <f t="shared" si="26"/>
        <v>0</v>
      </c>
      <c r="AH296" s="12">
        <f t="shared" si="27"/>
        <v>0</v>
      </c>
      <c r="AI296" s="13">
        <f t="shared" si="28"/>
        <v>0</v>
      </c>
      <c r="AJ296" s="14">
        <f t="shared" si="29"/>
        <v>-0.36646295030489462</v>
      </c>
    </row>
    <row r="297" spans="1:36" x14ac:dyDescent="0.2">
      <c r="A297">
        <v>2023</v>
      </c>
      <c r="B297" t="s">
        <v>297</v>
      </c>
      <c r="C297">
        <f>VLOOKUP(B297,Sheet5!$B$2:$C$2166,2,FALSE)</f>
        <v>610</v>
      </c>
      <c r="D297">
        <v>825</v>
      </c>
      <c r="E297">
        <v>330</v>
      </c>
      <c r="F297" t="s">
        <v>305</v>
      </c>
      <c r="G297">
        <v>20</v>
      </c>
      <c r="H297">
        <v>6.7153833863346808</v>
      </c>
      <c r="I297">
        <v>0</v>
      </c>
      <c r="J297">
        <v>0</v>
      </c>
      <c r="K297">
        <v>1</v>
      </c>
      <c r="L297">
        <v>3</v>
      </c>
      <c r="M297" t="s">
        <v>119</v>
      </c>
      <c r="N297" t="s">
        <v>120</v>
      </c>
      <c r="O297">
        <v>0.99999999109727644</v>
      </c>
      <c r="P297">
        <v>0</v>
      </c>
      <c r="Q297" t="s">
        <v>299</v>
      </c>
      <c r="R297" t="str">
        <f>VLOOKUP(Q297,GDP!$A$2:$B$266,1,FALSE)</f>
        <v>QAT</v>
      </c>
      <c r="S297" t="str">
        <f>VLOOKUP(Q297,GDP!$A$2:$B$266,2,FALSE)</f>
        <v>Qatar</v>
      </c>
      <c r="T297">
        <f>VLOOKUP(Q297,GDP!$A$1:$L$266,10,FALSE)</f>
        <v>116159.14256408774</v>
      </c>
      <c r="U297" s="4">
        <v>116159.142564088</v>
      </c>
      <c r="V297" s="5">
        <f>VLOOKUP(Q297,POP!$B$5:$M$269,10,FALSE)</f>
        <v>2211606</v>
      </c>
      <c r="W297" s="4">
        <v>2211606</v>
      </c>
      <c r="X297">
        <f>VLOOKUP(Q297,YU!$B$1:$M$266,10,FALSE)</f>
        <v>0.57399999999999995</v>
      </c>
      <c r="Y297" s="4">
        <v>0.57399999999999995</v>
      </c>
      <c r="AA297">
        <f t="shared" si="24"/>
        <v>11.66271644852387</v>
      </c>
      <c r="AB297">
        <f t="shared" si="25"/>
        <v>1.1383197464114403</v>
      </c>
      <c r="AC297" s="4">
        <v>1.138319746411447</v>
      </c>
      <c r="AD297">
        <v>-1.302655601630974</v>
      </c>
      <c r="AE297">
        <v>-14.741405982905979</v>
      </c>
      <c r="AG297" s="12">
        <f t="shared" si="26"/>
        <v>-2.6193447411060333E-10</v>
      </c>
      <c r="AH297" s="12">
        <f t="shared" si="27"/>
        <v>0</v>
      </c>
      <c r="AI297" s="13">
        <f t="shared" si="28"/>
        <v>0</v>
      </c>
      <c r="AJ297" s="14">
        <f t="shared" si="29"/>
        <v>-0.30192442916732354</v>
      </c>
    </row>
    <row r="298" spans="1:36" x14ac:dyDescent="0.2">
      <c r="A298">
        <v>2024</v>
      </c>
      <c r="B298" t="s">
        <v>297</v>
      </c>
      <c r="C298">
        <f>VLOOKUP(B298,Sheet5!$B$2:$C$2166,2,FALSE)</f>
        <v>610</v>
      </c>
      <c r="D298">
        <v>890</v>
      </c>
      <c r="E298">
        <v>395</v>
      </c>
      <c r="F298" t="s">
        <v>306</v>
      </c>
      <c r="G298">
        <v>20</v>
      </c>
      <c r="H298">
        <v>6.7912214627261864</v>
      </c>
      <c r="I298">
        <v>0</v>
      </c>
      <c r="J298">
        <v>0</v>
      </c>
      <c r="K298">
        <v>1</v>
      </c>
      <c r="L298">
        <v>4</v>
      </c>
      <c r="M298" t="s">
        <v>119</v>
      </c>
      <c r="N298" t="s">
        <v>120</v>
      </c>
      <c r="O298">
        <v>0.99999999109727644</v>
      </c>
      <c r="P298">
        <v>0</v>
      </c>
      <c r="Q298" t="s">
        <v>299</v>
      </c>
      <c r="R298" t="str">
        <f>VLOOKUP(Q298,GDP!$A$2:$B$266,1,FALSE)</f>
        <v>QAT</v>
      </c>
      <c r="S298" t="str">
        <f>VLOOKUP(Q298,GDP!$A$2:$B$266,2,FALSE)</f>
        <v>Qatar</v>
      </c>
      <c r="T298">
        <f>VLOOKUP(Q298,GDP!$A$1:$L$266,11,FALSE)</f>
        <v>111314.25035589114</v>
      </c>
      <c r="U298" s="4">
        <v>111314.250355891</v>
      </c>
      <c r="V298" s="5">
        <f>VLOOKUP(Q298,POP!$B$5:$M$269,11,FALSE)</f>
        <v>2379235</v>
      </c>
      <c r="W298" s="4">
        <v>2379235</v>
      </c>
      <c r="X298">
        <f>VLOOKUP(Q298,YU!$B$1:$M$266,11,FALSE)</f>
        <v>0.57299999999999995</v>
      </c>
      <c r="Y298" s="4">
        <v>0.57299999999999995</v>
      </c>
      <c r="AA298">
        <f t="shared" si="24"/>
        <v>11.620112564610384</v>
      </c>
      <c r="AB298">
        <f t="shared" si="25"/>
        <v>1.0957158624979542</v>
      </c>
      <c r="AC298" s="4">
        <v>1.0957158624979579</v>
      </c>
      <c r="AD298">
        <v>-1.229595542634202</v>
      </c>
      <c r="AE298">
        <v>-14.74240598290598</v>
      </c>
      <c r="AG298" s="12">
        <f t="shared" si="26"/>
        <v>1.4551915228366852E-10</v>
      </c>
      <c r="AH298" s="12">
        <f t="shared" si="27"/>
        <v>0</v>
      </c>
      <c r="AI298" s="13">
        <f t="shared" si="28"/>
        <v>0</v>
      </c>
      <c r="AJ298" s="14">
        <f t="shared" si="29"/>
        <v>-0.37776250555882918</v>
      </c>
    </row>
    <row r="299" spans="1:36" x14ac:dyDescent="0.2">
      <c r="A299">
        <v>2016</v>
      </c>
      <c r="B299" t="s">
        <v>307</v>
      </c>
      <c r="C299">
        <f>VLOOKUP(B299,Sheet5!$B$2:$C$2166,2,FALSE)</f>
        <v>465</v>
      </c>
      <c r="D299">
        <v>465</v>
      </c>
      <c r="E299">
        <v>170</v>
      </c>
      <c r="F299" t="s">
        <v>308</v>
      </c>
      <c r="G299">
        <v>5</v>
      </c>
      <c r="H299">
        <v>6.1420374055873559</v>
      </c>
      <c r="I299">
        <v>0</v>
      </c>
      <c r="J299">
        <v>0</v>
      </c>
      <c r="K299">
        <v>0</v>
      </c>
      <c r="L299">
        <v>-4</v>
      </c>
      <c r="M299" t="s">
        <v>119</v>
      </c>
      <c r="N299" t="s">
        <v>120</v>
      </c>
      <c r="O299">
        <v>0.96061754528804422</v>
      </c>
      <c r="P299">
        <v>0</v>
      </c>
      <c r="Q299" t="s">
        <v>309</v>
      </c>
      <c r="R299" t="str">
        <f>VLOOKUP(Q299,GDP!$A$2:$B$266,1,FALSE)</f>
        <v>ZWE</v>
      </c>
      <c r="S299" t="str">
        <f>VLOOKUP(Q299,GDP!$A$2:$B$266,2,FALSE)</f>
        <v>Zimbabwe</v>
      </c>
      <c r="T299">
        <f>VLOOKUP(Q299,GDP!$A$1:$C$266,3,FALSE)</f>
        <v>5070.4241320998126</v>
      </c>
      <c r="U299" s="4">
        <v>5070.4241320998099</v>
      </c>
      <c r="V299" s="5">
        <f>VLOOKUP(Q299,POP!$B$5:$M$269,3,FALSE)</f>
        <v>7752608</v>
      </c>
      <c r="W299" s="4">
        <v>7752608</v>
      </c>
      <c r="X299">
        <f>VLOOKUP(Q299,YU!$B$1:$D$266,3,FALSE)</f>
        <v>8.9489999999999998</v>
      </c>
      <c r="Y299" s="4">
        <v>8.9489999999999998</v>
      </c>
      <c r="AA299">
        <f t="shared" si="24"/>
        <v>8.5311797483328355</v>
      </c>
      <c r="AB299">
        <f t="shared" si="25"/>
        <v>-1.9932169537795943</v>
      </c>
      <c r="AC299" s="4">
        <v>-1.993216953779589</v>
      </c>
      <c r="AD299">
        <v>-4.8345247191486251E-2</v>
      </c>
      <c r="AE299">
        <v>-6.3664059829059827</v>
      </c>
      <c r="AG299" s="12">
        <f t="shared" si="26"/>
        <v>0</v>
      </c>
      <c r="AH299" s="12">
        <f t="shared" si="27"/>
        <v>0</v>
      </c>
      <c r="AI299" s="13">
        <f t="shared" si="28"/>
        <v>0</v>
      </c>
      <c r="AJ299" s="14">
        <f t="shared" si="29"/>
        <v>0</v>
      </c>
    </row>
    <row r="300" spans="1:36" x14ac:dyDescent="0.2">
      <c r="A300">
        <v>2017</v>
      </c>
      <c r="B300" t="s">
        <v>307</v>
      </c>
      <c r="C300">
        <f>VLOOKUP(B300,Sheet5!$B$2:$C$2166,2,FALSE)</f>
        <v>465</v>
      </c>
      <c r="D300">
        <v>495</v>
      </c>
      <c r="E300">
        <v>180</v>
      </c>
      <c r="F300" t="s">
        <v>217</v>
      </c>
      <c r="G300">
        <v>10</v>
      </c>
      <c r="H300">
        <v>6.2045577625686903</v>
      </c>
      <c r="I300">
        <v>0</v>
      </c>
      <c r="J300">
        <v>0</v>
      </c>
      <c r="K300">
        <v>0</v>
      </c>
      <c r="L300">
        <v>-3</v>
      </c>
      <c r="M300" t="s">
        <v>119</v>
      </c>
      <c r="N300" t="s">
        <v>120</v>
      </c>
      <c r="O300">
        <v>0.96061754528804422</v>
      </c>
      <c r="P300">
        <v>0</v>
      </c>
      <c r="Q300" t="s">
        <v>309</v>
      </c>
      <c r="R300" t="str">
        <f>VLOOKUP(Q300,GDP!$A$2:$B$266,1,FALSE)</f>
        <v>ZWE</v>
      </c>
      <c r="S300" t="str">
        <f>VLOOKUP(Q300,GDP!$A$2:$B$266,2,FALSE)</f>
        <v>Zimbabwe</v>
      </c>
      <c r="T300">
        <f>VLOOKUP(Q300,GDP!$A$1:$L$266,4,FALSE)</f>
        <v>5234.4065377843999</v>
      </c>
      <c r="U300" s="4">
        <v>5234.4065377843999</v>
      </c>
      <c r="V300" s="5">
        <f>VLOOKUP(Q300,POP!$B$5:$M$269,4,FALSE)</f>
        <v>7899470</v>
      </c>
      <c r="W300" s="4">
        <v>7899470</v>
      </c>
      <c r="X300">
        <f>VLOOKUP(Q300,YU!$B$1:$M$266,4,FALSE)</f>
        <v>9.8330000000000002</v>
      </c>
      <c r="Y300" s="4">
        <v>9.8330000000000002</v>
      </c>
      <c r="AA300">
        <f t="shared" si="24"/>
        <v>8.5630087525583409</v>
      </c>
      <c r="AB300">
        <f t="shared" si="25"/>
        <v>-1.9613879495540889</v>
      </c>
      <c r="AC300" s="4">
        <v>-1.961387949554084</v>
      </c>
      <c r="AD300">
        <v>-2.9578881462080989E-2</v>
      </c>
      <c r="AE300">
        <v>-5.4824059829059824</v>
      </c>
      <c r="AG300" s="12">
        <f t="shared" si="26"/>
        <v>0</v>
      </c>
      <c r="AH300" s="12">
        <f t="shared" si="27"/>
        <v>0</v>
      </c>
      <c r="AI300" s="13">
        <f t="shared" si="28"/>
        <v>0</v>
      </c>
      <c r="AJ300" s="14">
        <f t="shared" si="29"/>
        <v>-6.2520356981334402E-2</v>
      </c>
    </row>
    <row r="301" spans="1:36" x14ac:dyDescent="0.2">
      <c r="A301">
        <v>2018</v>
      </c>
      <c r="B301" t="s">
        <v>307</v>
      </c>
      <c r="C301">
        <f>VLOOKUP(B301,Sheet5!$B$2:$C$2166,2,FALSE)</f>
        <v>465</v>
      </c>
      <c r="D301">
        <v>515</v>
      </c>
      <c r="E301">
        <v>200</v>
      </c>
      <c r="F301" t="s">
        <v>310</v>
      </c>
      <c r="G301">
        <v>15</v>
      </c>
      <c r="H301">
        <v>6.2441669006637364</v>
      </c>
      <c r="I301">
        <v>0</v>
      </c>
      <c r="J301">
        <v>0</v>
      </c>
      <c r="K301">
        <v>0</v>
      </c>
      <c r="L301">
        <v>-2</v>
      </c>
      <c r="M301" t="s">
        <v>119</v>
      </c>
      <c r="N301" t="s">
        <v>120</v>
      </c>
      <c r="O301">
        <v>0.96061754528804422</v>
      </c>
      <c r="P301">
        <v>0</v>
      </c>
      <c r="Q301" t="s">
        <v>309</v>
      </c>
      <c r="R301" t="str">
        <f>VLOOKUP(Q301,GDP!$A$2:$B$266,1,FALSE)</f>
        <v>ZWE</v>
      </c>
      <c r="S301" t="str">
        <f>VLOOKUP(Q301,GDP!$A$2:$B$266,2,FALSE)</f>
        <v>Zimbabwe</v>
      </c>
      <c r="T301">
        <f>VLOOKUP(Q301,GDP!$A$1:$L$266,5,FALSE)</f>
        <v>5415.4932202819264</v>
      </c>
      <c r="U301" s="4">
        <v>5415.49322028193</v>
      </c>
      <c r="V301" s="5">
        <f>VLOOKUP(Q301,POP!$B$5:$M$269,5,FALSE)</f>
        <v>8060640</v>
      </c>
      <c r="W301" s="4">
        <v>8060640</v>
      </c>
      <c r="X301">
        <f>VLOOKUP(Q301,YU!$B$1:$M$266,5,FALSE)</f>
        <v>10.693</v>
      </c>
      <c r="Y301" s="4">
        <v>10.693</v>
      </c>
      <c r="AA301">
        <f t="shared" si="24"/>
        <v>8.5970192393651068</v>
      </c>
      <c r="AB301">
        <f t="shared" si="25"/>
        <v>-1.927377462747323</v>
      </c>
      <c r="AC301" s="4">
        <v>-1.9273774627473179</v>
      </c>
      <c r="AD301">
        <v>-9.38159224425128E-3</v>
      </c>
      <c r="AE301">
        <v>-4.6224059829059829</v>
      </c>
      <c r="AG301" s="12">
        <f t="shared" si="26"/>
        <v>0</v>
      </c>
      <c r="AH301" s="12">
        <f t="shared" si="27"/>
        <v>0</v>
      </c>
      <c r="AI301" s="13">
        <f t="shared" si="28"/>
        <v>0</v>
      </c>
      <c r="AJ301" s="14">
        <f t="shared" si="29"/>
        <v>-0.10212949507638047</v>
      </c>
    </row>
    <row r="302" spans="1:36" x14ac:dyDescent="0.2">
      <c r="A302">
        <v>2019</v>
      </c>
      <c r="B302" t="s">
        <v>307</v>
      </c>
      <c r="C302">
        <f>VLOOKUP(B302,Sheet5!$B$2:$C$2166,2,FALSE)</f>
        <v>465</v>
      </c>
      <c r="D302">
        <v>560</v>
      </c>
      <c r="E302">
        <v>205</v>
      </c>
      <c r="F302" t="s">
        <v>72</v>
      </c>
      <c r="G302">
        <v>10</v>
      </c>
      <c r="H302">
        <v>6.3279367837291947</v>
      </c>
      <c r="I302">
        <v>0</v>
      </c>
      <c r="J302">
        <v>0</v>
      </c>
      <c r="K302">
        <v>0</v>
      </c>
      <c r="L302">
        <v>-1</v>
      </c>
      <c r="M302" t="s">
        <v>119</v>
      </c>
      <c r="N302" t="s">
        <v>120</v>
      </c>
      <c r="O302">
        <v>0.96061754528804422</v>
      </c>
      <c r="P302">
        <v>0</v>
      </c>
      <c r="Q302" t="s">
        <v>309</v>
      </c>
      <c r="R302" t="str">
        <f>VLOOKUP(Q302,GDP!$A$2:$B$266,1,FALSE)</f>
        <v>ZWE</v>
      </c>
      <c r="S302" t="str">
        <f>VLOOKUP(Q302,GDP!$A$2:$B$266,2,FALSE)</f>
        <v>Zimbabwe</v>
      </c>
      <c r="T302">
        <f>VLOOKUP(Q302,GDP!$A$1:$L$266,6,FALSE)</f>
        <v>4993.8654692820764</v>
      </c>
      <c r="U302" s="4">
        <v>4993.8654692820801</v>
      </c>
      <c r="V302" s="5">
        <f>VLOOKUP(Q302,POP!$B$5:$M$269,6,FALSE)</f>
        <v>8234856</v>
      </c>
      <c r="W302" s="4">
        <v>8234856</v>
      </c>
      <c r="X302">
        <f>VLOOKUP(Q302,YU!$B$1:$M$266,6,FALSE)</f>
        <v>11.718</v>
      </c>
      <c r="Y302" s="4">
        <v>11.718</v>
      </c>
      <c r="AA302">
        <f t="shared" si="24"/>
        <v>8.5159655320071224</v>
      </c>
      <c r="AB302">
        <f t="shared" si="25"/>
        <v>-2.0084311701053075</v>
      </c>
      <c r="AC302" s="4">
        <v>-2.0084311701052999</v>
      </c>
      <c r="AD302">
        <v>1.200132706099666E-2</v>
      </c>
      <c r="AE302">
        <v>-3.597405982905983</v>
      </c>
      <c r="AG302" s="12">
        <f t="shared" si="26"/>
        <v>0</v>
      </c>
      <c r="AH302" s="12">
        <f t="shared" si="27"/>
        <v>0</v>
      </c>
      <c r="AI302" s="13">
        <f t="shared" si="28"/>
        <v>0</v>
      </c>
      <c r="AJ302" s="14">
        <f t="shared" si="29"/>
        <v>-0.18589937814183877</v>
      </c>
    </row>
    <row r="303" spans="1:36" x14ac:dyDescent="0.2">
      <c r="A303">
        <v>2020</v>
      </c>
      <c r="B303" t="s">
        <v>307</v>
      </c>
      <c r="C303">
        <f>VLOOKUP(B303,Sheet5!$B$2:$C$2166,2,FALSE)</f>
        <v>465</v>
      </c>
      <c r="D303">
        <v>670</v>
      </c>
      <c r="E303">
        <v>255</v>
      </c>
      <c r="F303" t="s">
        <v>274</v>
      </c>
      <c r="G303">
        <v>20</v>
      </c>
      <c r="H303">
        <v>6.5072777123850116</v>
      </c>
      <c r="I303">
        <v>0</v>
      </c>
      <c r="J303">
        <v>0</v>
      </c>
      <c r="K303">
        <v>0</v>
      </c>
      <c r="L303">
        <v>0</v>
      </c>
      <c r="M303" t="s">
        <v>119</v>
      </c>
      <c r="N303" t="s">
        <v>120</v>
      </c>
      <c r="O303">
        <v>0.96061754528804422</v>
      </c>
      <c r="P303">
        <v>0</v>
      </c>
      <c r="Q303" t="s">
        <v>309</v>
      </c>
      <c r="R303" t="str">
        <f>VLOOKUP(Q303,GDP!$A$2:$B$266,1,FALSE)</f>
        <v>ZWE</v>
      </c>
      <c r="S303" t="str">
        <f>VLOOKUP(Q303,GDP!$A$2:$B$266,2,FALSE)</f>
        <v>Zimbabwe</v>
      </c>
      <c r="T303">
        <f>VLOOKUP(Q303,GDP!$A$1:$L$266,7,FALSE)</f>
        <v>4527.7394921925425</v>
      </c>
      <c r="U303" s="4">
        <v>4527.7394921925397</v>
      </c>
      <c r="V303" s="5">
        <f>VLOOKUP(Q303,POP!$B$5:$M$269,7,FALSE)</f>
        <v>8420934</v>
      </c>
      <c r="W303" s="4">
        <v>8420934</v>
      </c>
      <c r="X303">
        <f>VLOOKUP(Q303,YU!$B$1:$M$266,7,FALSE)</f>
        <v>14.243</v>
      </c>
      <c r="Y303" s="4">
        <v>14.243</v>
      </c>
      <c r="AA303">
        <f t="shared" si="24"/>
        <v>8.4179780855849629</v>
      </c>
      <c r="AB303">
        <f t="shared" si="25"/>
        <v>-2.106418616527467</v>
      </c>
      <c r="AC303" s="4">
        <v>-2.1064186165274621</v>
      </c>
      <c r="AD303">
        <v>3.4346198391235212E-2</v>
      </c>
      <c r="AE303">
        <v>-1.072405982905982</v>
      </c>
      <c r="AG303" s="12">
        <f t="shared" si="26"/>
        <v>0</v>
      </c>
      <c r="AH303" s="12">
        <f t="shared" si="27"/>
        <v>0</v>
      </c>
      <c r="AI303" s="13">
        <f t="shared" si="28"/>
        <v>0</v>
      </c>
      <c r="AJ303" s="14">
        <f t="shared" si="29"/>
        <v>-0.36524030679765573</v>
      </c>
    </row>
    <row r="304" spans="1:36" x14ac:dyDescent="0.2">
      <c r="A304">
        <v>2021</v>
      </c>
      <c r="B304" t="s">
        <v>307</v>
      </c>
      <c r="C304">
        <f>VLOOKUP(B304,Sheet5!$B$2:$C$2166,2,FALSE)</f>
        <v>465</v>
      </c>
      <c r="D304">
        <v>805</v>
      </c>
      <c r="E304">
        <v>295</v>
      </c>
      <c r="F304" t="s">
        <v>311</v>
      </c>
      <c r="G304">
        <v>10</v>
      </c>
      <c r="H304">
        <v>6.6908422774185636</v>
      </c>
      <c r="I304">
        <v>0</v>
      </c>
      <c r="J304">
        <v>0</v>
      </c>
      <c r="K304">
        <v>1</v>
      </c>
      <c r="L304">
        <v>1</v>
      </c>
      <c r="M304" t="s">
        <v>119</v>
      </c>
      <c r="N304" t="s">
        <v>120</v>
      </c>
      <c r="O304">
        <v>0.96061754528804422</v>
      </c>
      <c r="P304">
        <v>0</v>
      </c>
      <c r="Q304" t="s">
        <v>309</v>
      </c>
      <c r="R304" t="str">
        <f>VLOOKUP(Q304,GDP!$A$2:$B$266,1,FALSE)</f>
        <v>ZWE</v>
      </c>
      <c r="S304" t="str">
        <f>VLOOKUP(Q304,GDP!$A$2:$B$266,2,FALSE)</f>
        <v>Zimbabwe</v>
      </c>
      <c r="T304">
        <f>VLOOKUP(Q304,GDP!$A$1:$L$266,8,FALSE)</f>
        <v>4827.1096016599413</v>
      </c>
      <c r="U304" s="4">
        <v>4827.1096016599404</v>
      </c>
      <c r="V304" s="5">
        <f>VLOOKUP(Q304,POP!$B$5:$M$269,8,FALSE)</f>
        <v>8614234</v>
      </c>
      <c r="W304" s="4">
        <v>8614234</v>
      </c>
      <c r="X304">
        <f>VLOOKUP(Q304,YU!$B$1:$M$266,8,FALSE)</f>
        <v>15.208</v>
      </c>
      <c r="Y304" s="4">
        <v>15.208</v>
      </c>
      <c r="AA304">
        <f t="shared" si="24"/>
        <v>8.4820031413608561</v>
      </c>
      <c r="AB304">
        <f t="shared" si="25"/>
        <v>-2.0423935607515737</v>
      </c>
      <c r="AC304" s="4">
        <v>-2.042393560751568</v>
      </c>
      <c r="AD304">
        <v>5.7041401266134877E-2</v>
      </c>
      <c r="AE304">
        <v>-0.1074059829059824</v>
      </c>
      <c r="AG304" s="12">
        <f t="shared" si="26"/>
        <v>0</v>
      </c>
      <c r="AH304" s="12">
        <f t="shared" si="27"/>
        <v>0</v>
      </c>
      <c r="AI304" s="13">
        <f t="shared" si="28"/>
        <v>0</v>
      </c>
      <c r="AJ304" s="14">
        <f t="shared" si="29"/>
        <v>-0.54880487183120774</v>
      </c>
    </row>
    <row r="305" spans="1:36" x14ac:dyDescent="0.2">
      <c r="A305">
        <v>2022</v>
      </c>
      <c r="B305" t="s">
        <v>307</v>
      </c>
      <c r="C305">
        <f>VLOOKUP(B305,Sheet5!$B$2:$C$2166,2,FALSE)</f>
        <v>465</v>
      </c>
      <c r="D305">
        <v>665</v>
      </c>
      <c r="E305">
        <v>210</v>
      </c>
      <c r="F305" t="s">
        <v>312</v>
      </c>
      <c r="G305">
        <v>20</v>
      </c>
      <c r="H305">
        <v>6.4997870406558542</v>
      </c>
      <c r="I305">
        <v>0</v>
      </c>
      <c r="J305">
        <v>0</v>
      </c>
      <c r="K305">
        <v>1</v>
      </c>
      <c r="L305">
        <v>2</v>
      </c>
      <c r="M305" t="s">
        <v>119</v>
      </c>
      <c r="N305" t="s">
        <v>120</v>
      </c>
      <c r="O305">
        <v>0.96061754528804422</v>
      </c>
      <c r="P305">
        <v>0</v>
      </c>
      <c r="Q305" t="s">
        <v>309</v>
      </c>
      <c r="R305" t="str">
        <f>VLOOKUP(Q305,GDP!$A$2:$B$266,1,FALSE)</f>
        <v>ZWE</v>
      </c>
      <c r="S305" t="str">
        <f>VLOOKUP(Q305,GDP!$A$2:$B$266,2,FALSE)</f>
        <v>Zimbabwe</v>
      </c>
      <c r="T305">
        <f>VLOOKUP(Q305,GDP!$A$1:$L$266,9,FALSE)</f>
        <v>5036.7831773223925</v>
      </c>
      <c r="U305" s="4">
        <v>5036.7831773223897</v>
      </c>
      <c r="V305" s="5">
        <f>VLOOKUP(Q305,POP!$B$5:$M$269,9,FALSE)</f>
        <v>8802666</v>
      </c>
      <c r="W305" s="4">
        <v>8802666</v>
      </c>
      <c r="X305">
        <f>VLOOKUP(Q305,YU!$B$1:$M$266,9,FALSE)</f>
        <v>16.984000000000002</v>
      </c>
      <c r="Y305" s="4">
        <v>16.984000000000002</v>
      </c>
      <c r="AA305">
        <f t="shared" si="24"/>
        <v>8.5245228988239869</v>
      </c>
      <c r="AB305">
        <f t="shared" si="25"/>
        <v>-1.9998738032884429</v>
      </c>
      <c r="AC305" s="4">
        <v>-1.999873803288438</v>
      </c>
      <c r="AD305">
        <v>7.8680080071231728E-2</v>
      </c>
      <c r="AE305">
        <v>1.668594017094019</v>
      </c>
      <c r="AG305" s="12">
        <f t="shared" si="26"/>
        <v>0</v>
      </c>
      <c r="AH305" s="12">
        <f t="shared" si="27"/>
        <v>0</v>
      </c>
      <c r="AI305" s="13">
        <f t="shared" si="28"/>
        <v>0</v>
      </c>
      <c r="AJ305" s="14">
        <f t="shared" si="29"/>
        <v>-0.35774963506849833</v>
      </c>
    </row>
    <row r="306" spans="1:36" x14ac:dyDescent="0.2">
      <c r="A306">
        <v>2023</v>
      </c>
      <c r="B306" t="s">
        <v>307</v>
      </c>
      <c r="C306">
        <f>VLOOKUP(B306,Sheet5!$B$2:$C$2166,2,FALSE)</f>
        <v>465</v>
      </c>
      <c r="D306">
        <v>750</v>
      </c>
      <c r="E306">
        <v>285</v>
      </c>
      <c r="F306" t="s">
        <v>285</v>
      </c>
      <c r="G306">
        <v>10</v>
      </c>
      <c r="H306">
        <v>6.620073206530356</v>
      </c>
      <c r="I306">
        <v>0</v>
      </c>
      <c r="J306">
        <v>0</v>
      </c>
      <c r="K306">
        <v>1</v>
      </c>
      <c r="L306">
        <v>3</v>
      </c>
      <c r="M306" t="s">
        <v>119</v>
      </c>
      <c r="N306" t="s">
        <v>120</v>
      </c>
      <c r="O306">
        <v>0.96061754528804422</v>
      </c>
      <c r="P306">
        <v>0</v>
      </c>
      <c r="Q306" t="s">
        <v>309</v>
      </c>
      <c r="R306" t="str">
        <f>VLOOKUP(Q306,GDP!$A$2:$B$266,1,FALSE)</f>
        <v>ZWE</v>
      </c>
      <c r="S306" t="str">
        <f>VLOOKUP(Q306,GDP!$A$2:$B$266,2,FALSE)</f>
        <v>Zimbabwe</v>
      </c>
      <c r="T306">
        <f>VLOOKUP(Q306,GDP!$A$1:$L$266,10,FALSE)</f>
        <v>5218.0452659639795</v>
      </c>
      <c r="U306" s="4">
        <v>5218.0452659639795</v>
      </c>
      <c r="V306" s="5">
        <f>VLOOKUP(Q306,POP!$B$5:$M$269,10,FALSE)</f>
        <v>8996994</v>
      </c>
      <c r="W306" s="4">
        <v>8996994</v>
      </c>
      <c r="X306">
        <f>VLOOKUP(Q306,YU!$B$1:$M$266,10,FALSE)</f>
        <v>15.332000000000001</v>
      </c>
      <c r="Y306" s="4">
        <v>15.332000000000001</v>
      </c>
      <c r="Z306">
        <v>0.38477129721191899</v>
      </c>
      <c r="AA306">
        <f t="shared" si="24"/>
        <v>8.5598781406233968</v>
      </c>
      <c r="AB306">
        <f t="shared" si="25"/>
        <v>-1.964518561489033</v>
      </c>
      <c r="AC306" s="4">
        <v>-1.9645185614890279</v>
      </c>
      <c r="AD306">
        <v>0.1005159714688748</v>
      </c>
      <c r="AE306">
        <v>1.6594017094018199E-2</v>
      </c>
      <c r="AG306" s="12">
        <f t="shared" si="26"/>
        <v>0</v>
      </c>
      <c r="AH306" s="12">
        <f t="shared" si="27"/>
        <v>0</v>
      </c>
      <c r="AI306" s="13">
        <f t="shared" si="28"/>
        <v>0</v>
      </c>
      <c r="AJ306" s="14">
        <f t="shared" si="29"/>
        <v>-0.47803580094300013</v>
      </c>
    </row>
    <row r="307" spans="1:36" x14ac:dyDescent="0.2">
      <c r="A307">
        <v>2024</v>
      </c>
      <c r="B307" t="s">
        <v>307</v>
      </c>
      <c r="C307">
        <f>VLOOKUP(B307,Sheet5!$B$2:$C$2166,2,FALSE)</f>
        <v>465</v>
      </c>
      <c r="D307">
        <v>640</v>
      </c>
      <c r="E307">
        <v>265</v>
      </c>
      <c r="F307" t="s">
        <v>123</v>
      </c>
      <c r="G307">
        <v>15</v>
      </c>
      <c r="H307">
        <v>6.4614681763537174</v>
      </c>
      <c r="I307">
        <v>0</v>
      </c>
      <c r="J307">
        <v>0</v>
      </c>
      <c r="K307">
        <v>1</v>
      </c>
      <c r="L307">
        <v>4</v>
      </c>
      <c r="M307" t="s">
        <v>119</v>
      </c>
      <c r="N307" t="s">
        <v>120</v>
      </c>
      <c r="O307">
        <v>0.96061754528804422</v>
      </c>
      <c r="P307">
        <v>0</v>
      </c>
      <c r="Q307" t="s">
        <v>309</v>
      </c>
      <c r="R307" t="str">
        <f>VLOOKUP(Q307,GDP!$A$2:$B$266,1,FALSE)</f>
        <v>ZWE</v>
      </c>
      <c r="S307" t="str">
        <f>VLOOKUP(Q307,GDP!$A$2:$B$266,2,FALSE)</f>
        <v>Zimbabwe</v>
      </c>
      <c r="T307">
        <f>VLOOKUP(Q307,GDP!$A$1:$L$266,11,FALSE)</f>
        <v>5211.8975558795419</v>
      </c>
      <c r="U307" s="4">
        <v>5211.8975558795401</v>
      </c>
      <c r="V307" s="5">
        <f>VLOOKUP(Q307,POP!$B$5:$M$269,11,FALSE)</f>
        <v>9236166</v>
      </c>
      <c r="W307" s="4">
        <v>9236166</v>
      </c>
      <c r="X307">
        <f>VLOOKUP(Q307,YU!$B$1:$M$266,11,FALSE)</f>
        <v>15.429</v>
      </c>
      <c r="Y307" s="4">
        <v>15.429</v>
      </c>
      <c r="AA307">
        <f t="shared" si="24"/>
        <v>8.5586992826178623</v>
      </c>
      <c r="AB307">
        <f t="shared" si="25"/>
        <v>-1.9656974194945676</v>
      </c>
      <c r="AC307" s="4">
        <v>-1.965697419494562</v>
      </c>
      <c r="AD307">
        <v>0.1267523144023617</v>
      </c>
      <c r="AE307">
        <v>0.1135940170940177</v>
      </c>
      <c r="AG307" s="12">
        <f t="shared" si="26"/>
        <v>0</v>
      </c>
      <c r="AH307" s="12">
        <f t="shared" si="27"/>
        <v>0</v>
      </c>
      <c r="AI307" s="13">
        <f t="shared" si="28"/>
        <v>0</v>
      </c>
      <c r="AJ307" s="14">
        <f t="shared" si="29"/>
        <v>-0.3194307707663615</v>
      </c>
    </row>
    <row r="308" spans="1:36" x14ac:dyDescent="0.2">
      <c r="A308">
        <v>2016</v>
      </c>
      <c r="B308" t="s">
        <v>313</v>
      </c>
      <c r="C308">
        <f>VLOOKUP(B308,Sheet5!$B$2:$C$2166,2,FALSE)</f>
        <v>1335</v>
      </c>
      <c r="D308">
        <v>1335</v>
      </c>
      <c r="E308">
        <v>850</v>
      </c>
      <c r="F308" t="s">
        <v>314</v>
      </c>
      <c r="G308">
        <v>0</v>
      </c>
      <c r="H308">
        <v>7.1966865708343501</v>
      </c>
      <c r="I308">
        <v>0</v>
      </c>
      <c r="J308">
        <v>0</v>
      </c>
      <c r="K308">
        <v>0</v>
      </c>
      <c r="L308">
        <v>-4</v>
      </c>
      <c r="M308" t="s">
        <v>119</v>
      </c>
      <c r="N308" t="s">
        <v>120</v>
      </c>
      <c r="O308">
        <v>4.4488582161740241E-7</v>
      </c>
      <c r="P308">
        <v>0</v>
      </c>
      <c r="Q308" t="s">
        <v>315</v>
      </c>
      <c r="R308" t="str">
        <f>VLOOKUP(Q308,GDP!$A$2:$B$266,1,FALSE)</f>
        <v>CHE</v>
      </c>
      <c r="S308" t="str">
        <f>VLOOKUP(Q308,GDP!$A$2:$B$266,2,FALSE)</f>
        <v>Switzerland</v>
      </c>
      <c r="T308">
        <f>VLOOKUP(Q308,GDP!$A$1:$C$266,3,FALSE)</f>
        <v>78956.06673150415</v>
      </c>
      <c r="U308" s="4">
        <v>78956.066731504194</v>
      </c>
      <c r="V308" s="5">
        <f>VLOOKUP(Q308,POP!$B$5:$M$269,3,FALSE)</f>
        <v>5617272</v>
      </c>
      <c r="W308" s="4">
        <v>5617272</v>
      </c>
      <c r="X308">
        <f>VLOOKUP(Q308,YU!$B$1:$D$266,3,FALSE)</f>
        <v>8.5790000000000006</v>
      </c>
      <c r="Y308" s="4">
        <v>8.5790000000000006</v>
      </c>
      <c r="Z308">
        <v>4.98164987564087</v>
      </c>
      <c r="AA308">
        <f t="shared" si="24"/>
        <v>11.276646859435834</v>
      </c>
      <c r="AB308">
        <f t="shared" si="25"/>
        <v>0.75225015732340417</v>
      </c>
      <c r="AC308" s="4">
        <v>0.75225015732341127</v>
      </c>
      <c r="AD308">
        <v>-0.37052841327320069</v>
      </c>
      <c r="AE308">
        <v>-6.7364059829059819</v>
      </c>
      <c r="AG308" s="12">
        <f t="shared" si="26"/>
        <v>0</v>
      </c>
      <c r="AH308" s="12">
        <f t="shared" si="27"/>
        <v>0</v>
      </c>
      <c r="AI308" s="13">
        <f t="shared" si="28"/>
        <v>0</v>
      </c>
      <c r="AJ308" s="14">
        <f t="shared" si="29"/>
        <v>0</v>
      </c>
    </row>
    <row r="309" spans="1:36" x14ac:dyDescent="0.2">
      <c r="A309">
        <v>2017</v>
      </c>
      <c r="B309" t="s">
        <v>313</v>
      </c>
      <c r="C309">
        <f>VLOOKUP(B309,Sheet5!$B$2:$C$2166,2,FALSE)</f>
        <v>1335</v>
      </c>
      <c r="D309">
        <v>1305</v>
      </c>
      <c r="E309">
        <v>860</v>
      </c>
      <c r="F309" t="s">
        <v>316</v>
      </c>
      <c r="G309">
        <v>5</v>
      </c>
      <c r="H309">
        <v>7.1739583197567942</v>
      </c>
      <c r="I309">
        <v>0</v>
      </c>
      <c r="J309">
        <v>0</v>
      </c>
      <c r="K309">
        <v>0</v>
      </c>
      <c r="L309">
        <v>-3</v>
      </c>
      <c r="M309" t="s">
        <v>119</v>
      </c>
      <c r="N309" t="s">
        <v>120</v>
      </c>
      <c r="O309">
        <v>4.4488582161740241E-7</v>
      </c>
      <c r="P309">
        <v>0</v>
      </c>
      <c r="Q309" t="s">
        <v>315</v>
      </c>
      <c r="R309" t="str">
        <f>VLOOKUP(Q309,GDP!$A$2:$B$266,1,FALSE)</f>
        <v>CHE</v>
      </c>
      <c r="S309" t="str">
        <f>VLOOKUP(Q309,GDP!$A$2:$B$266,2,FALSE)</f>
        <v>Switzerland</v>
      </c>
      <c r="T309">
        <f>VLOOKUP(Q309,GDP!$A$1:$L$266,4,FALSE)</f>
        <v>79333.743781088124</v>
      </c>
      <c r="U309" s="4">
        <v>79333.743781088095</v>
      </c>
      <c r="V309" s="5">
        <f>VLOOKUP(Q309,POP!$B$5:$M$269,4,FALSE)</f>
        <v>5651831</v>
      </c>
      <c r="W309" s="4">
        <v>5651831</v>
      </c>
      <c r="X309">
        <f>VLOOKUP(Q309,YU!$B$1:$M$266,4,FALSE)</f>
        <v>8.0589999999999993</v>
      </c>
      <c r="Y309" s="4">
        <v>8.0589999999999993</v>
      </c>
      <c r="Z309">
        <v>5.0176501274108896</v>
      </c>
      <c r="AA309">
        <f t="shared" si="24"/>
        <v>11.281418837683313</v>
      </c>
      <c r="AB309">
        <f t="shared" si="25"/>
        <v>0.75702213557088349</v>
      </c>
      <c r="AC309" s="4">
        <v>0.75702213557088882</v>
      </c>
      <c r="AD309">
        <v>-0.36439498662170949</v>
      </c>
      <c r="AE309">
        <v>-7.2564059829059833</v>
      </c>
      <c r="AG309" s="12">
        <f t="shared" si="26"/>
        <v>0</v>
      </c>
      <c r="AH309" s="12">
        <f t="shared" si="27"/>
        <v>0</v>
      </c>
      <c r="AI309" s="13">
        <f t="shared" si="28"/>
        <v>0</v>
      </c>
      <c r="AJ309" s="14">
        <f t="shared" si="29"/>
        <v>2.2728251077555939E-2</v>
      </c>
    </row>
    <row r="310" spans="1:36" x14ac:dyDescent="0.2">
      <c r="A310">
        <v>2018</v>
      </c>
      <c r="B310" t="s">
        <v>313</v>
      </c>
      <c r="C310">
        <f>VLOOKUP(B310,Sheet5!$B$2:$C$2166,2,FALSE)</f>
        <v>1335</v>
      </c>
      <c r="D310">
        <v>1435</v>
      </c>
      <c r="E310">
        <v>905</v>
      </c>
      <c r="F310" t="s">
        <v>216</v>
      </c>
      <c r="G310">
        <v>5</v>
      </c>
      <c r="H310">
        <v>7.2689201281937219</v>
      </c>
      <c r="I310">
        <v>0</v>
      </c>
      <c r="J310">
        <v>0</v>
      </c>
      <c r="K310">
        <v>0</v>
      </c>
      <c r="L310">
        <v>-2</v>
      </c>
      <c r="M310" t="s">
        <v>119</v>
      </c>
      <c r="N310" t="s">
        <v>120</v>
      </c>
      <c r="O310">
        <v>4.4488582161740241E-7</v>
      </c>
      <c r="P310">
        <v>0</v>
      </c>
      <c r="Q310" t="s">
        <v>315</v>
      </c>
      <c r="R310" t="str">
        <f>VLOOKUP(Q310,GDP!$A$2:$B$266,1,FALSE)</f>
        <v>CHE</v>
      </c>
      <c r="S310" t="str">
        <f>VLOOKUP(Q310,GDP!$A$2:$B$266,2,FALSE)</f>
        <v>Switzerland</v>
      </c>
      <c r="T310">
        <f>VLOOKUP(Q310,GDP!$A$1:$L$266,5,FALSE)</f>
        <v>81371.894412085501</v>
      </c>
      <c r="U310" s="4">
        <v>81371.894412085501</v>
      </c>
      <c r="V310" s="5">
        <f>VLOOKUP(Q310,POP!$B$5:$M$269,5,FALSE)</f>
        <v>5672674</v>
      </c>
      <c r="W310" s="4">
        <v>5672674</v>
      </c>
      <c r="X310">
        <f>VLOOKUP(Q310,YU!$B$1:$M$266,5,FALSE)</f>
        <v>7.9370000000000003</v>
      </c>
      <c r="Y310" s="4">
        <v>7.9370000000000003</v>
      </c>
      <c r="Z310">
        <v>4.9300799369812003</v>
      </c>
      <c r="AA310">
        <f t="shared" si="24"/>
        <v>11.306785214875827</v>
      </c>
      <c r="AB310">
        <f t="shared" si="25"/>
        <v>0.78238851276339716</v>
      </c>
      <c r="AC310" s="4">
        <v>0.78238851276340249</v>
      </c>
      <c r="AD310">
        <v>-0.3607139385696474</v>
      </c>
      <c r="AE310">
        <v>-7.3784059829059823</v>
      </c>
      <c r="AG310" s="12">
        <f t="shared" si="26"/>
        <v>0</v>
      </c>
      <c r="AH310" s="12">
        <f t="shared" si="27"/>
        <v>0</v>
      </c>
      <c r="AI310" s="13">
        <f t="shared" si="28"/>
        <v>0</v>
      </c>
      <c r="AJ310" s="14">
        <f t="shared" si="29"/>
        <v>-7.2233557359371758E-2</v>
      </c>
    </row>
    <row r="311" spans="1:36" x14ac:dyDescent="0.2">
      <c r="A311">
        <v>2019</v>
      </c>
      <c r="B311" t="s">
        <v>313</v>
      </c>
      <c r="C311">
        <f>VLOOKUP(B311,Sheet5!$B$2:$C$2166,2,FALSE)</f>
        <v>1335</v>
      </c>
      <c r="D311">
        <v>1380</v>
      </c>
      <c r="E311">
        <v>885</v>
      </c>
      <c r="F311" t="s">
        <v>317</v>
      </c>
      <c r="G311">
        <v>5</v>
      </c>
      <c r="H311">
        <v>7.2298387781512501</v>
      </c>
      <c r="I311">
        <v>0</v>
      </c>
      <c r="J311">
        <v>0</v>
      </c>
      <c r="K311">
        <v>0</v>
      </c>
      <c r="L311">
        <v>-1</v>
      </c>
      <c r="M311" t="s">
        <v>119</v>
      </c>
      <c r="N311" t="s">
        <v>120</v>
      </c>
      <c r="O311">
        <v>4.4488582161740241E-7</v>
      </c>
      <c r="P311">
        <v>0</v>
      </c>
      <c r="Q311" t="s">
        <v>315</v>
      </c>
      <c r="R311" t="str">
        <f>VLOOKUP(Q311,GDP!$A$2:$B$266,1,FALSE)</f>
        <v>CHE</v>
      </c>
      <c r="S311" t="str">
        <f>VLOOKUP(Q311,GDP!$A$2:$B$266,2,FALSE)</f>
        <v>Switzerland</v>
      </c>
      <c r="T311">
        <f>VLOOKUP(Q311,GDP!$A$1:$L$266,6,FALSE)</f>
        <v>81694.63065231395</v>
      </c>
      <c r="U311" s="4">
        <v>81694.630652313994</v>
      </c>
      <c r="V311" s="5">
        <f>VLOOKUP(Q311,POP!$B$5:$M$269,6,FALSE)</f>
        <v>5692838</v>
      </c>
      <c r="W311" s="4">
        <v>5692838</v>
      </c>
      <c r="X311">
        <f>VLOOKUP(Q311,YU!$B$1:$M$266,6,FALSE)</f>
        <v>7.9930000000000003</v>
      </c>
      <c r="Y311" s="4">
        <v>7.9930000000000003</v>
      </c>
      <c r="Z311">
        <v>5.0143899917602504</v>
      </c>
      <c r="AA311">
        <f t="shared" si="24"/>
        <v>11.310743558398507</v>
      </c>
      <c r="AB311">
        <f t="shared" si="25"/>
        <v>0.7863468562860767</v>
      </c>
      <c r="AC311" s="4">
        <v>0.78634685628608203</v>
      </c>
      <c r="AD311">
        <v>-0.3571656565114516</v>
      </c>
      <c r="AE311">
        <v>-7.3224059829059822</v>
      </c>
      <c r="AG311" s="12">
        <f t="shared" si="26"/>
        <v>0</v>
      </c>
      <c r="AH311" s="12">
        <f t="shared" si="27"/>
        <v>0</v>
      </c>
      <c r="AI311" s="13">
        <f t="shared" si="28"/>
        <v>0</v>
      </c>
      <c r="AJ311" s="14">
        <f t="shared" si="29"/>
        <v>-3.315220731689994E-2</v>
      </c>
    </row>
    <row r="312" spans="1:36" x14ac:dyDescent="0.2">
      <c r="A312">
        <v>2020</v>
      </c>
      <c r="B312" t="s">
        <v>313</v>
      </c>
      <c r="C312">
        <f>VLOOKUP(B312,Sheet5!$B$2:$C$2166,2,FALSE)</f>
        <v>1335</v>
      </c>
      <c r="D312">
        <v>1420</v>
      </c>
      <c r="E312">
        <v>930</v>
      </c>
      <c r="F312" t="s">
        <v>318</v>
      </c>
      <c r="G312">
        <v>10</v>
      </c>
      <c r="H312">
        <v>7.2584121505953068</v>
      </c>
      <c r="I312">
        <v>0</v>
      </c>
      <c r="J312">
        <v>0</v>
      </c>
      <c r="K312">
        <v>0</v>
      </c>
      <c r="L312">
        <v>0</v>
      </c>
      <c r="M312" t="s">
        <v>119</v>
      </c>
      <c r="N312" t="s">
        <v>120</v>
      </c>
      <c r="O312">
        <v>4.4488582161740241E-7</v>
      </c>
      <c r="P312">
        <v>0</v>
      </c>
      <c r="Q312" t="s">
        <v>315</v>
      </c>
      <c r="R312" t="str">
        <f>VLOOKUP(Q312,GDP!$A$2:$B$266,1,FALSE)</f>
        <v>CHE</v>
      </c>
      <c r="S312" t="str">
        <f>VLOOKUP(Q312,GDP!$A$2:$B$266,2,FALSE)</f>
        <v>Switzerland</v>
      </c>
      <c r="T312">
        <f>VLOOKUP(Q312,GDP!$A$1:$L$266,7,FALSE)</f>
        <v>79270.871368714099</v>
      </c>
      <c r="U312" s="4">
        <v>79270.871368714099</v>
      </c>
      <c r="V312" s="5">
        <f>VLOOKUP(Q312,POP!$B$5:$M$269,7,FALSE)</f>
        <v>5718170</v>
      </c>
      <c r="W312" s="4">
        <v>5718170</v>
      </c>
      <c r="X312">
        <f>VLOOKUP(Q312,YU!$B$1:$M$266,7,FALSE)</f>
        <v>8.6029999999999998</v>
      </c>
      <c r="Y312" s="4">
        <v>8.6029999999999998</v>
      </c>
      <c r="Z312">
        <v>5.2767601013183603</v>
      </c>
      <c r="AA312">
        <f t="shared" si="24"/>
        <v>11.280626018185496</v>
      </c>
      <c r="AB312">
        <f t="shared" si="25"/>
        <v>0.75622931607306576</v>
      </c>
      <c r="AC312" s="4">
        <v>0.75622931607307109</v>
      </c>
      <c r="AD312">
        <v>-0.3527257259436869</v>
      </c>
      <c r="AE312">
        <v>-6.7124059829059828</v>
      </c>
      <c r="AG312" s="12">
        <f t="shared" si="26"/>
        <v>0</v>
      </c>
      <c r="AH312" s="12">
        <f t="shared" si="27"/>
        <v>0</v>
      </c>
      <c r="AI312" s="13">
        <f t="shared" si="28"/>
        <v>0</v>
      </c>
      <c r="AJ312" s="14">
        <f t="shared" si="29"/>
        <v>-6.1725579760956606E-2</v>
      </c>
    </row>
    <row r="313" spans="1:36" x14ac:dyDescent="0.2">
      <c r="A313">
        <v>2021</v>
      </c>
      <c r="B313" t="s">
        <v>313</v>
      </c>
      <c r="C313">
        <f>VLOOKUP(B313,Sheet5!$B$2:$C$2166,2,FALSE)</f>
        <v>1335</v>
      </c>
      <c r="D313">
        <v>1320</v>
      </c>
      <c r="E313">
        <v>745</v>
      </c>
      <c r="F313" t="s">
        <v>193</v>
      </c>
      <c r="G313">
        <v>5</v>
      </c>
      <c r="H313">
        <v>7.1853870155804156</v>
      </c>
      <c r="I313">
        <v>0</v>
      </c>
      <c r="J313">
        <v>0</v>
      </c>
      <c r="K313">
        <v>1</v>
      </c>
      <c r="L313">
        <v>1</v>
      </c>
      <c r="M313" t="s">
        <v>119</v>
      </c>
      <c r="N313" t="s">
        <v>120</v>
      </c>
      <c r="O313">
        <v>4.4488582161740241E-7</v>
      </c>
      <c r="P313">
        <v>0</v>
      </c>
      <c r="Q313" t="s">
        <v>315</v>
      </c>
      <c r="R313" t="str">
        <f>VLOOKUP(Q313,GDP!$A$2:$B$266,1,FALSE)</f>
        <v>CHE</v>
      </c>
      <c r="S313" t="str">
        <f>VLOOKUP(Q313,GDP!$A$2:$B$266,2,FALSE)</f>
        <v>Switzerland</v>
      </c>
      <c r="T313">
        <f>VLOOKUP(Q313,GDP!$A$1:$L$266,8,FALSE)</f>
        <v>83524.983288019532</v>
      </c>
      <c r="U313" s="4">
        <v>83524.983288019503</v>
      </c>
      <c r="V313" s="5">
        <f>VLOOKUP(Q313,POP!$B$5:$M$269,8,FALSE)</f>
        <v>5744388</v>
      </c>
      <c r="W313" s="4">
        <v>5744388</v>
      </c>
      <c r="X313">
        <f>VLOOKUP(Q313,YU!$B$1:$M$266,8,FALSE)</f>
        <v>8.3149999999999995</v>
      </c>
      <c r="Y313" s="4">
        <v>8.3149999999999995</v>
      </c>
      <c r="Z313">
        <v>5.0253500938415501</v>
      </c>
      <c r="AA313">
        <f t="shared" si="24"/>
        <v>11.332901067141364</v>
      </c>
      <c r="AB313">
        <f t="shared" si="25"/>
        <v>0.8085043650289343</v>
      </c>
      <c r="AC313" s="4">
        <v>0.80850436502893963</v>
      </c>
      <c r="AD313">
        <v>-0.34815117186579408</v>
      </c>
      <c r="AE313">
        <v>-7.000405982905983</v>
      </c>
      <c r="AG313" s="12">
        <f t="shared" si="26"/>
        <v>0</v>
      </c>
      <c r="AH313" s="12">
        <f t="shared" si="27"/>
        <v>0</v>
      </c>
      <c r="AI313" s="13">
        <f t="shared" si="28"/>
        <v>0</v>
      </c>
      <c r="AJ313" s="14">
        <f t="shared" si="29"/>
        <v>1.1299555253934557E-2</v>
      </c>
    </row>
    <row r="314" spans="1:36" x14ac:dyDescent="0.2">
      <c r="A314">
        <v>2022</v>
      </c>
      <c r="B314" t="s">
        <v>313</v>
      </c>
      <c r="C314">
        <f>VLOOKUP(B314,Sheet5!$B$2:$C$2166,2,FALSE)</f>
        <v>1335</v>
      </c>
      <c r="D314">
        <v>1365</v>
      </c>
      <c r="E314">
        <v>795</v>
      </c>
      <c r="F314" t="s">
        <v>319</v>
      </c>
      <c r="G314">
        <v>5</v>
      </c>
      <c r="H314">
        <v>7.2189097076190603</v>
      </c>
      <c r="I314">
        <v>0</v>
      </c>
      <c r="J314">
        <v>0</v>
      </c>
      <c r="K314">
        <v>1</v>
      </c>
      <c r="L314">
        <v>2</v>
      </c>
      <c r="M314" t="s">
        <v>119</v>
      </c>
      <c r="N314" t="s">
        <v>120</v>
      </c>
      <c r="O314">
        <v>4.4488582161740241E-7</v>
      </c>
      <c r="P314">
        <v>0</v>
      </c>
      <c r="Q314" t="s">
        <v>315</v>
      </c>
      <c r="R314" t="str">
        <f>VLOOKUP(Q314,GDP!$A$2:$B$266,1,FALSE)</f>
        <v>CHE</v>
      </c>
      <c r="S314" t="str">
        <f>VLOOKUP(Q314,GDP!$A$2:$B$266,2,FALSE)</f>
        <v>Switzerland</v>
      </c>
      <c r="T314">
        <f>VLOOKUP(Q314,GDP!$A$1:$L$266,9,FALSE)</f>
        <v>85762.282917430377</v>
      </c>
      <c r="U314" s="4">
        <v>85762.282917430406</v>
      </c>
      <c r="V314" s="5">
        <f>VLOOKUP(Q314,POP!$B$5:$M$269,9,FALSE)</f>
        <v>5767505</v>
      </c>
      <c r="W314" s="4">
        <v>5767505</v>
      </c>
      <c r="X314">
        <f>VLOOKUP(Q314,YU!$B$1:$M$266,9,FALSE)</f>
        <v>6.835</v>
      </c>
      <c r="Y314" s="4">
        <v>6.835</v>
      </c>
      <c r="Z314">
        <v>4.8642702102661097</v>
      </c>
      <c r="AA314">
        <f t="shared" si="24"/>
        <v>11.359334595789766</v>
      </c>
      <c r="AB314">
        <f t="shared" si="25"/>
        <v>0.83493789367733662</v>
      </c>
      <c r="AC314" s="4">
        <v>0.83493789367734372</v>
      </c>
      <c r="AD314">
        <v>-0.34413497208478111</v>
      </c>
      <c r="AE314">
        <v>-8.4804059829059817</v>
      </c>
      <c r="AG314" s="12">
        <f t="shared" si="26"/>
        <v>0</v>
      </c>
      <c r="AH314" s="12">
        <f t="shared" si="27"/>
        <v>0</v>
      </c>
      <c r="AI314" s="13">
        <f t="shared" si="28"/>
        <v>0</v>
      </c>
      <c r="AJ314" s="14">
        <f t="shared" si="29"/>
        <v>-2.2223136784710107E-2</v>
      </c>
    </row>
    <row r="315" spans="1:36" x14ac:dyDescent="0.2">
      <c r="A315">
        <v>2023</v>
      </c>
      <c r="B315" t="s">
        <v>313</v>
      </c>
      <c r="C315">
        <f>VLOOKUP(B315,Sheet5!$B$2:$C$2166,2,FALSE)</f>
        <v>1335</v>
      </c>
      <c r="D315">
        <v>1330</v>
      </c>
      <c r="E315">
        <v>770</v>
      </c>
      <c r="F315" t="s">
        <v>200</v>
      </c>
      <c r="G315">
        <v>5</v>
      </c>
      <c r="H315">
        <v>7.1929342212157996</v>
      </c>
      <c r="I315">
        <v>0</v>
      </c>
      <c r="J315">
        <v>0</v>
      </c>
      <c r="K315">
        <v>1</v>
      </c>
      <c r="L315">
        <v>3</v>
      </c>
      <c r="M315" t="s">
        <v>119</v>
      </c>
      <c r="N315" t="s">
        <v>120</v>
      </c>
      <c r="O315">
        <v>4.4488582161740241E-7</v>
      </c>
      <c r="P315">
        <v>0</v>
      </c>
      <c r="Q315" t="s">
        <v>315</v>
      </c>
      <c r="R315" t="str">
        <f>VLOOKUP(Q315,GDP!$A$2:$B$266,1,FALSE)</f>
        <v>CHE</v>
      </c>
      <c r="S315" t="str">
        <f>VLOOKUP(Q315,GDP!$A$2:$B$266,2,FALSE)</f>
        <v>Switzerland</v>
      </c>
      <c r="T315">
        <f>VLOOKUP(Q315,GDP!$A$1:$L$266,10,FALSE)</f>
        <v>85383.35645040081</v>
      </c>
      <c r="U315" s="4">
        <v>85383.356450400795</v>
      </c>
      <c r="V315" s="5">
        <f>VLOOKUP(Q315,POP!$B$5:$M$269,10,FALSE)</f>
        <v>5811301</v>
      </c>
      <c r="W315" s="4">
        <v>5811301</v>
      </c>
      <c r="X315">
        <f>VLOOKUP(Q315,YU!$B$1:$M$266,10,FALSE)</f>
        <v>7.8650000000000002</v>
      </c>
      <c r="Y315" s="4">
        <v>7.8650000000000002</v>
      </c>
      <c r="AA315">
        <f t="shared" si="24"/>
        <v>11.354906471443698</v>
      </c>
      <c r="AB315">
        <f t="shared" si="25"/>
        <v>0.83050976933126819</v>
      </c>
      <c r="AC315" s="4">
        <v>0.83050976933127174</v>
      </c>
      <c r="AD315">
        <v>-0.33657008001189581</v>
      </c>
      <c r="AE315">
        <v>-7.4504059829059823</v>
      </c>
      <c r="AG315" s="12">
        <f t="shared" si="26"/>
        <v>0</v>
      </c>
      <c r="AH315" s="12">
        <f t="shared" si="27"/>
        <v>0</v>
      </c>
      <c r="AI315" s="13">
        <f t="shared" si="28"/>
        <v>0</v>
      </c>
      <c r="AJ315" s="14">
        <f t="shared" si="29"/>
        <v>3.7523496185505323E-3</v>
      </c>
    </row>
    <row r="316" spans="1:36" x14ac:dyDescent="0.2">
      <c r="A316">
        <v>2024</v>
      </c>
      <c r="B316" t="s">
        <v>313</v>
      </c>
      <c r="C316">
        <f>VLOOKUP(B316,Sheet5!$B$2:$C$2166,2,FALSE)</f>
        <v>1335</v>
      </c>
      <c r="D316">
        <v>1335</v>
      </c>
      <c r="E316">
        <v>750</v>
      </c>
      <c r="F316" t="s">
        <v>320</v>
      </c>
      <c r="G316">
        <v>5</v>
      </c>
      <c r="H316">
        <v>7.1966865708343501</v>
      </c>
      <c r="I316">
        <v>0</v>
      </c>
      <c r="J316">
        <v>0</v>
      </c>
      <c r="K316">
        <v>1</v>
      </c>
      <c r="L316">
        <v>4</v>
      </c>
      <c r="M316" t="s">
        <v>119</v>
      </c>
      <c r="N316" t="s">
        <v>120</v>
      </c>
      <c r="O316">
        <v>4.4488582161740241E-7</v>
      </c>
      <c r="P316">
        <v>0</v>
      </c>
      <c r="Q316" t="s">
        <v>315</v>
      </c>
      <c r="R316" t="str">
        <f>VLOOKUP(Q316,GDP!$A$2:$B$266,1,FALSE)</f>
        <v>CHE</v>
      </c>
      <c r="S316" t="str">
        <f>VLOOKUP(Q316,GDP!$A$2:$B$266,2,FALSE)</f>
        <v>Switzerland</v>
      </c>
      <c r="T316">
        <f>VLOOKUP(Q316,GDP!$A$1:$L$266,11,FALSE)</f>
        <v>85448.058557700715</v>
      </c>
      <c r="U316" s="4">
        <v>85448.0585577007</v>
      </c>
      <c r="V316" s="5">
        <f>VLOOKUP(Q316,POP!$B$5:$M$269,11,FALSE)</f>
        <v>5856342</v>
      </c>
      <c r="W316" s="4">
        <v>5856342</v>
      </c>
      <c r="X316">
        <f>VLOOKUP(Q316,YU!$B$1:$M$266,11,FALSE)</f>
        <v>8.2379999999999995</v>
      </c>
      <c r="Y316" s="4">
        <v>8.2379999999999995</v>
      </c>
      <c r="AA316">
        <f t="shared" si="24"/>
        <v>11.355663968071477</v>
      </c>
      <c r="AB316">
        <f t="shared" si="25"/>
        <v>0.83126726595904721</v>
      </c>
      <c r="AC316" s="4">
        <v>0.83126726595905254</v>
      </c>
      <c r="AD316">
        <v>-0.32884937348387672</v>
      </c>
      <c r="AE316">
        <v>-7.077405982905983</v>
      </c>
      <c r="AG316" s="12">
        <f t="shared" si="26"/>
        <v>0</v>
      </c>
      <c r="AH316" s="12">
        <f t="shared" si="27"/>
        <v>0</v>
      </c>
      <c r="AI316" s="13">
        <f t="shared" si="28"/>
        <v>0</v>
      </c>
      <c r="AJ316" s="14">
        <f t="shared" si="29"/>
        <v>0</v>
      </c>
    </row>
    <row r="317" spans="1:36" x14ac:dyDescent="0.2">
      <c r="A317">
        <v>2016</v>
      </c>
      <c r="B317" t="s">
        <v>321</v>
      </c>
      <c r="C317">
        <f>VLOOKUP(B317,Sheet5!$B$2:$C$2166,2,FALSE)</f>
        <v>165</v>
      </c>
      <c r="D317">
        <v>165</v>
      </c>
      <c r="E317">
        <v>75</v>
      </c>
      <c r="F317" t="s">
        <v>322</v>
      </c>
      <c r="G317">
        <v>0</v>
      </c>
      <c r="H317">
        <v>5.1059454739005803</v>
      </c>
      <c r="I317">
        <v>0</v>
      </c>
      <c r="J317">
        <v>0</v>
      </c>
      <c r="K317">
        <v>0</v>
      </c>
      <c r="L317">
        <v>-4</v>
      </c>
      <c r="M317" t="s">
        <v>119</v>
      </c>
      <c r="N317" t="s">
        <v>120</v>
      </c>
      <c r="O317">
        <v>0.42956229871333163</v>
      </c>
      <c r="P317">
        <v>0</v>
      </c>
      <c r="Q317" t="s">
        <v>323</v>
      </c>
      <c r="R317" t="str">
        <f>VLOOKUP(Q317,GDP!$A$2:$B$266,1,FALSE)</f>
        <v>TZA</v>
      </c>
      <c r="S317" t="str">
        <f>VLOOKUP(Q317,GDP!$A$2:$B$266,2,FALSE)</f>
        <v>Tanzania</v>
      </c>
      <c r="T317">
        <f>VLOOKUP(Q317,GDP!$A$1:$C$266,3,FALSE)</f>
        <v>3214.24682617188</v>
      </c>
      <c r="U317" s="4">
        <v>3214.24682617188</v>
      </c>
      <c r="V317" s="5">
        <f>VLOOKUP(Q317,POP!$B$5:$M$269,3,FALSE)</f>
        <v>28432460</v>
      </c>
      <c r="W317" s="4">
        <v>28432460</v>
      </c>
      <c r="X317">
        <f>VLOOKUP(Q317,YU!$B$1:$D$266,3,FALSE)</f>
        <v>3.2410000000000001</v>
      </c>
      <c r="Y317" s="4">
        <v>3.2410000000000001</v>
      </c>
      <c r="Z317">
        <v>4.1019672179186397</v>
      </c>
      <c r="AA317">
        <f t="shared" si="24"/>
        <v>8.0753483405397066</v>
      </c>
      <c r="AB317">
        <f t="shared" si="25"/>
        <v>-2.4490483615727232</v>
      </c>
      <c r="AC317" s="4">
        <v>-2.4490483615727179</v>
      </c>
      <c r="AD317">
        <v>1.25115690015779</v>
      </c>
      <c r="AE317">
        <v>-12.074405982905979</v>
      </c>
      <c r="AG317" s="12">
        <f t="shared" si="26"/>
        <v>0</v>
      </c>
      <c r="AH317" s="12">
        <f t="shared" si="27"/>
        <v>0</v>
      </c>
      <c r="AI317" s="13">
        <f t="shared" si="28"/>
        <v>0</v>
      </c>
      <c r="AJ317" s="14">
        <f t="shared" si="29"/>
        <v>0</v>
      </c>
    </row>
    <row r="318" spans="1:36" x14ac:dyDescent="0.2">
      <c r="A318">
        <v>2017</v>
      </c>
      <c r="B318" t="s">
        <v>321</v>
      </c>
      <c r="C318">
        <f>VLOOKUP(B318,Sheet5!$B$2:$C$2166,2,FALSE)</f>
        <v>165</v>
      </c>
      <c r="D318">
        <v>150</v>
      </c>
      <c r="E318">
        <v>75</v>
      </c>
      <c r="F318" t="s">
        <v>324</v>
      </c>
      <c r="G318">
        <v>5</v>
      </c>
      <c r="H318">
        <v>5.0106352940962564</v>
      </c>
      <c r="I318">
        <v>0</v>
      </c>
      <c r="J318">
        <v>0</v>
      </c>
      <c r="K318">
        <v>0</v>
      </c>
      <c r="L318">
        <v>-3</v>
      </c>
      <c r="M318" t="s">
        <v>119</v>
      </c>
      <c r="N318" t="s">
        <v>120</v>
      </c>
      <c r="O318">
        <v>0.42956229871333163</v>
      </c>
      <c r="P318">
        <v>0</v>
      </c>
      <c r="Q318" t="s">
        <v>323</v>
      </c>
      <c r="R318" t="str">
        <f>VLOOKUP(Q318,GDP!$A$2:$B$266,1,FALSE)</f>
        <v>TZA</v>
      </c>
      <c r="S318" t="str">
        <f>VLOOKUP(Q318,GDP!$A$2:$B$266,2,FALSE)</f>
        <v>Tanzania</v>
      </c>
      <c r="T318">
        <f>VLOOKUP(Q318,GDP!$A$1:$L$266,4,FALSE)</f>
        <v>3318.28833007813</v>
      </c>
      <c r="U318" s="4">
        <v>3318.28833007813</v>
      </c>
      <c r="V318" s="5">
        <f>VLOOKUP(Q318,POP!$B$5:$M$269,4,FALSE)</f>
        <v>29537005</v>
      </c>
      <c r="W318" s="4">
        <v>29537005</v>
      </c>
      <c r="X318">
        <f>VLOOKUP(Q318,YU!$B$1:$M$266,4,FALSE)</f>
        <v>3.0369999999999999</v>
      </c>
      <c r="Y318" s="4">
        <v>3.0369999999999999</v>
      </c>
      <c r="Z318">
        <v>4.43052005767822</v>
      </c>
      <c r="AA318">
        <f t="shared" si="24"/>
        <v>8.1072043657326365</v>
      </c>
      <c r="AB318">
        <f t="shared" si="25"/>
        <v>-2.4171923363797934</v>
      </c>
      <c r="AC318" s="4">
        <v>-2.417192336379788</v>
      </c>
      <c r="AD318">
        <v>1.289269333937662</v>
      </c>
      <c r="AE318">
        <v>-12.27840598290598</v>
      </c>
      <c r="AG318" s="12">
        <f t="shared" si="26"/>
        <v>0</v>
      </c>
      <c r="AH318" s="12">
        <f t="shared" si="27"/>
        <v>0</v>
      </c>
      <c r="AI318" s="13">
        <f t="shared" si="28"/>
        <v>0</v>
      </c>
      <c r="AJ318" s="14">
        <f t="shared" si="29"/>
        <v>9.531017980432388E-2</v>
      </c>
    </row>
    <row r="319" spans="1:36" x14ac:dyDescent="0.2">
      <c r="A319">
        <v>2018</v>
      </c>
      <c r="B319" t="s">
        <v>321</v>
      </c>
      <c r="C319">
        <f>VLOOKUP(B319,Sheet5!$B$2:$C$2166,2,FALSE)</f>
        <v>165</v>
      </c>
      <c r="D319">
        <v>165</v>
      </c>
      <c r="E319">
        <v>85</v>
      </c>
      <c r="F319" t="s">
        <v>148</v>
      </c>
      <c r="G319">
        <v>5</v>
      </c>
      <c r="H319">
        <v>5.1059454739005803</v>
      </c>
      <c r="I319">
        <v>0</v>
      </c>
      <c r="J319">
        <v>0</v>
      </c>
      <c r="K319">
        <v>0</v>
      </c>
      <c r="L319">
        <v>-2</v>
      </c>
      <c r="M319" t="s">
        <v>119</v>
      </c>
      <c r="N319" t="s">
        <v>120</v>
      </c>
      <c r="O319">
        <v>0.42956229871333163</v>
      </c>
      <c r="P319">
        <v>0</v>
      </c>
      <c r="Q319" t="s">
        <v>323</v>
      </c>
      <c r="R319" t="str">
        <f>VLOOKUP(Q319,GDP!$A$2:$B$266,1,FALSE)</f>
        <v>TZA</v>
      </c>
      <c r="S319" t="str">
        <f>VLOOKUP(Q319,GDP!$A$2:$B$266,2,FALSE)</f>
        <v>Tanzania</v>
      </c>
      <c r="T319">
        <f>VLOOKUP(Q319,GDP!$A$1:$L$266,5,FALSE)</f>
        <v>3392.68872070313</v>
      </c>
      <c r="U319" s="4">
        <v>3392.68872070313</v>
      </c>
      <c r="V319" s="5">
        <f>VLOOKUP(Q319,POP!$B$5:$M$269,5,FALSE)</f>
        <v>30587299</v>
      </c>
      <c r="W319" s="4">
        <v>30587299</v>
      </c>
      <c r="X319">
        <f>VLOOKUP(Q319,YU!$B$1:$M$266,5,FALSE)</f>
        <v>2.8460000000000001</v>
      </c>
      <c r="Y319" s="4">
        <v>2.8460000000000001</v>
      </c>
      <c r="Z319">
        <v>3.6996200084686302</v>
      </c>
      <c r="AA319">
        <f t="shared" si="24"/>
        <v>8.1293780189615443</v>
      </c>
      <c r="AB319">
        <f t="shared" si="25"/>
        <v>-2.3950186831508855</v>
      </c>
      <c r="AC319" s="4">
        <v>-2.3950186831508802</v>
      </c>
      <c r="AD319">
        <v>1.3242103073584679</v>
      </c>
      <c r="AE319">
        <v>-12.469405982905981</v>
      </c>
      <c r="AG319" s="12">
        <f t="shared" si="26"/>
        <v>0</v>
      </c>
      <c r="AH319" s="12">
        <f t="shared" si="27"/>
        <v>0</v>
      </c>
      <c r="AI319" s="13">
        <f t="shared" si="28"/>
        <v>0</v>
      </c>
      <c r="AJ319" s="14">
        <f t="shared" si="29"/>
        <v>0</v>
      </c>
    </row>
    <row r="320" spans="1:36" x14ac:dyDescent="0.2">
      <c r="A320">
        <v>2019</v>
      </c>
      <c r="B320" t="s">
        <v>321</v>
      </c>
      <c r="C320">
        <f>VLOOKUP(B320,Sheet5!$B$2:$C$2166,2,FALSE)</f>
        <v>165</v>
      </c>
      <c r="D320">
        <v>170</v>
      </c>
      <c r="E320">
        <v>70</v>
      </c>
      <c r="F320" t="s">
        <v>133</v>
      </c>
      <c r="G320">
        <v>0</v>
      </c>
      <c r="H320">
        <v>5.1357984370502621</v>
      </c>
      <c r="I320">
        <v>0</v>
      </c>
      <c r="J320">
        <v>0</v>
      </c>
      <c r="K320">
        <v>0</v>
      </c>
      <c r="L320">
        <v>-1</v>
      </c>
      <c r="M320" t="s">
        <v>119</v>
      </c>
      <c r="N320" t="s">
        <v>120</v>
      </c>
      <c r="O320">
        <v>0.42956229871333163</v>
      </c>
      <c r="P320">
        <v>0</v>
      </c>
      <c r="Q320" t="s">
        <v>323</v>
      </c>
      <c r="R320" t="str">
        <f>VLOOKUP(Q320,GDP!$A$2:$B$266,1,FALSE)</f>
        <v>TZA</v>
      </c>
      <c r="S320" t="str">
        <f>VLOOKUP(Q320,GDP!$A$2:$B$266,2,FALSE)</f>
        <v>Tanzania</v>
      </c>
      <c r="T320">
        <f>VLOOKUP(Q320,GDP!$A$1:$L$266,6,FALSE)</f>
        <v>3484.63256835938</v>
      </c>
      <c r="U320" s="4">
        <v>3484.63256835938</v>
      </c>
      <c r="V320" s="5">
        <f>VLOOKUP(Q320,POP!$B$5:$M$269,6,FALSE)</f>
        <v>31603226</v>
      </c>
      <c r="W320" s="4">
        <v>31603226</v>
      </c>
      <c r="X320">
        <f>VLOOKUP(Q320,YU!$B$1:$M$266,6,FALSE)</f>
        <v>2.657</v>
      </c>
      <c r="Y320" s="4">
        <v>2.657</v>
      </c>
      <c r="Z320">
        <v>3.5968363888864801</v>
      </c>
      <c r="AA320">
        <f t="shared" si="24"/>
        <v>8.156117885314691</v>
      </c>
      <c r="AB320">
        <f t="shared" si="25"/>
        <v>-2.3682788167977389</v>
      </c>
      <c r="AC320" s="4">
        <v>-2.368278816797734</v>
      </c>
      <c r="AD320">
        <v>1.3568846539128521</v>
      </c>
      <c r="AE320">
        <v>-12.658405982905981</v>
      </c>
      <c r="AG320" s="12">
        <f t="shared" si="26"/>
        <v>0</v>
      </c>
      <c r="AH320" s="12">
        <f t="shared" si="27"/>
        <v>0</v>
      </c>
      <c r="AI320" s="13">
        <f t="shared" si="28"/>
        <v>0</v>
      </c>
      <c r="AJ320" s="14">
        <f t="shared" si="29"/>
        <v>-2.9852963149681777E-2</v>
      </c>
    </row>
    <row r="321" spans="1:36" x14ac:dyDescent="0.2">
      <c r="A321">
        <v>2020</v>
      </c>
      <c r="B321" t="s">
        <v>321</v>
      </c>
      <c r="C321">
        <f>VLOOKUP(B321,Sheet5!$B$2:$C$2166,2,FALSE)</f>
        <v>165</v>
      </c>
      <c r="D321">
        <v>145</v>
      </c>
      <c r="E321">
        <v>60</v>
      </c>
      <c r="F321" t="s">
        <v>275</v>
      </c>
      <c r="G321">
        <v>0</v>
      </c>
      <c r="H321">
        <v>4.9767337424205742</v>
      </c>
      <c r="I321">
        <v>0</v>
      </c>
      <c r="J321">
        <v>0</v>
      </c>
      <c r="K321">
        <v>0</v>
      </c>
      <c r="L321">
        <v>0</v>
      </c>
      <c r="M321" t="s">
        <v>119</v>
      </c>
      <c r="N321" t="s">
        <v>120</v>
      </c>
      <c r="O321">
        <v>0.42956229871333163</v>
      </c>
      <c r="P321">
        <v>0</v>
      </c>
      <c r="Q321" t="s">
        <v>323</v>
      </c>
      <c r="R321" t="str">
        <f>VLOOKUP(Q321,GDP!$A$2:$B$266,1,FALSE)</f>
        <v>TZA</v>
      </c>
      <c r="S321" t="str">
        <f>VLOOKUP(Q321,GDP!$A$2:$B$266,2,FALSE)</f>
        <v>Tanzania</v>
      </c>
      <c r="T321">
        <f>VLOOKUP(Q321,GDP!$A$1:$L$266,7,FALSE)</f>
        <v>3449.82153320313</v>
      </c>
      <c r="U321" s="4">
        <v>3449.82153320313</v>
      </c>
      <c r="V321" s="5">
        <f>VLOOKUP(Q321,POP!$B$5:$M$269,7,FALSE)</f>
        <v>32686532</v>
      </c>
      <c r="W321" s="4">
        <v>32686532</v>
      </c>
      <c r="X321">
        <f>VLOOKUP(Q321,YU!$B$1:$M$266,7,FALSE)</f>
        <v>2.746</v>
      </c>
      <c r="Y321" s="4">
        <v>2.746</v>
      </c>
      <c r="Z321">
        <v>3.2309725592083298</v>
      </c>
      <c r="AA321">
        <f t="shared" si="24"/>
        <v>8.1460777791810486</v>
      </c>
      <c r="AB321">
        <f t="shared" si="25"/>
        <v>-2.3783189229313813</v>
      </c>
      <c r="AC321" s="4">
        <v>-2.3783189229313759</v>
      </c>
      <c r="AD321">
        <v>1.390588577542994</v>
      </c>
      <c r="AE321">
        <v>-12.56940598290598</v>
      </c>
      <c r="AG321" s="12">
        <f t="shared" si="26"/>
        <v>0</v>
      </c>
      <c r="AH321" s="12">
        <f t="shared" si="27"/>
        <v>0</v>
      </c>
      <c r="AI321" s="13">
        <f t="shared" si="28"/>
        <v>0</v>
      </c>
      <c r="AJ321" s="14">
        <f t="shared" si="29"/>
        <v>0.12921173148000609</v>
      </c>
    </row>
    <row r="322" spans="1:36" x14ac:dyDescent="0.2">
      <c r="A322">
        <v>2021</v>
      </c>
      <c r="B322" t="s">
        <v>321</v>
      </c>
      <c r="C322">
        <f>VLOOKUP(B322,Sheet5!$B$2:$C$2166,2,FALSE)</f>
        <v>165</v>
      </c>
      <c r="D322">
        <v>145</v>
      </c>
      <c r="E322">
        <v>75</v>
      </c>
      <c r="F322" t="s">
        <v>325</v>
      </c>
      <c r="G322">
        <v>0</v>
      </c>
      <c r="H322">
        <v>4.9767337424205742</v>
      </c>
      <c r="I322">
        <v>0</v>
      </c>
      <c r="J322">
        <v>0</v>
      </c>
      <c r="K322">
        <v>1</v>
      </c>
      <c r="L322">
        <v>1</v>
      </c>
      <c r="M322" t="s">
        <v>119</v>
      </c>
      <c r="N322" t="s">
        <v>120</v>
      </c>
      <c r="O322">
        <v>0.42956229871333163</v>
      </c>
      <c r="P322">
        <v>0</v>
      </c>
      <c r="Q322" t="s">
        <v>323</v>
      </c>
      <c r="R322" t="str">
        <f>VLOOKUP(Q322,GDP!$A$2:$B$266,1,FALSE)</f>
        <v>TZA</v>
      </c>
      <c r="S322" t="str">
        <f>VLOOKUP(Q322,GDP!$A$2:$B$266,2,FALSE)</f>
        <v>Tanzania</v>
      </c>
      <c r="T322">
        <f>VLOOKUP(Q322,GDP!$A$1:$L$266,8,FALSE)</f>
        <v>3493.0830078125</v>
      </c>
      <c r="U322" s="4">
        <v>3493.0830078125</v>
      </c>
      <c r="V322" s="5">
        <f>VLOOKUP(Q322,POP!$B$5:$M$269,8,FALSE)</f>
        <v>33827484</v>
      </c>
      <c r="W322" s="4">
        <v>33827484</v>
      </c>
      <c r="X322">
        <f>VLOOKUP(Q322,YU!$B$1:$M$266,8,FALSE)</f>
        <v>2.7519999999999998</v>
      </c>
      <c r="Y322" s="4">
        <v>2.7519999999999998</v>
      </c>
      <c r="Z322">
        <v>3.1151533528878401</v>
      </c>
      <c r="AA322">
        <f t="shared" si="24"/>
        <v>8.1585400085704212</v>
      </c>
      <c r="AB322">
        <f t="shared" si="25"/>
        <v>-2.3658566935420087</v>
      </c>
      <c r="AC322" s="4">
        <v>-2.3658566935420029</v>
      </c>
      <c r="AD322">
        <v>1.4248990580906751</v>
      </c>
      <c r="AE322">
        <v>-12.56340598290598</v>
      </c>
      <c r="AG322" s="12">
        <f t="shared" si="26"/>
        <v>0</v>
      </c>
      <c r="AH322" s="12">
        <f t="shared" si="27"/>
        <v>0</v>
      </c>
      <c r="AI322" s="13">
        <f t="shared" si="28"/>
        <v>0</v>
      </c>
      <c r="AJ322" s="14">
        <f t="shared" si="29"/>
        <v>0.12921173148000609</v>
      </c>
    </row>
    <row r="323" spans="1:36" x14ac:dyDescent="0.2">
      <c r="A323">
        <v>2022</v>
      </c>
      <c r="B323" t="s">
        <v>321</v>
      </c>
      <c r="C323">
        <f>VLOOKUP(B323,Sheet5!$B$2:$C$2166,2,FALSE)</f>
        <v>165</v>
      </c>
      <c r="D323">
        <v>155</v>
      </c>
      <c r="E323">
        <v>85</v>
      </c>
      <c r="F323" t="s">
        <v>131</v>
      </c>
      <c r="G323">
        <v>5</v>
      </c>
      <c r="H323">
        <v>5.0434251169192468</v>
      </c>
      <c r="I323">
        <v>0</v>
      </c>
      <c r="J323">
        <v>0</v>
      </c>
      <c r="K323">
        <v>1</v>
      </c>
      <c r="L323">
        <v>2</v>
      </c>
      <c r="M323" t="s">
        <v>119</v>
      </c>
      <c r="N323" t="s">
        <v>120</v>
      </c>
      <c r="O323">
        <v>0.42956229871333163</v>
      </c>
      <c r="P323">
        <v>0</v>
      </c>
      <c r="Q323" t="s">
        <v>323</v>
      </c>
      <c r="R323" t="str">
        <f>VLOOKUP(Q323,GDP!$A$2:$B$266,1,FALSE)</f>
        <v>TZA</v>
      </c>
      <c r="S323" t="str">
        <f>VLOOKUP(Q323,GDP!$A$2:$B$266,2,FALSE)</f>
        <v>Tanzania</v>
      </c>
      <c r="T323">
        <f>VLOOKUP(Q323,GDP!$A$1:$L$266,9,FALSE)</f>
        <v>3546.98095703125</v>
      </c>
      <c r="U323" s="4">
        <v>3546.98095703125</v>
      </c>
      <c r="V323" s="5">
        <f>VLOOKUP(Q323,POP!$B$5:$M$269,9,FALSE)</f>
        <v>34975915</v>
      </c>
      <c r="W323" s="4">
        <v>34975915</v>
      </c>
      <c r="X323">
        <f>VLOOKUP(Q323,YU!$B$1:$M$266,9,FALSE)</f>
        <v>2.3439999999999999</v>
      </c>
      <c r="Y323" s="4">
        <v>2.3439999999999999</v>
      </c>
      <c r="Z323">
        <v>3.2382450375763998</v>
      </c>
      <c r="AA323">
        <f t="shared" ref="AA323:AA386" si="30">LN(T323)</f>
        <v>8.1738520860056862</v>
      </c>
      <c r="AB323">
        <f t="shared" ref="AB323:AB386" si="31">AA323-AVERAGE($AA$2:$AA$469)</f>
        <v>-2.3505446161067436</v>
      </c>
      <c r="AC323" s="4">
        <v>-2.3505446161067378</v>
      </c>
      <c r="AD323">
        <v>1.458285131676375</v>
      </c>
      <c r="AE323">
        <v>-12.97140598290598</v>
      </c>
      <c r="AG323" s="12">
        <f t="shared" ref="AG323:AG386" si="32">T323-U323</f>
        <v>0</v>
      </c>
      <c r="AH323" s="12">
        <f t="shared" ref="AH323:AH386" si="33">V323-W323</f>
        <v>0</v>
      </c>
      <c r="AI323" s="13">
        <f t="shared" ref="AI323:AI386" si="34">X323-Y323</f>
        <v>0</v>
      </c>
      <c r="AJ323" s="14">
        <f t="shared" ref="AJ323:AJ386" si="35">LN(C323)-H323</f>
        <v>6.2520356981333514E-2</v>
      </c>
    </row>
    <row r="324" spans="1:36" x14ac:dyDescent="0.2">
      <c r="A324">
        <v>2023</v>
      </c>
      <c r="B324" t="s">
        <v>321</v>
      </c>
      <c r="C324">
        <f>VLOOKUP(B324,Sheet5!$B$2:$C$2166,2,FALSE)</f>
        <v>165</v>
      </c>
      <c r="D324">
        <v>195</v>
      </c>
      <c r="E324">
        <v>95</v>
      </c>
      <c r="F324" t="s">
        <v>41</v>
      </c>
      <c r="G324">
        <v>5</v>
      </c>
      <c r="H324">
        <v>5.2729995585637468</v>
      </c>
      <c r="I324">
        <v>0</v>
      </c>
      <c r="J324">
        <v>0</v>
      </c>
      <c r="K324">
        <v>1</v>
      </c>
      <c r="L324">
        <v>3</v>
      </c>
      <c r="M324" t="s">
        <v>119</v>
      </c>
      <c r="N324" t="s">
        <v>120</v>
      </c>
      <c r="O324">
        <v>0.42956229871333163</v>
      </c>
      <c r="P324">
        <v>0</v>
      </c>
      <c r="Q324" t="s">
        <v>323</v>
      </c>
      <c r="R324" t="str">
        <f>VLOOKUP(Q324,GDP!$A$2:$B$266,1,FALSE)</f>
        <v>TZA</v>
      </c>
      <c r="S324" t="str">
        <f>VLOOKUP(Q324,GDP!$A$2:$B$266,2,FALSE)</f>
        <v>Tanzania</v>
      </c>
      <c r="T324">
        <f>VLOOKUP(Q324,GDP!$A$1:$L$266,10,FALSE)</f>
        <v>3620.79345703125</v>
      </c>
      <c r="U324" s="4">
        <v>3620.79345703125</v>
      </c>
      <c r="V324" s="5">
        <f>VLOOKUP(Q324,POP!$B$5:$M$269,10,FALSE)</f>
        <v>36128663</v>
      </c>
      <c r="W324" s="4">
        <v>36128663</v>
      </c>
      <c r="X324">
        <f>VLOOKUP(Q324,YU!$B$1:$M$266,10,FALSE)</f>
        <v>2.339</v>
      </c>
      <c r="Y324" s="4">
        <v>2.339</v>
      </c>
      <c r="Z324">
        <v>3.2585322214653099</v>
      </c>
      <c r="AA324">
        <f t="shared" si="30"/>
        <v>8.1944484678270566</v>
      </c>
      <c r="AB324">
        <f t="shared" si="31"/>
        <v>-2.3299482342853732</v>
      </c>
      <c r="AC324" s="4">
        <v>-2.3299482342853679</v>
      </c>
      <c r="AD324">
        <v>1.4907119891391269</v>
      </c>
      <c r="AE324">
        <v>-12.97640598290598</v>
      </c>
      <c r="AG324" s="12">
        <f t="shared" si="32"/>
        <v>0</v>
      </c>
      <c r="AH324" s="12">
        <f t="shared" si="33"/>
        <v>0</v>
      </c>
      <c r="AI324" s="13">
        <f t="shared" si="34"/>
        <v>0</v>
      </c>
      <c r="AJ324" s="14">
        <f t="shared" si="35"/>
        <v>-0.16705408466316651</v>
      </c>
    </row>
    <row r="325" spans="1:36" x14ac:dyDescent="0.2">
      <c r="A325">
        <v>2024</v>
      </c>
      <c r="B325" t="s">
        <v>321</v>
      </c>
      <c r="C325">
        <f>VLOOKUP(B325,Sheet5!$B$2:$C$2166,2,FALSE)</f>
        <v>165</v>
      </c>
      <c r="D325">
        <v>175</v>
      </c>
      <c r="E325">
        <v>75</v>
      </c>
      <c r="F325" t="s">
        <v>133</v>
      </c>
      <c r="G325">
        <v>0</v>
      </c>
      <c r="H325">
        <v>5.1647859739235136</v>
      </c>
      <c r="I325">
        <v>0</v>
      </c>
      <c r="J325">
        <v>0</v>
      </c>
      <c r="K325">
        <v>1</v>
      </c>
      <c r="L325">
        <v>4</v>
      </c>
      <c r="M325" t="s">
        <v>119</v>
      </c>
      <c r="N325" t="s">
        <v>120</v>
      </c>
      <c r="O325">
        <v>0.42956229871333163</v>
      </c>
      <c r="P325">
        <v>0</v>
      </c>
      <c r="Q325" t="s">
        <v>323</v>
      </c>
      <c r="R325" t="str">
        <f>VLOOKUP(Q325,GDP!$A$2:$B$266,1,FALSE)</f>
        <v>TZA</v>
      </c>
      <c r="S325" t="str">
        <f>VLOOKUP(Q325,GDP!$A$2:$B$266,2,FALSE)</f>
        <v>Tanzania</v>
      </c>
      <c r="T325">
        <f>VLOOKUP(Q325,GDP!$A$1:$L$266,11,FALSE)</f>
        <v>3713.26293945313</v>
      </c>
      <c r="U325" s="4">
        <v>3713.26293945313</v>
      </c>
      <c r="V325" s="5">
        <f>VLOOKUP(Q325,POP!$B$5:$M$269,11,FALSE)</f>
        <v>37309677</v>
      </c>
      <c r="W325" s="4">
        <v>37309677</v>
      </c>
      <c r="X325">
        <f>VLOOKUP(Q325,YU!$B$1:$M$266,11,FALSE)</f>
        <v>2.3340000000000001</v>
      </c>
      <c r="Y325" s="4">
        <v>2.3340000000000001</v>
      </c>
      <c r="Z325">
        <v>3.1550443790693601</v>
      </c>
      <c r="AA325">
        <f t="shared" si="30"/>
        <v>8.2196662675741781</v>
      </c>
      <c r="AB325">
        <f t="shared" si="31"/>
        <v>-2.3047304345382518</v>
      </c>
      <c r="AC325" s="4">
        <v>-2.304730434538246</v>
      </c>
      <c r="AD325">
        <v>1.5228781799222111</v>
      </c>
      <c r="AE325">
        <v>-12.981405982905979</v>
      </c>
      <c r="AG325" s="12">
        <f t="shared" si="32"/>
        <v>0</v>
      </c>
      <c r="AH325" s="12">
        <f t="shared" si="33"/>
        <v>0</v>
      </c>
      <c r="AI325" s="13">
        <f t="shared" si="34"/>
        <v>0</v>
      </c>
      <c r="AJ325" s="14">
        <f t="shared" si="35"/>
        <v>-5.8840500022933284E-2</v>
      </c>
    </row>
    <row r="326" spans="1:36" x14ac:dyDescent="0.2">
      <c r="A326">
        <v>2016</v>
      </c>
      <c r="B326" t="s">
        <v>326</v>
      </c>
      <c r="C326">
        <f>VLOOKUP(B326,Sheet5!$B$2:$C$2166,2,FALSE)</f>
        <v>205</v>
      </c>
      <c r="D326">
        <v>205</v>
      </c>
      <c r="E326">
        <v>95</v>
      </c>
      <c r="F326" t="s">
        <v>149</v>
      </c>
      <c r="G326">
        <v>0</v>
      </c>
      <c r="H326">
        <v>5.3230099791384076</v>
      </c>
      <c r="I326">
        <v>0</v>
      </c>
      <c r="J326">
        <v>0</v>
      </c>
      <c r="K326">
        <v>0</v>
      </c>
      <c r="L326">
        <v>-4</v>
      </c>
      <c r="M326" t="s">
        <v>119</v>
      </c>
      <c r="N326" t="s">
        <v>120</v>
      </c>
      <c r="O326">
        <v>3.081003046044716</v>
      </c>
      <c r="P326">
        <v>0</v>
      </c>
      <c r="Q326" t="s">
        <v>327</v>
      </c>
      <c r="R326" t="str">
        <f>VLOOKUP(Q326,GDP!$A$2:$B$266,1,FALSE)</f>
        <v>TTO</v>
      </c>
      <c r="S326" t="str">
        <f>VLOOKUP(Q326,GDP!$A$2:$B$266,2,FALSE)</f>
        <v>Trinidad and Tobago</v>
      </c>
      <c r="T326">
        <f>VLOOKUP(Q326,GDP!$A$1:$C$266,3,FALSE)</f>
        <v>35914.990197098305</v>
      </c>
      <c r="U326" s="4">
        <v>35914.990197098297</v>
      </c>
      <c r="V326" s="5">
        <f>VLOOKUP(Q326,POP!$B$5:$M$269,3,FALSE)</f>
        <v>975664</v>
      </c>
      <c r="W326" s="4">
        <v>975664</v>
      </c>
      <c r="X326">
        <f>VLOOKUP(Q326,YU!$B$1:$D$266,3,FALSE)</f>
        <v>8.7189999999999994</v>
      </c>
      <c r="Y326" s="4">
        <v>8.7189999999999994</v>
      </c>
      <c r="Z326">
        <v>4.21428227509361</v>
      </c>
      <c r="AA326">
        <f t="shared" si="30"/>
        <v>10.488910041561581</v>
      </c>
      <c r="AB326">
        <f t="shared" si="31"/>
        <v>-3.548666055084837E-2</v>
      </c>
      <c r="AC326" s="4">
        <v>-3.5486660550843041E-2</v>
      </c>
      <c r="AD326">
        <v>-2.1210115642129161</v>
      </c>
      <c r="AE326">
        <v>-6.5964059829059831</v>
      </c>
      <c r="AG326" s="12">
        <f t="shared" si="32"/>
        <v>0</v>
      </c>
      <c r="AH326" s="12">
        <f t="shared" si="33"/>
        <v>0</v>
      </c>
      <c r="AI326" s="13">
        <f t="shared" si="34"/>
        <v>0</v>
      </c>
      <c r="AJ326" s="14">
        <f t="shared" si="35"/>
        <v>0</v>
      </c>
    </row>
    <row r="327" spans="1:36" x14ac:dyDescent="0.2">
      <c r="A327">
        <v>2017</v>
      </c>
      <c r="B327" t="s">
        <v>326</v>
      </c>
      <c r="C327">
        <f>VLOOKUP(B327,Sheet5!$B$2:$C$2166,2,FALSE)</f>
        <v>205</v>
      </c>
      <c r="D327">
        <v>185</v>
      </c>
      <c r="E327">
        <v>100</v>
      </c>
      <c r="F327" t="s">
        <v>143</v>
      </c>
      <c r="G327">
        <v>5</v>
      </c>
      <c r="H327">
        <v>5.2203558250783244</v>
      </c>
      <c r="I327">
        <v>0</v>
      </c>
      <c r="J327">
        <v>0</v>
      </c>
      <c r="K327">
        <v>0</v>
      </c>
      <c r="L327">
        <v>-3</v>
      </c>
      <c r="M327" t="s">
        <v>119</v>
      </c>
      <c r="N327" t="s">
        <v>120</v>
      </c>
      <c r="O327">
        <v>3.081003046044716</v>
      </c>
      <c r="P327">
        <v>0</v>
      </c>
      <c r="Q327" t="s">
        <v>327</v>
      </c>
      <c r="R327" t="str">
        <f>VLOOKUP(Q327,GDP!$A$2:$B$266,1,FALSE)</f>
        <v>TTO</v>
      </c>
      <c r="S327" t="str">
        <f>VLOOKUP(Q327,GDP!$A$2:$B$266,2,FALSE)</f>
        <v>Trinidad and Tobago</v>
      </c>
      <c r="T327">
        <f>VLOOKUP(Q327,GDP!$A$1:$L$266,4,FALSE)</f>
        <v>34095.989925615169</v>
      </c>
      <c r="U327" s="4">
        <v>34095.989925615198</v>
      </c>
      <c r="V327" s="5">
        <f>VLOOKUP(Q327,POP!$B$5:$M$269,4,FALSE)</f>
        <v>973222</v>
      </c>
      <c r="W327" s="4">
        <v>973222</v>
      </c>
      <c r="X327">
        <f>VLOOKUP(Q327,YU!$B$1:$M$266,4,FALSE)</f>
        <v>9.0269999999999992</v>
      </c>
      <c r="Y327" s="4">
        <v>9.0269999999999992</v>
      </c>
      <c r="Z327">
        <v>3.3293687903123002</v>
      </c>
      <c r="AA327">
        <f t="shared" si="30"/>
        <v>10.43693505886719</v>
      </c>
      <c r="AB327">
        <f t="shared" si="31"/>
        <v>-8.7461643245239529E-2</v>
      </c>
      <c r="AC327" s="4">
        <v>-8.74616432452342E-2</v>
      </c>
      <c r="AD327">
        <v>-2.1235176125687829</v>
      </c>
      <c r="AE327">
        <v>-6.2884059829059833</v>
      </c>
      <c r="AG327" s="12">
        <f t="shared" si="32"/>
        <v>0</v>
      </c>
      <c r="AH327" s="12">
        <f t="shared" si="33"/>
        <v>0</v>
      </c>
      <c r="AI327" s="13">
        <f t="shared" si="34"/>
        <v>0</v>
      </c>
      <c r="AJ327" s="14">
        <f t="shared" si="35"/>
        <v>0.10265415406008405</v>
      </c>
    </row>
    <row r="328" spans="1:36" x14ac:dyDescent="0.2">
      <c r="A328">
        <v>2018</v>
      </c>
      <c r="B328" t="s">
        <v>326</v>
      </c>
      <c r="C328">
        <f>VLOOKUP(B328,Sheet5!$B$2:$C$2166,2,FALSE)</f>
        <v>205</v>
      </c>
      <c r="D328">
        <v>210</v>
      </c>
      <c r="E328">
        <v>100</v>
      </c>
      <c r="F328" t="s">
        <v>41</v>
      </c>
      <c r="G328">
        <v>0</v>
      </c>
      <c r="H328">
        <v>5.3471075307174676</v>
      </c>
      <c r="I328">
        <v>0</v>
      </c>
      <c r="J328">
        <v>0</v>
      </c>
      <c r="K328">
        <v>0</v>
      </c>
      <c r="L328">
        <v>-2</v>
      </c>
      <c r="M328" t="s">
        <v>119</v>
      </c>
      <c r="N328" t="s">
        <v>120</v>
      </c>
      <c r="O328">
        <v>3.081003046044716</v>
      </c>
      <c r="P328">
        <v>0</v>
      </c>
      <c r="Q328" t="s">
        <v>327</v>
      </c>
      <c r="R328" t="str">
        <f>VLOOKUP(Q328,GDP!$A$2:$B$266,1,FALSE)</f>
        <v>TTO</v>
      </c>
      <c r="S328" t="str">
        <f>VLOOKUP(Q328,GDP!$A$2:$B$266,2,FALSE)</f>
        <v>Trinidad and Tobago</v>
      </c>
      <c r="T328">
        <f>VLOOKUP(Q328,GDP!$A$1:$L$266,5,FALSE)</f>
        <v>33710.017854000784</v>
      </c>
      <c r="U328" s="4">
        <v>33710.017854000798</v>
      </c>
      <c r="V328" s="5">
        <f>VLOOKUP(Q328,POP!$B$5:$M$269,5,FALSE)</f>
        <v>973314</v>
      </c>
      <c r="W328" s="4">
        <v>973314</v>
      </c>
      <c r="X328">
        <f>VLOOKUP(Q328,YU!$B$1:$M$266,5,FALSE)</f>
        <v>9.1639999999999997</v>
      </c>
      <c r="Y328" s="4">
        <v>9.1639999999999997</v>
      </c>
      <c r="Z328">
        <v>3.4714176267405201</v>
      </c>
      <c r="AA328">
        <f t="shared" si="30"/>
        <v>10.425550337863113</v>
      </c>
      <c r="AB328">
        <f t="shared" si="31"/>
        <v>-9.884636424931692E-2</v>
      </c>
      <c r="AC328" s="4">
        <v>-9.8846364249311591E-2</v>
      </c>
      <c r="AD328">
        <v>-2.1234230856758121</v>
      </c>
      <c r="AE328">
        <v>-6.1514059829059828</v>
      </c>
      <c r="AG328" s="12">
        <f t="shared" si="32"/>
        <v>0</v>
      </c>
      <c r="AH328" s="12">
        <f t="shared" si="33"/>
        <v>0</v>
      </c>
      <c r="AI328" s="13">
        <f t="shared" si="34"/>
        <v>0</v>
      </c>
      <c r="AJ328" s="14">
        <f t="shared" si="35"/>
        <v>-2.4097551579059129E-2</v>
      </c>
    </row>
    <row r="329" spans="1:36" x14ac:dyDescent="0.2">
      <c r="A329">
        <v>2019</v>
      </c>
      <c r="B329" t="s">
        <v>326</v>
      </c>
      <c r="C329">
        <f>VLOOKUP(B329,Sheet5!$B$2:$C$2166,2,FALSE)</f>
        <v>205</v>
      </c>
      <c r="D329">
        <v>195</v>
      </c>
      <c r="E329">
        <v>100</v>
      </c>
      <c r="F329" t="s">
        <v>328</v>
      </c>
      <c r="G329">
        <v>0</v>
      </c>
      <c r="H329">
        <v>5.2729995585637468</v>
      </c>
      <c r="I329">
        <v>0</v>
      </c>
      <c r="J329">
        <v>0</v>
      </c>
      <c r="K329">
        <v>0</v>
      </c>
      <c r="L329">
        <v>-1</v>
      </c>
      <c r="M329" t="s">
        <v>119</v>
      </c>
      <c r="N329" t="s">
        <v>120</v>
      </c>
      <c r="O329">
        <v>3.081003046044716</v>
      </c>
      <c r="P329">
        <v>0</v>
      </c>
      <c r="Q329" t="s">
        <v>327</v>
      </c>
      <c r="R329" t="str">
        <f>VLOOKUP(Q329,GDP!$A$2:$B$266,1,FALSE)</f>
        <v>TTO</v>
      </c>
      <c r="S329" t="str">
        <f>VLOOKUP(Q329,GDP!$A$2:$B$266,2,FALSE)</f>
        <v>Trinidad and Tobago</v>
      </c>
      <c r="T329">
        <f>VLOOKUP(Q329,GDP!$A$1:$L$266,6,FALSE)</f>
        <v>33748.706084992446</v>
      </c>
      <c r="U329" s="4">
        <v>33748.706084992402</v>
      </c>
      <c r="V329" s="5">
        <f>VLOOKUP(Q329,POP!$B$5:$M$269,6,FALSE)</f>
        <v>972739</v>
      </c>
      <c r="W329" s="4">
        <v>972739</v>
      </c>
      <c r="X329">
        <f>VLOOKUP(Q329,YU!$B$1:$M$266,6,FALSE)</f>
        <v>9.17</v>
      </c>
      <c r="Y329" s="4">
        <v>9.17</v>
      </c>
      <c r="Z329">
        <v>3.5538611624526801</v>
      </c>
      <c r="AA329">
        <f t="shared" si="30"/>
        <v>10.426697357343301</v>
      </c>
      <c r="AB329">
        <f t="shared" si="31"/>
        <v>-9.7699344769129226E-2</v>
      </c>
      <c r="AC329" s="4">
        <v>-9.7699344769123897E-2</v>
      </c>
      <c r="AD329">
        <v>-2.124014025405339</v>
      </c>
      <c r="AE329">
        <v>-6.1454059829059826</v>
      </c>
      <c r="AG329" s="12">
        <f t="shared" si="32"/>
        <v>0</v>
      </c>
      <c r="AH329" s="12">
        <f t="shared" si="33"/>
        <v>0</v>
      </c>
      <c r="AI329" s="13">
        <f t="shared" si="34"/>
        <v>0</v>
      </c>
      <c r="AJ329" s="14">
        <f t="shared" si="35"/>
        <v>5.0010420574661651E-2</v>
      </c>
    </row>
    <row r="330" spans="1:36" x14ac:dyDescent="0.2">
      <c r="A330">
        <v>2020</v>
      </c>
      <c r="B330" t="s">
        <v>326</v>
      </c>
      <c r="C330">
        <f>VLOOKUP(B330,Sheet5!$B$2:$C$2166,2,FALSE)</f>
        <v>205</v>
      </c>
      <c r="D330">
        <v>175</v>
      </c>
      <c r="E330">
        <v>70</v>
      </c>
      <c r="F330" t="s">
        <v>210</v>
      </c>
      <c r="G330">
        <v>0</v>
      </c>
      <c r="H330">
        <v>5.1647859739235136</v>
      </c>
      <c r="I330">
        <v>0</v>
      </c>
      <c r="J330">
        <v>0</v>
      </c>
      <c r="K330">
        <v>0</v>
      </c>
      <c r="L330">
        <v>0</v>
      </c>
      <c r="M330" t="s">
        <v>119</v>
      </c>
      <c r="N330" t="s">
        <v>120</v>
      </c>
      <c r="O330">
        <v>3.081003046044716</v>
      </c>
      <c r="P330">
        <v>0</v>
      </c>
      <c r="Q330" t="s">
        <v>327</v>
      </c>
      <c r="R330" t="str">
        <f>VLOOKUP(Q330,GDP!$A$2:$B$266,1,FALSE)</f>
        <v>TTO</v>
      </c>
      <c r="S330" t="str">
        <f>VLOOKUP(Q330,GDP!$A$2:$B$266,2,FALSE)</f>
        <v>Trinidad and Tobago</v>
      </c>
      <c r="T330">
        <f>VLOOKUP(Q330,GDP!$A$1:$L$266,7,FALSE)</f>
        <v>30720.887693604225</v>
      </c>
      <c r="U330" s="4">
        <v>30720.8876936042</v>
      </c>
      <c r="V330" s="5">
        <f>VLOOKUP(Q330,POP!$B$5:$M$269,7,FALSE)</f>
        <v>967776</v>
      </c>
      <c r="W330" s="4">
        <v>967776</v>
      </c>
      <c r="X330">
        <f>VLOOKUP(Q330,YU!$B$1:$M$266,7,FALSE)</f>
        <v>11.81</v>
      </c>
      <c r="Y330" s="4">
        <v>11.81</v>
      </c>
      <c r="Z330">
        <v>4.22041988372803</v>
      </c>
      <c r="AA330">
        <f t="shared" si="30"/>
        <v>10.332698083120299</v>
      </c>
      <c r="AB330">
        <f t="shared" si="31"/>
        <v>-0.19169861899213103</v>
      </c>
      <c r="AC330" s="4">
        <v>-0.19169861899212751</v>
      </c>
      <c r="AD330">
        <v>-2.1291291735194182</v>
      </c>
      <c r="AE330">
        <v>-3.505405982905982</v>
      </c>
      <c r="AG330" s="12">
        <f t="shared" si="32"/>
        <v>0</v>
      </c>
      <c r="AH330" s="12">
        <f t="shared" si="33"/>
        <v>0</v>
      </c>
      <c r="AI330" s="13">
        <f t="shared" si="34"/>
        <v>0</v>
      </c>
      <c r="AJ330" s="14">
        <f t="shared" si="35"/>
        <v>0.15822400521489488</v>
      </c>
    </row>
    <row r="331" spans="1:36" x14ac:dyDescent="0.2">
      <c r="A331">
        <v>2021</v>
      </c>
      <c r="B331" t="s">
        <v>326</v>
      </c>
      <c r="C331">
        <f>VLOOKUP(B331,Sheet5!$B$2:$C$2166,2,FALSE)</f>
        <v>205</v>
      </c>
      <c r="D331">
        <v>140</v>
      </c>
      <c r="E331">
        <v>55</v>
      </c>
      <c r="F331" t="s">
        <v>329</v>
      </c>
      <c r="G331">
        <v>0</v>
      </c>
      <c r="H331">
        <v>4.9416424226093039</v>
      </c>
      <c r="I331">
        <v>0</v>
      </c>
      <c r="J331">
        <v>0</v>
      </c>
      <c r="K331">
        <v>1</v>
      </c>
      <c r="L331">
        <v>1</v>
      </c>
      <c r="M331" t="s">
        <v>119</v>
      </c>
      <c r="N331" t="s">
        <v>120</v>
      </c>
      <c r="O331">
        <v>3.081003046044716</v>
      </c>
      <c r="P331">
        <v>0</v>
      </c>
      <c r="Q331" t="s">
        <v>327</v>
      </c>
      <c r="R331" t="str">
        <f>VLOOKUP(Q331,GDP!$A$2:$B$266,1,FALSE)</f>
        <v>TTO</v>
      </c>
      <c r="S331" t="str">
        <f>VLOOKUP(Q331,GDP!$A$2:$B$266,2,FALSE)</f>
        <v>Trinidad and Tobago</v>
      </c>
      <c r="T331">
        <f>VLOOKUP(Q331,GDP!$A$1:$L$266,8,FALSE)</f>
        <v>30482.120179863054</v>
      </c>
      <c r="U331" s="4">
        <v>30482.120179863101</v>
      </c>
      <c r="V331" s="5">
        <f>VLOOKUP(Q331,POP!$B$5:$M$269,8,FALSE)</f>
        <v>964664</v>
      </c>
      <c r="W331" s="4">
        <v>964664</v>
      </c>
      <c r="X331">
        <f>VLOOKUP(Q331,YU!$B$1:$M$266,8,FALSE)</f>
        <v>13.145</v>
      </c>
      <c r="Y331" s="4">
        <v>13.145</v>
      </c>
      <c r="Z331">
        <v>3.0439798831939702</v>
      </c>
      <c r="AA331">
        <f t="shared" si="30"/>
        <v>10.324895567088211</v>
      </c>
      <c r="AB331">
        <f t="shared" si="31"/>
        <v>-0.19950113502421907</v>
      </c>
      <c r="AC331" s="4">
        <v>-0.19950113502421199</v>
      </c>
      <c r="AD331">
        <v>-2.132349974879574</v>
      </c>
      <c r="AE331">
        <v>-2.170405982905983</v>
      </c>
      <c r="AG331" s="12">
        <f t="shared" si="32"/>
        <v>-4.7293724492192268E-11</v>
      </c>
      <c r="AH331" s="12">
        <f t="shared" si="33"/>
        <v>0</v>
      </c>
      <c r="AI331" s="13">
        <f t="shared" si="34"/>
        <v>0</v>
      </c>
      <c r="AJ331" s="14">
        <f t="shared" si="35"/>
        <v>0.38136755652910459</v>
      </c>
    </row>
    <row r="332" spans="1:36" x14ac:dyDescent="0.2">
      <c r="A332">
        <v>2022</v>
      </c>
      <c r="B332" t="s">
        <v>326</v>
      </c>
      <c r="C332">
        <f>VLOOKUP(B332,Sheet5!$B$2:$C$2166,2,FALSE)</f>
        <v>205</v>
      </c>
      <c r="D332">
        <v>130</v>
      </c>
      <c r="E332">
        <v>50</v>
      </c>
      <c r="F332" t="s">
        <v>330</v>
      </c>
      <c r="G332">
        <v>5</v>
      </c>
      <c r="H332">
        <v>4.8675344504555822</v>
      </c>
      <c r="I332">
        <v>0</v>
      </c>
      <c r="J332">
        <v>0</v>
      </c>
      <c r="K332">
        <v>1</v>
      </c>
      <c r="L332">
        <v>2</v>
      </c>
      <c r="M332" t="s">
        <v>119</v>
      </c>
      <c r="N332" t="s">
        <v>120</v>
      </c>
      <c r="O332">
        <v>3.081003046044716</v>
      </c>
      <c r="P332">
        <v>0</v>
      </c>
      <c r="Q332" t="s">
        <v>327</v>
      </c>
      <c r="R332" t="str">
        <f>VLOOKUP(Q332,GDP!$A$2:$B$266,1,FALSE)</f>
        <v>TTO</v>
      </c>
      <c r="S332" t="str">
        <f>VLOOKUP(Q332,GDP!$A$2:$B$266,2,FALSE)</f>
        <v>Trinidad and Tobago</v>
      </c>
      <c r="T332">
        <f>VLOOKUP(Q332,GDP!$A$1:$L$266,9,FALSE)</f>
        <v>30784.111258035569</v>
      </c>
      <c r="U332" s="4">
        <v>30784.111258035598</v>
      </c>
      <c r="V332" s="5">
        <f>VLOOKUP(Q332,POP!$B$5:$M$269,9,FALSE)</f>
        <v>960759</v>
      </c>
      <c r="W332" s="4">
        <v>960759</v>
      </c>
      <c r="X332">
        <f>VLOOKUP(Q332,YU!$B$1:$M$266,9,FALSE)</f>
        <v>10.596</v>
      </c>
      <c r="Y332" s="4">
        <v>10.596</v>
      </c>
      <c r="Z332">
        <v>2.8180100917816202</v>
      </c>
      <c r="AA332">
        <f t="shared" si="30"/>
        <v>10.334753967610265</v>
      </c>
      <c r="AB332">
        <f t="shared" si="31"/>
        <v>-0.18964273450216496</v>
      </c>
      <c r="AC332" s="4">
        <v>-0.18964273450215791</v>
      </c>
      <c r="AD332">
        <v>-2.1364062319764829</v>
      </c>
      <c r="AE332">
        <v>-4.7194059829059816</v>
      </c>
      <c r="AG332" s="12">
        <f t="shared" si="32"/>
        <v>-2.9103830456733704E-11</v>
      </c>
      <c r="AH332" s="12">
        <f t="shared" si="33"/>
        <v>0</v>
      </c>
      <c r="AI332" s="13">
        <f t="shared" si="34"/>
        <v>0</v>
      </c>
      <c r="AJ332" s="14">
        <f t="shared" si="35"/>
        <v>0.45547552868282626</v>
      </c>
    </row>
    <row r="333" spans="1:36" x14ac:dyDescent="0.2">
      <c r="A333">
        <v>2023</v>
      </c>
      <c r="B333" t="s">
        <v>326</v>
      </c>
      <c r="C333">
        <f>VLOOKUP(B333,Sheet5!$B$2:$C$2166,2,FALSE)</f>
        <v>205</v>
      </c>
      <c r="D333">
        <v>165</v>
      </c>
      <c r="E333">
        <v>75</v>
      </c>
      <c r="F333" t="s">
        <v>331</v>
      </c>
      <c r="G333">
        <v>0</v>
      </c>
      <c r="H333">
        <v>5.1059454739005803</v>
      </c>
      <c r="I333">
        <v>0</v>
      </c>
      <c r="J333">
        <v>0</v>
      </c>
      <c r="K333">
        <v>1</v>
      </c>
      <c r="L333">
        <v>3</v>
      </c>
      <c r="M333" t="s">
        <v>119</v>
      </c>
      <c r="N333" t="s">
        <v>120</v>
      </c>
      <c r="O333">
        <v>3.081003046044716</v>
      </c>
      <c r="P333">
        <v>0</v>
      </c>
      <c r="Q333" t="s">
        <v>327</v>
      </c>
      <c r="R333" t="str">
        <f>VLOOKUP(Q333,GDP!$A$2:$B$266,1,FALSE)</f>
        <v>TTO</v>
      </c>
      <c r="S333" t="str">
        <f>VLOOKUP(Q333,GDP!$A$2:$B$266,2,FALSE)</f>
        <v>Trinidad and Tobago</v>
      </c>
      <c r="T333">
        <f>VLOOKUP(Q333,GDP!$A$1:$L$266,10,FALSE)</f>
        <v>31196.603554717982</v>
      </c>
      <c r="U333" s="4">
        <v>31196.603554718</v>
      </c>
      <c r="V333" s="5">
        <f>VLOOKUP(Q333,POP!$B$5:$M$269,10,FALSE)</f>
        <v>958885</v>
      </c>
      <c r="W333" s="4">
        <v>958885</v>
      </c>
      <c r="X333">
        <f>VLOOKUP(Q333,YU!$B$1:$M$266,10,FALSE)</f>
        <v>8.0410000000000004</v>
      </c>
      <c r="Y333" s="4">
        <v>8.0410000000000004</v>
      </c>
      <c r="Z333">
        <v>3.2335801124572701</v>
      </c>
      <c r="AA333">
        <f t="shared" si="30"/>
        <v>10.348064507446141</v>
      </c>
      <c r="AB333">
        <f t="shared" si="31"/>
        <v>-0.1763321946662888</v>
      </c>
      <c r="AC333" s="4">
        <v>-0.17633219466628169</v>
      </c>
      <c r="AD333">
        <v>-2.1383586779459591</v>
      </c>
      <c r="AE333">
        <v>-7.2744059829059822</v>
      </c>
      <c r="AG333" s="12">
        <f t="shared" si="32"/>
        <v>0</v>
      </c>
      <c r="AH333" s="12">
        <f t="shared" si="33"/>
        <v>0</v>
      </c>
      <c r="AI333" s="13">
        <f t="shared" si="34"/>
        <v>0</v>
      </c>
      <c r="AJ333" s="14">
        <f t="shared" si="35"/>
        <v>0.21706450523782816</v>
      </c>
    </row>
    <row r="334" spans="1:36" x14ac:dyDescent="0.2">
      <c r="A334">
        <v>2024</v>
      </c>
      <c r="B334" t="s">
        <v>326</v>
      </c>
      <c r="C334">
        <f>VLOOKUP(B334,Sheet5!$B$2:$C$2166,2,FALSE)</f>
        <v>205</v>
      </c>
      <c r="D334">
        <v>160</v>
      </c>
      <c r="E334">
        <v>60</v>
      </c>
      <c r="F334" t="s">
        <v>118</v>
      </c>
      <c r="G334">
        <v>0</v>
      </c>
      <c r="H334">
        <v>5.0751738152338266</v>
      </c>
      <c r="I334">
        <v>0</v>
      </c>
      <c r="J334">
        <v>0</v>
      </c>
      <c r="K334">
        <v>1</v>
      </c>
      <c r="L334">
        <v>4</v>
      </c>
      <c r="M334" t="s">
        <v>119</v>
      </c>
      <c r="N334" t="s">
        <v>120</v>
      </c>
      <c r="O334">
        <v>3.081003046044716</v>
      </c>
      <c r="P334">
        <v>0</v>
      </c>
      <c r="Q334" t="s">
        <v>327</v>
      </c>
      <c r="R334" t="str">
        <f>VLOOKUP(Q334,GDP!$A$2:$B$266,1,FALSE)</f>
        <v>TTO</v>
      </c>
      <c r="S334" t="str">
        <f>VLOOKUP(Q334,GDP!$A$2:$B$266,2,FALSE)</f>
        <v>Trinidad and Tobago</v>
      </c>
      <c r="T334">
        <f>VLOOKUP(Q334,GDP!$A$1:$L$266,11,FALSE)</f>
        <v>31960.156888898287</v>
      </c>
      <c r="U334" s="4">
        <v>31960.156888898298</v>
      </c>
      <c r="V334" s="5">
        <f>VLOOKUP(Q334,POP!$B$5:$M$269,11,FALSE)</f>
        <v>955936</v>
      </c>
      <c r="W334" s="4">
        <v>955936</v>
      </c>
      <c r="X334">
        <f>VLOOKUP(Q334,YU!$B$1:$M$266,11,FALSE)</f>
        <v>7.9930000000000003</v>
      </c>
      <c r="Y334" s="4">
        <v>7.9930000000000003</v>
      </c>
      <c r="AA334">
        <f t="shared" si="30"/>
        <v>10.372245308782377</v>
      </c>
      <c r="AB334">
        <f t="shared" si="31"/>
        <v>-0.1521513933300529</v>
      </c>
      <c r="AC334" s="4">
        <v>-0.1521513933300476</v>
      </c>
      <c r="AD334">
        <v>-2.1414388638553081</v>
      </c>
      <c r="AE334">
        <v>-7.3224059829059822</v>
      </c>
      <c r="AG334" s="12">
        <f t="shared" si="32"/>
        <v>0</v>
      </c>
      <c r="AH334" s="12">
        <f t="shared" si="33"/>
        <v>0</v>
      </c>
      <c r="AI334" s="13">
        <f t="shared" si="34"/>
        <v>0</v>
      </c>
      <c r="AJ334" s="14">
        <f t="shared" si="35"/>
        <v>0.24783616390458185</v>
      </c>
    </row>
    <row r="335" spans="1:36" x14ac:dyDescent="0.2">
      <c r="A335">
        <v>2016</v>
      </c>
      <c r="B335" t="s">
        <v>332</v>
      </c>
      <c r="C335">
        <f>VLOOKUP(B335,Sheet5!$B$2:$C$2166,2,FALSE)</f>
        <v>1575</v>
      </c>
      <c r="D335">
        <v>1575</v>
      </c>
      <c r="E335">
        <v>755</v>
      </c>
      <c r="F335" t="s">
        <v>244</v>
      </c>
      <c r="G335">
        <v>20</v>
      </c>
      <c r="H335">
        <v>7.3620105512597336</v>
      </c>
      <c r="I335">
        <v>0</v>
      </c>
      <c r="J335">
        <v>0</v>
      </c>
      <c r="K335">
        <v>0</v>
      </c>
      <c r="L335">
        <v>-4</v>
      </c>
      <c r="M335" t="s">
        <v>119</v>
      </c>
      <c r="N335" t="s">
        <v>120</v>
      </c>
      <c r="O335">
        <v>0.92327036978144894</v>
      </c>
      <c r="P335">
        <v>0</v>
      </c>
      <c r="Q335" t="s">
        <v>333</v>
      </c>
      <c r="R335" t="str">
        <f>VLOOKUP(Q335,GDP!$A$2:$B$266,1,FALSE)</f>
        <v>ARE</v>
      </c>
      <c r="S335" t="str">
        <f>VLOOKUP(Q335,GDP!$A$2:$B$266,2,FALSE)</f>
        <v>United Arab Emirates</v>
      </c>
      <c r="T335">
        <f>VLOOKUP(Q335,GDP!$A$1:$C$266,3,FALSE)</f>
        <v>75671.036861385015</v>
      </c>
      <c r="U335" s="4">
        <v>75671.036861385001</v>
      </c>
      <c r="V335" s="5">
        <f>VLOOKUP(Q335,POP!$B$5:$M$269,3,FALSE)</f>
        <v>7300309</v>
      </c>
      <c r="W335" s="4">
        <v>7300309</v>
      </c>
      <c r="X335">
        <f>VLOOKUP(Q335,YU!$B$1:$D$266,3,FALSE)</f>
        <v>5.1070000000000002</v>
      </c>
      <c r="Y335" s="4">
        <v>5.1070000000000002</v>
      </c>
      <c r="AA335">
        <f t="shared" si="30"/>
        <v>11.234150762004958</v>
      </c>
      <c r="AB335">
        <f t="shared" si="31"/>
        <v>0.70975405989252849</v>
      </c>
      <c r="AC335" s="4">
        <v>0.70975405989253382</v>
      </c>
      <c r="AD335">
        <v>-0.10845787405128959</v>
      </c>
      <c r="AE335">
        <v>-10.20840598290598</v>
      </c>
      <c r="AG335" s="12">
        <f t="shared" si="32"/>
        <v>0</v>
      </c>
      <c r="AH335" s="12">
        <f t="shared" si="33"/>
        <v>0</v>
      </c>
      <c r="AI335" s="13">
        <f t="shared" si="34"/>
        <v>0</v>
      </c>
      <c r="AJ335" s="14">
        <f t="shared" si="35"/>
        <v>0</v>
      </c>
    </row>
    <row r="336" spans="1:36" x14ac:dyDescent="0.2">
      <c r="A336">
        <v>2017</v>
      </c>
      <c r="B336" t="s">
        <v>332</v>
      </c>
      <c r="C336">
        <f>VLOOKUP(B336,Sheet5!$B$2:$C$2166,2,FALSE)</f>
        <v>1575</v>
      </c>
      <c r="D336">
        <v>2060</v>
      </c>
      <c r="E336">
        <v>1005</v>
      </c>
      <c r="F336" t="s">
        <v>334</v>
      </c>
      <c r="G336">
        <v>25</v>
      </c>
      <c r="H336">
        <v>7.6304612617836272</v>
      </c>
      <c r="I336">
        <v>0</v>
      </c>
      <c r="J336">
        <v>0</v>
      </c>
      <c r="K336">
        <v>0</v>
      </c>
      <c r="L336">
        <v>-3</v>
      </c>
      <c r="M336" t="s">
        <v>119</v>
      </c>
      <c r="N336" t="s">
        <v>120</v>
      </c>
      <c r="O336">
        <v>0.92327036978144894</v>
      </c>
      <c r="P336">
        <v>0</v>
      </c>
      <c r="Q336" t="s">
        <v>333</v>
      </c>
      <c r="R336" t="str">
        <f>VLOOKUP(Q336,GDP!$A$2:$B$266,1,FALSE)</f>
        <v>ARE</v>
      </c>
      <c r="S336" t="str">
        <f>VLOOKUP(Q336,GDP!$A$2:$B$266,2,FALSE)</f>
        <v>United Arab Emirates</v>
      </c>
      <c r="T336">
        <f>VLOOKUP(Q336,GDP!$A$1:$L$266,4,FALSE)</f>
        <v>72529.042351236494</v>
      </c>
      <c r="U336" s="4">
        <v>72529.042351236494</v>
      </c>
      <c r="V336" s="5">
        <f>VLOOKUP(Q336,POP!$B$5:$M$269,4,FALSE)</f>
        <v>7540665</v>
      </c>
      <c r="W336" s="4">
        <v>7540665</v>
      </c>
      <c r="X336">
        <f>VLOOKUP(Q336,YU!$B$1:$M$266,4,FALSE)</f>
        <v>7.4740000000000002</v>
      </c>
      <c r="Y336" s="4">
        <v>7.4740000000000002</v>
      </c>
      <c r="AA336">
        <f t="shared" si="30"/>
        <v>11.191742344785339</v>
      </c>
      <c r="AB336">
        <f t="shared" si="31"/>
        <v>0.66734564267290963</v>
      </c>
      <c r="AC336" s="4">
        <v>0.66734564267291496</v>
      </c>
      <c r="AD336">
        <v>-7.6064175659647404E-2</v>
      </c>
      <c r="AE336">
        <v>-7.8414059829059823</v>
      </c>
      <c r="AG336" s="12">
        <f t="shared" si="32"/>
        <v>0</v>
      </c>
      <c r="AH336" s="12">
        <f t="shared" si="33"/>
        <v>0</v>
      </c>
      <c r="AI336" s="13">
        <f t="shared" si="34"/>
        <v>0</v>
      </c>
      <c r="AJ336" s="14">
        <f t="shared" si="35"/>
        <v>-0.26845071052389358</v>
      </c>
    </row>
    <row r="337" spans="1:36" x14ac:dyDescent="0.2">
      <c r="A337">
        <v>2018</v>
      </c>
      <c r="B337" t="s">
        <v>332</v>
      </c>
      <c r="C337">
        <f>VLOOKUP(B337,Sheet5!$B$2:$C$2166,2,FALSE)</f>
        <v>1575</v>
      </c>
      <c r="D337">
        <v>2335</v>
      </c>
      <c r="E337">
        <v>1185</v>
      </c>
      <c r="F337" t="s">
        <v>54</v>
      </c>
      <c r="G337">
        <v>20</v>
      </c>
      <c r="H337">
        <v>7.755767170102998</v>
      </c>
      <c r="I337">
        <v>0</v>
      </c>
      <c r="J337">
        <v>0</v>
      </c>
      <c r="K337">
        <v>0</v>
      </c>
      <c r="L337">
        <v>-2</v>
      </c>
      <c r="M337" t="s">
        <v>119</v>
      </c>
      <c r="N337" t="s">
        <v>120</v>
      </c>
      <c r="O337">
        <v>0.92327036978144894</v>
      </c>
      <c r="P337">
        <v>0</v>
      </c>
      <c r="Q337" t="s">
        <v>333</v>
      </c>
      <c r="R337" t="str">
        <f>VLOOKUP(Q337,GDP!$A$2:$B$266,1,FALSE)</f>
        <v>ARE</v>
      </c>
      <c r="S337" t="str">
        <f>VLOOKUP(Q337,GDP!$A$2:$B$266,2,FALSE)</f>
        <v>United Arab Emirates</v>
      </c>
      <c r="T337">
        <f>VLOOKUP(Q337,GDP!$A$1:$L$266,5,FALSE)</f>
        <v>72671.07872887644</v>
      </c>
      <c r="U337" s="4">
        <v>72671.078728876397</v>
      </c>
      <c r="V337" s="5">
        <f>VLOOKUP(Q337,POP!$B$5:$M$269,5,FALSE)</f>
        <v>7644643</v>
      </c>
      <c r="W337" s="4">
        <v>7644643</v>
      </c>
      <c r="X337">
        <f>VLOOKUP(Q337,YU!$B$1:$M$266,5,FALSE)</f>
        <v>6.7469999999999999</v>
      </c>
      <c r="Y337" s="4">
        <v>6.7469999999999999</v>
      </c>
      <c r="AA337">
        <f t="shared" si="30"/>
        <v>11.193698767712375</v>
      </c>
      <c r="AB337">
        <f t="shared" si="31"/>
        <v>0.6693020655999451</v>
      </c>
      <c r="AC337" s="4">
        <v>0.66930206559995042</v>
      </c>
      <c r="AD337">
        <v>-6.2369408973948381E-2</v>
      </c>
      <c r="AE337">
        <v>-8.5684059829059827</v>
      </c>
      <c r="AG337" s="12">
        <f t="shared" si="32"/>
        <v>0</v>
      </c>
      <c r="AH337" s="12">
        <f t="shared" si="33"/>
        <v>0</v>
      </c>
      <c r="AI337" s="13">
        <f t="shared" si="34"/>
        <v>0</v>
      </c>
      <c r="AJ337" s="14">
        <f t="shared" si="35"/>
        <v>-0.39375661884326441</v>
      </c>
    </row>
    <row r="338" spans="1:36" x14ac:dyDescent="0.2">
      <c r="A338">
        <v>2019</v>
      </c>
      <c r="B338" t="s">
        <v>332</v>
      </c>
      <c r="C338">
        <f>VLOOKUP(B338,Sheet5!$B$2:$C$2166,2,FALSE)</f>
        <v>1575</v>
      </c>
      <c r="D338">
        <v>2460</v>
      </c>
      <c r="E338">
        <v>1255</v>
      </c>
      <c r="F338" t="s">
        <v>191</v>
      </c>
      <c r="G338">
        <v>25</v>
      </c>
      <c r="H338">
        <v>7.8079166289264084</v>
      </c>
      <c r="I338">
        <v>0</v>
      </c>
      <c r="J338">
        <v>0</v>
      </c>
      <c r="K338">
        <v>0</v>
      </c>
      <c r="L338">
        <v>-1</v>
      </c>
      <c r="M338" t="s">
        <v>119</v>
      </c>
      <c r="N338" t="s">
        <v>120</v>
      </c>
      <c r="O338">
        <v>0.92327036978144894</v>
      </c>
      <c r="P338">
        <v>0</v>
      </c>
      <c r="Q338" t="s">
        <v>333</v>
      </c>
      <c r="R338" t="str">
        <f>VLOOKUP(Q338,GDP!$A$2:$B$266,1,FALSE)</f>
        <v>ARE</v>
      </c>
      <c r="S338" t="str">
        <f>VLOOKUP(Q338,GDP!$A$2:$B$266,2,FALSE)</f>
        <v>United Arab Emirates</v>
      </c>
      <c r="T338">
        <f>VLOOKUP(Q338,GDP!$A$1:$L$266,6,FALSE)</f>
        <v>72822.946643892152</v>
      </c>
      <c r="U338" s="4">
        <v>72822.946643892195</v>
      </c>
      <c r="V338" s="5">
        <f>VLOOKUP(Q338,POP!$B$5:$M$269,6,FALSE)</f>
        <v>7728787</v>
      </c>
      <c r="W338" s="4">
        <v>7728787</v>
      </c>
      <c r="X338">
        <f>VLOOKUP(Q338,YU!$B$1:$M$266,6,FALSE)</f>
        <v>7.3250000000000002</v>
      </c>
      <c r="Y338" s="4">
        <v>7.3250000000000002</v>
      </c>
      <c r="Z338">
        <v>3.8601999282836901</v>
      </c>
      <c r="AA338">
        <f t="shared" si="30"/>
        <v>11.195786385671695</v>
      </c>
      <c r="AB338">
        <f t="shared" si="31"/>
        <v>0.67138968355926565</v>
      </c>
      <c r="AC338" s="4">
        <v>0.67138968355927098</v>
      </c>
      <c r="AD338">
        <v>-5.1422620877668017E-2</v>
      </c>
      <c r="AE338">
        <v>-7.9904059829059824</v>
      </c>
      <c r="AG338" s="12">
        <f t="shared" si="32"/>
        <v>0</v>
      </c>
      <c r="AH338" s="12">
        <f t="shared" si="33"/>
        <v>0</v>
      </c>
      <c r="AI338" s="13">
        <f t="shared" si="34"/>
        <v>0</v>
      </c>
      <c r="AJ338" s="14">
        <f t="shared" si="35"/>
        <v>-0.44590607766667478</v>
      </c>
    </row>
    <row r="339" spans="1:36" x14ac:dyDescent="0.2">
      <c r="A339">
        <v>2020</v>
      </c>
      <c r="B339" t="s">
        <v>332</v>
      </c>
      <c r="C339">
        <f>VLOOKUP(B339,Sheet5!$B$2:$C$2166,2,FALSE)</f>
        <v>1575</v>
      </c>
      <c r="D339">
        <v>2830</v>
      </c>
      <c r="E339">
        <v>1450</v>
      </c>
      <c r="F339" t="s">
        <v>335</v>
      </c>
      <c r="G339">
        <v>20</v>
      </c>
      <c r="H339">
        <v>7.9480319906372836</v>
      </c>
      <c r="I339">
        <v>0</v>
      </c>
      <c r="J339">
        <v>0</v>
      </c>
      <c r="K339">
        <v>0</v>
      </c>
      <c r="L339">
        <v>0</v>
      </c>
      <c r="M339" t="s">
        <v>119</v>
      </c>
      <c r="N339" t="s">
        <v>120</v>
      </c>
      <c r="O339">
        <v>0.92327036978144894</v>
      </c>
      <c r="P339">
        <v>0</v>
      </c>
      <c r="Q339" t="s">
        <v>333</v>
      </c>
      <c r="R339" t="str">
        <f>VLOOKUP(Q339,GDP!$A$2:$B$266,1,FALSE)</f>
        <v>ARE</v>
      </c>
      <c r="S339" t="str">
        <f>VLOOKUP(Q339,GDP!$A$2:$B$266,2,FALSE)</f>
        <v>United Arab Emirates</v>
      </c>
      <c r="T339">
        <f>VLOOKUP(Q339,GDP!$A$1:$L$266,7,FALSE)</f>
        <v>66808.620925602823</v>
      </c>
      <c r="U339" s="4">
        <v>66808.620925602794</v>
      </c>
      <c r="V339" s="5">
        <f>VLOOKUP(Q339,POP!$B$5:$M$269,7,FALSE)</f>
        <v>7695346</v>
      </c>
      <c r="W339" s="4">
        <v>7695346</v>
      </c>
      <c r="X339">
        <f>VLOOKUP(Q339,YU!$B$1:$M$266,7,FALSE)</f>
        <v>13.481999999999999</v>
      </c>
      <c r="Y339" s="4">
        <v>13.481999999999999</v>
      </c>
      <c r="Z339">
        <v>3.98417997360229</v>
      </c>
      <c r="AA339">
        <f t="shared" si="30"/>
        <v>11.109587406970254</v>
      </c>
      <c r="AB339">
        <f t="shared" si="31"/>
        <v>0.58519070485782443</v>
      </c>
      <c r="AC339" s="4">
        <v>0.58519070485782976</v>
      </c>
      <c r="AD339">
        <v>-5.5758819534432291E-2</v>
      </c>
      <c r="AE339">
        <v>-1.833405982905983</v>
      </c>
      <c r="AG339" s="12">
        <f t="shared" si="32"/>
        <v>0</v>
      </c>
      <c r="AH339" s="12">
        <f t="shared" si="33"/>
        <v>0</v>
      </c>
      <c r="AI339" s="13">
        <f t="shared" si="34"/>
        <v>0</v>
      </c>
      <c r="AJ339" s="14">
        <f t="shared" si="35"/>
        <v>-0.58602143937755002</v>
      </c>
    </row>
    <row r="340" spans="1:36" x14ac:dyDescent="0.2">
      <c r="A340">
        <v>2021</v>
      </c>
      <c r="B340" t="s">
        <v>332</v>
      </c>
      <c r="C340">
        <f>VLOOKUP(B340,Sheet5!$B$2:$C$2166,2,FALSE)</f>
        <v>1575</v>
      </c>
      <c r="D340">
        <v>3035</v>
      </c>
      <c r="E340">
        <v>1465</v>
      </c>
      <c r="F340" t="s">
        <v>324</v>
      </c>
      <c r="G340">
        <v>25</v>
      </c>
      <c r="H340">
        <v>8.0179667034935989</v>
      </c>
      <c r="I340">
        <v>0</v>
      </c>
      <c r="J340">
        <v>0</v>
      </c>
      <c r="K340">
        <v>1</v>
      </c>
      <c r="L340">
        <v>1</v>
      </c>
      <c r="M340" t="s">
        <v>119</v>
      </c>
      <c r="N340" t="s">
        <v>120</v>
      </c>
      <c r="O340">
        <v>0.92327036978144894</v>
      </c>
      <c r="P340">
        <v>0</v>
      </c>
      <c r="Q340" t="s">
        <v>333</v>
      </c>
      <c r="R340" t="str">
        <f>VLOOKUP(Q340,GDP!$A$2:$B$266,1,FALSE)</f>
        <v>ARE</v>
      </c>
      <c r="S340" t="str">
        <f>VLOOKUP(Q340,GDP!$A$2:$B$266,2,FALSE)</f>
        <v>United Arab Emirates</v>
      </c>
      <c r="T340">
        <f>VLOOKUP(Q340,GDP!$A$1:$L$266,8,FALSE)</f>
        <v>68580.131291267637</v>
      </c>
      <c r="U340" s="4">
        <v>68580.131291267593</v>
      </c>
      <c r="V340" s="5">
        <f>VLOOKUP(Q340,POP!$B$5:$M$269,8,FALSE)</f>
        <v>7839407</v>
      </c>
      <c r="W340" s="4">
        <v>7839407</v>
      </c>
      <c r="X340">
        <f>VLOOKUP(Q340,YU!$B$1:$M$266,8,FALSE)</f>
        <v>9.7370000000000001</v>
      </c>
      <c r="Y340" s="4">
        <v>9.7370000000000001</v>
      </c>
      <c r="Z340">
        <v>3.8940401077270499</v>
      </c>
      <c r="AA340">
        <f t="shared" si="30"/>
        <v>11.135758140440096</v>
      </c>
      <c r="AB340">
        <f t="shared" si="31"/>
        <v>0.61136143832766621</v>
      </c>
      <c r="AC340" s="4">
        <v>0.61136143832766976</v>
      </c>
      <c r="AD340">
        <v>-3.7211356330386643E-2</v>
      </c>
      <c r="AE340">
        <v>-5.5784059829059824</v>
      </c>
      <c r="AG340" s="12">
        <f t="shared" si="32"/>
        <v>0</v>
      </c>
      <c r="AH340" s="12">
        <f t="shared" si="33"/>
        <v>0</v>
      </c>
      <c r="AI340" s="13">
        <f t="shared" si="34"/>
        <v>0</v>
      </c>
      <c r="AJ340" s="14">
        <f t="shared" si="35"/>
        <v>-0.65595615223386528</v>
      </c>
    </row>
    <row r="341" spans="1:36" x14ac:dyDescent="0.2">
      <c r="A341">
        <v>2022</v>
      </c>
      <c r="B341" t="s">
        <v>332</v>
      </c>
      <c r="C341">
        <f>VLOOKUP(B341,Sheet5!$B$2:$C$2166,2,FALSE)</f>
        <v>1575</v>
      </c>
      <c r="D341">
        <v>3555</v>
      </c>
      <c r="E341">
        <v>1500</v>
      </c>
      <c r="F341" t="s">
        <v>336</v>
      </c>
      <c r="G341">
        <v>40</v>
      </c>
      <c r="H341">
        <v>8.176110342237342</v>
      </c>
      <c r="I341">
        <v>0</v>
      </c>
      <c r="J341">
        <v>0</v>
      </c>
      <c r="K341">
        <v>1</v>
      </c>
      <c r="L341">
        <v>2</v>
      </c>
      <c r="M341" t="s">
        <v>119</v>
      </c>
      <c r="N341" t="s">
        <v>120</v>
      </c>
      <c r="O341">
        <v>0.92327036978144894</v>
      </c>
      <c r="P341">
        <v>0</v>
      </c>
      <c r="Q341" t="s">
        <v>333</v>
      </c>
      <c r="R341" t="str">
        <f>VLOOKUP(Q341,GDP!$A$2:$B$266,1,FALSE)</f>
        <v>ARE</v>
      </c>
      <c r="S341" t="str">
        <f>VLOOKUP(Q341,GDP!$A$2:$B$266,2,FALSE)</f>
        <v>United Arab Emirates</v>
      </c>
      <c r="T341">
        <f>VLOOKUP(Q341,GDP!$A$1:$L$266,9,FALSE)</f>
        <v>70075.638373949987</v>
      </c>
      <c r="U341" s="4">
        <v>70075.638373950002</v>
      </c>
      <c r="V341" s="5">
        <f>VLOOKUP(Q341,POP!$B$5:$M$269,9,FALSE)</f>
        <v>8249860</v>
      </c>
      <c r="W341" s="4">
        <v>8249860</v>
      </c>
      <c r="X341">
        <f>VLOOKUP(Q341,YU!$B$1:$M$266,9,FALSE)</f>
        <v>9.9920000000000009</v>
      </c>
      <c r="Y341" s="4">
        <v>9.9920000000000009</v>
      </c>
      <c r="AA341">
        <f t="shared" si="30"/>
        <v>11.157330485858779</v>
      </c>
      <c r="AB341">
        <f t="shared" si="31"/>
        <v>0.63293378374634912</v>
      </c>
      <c r="AC341" s="4">
        <v>0.63293378374635445</v>
      </c>
      <c r="AD341">
        <v>1.382168042871257E-2</v>
      </c>
      <c r="AE341">
        <v>-5.3234059829059817</v>
      </c>
      <c r="AG341" s="12">
        <f t="shared" si="32"/>
        <v>0</v>
      </c>
      <c r="AH341" s="12">
        <f t="shared" si="33"/>
        <v>0</v>
      </c>
      <c r="AI341" s="13">
        <f t="shared" si="34"/>
        <v>0</v>
      </c>
      <c r="AJ341" s="14">
        <f t="shared" si="35"/>
        <v>-0.81409979097760843</v>
      </c>
    </row>
    <row r="342" spans="1:36" x14ac:dyDescent="0.2">
      <c r="A342">
        <v>2023</v>
      </c>
      <c r="B342" t="s">
        <v>332</v>
      </c>
      <c r="C342">
        <f>VLOOKUP(B342,Sheet5!$B$2:$C$2166,2,FALSE)</f>
        <v>1575</v>
      </c>
      <c r="D342">
        <v>4150</v>
      </c>
      <c r="E342">
        <v>1780</v>
      </c>
      <c r="F342" t="s">
        <v>178</v>
      </c>
      <c r="G342">
        <v>35</v>
      </c>
      <c r="H342">
        <v>8.3308636132247447</v>
      </c>
      <c r="I342">
        <v>0</v>
      </c>
      <c r="J342">
        <v>0</v>
      </c>
      <c r="K342">
        <v>1</v>
      </c>
      <c r="L342">
        <v>3</v>
      </c>
      <c r="M342" t="s">
        <v>119</v>
      </c>
      <c r="N342" t="s">
        <v>120</v>
      </c>
      <c r="O342">
        <v>0.92327036978144894</v>
      </c>
      <c r="P342">
        <v>0</v>
      </c>
      <c r="Q342" t="s">
        <v>333</v>
      </c>
      <c r="R342" t="str">
        <f>VLOOKUP(Q342,GDP!$A$2:$B$266,1,FALSE)</f>
        <v>ARE</v>
      </c>
      <c r="S342" t="str">
        <f>VLOOKUP(Q342,GDP!$A$2:$B$266,2,FALSE)</f>
        <v>United Arab Emirates</v>
      </c>
      <c r="T342">
        <f>VLOOKUP(Q342,GDP!$A$1:$L$266,10,FALSE)</f>
        <v>70239.832833722845</v>
      </c>
      <c r="U342" s="4">
        <v>70239.832833722801</v>
      </c>
      <c r="V342" s="5">
        <f>VLOOKUP(Q342,POP!$B$5:$M$269,10,FALSE)</f>
        <v>8593051</v>
      </c>
      <c r="W342" s="4">
        <v>8593051</v>
      </c>
      <c r="X342">
        <f>VLOOKUP(Q342,YU!$B$1:$M$266,10,FALSE)</f>
        <v>6.351</v>
      </c>
      <c r="Y342" s="4">
        <v>6.351</v>
      </c>
      <c r="AA342">
        <f t="shared" si="30"/>
        <v>11.159670848376253</v>
      </c>
      <c r="AB342">
        <f t="shared" si="31"/>
        <v>0.63527414626382317</v>
      </c>
      <c r="AC342" s="4">
        <v>0.63527414626382672</v>
      </c>
      <c r="AD342">
        <v>5.4579303299975727E-2</v>
      </c>
      <c r="AE342">
        <v>-8.9644059829059834</v>
      </c>
      <c r="AG342" s="12">
        <f t="shared" si="32"/>
        <v>0</v>
      </c>
      <c r="AH342" s="12">
        <f t="shared" si="33"/>
        <v>0</v>
      </c>
      <c r="AI342" s="13">
        <f t="shared" si="34"/>
        <v>0</v>
      </c>
      <c r="AJ342" s="14">
        <f t="shared" si="35"/>
        <v>-0.96885306196501109</v>
      </c>
    </row>
    <row r="343" spans="1:36" x14ac:dyDescent="0.2">
      <c r="A343">
        <v>2024</v>
      </c>
      <c r="B343" t="s">
        <v>332</v>
      </c>
      <c r="C343">
        <f>VLOOKUP(B343,Sheet5!$B$2:$C$2166,2,FALSE)</f>
        <v>1575</v>
      </c>
      <c r="D343">
        <v>4260</v>
      </c>
      <c r="E343">
        <v>1875</v>
      </c>
      <c r="F343" t="s">
        <v>34</v>
      </c>
      <c r="G343">
        <v>40</v>
      </c>
      <c r="H343">
        <v>8.3570244392634159</v>
      </c>
      <c r="I343">
        <v>0</v>
      </c>
      <c r="J343">
        <v>0</v>
      </c>
      <c r="K343">
        <v>1</v>
      </c>
      <c r="L343">
        <v>4</v>
      </c>
      <c r="M343" t="s">
        <v>119</v>
      </c>
      <c r="N343" t="s">
        <v>120</v>
      </c>
      <c r="O343">
        <v>0.92327036978144894</v>
      </c>
      <c r="P343">
        <v>0</v>
      </c>
      <c r="Q343" t="s">
        <v>333</v>
      </c>
      <c r="R343" t="str">
        <f>VLOOKUP(Q343,GDP!$A$2:$B$266,1,FALSE)</f>
        <v>ARE</v>
      </c>
      <c r="S343" t="str">
        <f>VLOOKUP(Q343,GDP!$A$2:$B$266,2,FALSE)</f>
        <v>United Arab Emirates</v>
      </c>
      <c r="T343">
        <f>VLOOKUP(Q343,GDP!$A$1:$L$266,11,FALSE)</f>
        <v>69701.785835525021</v>
      </c>
      <c r="U343" s="4">
        <v>69701.785835525006</v>
      </c>
      <c r="V343" s="5">
        <f>VLOOKUP(Q343,POP!$B$5:$M$269,11,FALSE)</f>
        <v>9022258</v>
      </c>
      <c r="W343" s="4">
        <v>9022258</v>
      </c>
      <c r="X343">
        <f>VLOOKUP(Q343,YU!$B$1:$M$266,11,FALSE)</f>
        <v>6.4249999999999998</v>
      </c>
      <c r="Y343" s="4">
        <v>6.4249999999999998</v>
      </c>
      <c r="AA343">
        <f t="shared" si="30"/>
        <v>11.151981218163929</v>
      </c>
      <c r="AB343">
        <f t="shared" si="31"/>
        <v>0.62758451605149901</v>
      </c>
      <c r="AC343" s="4">
        <v>0.62758451605150256</v>
      </c>
      <c r="AD343">
        <v>0.1033200852638689</v>
      </c>
      <c r="AE343">
        <v>-8.8904059829059818</v>
      </c>
      <c r="AG343" s="12">
        <f t="shared" si="32"/>
        <v>0</v>
      </c>
      <c r="AH343" s="12">
        <f t="shared" si="33"/>
        <v>0</v>
      </c>
      <c r="AI343" s="13">
        <f t="shared" si="34"/>
        <v>0</v>
      </c>
      <c r="AJ343" s="14">
        <f t="shared" si="35"/>
        <v>-0.99501388800368229</v>
      </c>
    </row>
    <row r="344" spans="1:36" x14ac:dyDescent="0.2">
      <c r="A344">
        <v>2016</v>
      </c>
      <c r="B344" t="s">
        <v>337</v>
      </c>
      <c r="C344">
        <f>VLOOKUP(B344,Sheet5!$B$2:$C$2166,2,FALSE)</f>
        <v>845</v>
      </c>
      <c r="D344">
        <v>845</v>
      </c>
      <c r="E344">
        <v>345</v>
      </c>
      <c r="F344" t="s">
        <v>124</v>
      </c>
      <c r="G344">
        <v>5</v>
      </c>
      <c r="H344">
        <v>6.739336627357174</v>
      </c>
      <c r="I344">
        <v>0</v>
      </c>
      <c r="J344">
        <v>0</v>
      </c>
      <c r="K344">
        <v>0</v>
      </c>
      <c r="L344">
        <v>-4</v>
      </c>
      <c r="M344" t="s">
        <v>119</v>
      </c>
      <c r="N344" t="s">
        <v>120</v>
      </c>
      <c r="O344">
        <v>1.145467796484172E-7</v>
      </c>
      <c r="P344">
        <v>0</v>
      </c>
      <c r="Q344" t="s">
        <v>338</v>
      </c>
      <c r="R344" t="str">
        <f>VLOOKUP(Q344,GDP!$A$2:$B$266,1,FALSE)</f>
        <v>TUR</v>
      </c>
      <c r="S344" t="str">
        <f>VLOOKUP(Q344,GDP!$A$2:$B$266,2,FALSE)</f>
        <v>Turkiye</v>
      </c>
      <c r="T344">
        <f>VLOOKUP(Q344,GDP!$A$1:$C$266,3,FALSE)</f>
        <v>26489.643681604568</v>
      </c>
      <c r="U344" s="4">
        <v>26489.643681604601</v>
      </c>
      <c r="V344" s="5">
        <f>VLOOKUP(Q344,POP!$B$5:$M$269,3,FALSE)</f>
        <v>54452527</v>
      </c>
      <c r="W344" s="4">
        <v>54452527</v>
      </c>
      <c r="X344">
        <f>VLOOKUP(Q344,YU!$B$1:$D$266,3,FALSE)</f>
        <v>19.369</v>
      </c>
      <c r="Y344" s="4">
        <v>19.369</v>
      </c>
      <c r="Z344">
        <v>4.6277399063110396</v>
      </c>
      <c r="AA344">
        <f t="shared" si="30"/>
        <v>10.184509131122594</v>
      </c>
      <c r="AB344">
        <f t="shared" si="31"/>
        <v>-0.33988757098983591</v>
      </c>
      <c r="AC344" s="4">
        <v>-0.3398875709898288</v>
      </c>
      <c r="AD344">
        <v>1.900954707775204</v>
      </c>
      <c r="AE344">
        <v>4.0535940170940172</v>
      </c>
      <c r="AG344" s="12">
        <f t="shared" si="32"/>
        <v>-3.2741809263825417E-11</v>
      </c>
      <c r="AH344" s="12">
        <f t="shared" si="33"/>
        <v>0</v>
      </c>
      <c r="AI344" s="13">
        <f t="shared" si="34"/>
        <v>0</v>
      </c>
      <c r="AJ344" s="14">
        <f t="shared" si="35"/>
        <v>0</v>
      </c>
    </row>
    <row r="345" spans="1:36" x14ac:dyDescent="0.2">
      <c r="A345">
        <v>2017</v>
      </c>
      <c r="B345" t="s">
        <v>337</v>
      </c>
      <c r="C345">
        <f>VLOOKUP(B345,Sheet5!$B$2:$C$2166,2,FALSE)</f>
        <v>845</v>
      </c>
      <c r="D345">
        <v>1055</v>
      </c>
      <c r="E345">
        <v>430</v>
      </c>
      <c r="F345" t="s">
        <v>196</v>
      </c>
      <c r="G345">
        <v>5</v>
      </c>
      <c r="H345">
        <v>6.9612960459101672</v>
      </c>
      <c r="I345">
        <v>0</v>
      </c>
      <c r="J345">
        <v>0</v>
      </c>
      <c r="K345">
        <v>0</v>
      </c>
      <c r="L345">
        <v>-3</v>
      </c>
      <c r="M345" t="s">
        <v>119</v>
      </c>
      <c r="N345" t="s">
        <v>120</v>
      </c>
      <c r="O345">
        <v>1.145467796484172E-7</v>
      </c>
      <c r="P345">
        <v>0</v>
      </c>
      <c r="Q345" t="s">
        <v>338</v>
      </c>
      <c r="R345" t="str">
        <f>VLOOKUP(Q345,GDP!$A$2:$B$266,1,FALSE)</f>
        <v>TUR</v>
      </c>
      <c r="S345" t="str">
        <f>VLOOKUP(Q345,GDP!$A$2:$B$266,2,FALSE)</f>
        <v>Turkiye</v>
      </c>
      <c r="T345">
        <f>VLOOKUP(Q345,GDP!$A$1:$L$266,4,FALSE)</f>
        <v>28194.688309381043</v>
      </c>
      <c r="U345" s="4">
        <v>28194.688309380999</v>
      </c>
      <c r="V345" s="5">
        <f>VLOOKUP(Q345,POP!$B$5:$M$269,4,FALSE)</f>
        <v>55200688</v>
      </c>
      <c r="W345" s="4">
        <v>55200688</v>
      </c>
      <c r="X345">
        <f>VLOOKUP(Q345,YU!$B$1:$M$266,4,FALSE)</f>
        <v>20.469000000000001</v>
      </c>
      <c r="Y345" s="4">
        <v>20.469000000000001</v>
      </c>
      <c r="Z345">
        <v>4.3236999511718803</v>
      </c>
      <c r="AA345">
        <f t="shared" si="30"/>
        <v>10.246888881361276</v>
      </c>
      <c r="AB345">
        <f t="shared" si="31"/>
        <v>-0.2775078207511541</v>
      </c>
      <c r="AC345" s="4">
        <v>-0.27750782075115049</v>
      </c>
      <c r="AD345">
        <v>1.9146008668965719</v>
      </c>
      <c r="AE345">
        <v>5.1535940170940187</v>
      </c>
      <c r="AG345" s="12">
        <f t="shared" si="32"/>
        <v>4.3655745685100555E-11</v>
      </c>
      <c r="AH345" s="12">
        <f t="shared" si="33"/>
        <v>0</v>
      </c>
      <c r="AI345" s="13">
        <f t="shared" si="34"/>
        <v>0</v>
      </c>
      <c r="AJ345" s="14">
        <f t="shared" si="35"/>
        <v>-0.22195941855299317</v>
      </c>
    </row>
    <row r="346" spans="1:36" x14ac:dyDescent="0.2">
      <c r="A346">
        <v>2018</v>
      </c>
      <c r="B346" t="s">
        <v>337</v>
      </c>
      <c r="C346">
        <f>VLOOKUP(B346,Sheet5!$B$2:$C$2166,2,FALSE)</f>
        <v>845</v>
      </c>
      <c r="D346">
        <v>1335</v>
      </c>
      <c r="E346">
        <v>610</v>
      </c>
      <c r="F346" t="s">
        <v>232</v>
      </c>
      <c r="G346">
        <v>5</v>
      </c>
      <c r="H346">
        <v>7.1966865708343501</v>
      </c>
      <c r="I346">
        <v>0</v>
      </c>
      <c r="J346">
        <v>0</v>
      </c>
      <c r="K346">
        <v>0</v>
      </c>
      <c r="L346">
        <v>-2</v>
      </c>
      <c r="M346" t="s">
        <v>119</v>
      </c>
      <c r="N346" t="s">
        <v>120</v>
      </c>
      <c r="O346">
        <v>1.145467796484172E-7</v>
      </c>
      <c r="P346">
        <v>0</v>
      </c>
      <c r="Q346" t="s">
        <v>338</v>
      </c>
      <c r="R346" t="str">
        <f>VLOOKUP(Q346,GDP!$A$2:$B$266,1,FALSE)</f>
        <v>TUR</v>
      </c>
      <c r="S346" t="str">
        <f>VLOOKUP(Q346,GDP!$A$2:$B$266,2,FALSE)</f>
        <v>Turkiye</v>
      </c>
      <c r="T346">
        <f>VLOOKUP(Q346,GDP!$A$1:$L$266,5,FALSE)</f>
        <v>28780.30364581514</v>
      </c>
      <c r="U346" s="4">
        <v>28780.3036458151</v>
      </c>
      <c r="V346" s="5">
        <f>VLOOKUP(Q346,POP!$B$5:$M$269,5,FALSE)</f>
        <v>55932131</v>
      </c>
      <c r="W346" s="4">
        <v>55932131</v>
      </c>
      <c r="X346">
        <f>VLOOKUP(Q346,YU!$B$1:$M$266,5,FALSE)</f>
        <v>20.010999999999999</v>
      </c>
      <c r="Y346" s="4">
        <v>20.010999999999999</v>
      </c>
      <c r="Z346">
        <v>4.2972998619079599</v>
      </c>
      <c r="AA346">
        <f t="shared" si="30"/>
        <v>10.267446530969966</v>
      </c>
      <c r="AB346">
        <f t="shared" si="31"/>
        <v>-0.25695017114246355</v>
      </c>
      <c r="AC346" s="4">
        <v>-0.25695017114245999</v>
      </c>
      <c r="AD346">
        <v>1.9277644592286669</v>
      </c>
      <c r="AE346">
        <v>4.6955940170940167</v>
      </c>
      <c r="AG346" s="12">
        <f t="shared" si="32"/>
        <v>4.0017766878008842E-11</v>
      </c>
      <c r="AH346" s="12">
        <f t="shared" si="33"/>
        <v>0</v>
      </c>
      <c r="AI346" s="13">
        <f t="shared" si="34"/>
        <v>0</v>
      </c>
      <c r="AJ346" s="14">
        <f t="shared" si="35"/>
        <v>-0.45734994347717617</v>
      </c>
    </row>
    <row r="347" spans="1:36" x14ac:dyDescent="0.2">
      <c r="A347">
        <v>2019</v>
      </c>
      <c r="B347" t="s">
        <v>337</v>
      </c>
      <c r="C347">
        <f>VLOOKUP(B347,Sheet5!$B$2:$C$2166,2,FALSE)</f>
        <v>845</v>
      </c>
      <c r="D347">
        <v>1300</v>
      </c>
      <c r="E347">
        <v>625</v>
      </c>
      <c r="F347" t="s">
        <v>244</v>
      </c>
      <c r="G347">
        <v>10</v>
      </c>
      <c r="H347">
        <v>7.1701195434496281</v>
      </c>
      <c r="I347">
        <v>0</v>
      </c>
      <c r="J347">
        <v>0</v>
      </c>
      <c r="K347">
        <v>0</v>
      </c>
      <c r="L347">
        <v>-1</v>
      </c>
      <c r="M347" t="s">
        <v>119</v>
      </c>
      <c r="N347" t="s">
        <v>120</v>
      </c>
      <c r="O347">
        <v>1.145467796484172E-7</v>
      </c>
      <c r="P347">
        <v>0</v>
      </c>
      <c r="Q347" t="s">
        <v>338</v>
      </c>
      <c r="R347" t="str">
        <f>VLOOKUP(Q347,GDP!$A$2:$B$266,1,FALSE)</f>
        <v>TUR</v>
      </c>
      <c r="S347" t="str">
        <f>VLOOKUP(Q347,GDP!$A$2:$B$266,2,FALSE)</f>
        <v>Turkiye</v>
      </c>
      <c r="T347">
        <f>VLOOKUP(Q347,GDP!$A$1:$L$266,6,FALSE)</f>
        <v>28741.05350827015</v>
      </c>
      <c r="U347" s="4">
        <v>28741.053508270099</v>
      </c>
      <c r="V347" s="5">
        <f>VLOOKUP(Q347,POP!$B$5:$M$269,6,FALSE)</f>
        <v>56579745</v>
      </c>
      <c r="W347" s="4">
        <v>56579745</v>
      </c>
      <c r="X347">
        <f>VLOOKUP(Q347,YU!$B$1:$M$266,6,FALSE)</f>
        <v>25.039000000000001</v>
      </c>
      <c r="Y347" s="4">
        <v>25.039000000000001</v>
      </c>
      <c r="Z347">
        <v>4.4477601051330602</v>
      </c>
      <c r="AA347">
        <f t="shared" si="30"/>
        <v>10.266081815477193</v>
      </c>
      <c r="AB347">
        <f t="shared" si="31"/>
        <v>-0.25831488663523672</v>
      </c>
      <c r="AC347" s="4">
        <v>-0.25831488663523322</v>
      </c>
      <c r="AD347">
        <v>1.939276508893448</v>
      </c>
      <c r="AE347">
        <v>9.7235940170940189</v>
      </c>
      <c r="AG347" s="12">
        <f t="shared" si="32"/>
        <v>5.0931703299283981E-11</v>
      </c>
      <c r="AH347" s="12">
        <f t="shared" si="33"/>
        <v>0</v>
      </c>
      <c r="AI347" s="13">
        <f t="shared" si="34"/>
        <v>0</v>
      </c>
      <c r="AJ347" s="14">
        <f t="shared" si="35"/>
        <v>-0.43078291609245412</v>
      </c>
    </row>
    <row r="348" spans="1:36" x14ac:dyDescent="0.2">
      <c r="A348">
        <v>2020</v>
      </c>
      <c r="B348" t="s">
        <v>337</v>
      </c>
      <c r="C348">
        <f>VLOOKUP(B348,Sheet5!$B$2:$C$2166,2,FALSE)</f>
        <v>845</v>
      </c>
      <c r="D348">
        <v>1375</v>
      </c>
      <c r="E348">
        <v>645</v>
      </c>
      <c r="F348" t="s">
        <v>339</v>
      </c>
      <c r="G348">
        <v>5</v>
      </c>
      <c r="H348">
        <v>7.2262090101006713</v>
      </c>
      <c r="I348">
        <v>0</v>
      </c>
      <c r="J348">
        <v>0</v>
      </c>
      <c r="K348">
        <v>0</v>
      </c>
      <c r="L348">
        <v>0</v>
      </c>
      <c r="M348" t="s">
        <v>119</v>
      </c>
      <c r="N348" t="s">
        <v>120</v>
      </c>
      <c r="O348">
        <v>1.145467796484172E-7</v>
      </c>
      <c r="P348">
        <v>0</v>
      </c>
      <c r="Q348" t="s">
        <v>338</v>
      </c>
      <c r="R348" t="str">
        <f>VLOOKUP(Q348,GDP!$A$2:$B$266,1,FALSE)</f>
        <v>TUR</v>
      </c>
      <c r="S348" t="str">
        <f>VLOOKUP(Q348,GDP!$A$2:$B$266,2,FALSE)</f>
        <v>Turkiye</v>
      </c>
      <c r="T348">
        <f>VLOOKUP(Q348,GDP!$A$1:$L$266,7,FALSE)</f>
        <v>28976.717916161066</v>
      </c>
      <c r="U348" s="4">
        <v>28976.717916161098</v>
      </c>
      <c r="V348" s="5">
        <f>VLOOKUP(Q348,POP!$B$5:$M$269,7,FALSE)</f>
        <v>56923584</v>
      </c>
      <c r="W348" s="4">
        <v>56923584</v>
      </c>
      <c r="X348">
        <f>VLOOKUP(Q348,YU!$B$1:$M$266,7,FALSE)</f>
        <v>24.919</v>
      </c>
      <c r="Y348" s="4">
        <v>24.919</v>
      </c>
      <c r="Z348">
        <v>4.0338201522827104</v>
      </c>
      <c r="AA348">
        <f t="shared" si="30"/>
        <v>10.274247956050431</v>
      </c>
      <c r="AB348">
        <f t="shared" si="31"/>
        <v>-0.25014874606199911</v>
      </c>
      <c r="AC348" s="4">
        <v>-0.25014874606199378</v>
      </c>
      <c r="AD348">
        <v>1.9453351867281889</v>
      </c>
      <c r="AE348">
        <v>9.6035940170940179</v>
      </c>
      <c r="AG348" s="12">
        <f t="shared" si="32"/>
        <v>-3.2741809263825417E-11</v>
      </c>
      <c r="AH348" s="12">
        <f t="shared" si="33"/>
        <v>0</v>
      </c>
      <c r="AI348" s="13">
        <f t="shared" si="34"/>
        <v>0</v>
      </c>
      <c r="AJ348" s="14">
        <f t="shared" si="35"/>
        <v>-0.48687238274349731</v>
      </c>
    </row>
    <row r="349" spans="1:36" x14ac:dyDescent="0.2">
      <c r="A349">
        <v>2021</v>
      </c>
      <c r="B349" t="s">
        <v>337</v>
      </c>
      <c r="C349">
        <f>VLOOKUP(B349,Sheet5!$B$2:$C$2166,2,FALSE)</f>
        <v>845</v>
      </c>
      <c r="D349">
        <v>1555</v>
      </c>
      <c r="E349">
        <v>705</v>
      </c>
      <c r="F349" t="s">
        <v>340</v>
      </c>
      <c r="G349">
        <v>5</v>
      </c>
      <c r="H349">
        <v>7.3492308246133344</v>
      </c>
      <c r="I349">
        <v>0</v>
      </c>
      <c r="J349">
        <v>0</v>
      </c>
      <c r="K349">
        <v>1</v>
      </c>
      <c r="L349">
        <v>1</v>
      </c>
      <c r="M349" t="s">
        <v>119</v>
      </c>
      <c r="N349" t="s">
        <v>120</v>
      </c>
      <c r="O349">
        <v>1.145467796484172E-7</v>
      </c>
      <c r="P349">
        <v>0</v>
      </c>
      <c r="Q349" t="s">
        <v>338</v>
      </c>
      <c r="R349" t="str">
        <f>VLOOKUP(Q349,GDP!$A$2:$B$266,1,FALSE)</f>
        <v>TUR</v>
      </c>
      <c r="S349" t="str">
        <f>VLOOKUP(Q349,GDP!$A$2:$B$266,2,FALSE)</f>
        <v>Turkiye</v>
      </c>
      <c r="T349">
        <f>VLOOKUP(Q349,GDP!$A$1:$L$266,8,FALSE)</f>
        <v>32105.547440050563</v>
      </c>
      <c r="U349" s="4">
        <v>32105.547440050599</v>
      </c>
      <c r="V349" s="5">
        <f>VLOOKUP(Q349,POP!$B$5:$M$269,8,FALSE)</f>
        <v>57311814</v>
      </c>
      <c r="W349" s="4">
        <v>57311814</v>
      </c>
      <c r="X349">
        <f>VLOOKUP(Q349,YU!$B$1:$M$266,8,FALSE)</f>
        <v>22.36</v>
      </c>
      <c r="Y349" s="4">
        <v>22.36</v>
      </c>
      <c r="Z349">
        <v>3.5378799438476598</v>
      </c>
      <c r="AA349">
        <f t="shared" si="30"/>
        <v>10.376784111633951</v>
      </c>
      <c r="AB349">
        <f t="shared" si="31"/>
        <v>-0.14761259047847908</v>
      </c>
      <c r="AC349" s="4">
        <v>-0.14761259047847369</v>
      </c>
      <c r="AD349">
        <v>1.952132230402478</v>
      </c>
      <c r="AE349">
        <v>7.0445940170940169</v>
      </c>
      <c r="AG349" s="12">
        <f t="shared" si="32"/>
        <v>-3.637978807091713E-11</v>
      </c>
      <c r="AH349" s="12">
        <f t="shared" si="33"/>
        <v>0</v>
      </c>
      <c r="AI349" s="13">
        <f t="shared" si="34"/>
        <v>0</v>
      </c>
      <c r="AJ349" s="14">
        <f t="shared" si="35"/>
        <v>-0.60989419725616045</v>
      </c>
    </row>
    <row r="350" spans="1:36" x14ac:dyDescent="0.2">
      <c r="A350">
        <v>2022</v>
      </c>
      <c r="B350" t="s">
        <v>337</v>
      </c>
      <c r="C350">
        <f>VLOOKUP(B350,Sheet5!$B$2:$C$2166,2,FALSE)</f>
        <v>845</v>
      </c>
      <c r="D350">
        <v>1725</v>
      </c>
      <c r="E350">
        <v>745</v>
      </c>
      <c r="F350" t="s">
        <v>194</v>
      </c>
      <c r="G350">
        <v>10</v>
      </c>
      <c r="H350">
        <v>7.4529823294654598</v>
      </c>
      <c r="I350">
        <v>0</v>
      </c>
      <c r="J350">
        <v>0</v>
      </c>
      <c r="K350">
        <v>1</v>
      </c>
      <c r="L350">
        <v>2</v>
      </c>
      <c r="M350" t="s">
        <v>119</v>
      </c>
      <c r="N350" t="s">
        <v>120</v>
      </c>
      <c r="O350">
        <v>1.145467796484172E-7</v>
      </c>
      <c r="P350">
        <v>0</v>
      </c>
      <c r="Q350" t="s">
        <v>338</v>
      </c>
      <c r="R350" t="str">
        <f>VLOOKUP(Q350,GDP!$A$2:$B$266,1,FALSE)</f>
        <v>TUR</v>
      </c>
      <c r="S350" t="str">
        <f>VLOOKUP(Q350,GDP!$A$2:$B$266,2,FALSE)</f>
        <v>Turkiye</v>
      </c>
      <c r="T350">
        <f>VLOOKUP(Q350,GDP!$A$1:$L$266,9,FALSE)</f>
        <v>33520.811138420824</v>
      </c>
      <c r="U350" s="4">
        <v>33520.811138420802</v>
      </c>
      <c r="V350" s="5">
        <f>VLOOKUP(Q350,POP!$B$5:$M$269,9,FALSE)</f>
        <v>57863429</v>
      </c>
      <c r="W350" s="4">
        <v>57863429</v>
      </c>
      <c r="X350">
        <f>VLOOKUP(Q350,YU!$B$1:$M$266,9,FALSE)</f>
        <v>19.289000000000001</v>
      </c>
      <c r="Y350" s="4">
        <v>19.289000000000001</v>
      </c>
      <c r="Z350">
        <v>3.0957100391387899</v>
      </c>
      <c r="AA350">
        <f t="shared" si="30"/>
        <v>10.419921752943477</v>
      </c>
      <c r="AB350">
        <f t="shared" si="31"/>
        <v>-0.10447494916895295</v>
      </c>
      <c r="AC350" s="4">
        <v>-0.10447494916894939</v>
      </c>
      <c r="AD350">
        <v>1.9617110114551031</v>
      </c>
      <c r="AE350">
        <v>3.9735940170940189</v>
      </c>
      <c r="AG350" s="12">
        <f t="shared" si="32"/>
        <v>0</v>
      </c>
      <c r="AH350" s="12">
        <f t="shared" si="33"/>
        <v>0</v>
      </c>
      <c r="AI350" s="13">
        <f t="shared" si="34"/>
        <v>0</v>
      </c>
      <c r="AJ350" s="14">
        <f t="shared" si="35"/>
        <v>-0.71364570210828582</v>
      </c>
    </row>
    <row r="351" spans="1:36" x14ac:dyDescent="0.2">
      <c r="A351">
        <v>2023</v>
      </c>
      <c r="B351" t="s">
        <v>337</v>
      </c>
      <c r="C351">
        <f>VLOOKUP(B351,Sheet5!$B$2:$C$2166,2,FALSE)</f>
        <v>845</v>
      </c>
      <c r="D351">
        <v>2440</v>
      </c>
      <c r="E351">
        <v>1085</v>
      </c>
      <c r="F351" t="s">
        <v>341</v>
      </c>
      <c r="G351">
        <v>20</v>
      </c>
      <c r="H351">
        <v>7.7997533182872472</v>
      </c>
      <c r="I351">
        <v>0</v>
      </c>
      <c r="J351">
        <v>0</v>
      </c>
      <c r="K351">
        <v>1</v>
      </c>
      <c r="L351">
        <v>3</v>
      </c>
      <c r="M351" t="s">
        <v>119</v>
      </c>
      <c r="N351" t="s">
        <v>120</v>
      </c>
      <c r="O351">
        <v>1.145467796484172E-7</v>
      </c>
      <c r="P351">
        <v>0</v>
      </c>
      <c r="Q351" t="s">
        <v>338</v>
      </c>
      <c r="R351" t="str">
        <f>VLOOKUP(Q351,GDP!$A$2:$B$266,1,FALSE)</f>
        <v>TUR</v>
      </c>
      <c r="S351" t="str">
        <f>VLOOKUP(Q351,GDP!$A$2:$B$266,2,FALSE)</f>
        <v>Turkiye</v>
      </c>
      <c r="T351">
        <f>VLOOKUP(Q351,GDP!$A$1:$L$266,10,FALSE)</f>
        <v>35069.170171468468</v>
      </c>
      <c r="U351" s="4">
        <v>35069.170171468497</v>
      </c>
      <c r="V351" s="5">
        <f>VLOOKUP(Q351,POP!$B$5:$M$269,10,FALSE)</f>
        <v>58157532</v>
      </c>
      <c r="W351" s="4">
        <v>58157532</v>
      </c>
      <c r="X351">
        <f>VLOOKUP(Q351,YU!$B$1:$M$266,10,FALSE)</f>
        <v>17.306000000000001</v>
      </c>
      <c r="Y351" s="4">
        <v>17.306000000000001</v>
      </c>
      <c r="AA351">
        <f t="shared" si="30"/>
        <v>10.465077680791783</v>
      </c>
      <c r="AB351">
        <f t="shared" si="31"/>
        <v>-5.9319021320646925E-2</v>
      </c>
      <c r="AC351" s="4">
        <v>-5.9319021320641603E-2</v>
      </c>
      <c r="AD351">
        <v>1.9667808475849691</v>
      </c>
      <c r="AE351">
        <v>1.990594017094018</v>
      </c>
      <c r="AG351" s="12">
        <f t="shared" si="32"/>
        <v>0</v>
      </c>
      <c r="AH351" s="12">
        <f t="shared" si="33"/>
        <v>0</v>
      </c>
      <c r="AI351" s="13">
        <f t="shared" si="34"/>
        <v>0</v>
      </c>
      <c r="AJ351" s="14">
        <f t="shared" si="35"/>
        <v>-1.0604166909300732</v>
      </c>
    </row>
    <row r="352" spans="1:36" x14ac:dyDescent="0.2">
      <c r="A352">
        <v>2024</v>
      </c>
      <c r="B352" t="s">
        <v>337</v>
      </c>
      <c r="C352">
        <f>VLOOKUP(B352,Sheet5!$B$2:$C$2166,2,FALSE)</f>
        <v>845</v>
      </c>
      <c r="D352">
        <v>3135</v>
      </c>
      <c r="E352">
        <v>1440</v>
      </c>
      <c r="F352" t="s">
        <v>301</v>
      </c>
      <c r="G352">
        <v>15</v>
      </c>
      <c r="H352">
        <v>8.0503844530670214</v>
      </c>
      <c r="I352">
        <v>0</v>
      </c>
      <c r="J352">
        <v>0</v>
      </c>
      <c r="K352">
        <v>1</v>
      </c>
      <c r="L352">
        <v>4</v>
      </c>
      <c r="M352" t="s">
        <v>119</v>
      </c>
      <c r="N352" t="s">
        <v>120</v>
      </c>
      <c r="O352">
        <v>1.145467796484172E-7</v>
      </c>
      <c r="P352">
        <v>0</v>
      </c>
      <c r="Q352" t="s">
        <v>338</v>
      </c>
      <c r="R352" t="str">
        <f>VLOOKUP(Q352,GDP!$A$2:$B$266,1,FALSE)</f>
        <v>TUR</v>
      </c>
      <c r="S352" t="str">
        <f>VLOOKUP(Q352,GDP!$A$2:$B$266,2,FALSE)</f>
        <v>Turkiye</v>
      </c>
      <c r="T352">
        <f>VLOOKUP(Q352,GDP!$A$1:$L$266,11,FALSE)</f>
        <v>36154.490436557004</v>
      </c>
      <c r="U352" s="4">
        <v>36154.490436556996</v>
      </c>
      <c r="V352" s="5">
        <f>VLOOKUP(Q352,POP!$B$5:$M$269,11,FALSE)</f>
        <v>58380949</v>
      </c>
      <c r="W352" s="4">
        <v>58380949</v>
      </c>
      <c r="X352">
        <f>VLOOKUP(Q352,YU!$B$1:$M$266,11,FALSE)</f>
        <v>16.286999999999999</v>
      </c>
      <c r="Y352" s="4">
        <v>16.286999999999999</v>
      </c>
      <c r="AA352">
        <f t="shared" si="30"/>
        <v>10.495556436651539</v>
      </c>
      <c r="AB352">
        <f t="shared" si="31"/>
        <v>-2.8840265460891246E-2</v>
      </c>
      <c r="AC352" s="4">
        <v>-2.884026546088592E-2</v>
      </c>
      <c r="AD352">
        <v>1.9706150707839021</v>
      </c>
      <c r="AE352">
        <v>0.97159401709401649</v>
      </c>
      <c r="AG352" s="12">
        <f t="shared" si="32"/>
        <v>0</v>
      </c>
      <c r="AH352" s="12">
        <f t="shared" si="33"/>
        <v>0</v>
      </c>
      <c r="AI352" s="13">
        <f t="shared" si="34"/>
        <v>0</v>
      </c>
      <c r="AJ352" s="14">
        <f t="shared" si="35"/>
        <v>-1.3110478257098475</v>
      </c>
    </row>
    <row r="353" spans="1:36" x14ac:dyDescent="0.2">
      <c r="A353">
        <v>2016</v>
      </c>
      <c r="B353" t="s">
        <v>342</v>
      </c>
      <c r="C353">
        <f>VLOOKUP(B353,Sheet5!$B$2:$C$2166,2,FALSE)</f>
        <v>170</v>
      </c>
      <c r="D353">
        <v>170</v>
      </c>
      <c r="E353">
        <v>65</v>
      </c>
      <c r="F353" t="s">
        <v>122</v>
      </c>
      <c r="G353">
        <v>5</v>
      </c>
      <c r="H353">
        <v>5.1357984370502621</v>
      </c>
      <c r="I353">
        <v>0</v>
      </c>
      <c r="J353">
        <v>0</v>
      </c>
      <c r="K353">
        <v>0</v>
      </c>
      <c r="L353">
        <v>-4</v>
      </c>
      <c r="M353" t="s">
        <v>119</v>
      </c>
      <c r="N353" t="s">
        <v>120</v>
      </c>
      <c r="O353">
        <v>2.6787765369253928E-9</v>
      </c>
      <c r="P353">
        <v>0</v>
      </c>
      <c r="Q353" t="s">
        <v>343</v>
      </c>
      <c r="R353" t="str">
        <f>VLOOKUP(Q353,GDP!$A$2:$B$266,1,FALSE)</f>
        <v>UGA</v>
      </c>
      <c r="S353" t="str">
        <f>VLOOKUP(Q353,GDP!$A$2:$B$266,2,FALSE)</f>
        <v>Uganda</v>
      </c>
      <c r="T353">
        <f>VLOOKUP(Q353,GDP!$A$1:$C$266,3,FALSE)</f>
        <v>2554.2276906207285</v>
      </c>
      <c r="U353" s="4">
        <v>2554.2276906207298</v>
      </c>
      <c r="V353" s="5">
        <f>VLOOKUP(Q353,POP!$B$5:$M$269,3,FALSE)</f>
        <v>19600738</v>
      </c>
      <c r="W353" s="4">
        <v>19600738</v>
      </c>
      <c r="X353">
        <f>VLOOKUP(Q353,YU!$B$1:$D$266,3,FALSE)</f>
        <v>4.4109999999999996</v>
      </c>
      <c r="Y353" s="4">
        <v>4.4109999999999996</v>
      </c>
      <c r="Z353">
        <v>2.13789010047913</v>
      </c>
      <c r="AA353">
        <f t="shared" si="30"/>
        <v>7.8455051832142368</v>
      </c>
      <c r="AB353">
        <f t="shared" si="31"/>
        <v>-2.678891518898193</v>
      </c>
      <c r="AC353" s="4">
        <v>-2.6788915188981881</v>
      </c>
      <c r="AD353">
        <v>0.87919266851191757</v>
      </c>
      <c r="AE353">
        <v>-10.904405982905979</v>
      </c>
      <c r="AG353" s="12">
        <f t="shared" si="32"/>
        <v>0</v>
      </c>
      <c r="AH353" s="12">
        <f t="shared" si="33"/>
        <v>0</v>
      </c>
      <c r="AI353" s="13">
        <f t="shared" si="34"/>
        <v>0</v>
      </c>
      <c r="AJ353" s="14">
        <f t="shared" si="35"/>
        <v>0</v>
      </c>
    </row>
    <row r="354" spans="1:36" x14ac:dyDescent="0.2">
      <c r="A354">
        <v>2017</v>
      </c>
      <c r="B354" t="s">
        <v>342</v>
      </c>
      <c r="C354">
        <f>VLOOKUP(B354,Sheet5!$B$2:$C$2166,2,FALSE)</f>
        <v>170</v>
      </c>
      <c r="D354">
        <v>190</v>
      </c>
      <c r="E354">
        <v>80</v>
      </c>
      <c r="F354" t="s">
        <v>133</v>
      </c>
      <c r="G354">
        <v>0</v>
      </c>
      <c r="H354">
        <v>5.2470240721604862</v>
      </c>
      <c r="I354">
        <v>0</v>
      </c>
      <c r="J354">
        <v>0</v>
      </c>
      <c r="K354">
        <v>0</v>
      </c>
      <c r="L354">
        <v>-3</v>
      </c>
      <c r="M354" t="s">
        <v>119</v>
      </c>
      <c r="N354" t="s">
        <v>120</v>
      </c>
      <c r="O354">
        <v>2.6787765369253928E-9</v>
      </c>
      <c r="P354">
        <v>0</v>
      </c>
      <c r="Q354" t="s">
        <v>343</v>
      </c>
      <c r="R354" t="str">
        <f>VLOOKUP(Q354,GDP!$A$2:$B$266,1,FALSE)</f>
        <v>UGA</v>
      </c>
      <c r="S354" t="str">
        <f>VLOOKUP(Q354,GDP!$A$2:$B$266,2,FALSE)</f>
        <v>Uganda</v>
      </c>
      <c r="T354">
        <f>VLOOKUP(Q354,GDP!$A$1:$L$266,4,FALSE)</f>
        <v>2543.8475439495646</v>
      </c>
      <c r="U354" s="4">
        <v>2543.8475439495601</v>
      </c>
      <c r="V354" s="5">
        <f>VLOOKUP(Q354,POP!$B$5:$M$269,4,FALSE)</f>
        <v>20536342</v>
      </c>
      <c r="W354" s="4">
        <v>20536342</v>
      </c>
      <c r="X354">
        <f>VLOOKUP(Q354,YU!$B$1:$M$266,4,FALSE)</f>
        <v>5.0519999999999996</v>
      </c>
      <c r="Y354" s="4">
        <v>5.0519999999999996</v>
      </c>
      <c r="Z354">
        <v>2.25362992286682</v>
      </c>
      <c r="AA354">
        <f t="shared" si="30"/>
        <v>7.8414329949714956</v>
      </c>
      <c r="AB354">
        <f t="shared" si="31"/>
        <v>-2.6829637071409342</v>
      </c>
      <c r="AC354" s="4">
        <v>-2.6829637071409311</v>
      </c>
      <c r="AD354">
        <v>0.92582154703458563</v>
      </c>
      <c r="AE354">
        <v>-10.263405982905979</v>
      </c>
      <c r="AG354" s="12">
        <f t="shared" si="32"/>
        <v>4.5474735088646412E-12</v>
      </c>
      <c r="AH354" s="12">
        <f t="shared" si="33"/>
        <v>0</v>
      </c>
      <c r="AI354" s="13">
        <f t="shared" si="34"/>
        <v>0</v>
      </c>
      <c r="AJ354" s="14">
        <f t="shared" si="35"/>
        <v>-0.1112256351102241</v>
      </c>
    </row>
    <row r="355" spans="1:36" x14ac:dyDescent="0.2">
      <c r="A355">
        <v>2018</v>
      </c>
      <c r="B355" t="s">
        <v>342</v>
      </c>
      <c r="C355">
        <f>VLOOKUP(B355,Sheet5!$B$2:$C$2166,2,FALSE)</f>
        <v>170</v>
      </c>
      <c r="D355">
        <v>210</v>
      </c>
      <c r="E355">
        <v>85</v>
      </c>
      <c r="F355" t="s">
        <v>124</v>
      </c>
      <c r="G355">
        <v>5</v>
      </c>
      <c r="H355">
        <v>5.3471075307174676</v>
      </c>
      <c r="I355">
        <v>0</v>
      </c>
      <c r="J355">
        <v>0</v>
      </c>
      <c r="K355">
        <v>0</v>
      </c>
      <c r="L355">
        <v>-2</v>
      </c>
      <c r="M355" t="s">
        <v>119</v>
      </c>
      <c r="N355" t="s">
        <v>120</v>
      </c>
      <c r="O355">
        <v>2.6787765369253928E-9</v>
      </c>
      <c r="P355">
        <v>0</v>
      </c>
      <c r="Q355" t="s">
        <v>343</v>
      </c>
      <c r="R355" t="str">
        <f>VLOOKUP(Q355,GDP!$A$2:$B$266,1,FALSE)</f>
        <v>UGA</v>
      </c>
      <c r="S355" t="str">
        <f>VLOOKUP(Q355,GDP!$A$2:$B$266,2,FALSE)</f>
        <v>Uganda</v>
      </c>
      <c r="T355">
        <f>VLOOKUP(Q355,GDP!$A$1:$L$266,5,FALSE)</f>
        <v>2613.8797641396313</v>
      </c>
      <c r="U355" s="4">
        <v>2613.87976413963</v>
      </c>
      <c r="V355" s="5">
        <f>VLOOKUP(Q355,POP!$B$5:$M$269,5,FALSE)</f>
        <v>21473938</v>
      </c>
      <c r="W355" s="4">
        <v>21473938</v>
      </c>
      <c r="X355">
        <f>VLOOKUP(Q355,YU!$B$1:$M$266,5,FALSE)</f>
        <v>4.8840000000000003</v>
      </c>
      <c r="Y355" s="4">
        <v>4.8840000000000003</v>
      </c>
      <c r="Z355">
        <v>2.1305201053619398</v>
      </c>
      <c r="AA355">
        <f t="shared" si="30"/>
        <v>7.8685908962401383</v>
      </c>
      <c r="AB355">
        <f t="shared" si="31"/>
        <v>-2.6558058058722915</v>
      </c>
      <c r="AC355" s="4">
        <v>-2.6558058058722862</v>
      </c>
      <c r="AD355">
        <v>0.97046546371841025</v>
      </c>
      <c r="AE355">
        <v>-10.43140598290598</v>
      </c>
      <c r="AG355" s="12">
        <f t="shared" si="32"/>
        <v>0</v>
      </c>
      <c r="AH355" s="12">
        <f t="shared" si="33"/>
        <v>0</v>
      </c>
      <c r="AI355" s="13">
        <f t="shared" si="34"/>
        <v>0</v>
      </c>
      <c r="AJ355" s="14">
        <f t="shared" si="35"/>
        <v>-0.21130909366720552</v>
      </c>
    </row>
    <row r="356" spans="1:36" x14ac:dyDescent="0.2">
      <c r="A356">
        <v>2019</v>
      </c>
      <c r="B356" t="s">
        <v>342</v>
      </c>
      <c r="C356">
        <f>VLOOKUP(B356,Sheet5!$B$2:$C$2166,2,FALSE)</f>
        <v>170</v>
      </c>
      <c r="D356">
        <v>200</v>
      </c>
      <c r="E356">
        <v>85</v>
      </c>
      <c r="F356" t="s">
        <v>245</v>
      </c>
      <c r="G356">
        <v>5</v>
      </c>
      <c r="H356">
        <v>5.2983173665480363</v>
      </c>
      <c r="I356">
        <v>0</v>
      </c>
      <c r="J356">
        <v>0</v>
      </c>
      <c r="K356">
        <v>0</v>
      </c>
      <c r="L356">
        <v>-1</v>
      </c>
      <c r="M356" t="s">
        <v>119</v>
      </c>
      <c r="N356" t="s">
        <v>120</v>
      </c>
      <c r="O356">
        <v>2.6787765369253928E-9</v>
      </c>
      <c r="P356">
        <v>0</v>
      </c>
      <c r="Q356" t="s">
        <v>343</v>
      </c>
      <c r="R356" t="str">
        <f>VLOOKUP(Q356,GDP!$A$2:$B$266,1,FALSE)</f>
        <v>UGA</v>
      </c>
      <c r="S356" t="str">
        <f>VLOOKUP(Q356,GDP!$A$2:$B$266,2,FALSE)</f>
        <v>Uganda</v>
      </c>
      <c r="T356">
        <f>VLOOKUP(Q356,GDP!$A$1:$L$266,6,FALSE)</f>
        <v>2689.4100914491924</v>
      </c>
      <c r="U356" s="4">
        <v>2689.4100914491901</v>
      </c>
      <c r="V356" s="5">
        <f>VLOOKUP(Q356,POP!$B$5:$M$269,6,FALSE)</f>
        <v>22445948</v>
      </c>
      <c r="W356" s="4">
        <v>22445948</v>
      </c>
      <c r="X356">
        <f>VLOOKUP(Q356,YU!$B$1:$M$266,6,FALSE)</f>
        <v>4.6909999999999998</v>
      </c>
      <c r="Y356" s="4">
        <v>4.6909999999999998</v>
      </c>
      <c r="Z356">
        <v>2.3082808124232201</v>
      </c>
      <c r="AA356">
        <f t="shared" si="30"/>
        <v>7.8970771516877765</v>
      </c>
      <c r="AB356">
        <f t="shared" si="31"/>
        <v>-2.6273195504246534</v>
      </c>
      <c r="AC356" s="4">
        <v>-2.6273195504246489</v>
      </c>
      <c r="AD356">
        <v>1.0147355578433359</v>
      </c>
      <c r="AE356">
        <v>-10.62440598290598</v>
      </c>
      <c r="AG356" s="12">
        <f t="shared" si="32"/>
        <v>0</v>
      </c>
      <c r="AH356" s="12">
        <f t="shared" si="33"/>
        <v>0</v>
      </c>
      <c r="AI356" s="13">
        <f t="shared" si="34"/>
        <v>0</v>
      </c>
      <c r="AJ356" s="14">
        <f t="shared" si="35"/>
        <v>-0.16251892949777424</v>
      </c>
    </row>
    <row r="357" spans="1:36" x14ac:dyDescent="0.2">
      <c r="A357">
        <v>2020</v>
      </c>
      <c r="B357" t="s">
        <v>342</v>
      </c>
      <c r="C357">
        <f>VLOOKUP(B357,Sheet5!$B$2:$C$2166,2,FALSE)</f>
        <v>170</v>
      </c>
      <c r="D357">
        <v>230</v>
      </c>
      <c r="E357">
        <v>100</v>
      </c>
      <c r="F357" t="s">
        <v>85</v>
      </c>
      <c r="G357">
        <v>0</v>
      </c>
      <c r="H357">
        <v>5.4380793089231956</v>
      </c>
      <c r="I357">
        <v>0</v>
      </c>
      <c r="J357">
        <v>0</v>
      </c>
      <c r="K357">
        <v>0</v>
      </c>
      <c r="L357">
        <v>0</v>
      </c>
      <c r="M357" t="s">
        <v>119</v>
      </c>
      <c r="N357" t="s">
        <v>120</v>
      </c>
      <c r="O357">
        <v>2.6787765369253928E-9</v>
      </c>
      <c r="P357">
        <v>0</v>
      </c>
      <c r="Q357" t="s">
        <v>343</v>
      </c>
      <c r="R357" t="str">
        <f>VLOOKUP(Q357,GDP!$A$2:$B$266,1,FALSE)</f>
        <v>UGA</v>
      </c>
      <c r="S357" t="str">
        <f>VLOOKUP(Q357,GDP!$A$2:$B$266,2,FALSE)</f>
        <v>Uganda</v>
      </c>
      <c r="T357">
        <f>VLOOKUP(Q357,GDP!$A$1:$L$266,7,FALSE)</f>
        <v>2678.0090720229268</v>
      </c>
      <c r="U357" s="4">
        <v>2678.00907202293</v>
      </c>
      <c r="V357" s="5">
        <f>VLOOKUP(Q357,POP!$B$5:$M$269,7,FALSE)</f>
        <v>23435303</v>
      </c>
      <c r="W357" s="4">
        <v>23435303</v>
      </c>
      <c r="X357">
        <f>VLOOKUP(Q357,YU!$B$1:$M$266,7,FALSE)</f>
        <v>5.6879999999999997</v>
      </c>
      <c r="Y357" s="4">
        <v>5.6879999999999997</v>
      </c>
      <c r="Z357">
        <v>2.57222181308255</v>
      </c>
      <c r="AA357">
        <f t="shared" si="30"/>
        <v>7.8928289138566292</v>
      </c>
      <c r="AB357">
        <f t="shared" si="31"/>
        <v>-2.6315677882558006</v>
      </c>
      <c r="AC357" s="4">
        <v>-2.631567788255794</v>
      </c>
      <c r="AD357">
        <v>1.0578690105932991</v>
      </c>
      <c r="AE357">
        <v>-9.6274059829059837</v>
      </c>
      <c r="AG357" s="12">
        <f t="shared" si="32"/>
        <v>0</v>
      </c>
      <c r="AH357" s="12">
        <f t="shared" si="33"/>
        <v>0</v>
      </c>
      <c r="AI357" s="13">
        <f t="shared" si="34"/>
        <v>0</v>
      </c>
      <c r="AJ357" s="14">
        <f t="shared" si="35"/>
        <v>-0.30228087187293351</v>
      </c>
    </row>
    <row r="358" spans="1:36" x14ac:dyDescent="0.2">
      <c r="A358">
        <v>2021</v>
      </c>
      <c r="B358" t="s">
        <v>342</v>
      </c>
      <c r="C358">
        <f>VLOOKUP(B358,Sheet5!$B$2:$C$2166,2,FALSE)</f>
        <v>170</v>
      </c>
      <c r="D358">
        <v>265</v>
      </c>
      <c r="E358">
        <v>105</v>
      </c>
      <c r="F358" t="s">
        <v>344</v>
      </c>
      <c r="G358">
        <v>0</v>
      </c>
      <c r="H358">
        <v>5.579729825986222</v>
      </c>
      <c r="I358">
        <v>0</v>
      </c>
      <c r="J358">
        <v>0</v>
      </c>
      <c r="K358">
        <v>1</v>
      </c>
      <c r="L358">
        <v>1</v>
      </c>
      <c r="M358" t="s">
        <v>119</v>
      </c>
      <c r="N358" t="s">
        <v>120</v>
      </c>
      <c r="O358">
        <v>2.6787765369253928E-9</v>
      </c>
      <c r="P358">
        <v>0</v>
      </c>
      <c r="Q358" t="s">
        <v>343</v>
      </c>
      <c r="R358" t="str">
        <f>VLOOKUP(Q358,GDP!$A$2:$B$266,1,FALSE)</f>
        <v>UGA</v>
      </c>
      <c r="S358" t="str">
        <f>VLOOKUP(Q358,GDP!$A$2:$B$266,2,FALSE)</f>
        <v>Uganda</v>
      </c>
      <c r="T358">
        <f>VLOOKUP(Q358,GDP!$A$1:$L$266,8,FALSE)</f>
        <v>2684.9203593974353</v>
      </c>
      <c r="U358" s="4">
        <v>2684.9203593974398</v>
      </c>
      <c r="V358" s="5">
        <f>VLOOKUP(Q358,POP!$B$5:$M$269,8,FALSE)</f>
        <v>24416198</v>
      </c>
      <c r="W358" s="4">
        <v>24416198</v>
      </c>
      <c r="X358">
        <f>VLOOKUP(Q358,YU!$B$1:$M$266,8,FALSE)</f>
        <v>5.04</v>
      </c>
      <c r="Y358" s="4">
        <v>5.04</v>
      </c>
      <c r="Z358">
        <v>2.63593612308533</v>
      </c>
      <c r="AA358">
        <f t="shared" si="30"/>
        <v>7.8954063451985661</v>
      </c>
      <c r="AB358">
        <f t="shared" si="31"/>
        <v>-2.6289903569138637</v>
      </c>
      <c r="AC358" s="4">
        <v>-2.6289903569138571</v>
      </c>
      <c r="AD358">
        <v>1.0988722144286791</v>
      </c>
      <c r="AE358">
        <v>-10.27540598290598</v>
      </c>
      <c r="AG358" s="12">
        <f t="shared" si="32"/>
        <v>-4.5474735088646412E-12</v>
      </c>
      <c r="AH358" s="12">
        <f t="shared" si="33"/>
        <v>0</v>
      </c>
      <c r="AI358" s="13">
        <f t="shared" si="34"/>
        <v>0</v>
      </c>
      <c r="AJ358" s="14">
        <f t="shared" si="35"/>
        <v>-0.44393138893595996</v>
      </c>
    </row>
    <row r="359" spans="1:36" x14ac:dyDescent="0.2">
      <c r="A359">
        <v>2022</v>
      </c>
      <c r="B359" t="s">
        <v>342</v>
      </c>
      <c r="C359">
        <f>VLOOKUP(B359,Sheet5!$B$2:$C$2166,2,FALSE)</f>
        <v>170</v>
      </c>
      <c r="D359">
        <v>275</v>
      </c>
      <c r="E359">
        <v>120</v>
      </c>
      <c r="F359" t="s">
        <v>345</v>
      </c>
      <c r="G359">
        <v>5</v>
      </c>
      <c r="H359">
        <v>5.6167710976665717</v>
      </c>
      <c r="I359">
        <v>0</v>
      </c>
      <c r="J359">
        <v>0</v>
      </c>
      <c r="K359">
        <v>1</v>
      </c>
      <c r="L359">
        <v>2</v>
      </c>
      <c r="M359" t="s">
        <v>119</v>
      </c>
      <c r="N359" t="s">
        <v>120</v>
      </c>
      <c r="O359">
        <v>2.6787765369253928E-9</v>
      </c>
      <c r="P359">
        <v>0</v>
      </c>
      <c r="Q359" t="s">
        <v>343</v>
      </c>
      <c r="R359" t="str">
        <f>VLOOKUP(Q359,GDP!$A$2:$B$266,1,FALSE)</f>
        <v>UGA</v>
      </c>
      <c r="S359" t="str">
        <f>VLOOKUP(Q359,GDP!$A$2:$B$266,2,FALSE)</f>
        <v>Uganda</v>
      </c>
      <c r="T359">
        <f>VLOOKUP(Q359,GDP!$A$1:$L$266,9,FALSE)</f>
        <v>2724.9060956840863</v>
      </c>
      <c r="U359" s="4">
        <v>2724.9060956840899</v>
      </c>
      <c r="V359" s="5">
        <f>VLOOKUP(Q359,POP!$B$5:$M$269,9,FALSE)</f>
        <v>25349067</v>
      </c>
      <c r="W359" s="4">
        <v>25349067</v>
      </c>
      <c r="X359">
        <f>VLOOKUP(Q359,YU!$B$1:$M$266,9,FALSE)</f>
        <v>4.335</v>
      </c>
      <c r="Y359" s="4">
        <v>4.335</v>
      </c>
      <c r="Z359">
        <v>2.56105027176925</v>
      </c>
      <c r="AA359">
        <f t="shared" si="30"/>
        <v>7.9101892462041565</v>
      </c>
      <c r="AB359">
        <f t="shared" si="31"/>
        <v>-2.6142074559082733</v>
      </c>
      <c r="AC359" s="4">
        <v>-2.6142074559082662</v>
      </c>
      <c r="AD359">
        <v>1.136367374549232</v>
      </c>
      <c r="AE359">
        <v>-10.98040598290598</v>
      </c>
      <c r="AG359" s="12">
        <f t="shared" si="32"/>
        <v>-3.637978807091713E-12</v>
      </c>
      <c r="AH359" s="12">
        <f t="shared" si="33"/>
        <v>0</v>
      </c>
      <c r="AI359" s="13">
        <f t="shared" si="34"/>
        <v>0</v>
      </c>
      <c r="AJ359" s="14">
        <f t="shared" si="35"/>
        <v>-0.48097266061630961</v>
      </c>
    </row>
    <row r="360" spans="1:36" x14ac:dyDescent="0.2">
      <c r="A360">
        <v>2023</v>
      </c>
      <c r="B360" t="s">
        <v>342</v>
      </c>
      <c r="C360">
        <f>VLOOKUP(B360,Sheet5!$B$2:$C$2166,2,FALSE)</f>
        <v>170</v>
      </c>
      <c r="D360">
        <v>340</v>
      </c>
      <c r="E360">
        <v>140</v>
      </c>
      <c r="F360" t="s">
        <v>75</v>
      </c>
      <c r="G360">
        <v>10</v>
      </c>
      <c r="H360">
        <v>5.8289456176102066</v>
      </c>
      <c r="I360">
        <v>0</v>
      </c>
      <c r="J360">
        <v>0</v>
      </c>
      <c r="K360">
        <v>1</v>
      </c>
      <c r="L360">
        <v>3</v>
      </c>
      <c r="M360" t="s">
        <v>119</v>
      </c>
      <c r="N360" t="s">
        <v>120</v>
      </c>
      <c r="O360">
        <v>2.6787765369253928E-9</v>
      </c>
      <c r="P360">
        <v>0</v>
      </c>
      <c r="Q360" t="s">
        <v>343</v>
      </c>
      <c r="R360" t="str">
        <f>VLOOKUP(Q360,GDP!$A$2:$B$266,1,FALSE)</f>
        <v>UGA</v>
      </c>
      <c r="S360" t="str">
        <f>VLOOKUP(Q360,GDP!$A$2:$B$266,2,FALSE)</f>
        <v>Uganda</v>
      </c>
      <c r="T360">
        <f>VLOOKUP(Q360,GDP!$A$1:$L$266,10,FALSE)</f>
        <v>2791.0557688586127</v>
      </c>
      <c r="U360" s="4">
        <v>2791.05576885861</v>
      </c>
      <c r="V360" s="5">
        <f>VLOOKUP(Q360,POP!$B$5:$M$269,10,FALSE)</f>
        <v>26231434</v>
      </c>
      <c r="W360" s="4">
        <v>26231434</v>
      </c>
      <c r="X360">
        <f>VLOOKUP(Q360,YU!$B$1:$M$266,10,FALSE)</f>
        <v>4.2080000000000002</v>
      </c>
      <c r="Y360" s="4">
        <v>4.2080000000000002</v>
      </c>
      <c r="AA360">
        <f t="shared" si="30"/>
        <v>7.9341752150130125</v>
      </c>
      <c r="AB360">
        <f t="shared" si="31"/>
        <v>-2.5902214870994174</v>
      </c>
      <c r="AC360" s="4">
        <v>-2.5902214870994129</v>
      </c>
      <c r="AD360">
        <v>1.1705839125324311</v>
      </c>
      <c r="AE360">
        <v>-11.107405982905981</v>
      </c>
      <c r="AG360" s="12">
        <f t="shared" si="32"/>
        <v>0</v>
      </c>
      <c r="AH360" s="12">
        <f t="shared" si="33"/>
        <v>0</v>
      </c>
      <c r="AI360" s="13">
        <f t="shared" si="34"/>
        <v>0</v>
      </c>
      <c r="AJ360" s="14">
        <f t="shared" si="35"/>
        <v>-0.69314718055994451</v>
      </c>
    </row>
    <row r="361" spans="1:36" x14ac:dyDescent="0.2">
      <c r="A361">
        <v>2024</v>
      </c>
      <c r="B361" t="s">
        <v>342</v>
      </c>
      <c r="C361">
        <f>VLOOKUP(B361,Sheet5!$B$2:$C$2166,2,FALSE)</f>
        <v>170</v>
      </c>
      <c r="D361">
        <v>375</v>
      </c>
      <c r="E361">
        <v>160</v>
      </c>
      <c r="F361" t="s">
        <v>73</v>
      </c>
      <c r="G361">
        <v>10</v>
      </c>
      <c r="H361">
        <v>5.9269260259704106</v>
      </c>
      <c r="I361">
        <v>0</v>
      </c>
      <c r="J361">
        <v>0</v>
      </c>
      <c r="K361">
        <v>1</v>
      </c>
      <c r="L361">
        <v>4</v>
      </c>
      <c r="M361" t="s">
        <v>119</v>
      </c>
      <c r="N361" t="s">
        <v>120</v>
      </c>
      <c r="O361">
        <v>2.6787765369253928E-9</v>
      </c>
      <c r="P361">
        <v>0</v>
      </c>
      <c r="Q361" t="s">
        <v>343</v>
      </c>
      <c r="R361" t="str">
        <f>VLOOKUP(Q361,GDP!$A$2:$B$266,1,FALSE)</f>
        <v>UGA</v>
      </c>
      <c r="S361" t="str">
        <f>VLOOKUP(Q361,GDP!$A$2:$B$266,2,FALSE)</f>
        <v>Uganda</v>
      </c>
      <c r="T361">
        <f>VLOOKUP(Q361,GDP!$A$1:$L$266,11,FALSE)</f>
        <v>2879.6700929037611</v>
      </c>
      <c r="U361" s="4">
        <v>2879.6700929037602</v>
      </c>
      <c r="V361" s="5">
        <f>VLOOKUP(Q361,POP!$B$5:$M$269,11,FALSE)</f>
        <v>27142399</v>
      </c>
      <c r="W361" s="4">
        <v>27142399</v>
      </c>
      <c r="X361">
        <f>VLOOKUP(Q361,YU!$B$1:$M$266,11,FALSE)</f>
        <v>4.2110000000000003</v>
      </c>
      <c r="Y361" s="4">
        <v>4.2110000000000003</v>
      </c>
      <c r="AA361">
        <f t="shared" si="30"/>
        <v>7.9654310154934329</v>
      </c>
      <c r="AB361">
        <f t="shared" si="31"/>
        <v>-2.5589656866189969</v>
      </c>
      <c r="AC361" s="4">
        <v>-2.558965686618992</v>
      </c>
      <c r="AD361">
        <v>1.204722493938432</v>
      </c>
      <c r="AE361">
        <v>-11.10440598290598</v>
      </c>
      <c r="AG361" s="12">
        <f t="shared" si="32"/>
        <v>0</v>
      </c>
      <c r="AH361" s="12">
        <f t="shared" si="33"/>
        <v>0</v>
      </c>
      <c r="AI361" s="13">
        <f t="shared" si="34"/>
        <v>0</v>
      </c>
      <c r="AJ361" s="14">
        <f t="shared" si="35"/>
        <v>-0.79112758892014856</v>
      </c>
    </row>
    <row r="362" spans="1:36" x14ac:dyDescent="0.2">
      <c r="A362">
        <v>2016</v>
      </c>
      <c r="B362" t="s">
        <v>346</v>
      </c>
      <c r="C362">
        <f>VLOOKUP(B362,Sheet5!$B$2:$C$2166,2,FALSE)</f>
        <v>900</v>
      </c>
      <c r="D362">
        <v>900</v>
      </c>
      <c r="E362">
        <v>405</v>
      </c>
      <c r="F362" t="s">
        <v>322</v>
      </c>
      <c r="G362">
        <v>20</v>
      </c>
      <c r="H362">
        <v>6.8023947633243109</v>
      </c>
      <c r="I362">
        <v>0</v>
      </c>
      <c r="J362">
        <v>0</v>
      </c>
      <c r="K362">
        <v>0</v>
      </c>
      <c r="L362">
        <v>-4</v>
      </c>
      <c r="M362" t="s">
        <v>119</v>
      </c>
      <c r="N362" t="s">
        <v>120</v>
      </c>
      <c r="O362">
        <v>1.846520420857108</v>
      </c>
      <c r="P362">
        <v>0</v>
      </c>
      <c r="Q362" t="s">
        <v>347</v>
      </c>
      <c r="R362" t="str">
        <f>VLOOKUP(Q362,GDP!$A$2:$B$266,1,FALSE)</f>
        <v>EGY</v>
      </c>
      <c r="S362" t="str">
        <f>VLOOKUP(Q362,GDP!$A$2:$B$266,2,FALSE)</f>
        <v>Egypt, Arab Rep.</v>
      </c>
      <c r="T362">
        <f>VLOOKUP(Q362,GDP!$A$1:$C$266,3,FALSE)</f>
        <v>13727.320160081566</v>
      </c>
      <c r="U362" s="4">
        <v>13727.320160081599</v>
      </c>
      <c r="V362" s="5">
        <f>VLOOKUP(Q362,POP!$B$5:$M$269,3,FALSE)</f>
        <v>62613958</v>
      </c>
      <c r="W362" s="4">
        <v>62613958</v>
      </c>
      <c r="X362">
        <f>VLOOKUP(Q362,YU!$B$1:$D$266,3,FALSE)</f>
        <v>33.655000000000001</v>
      </c>
      <c r="Y362" s="4">
        <v>33.655000000000001</v>
      </c>
      <c r="AA362">
        <f t="shared" si="30"/>
        <v>9.5271432983629012</v>
      </c>
      <c r="AB362">
        <f t="shared" si="31"/>
        <v>-0.99725340374952864</v>
      </c>
      <c r="AC362" s="4">
        <v>-0.99725340374952154</v>
      </c>
      <c r="AD362">
        <v>2.040613674420745</v>
      </c>
      <c r="AE362">
        <v>18.339594017094019</v>
      </c>
      <c r="AG362" s="12">
        <f t="shared" si="32"/>
        <v>-3.2741809263825417E-11</v>
      </c>
      <c r="AH362" s="12">
        <f t="shared" si="33"/>
        <v>0</v>
      </c>
      <c r="AI362" s="13">
        <f t="shared" si="34"/>
        <v>0</v>
      </c>
      <c r="AJ362" s="14">
        <f t="shared" si="35"/>
        <v>0</v>
      </c>
    </row>
    <row r="363" spans="1:36" x14ac:dyDescent="0.2">
      <c r="A363">
        <v>2017</v>
      </c>
      <c r="B363" t="s">
        <v>346</v>
      </c>
      <c r="C363">
        <f>VLOOKUP(B363,Sheet5!$B$2:$C$2166,2,FALSE)</f>
        <v>900</v>
      </c>
      <c r="D363">
        <v>880</v>
      </c>
      <c r="E363">
        <v>395</v>
      </c>
      <c r="F363" t="s">
        <v>33</v>
      </c>
      <c r="G363">
        <v>15</v>
      </c>
      <c r="H363">
        <v>6.7799219074722519</v>
      </c>
      <c r="I363">
        <v>0</v>
      </c>
      <c r="J363">
        <v>0</v>
      </c>
      <c r="K363">
        <v>0</v>
      </c>
      <c r="L363">
        <v>-3</v>
      </c>
      <c r="M363" t="s">
        <v>119</v>
      </c>
      <c r="N363" t="s">
        <v>120</v>
      </c>
      <c r="O363">
        <v>1.846520420857108</v>
      </c>
      <c r="P363">
        <v>0</v>
      </c>
      <c r="Q363" t="s">
        <v>347</v>
      </c>
      <c r="R363" t="str">
        <f>VLOOKUP(Q363,GDP!$A$2:$B$266,1,FALSE)</f>
        <v>EGY</v>
      </c>
      <c r="S363" t="str">
        <f>VLOOKUP(Q363,GDP!$A$2:$B$266,2,FALSE)</f>
        <v>Egypt, Arab Rep.</v>
      </c>
      <c r="T363">
        <f>VLOOKUP(Q363,GDP!$A$1:$L$266,4,FALSE)</f>
        <v>14018.36059344113</v>
      </c>
      <c r="U363" s="4">
        <v>14018.360593441101</v>
      </c>
      <c r="V363" s="5">
        <f>VLOOKUP(Q363,POP!$B$5:$M$269,4,FALSE)</f>
        <v>63803126</v>
      </c>
      <c r="W363" s="4">
        <v>63803126</v>
      </c>
      <c r="X363">
        <f>VLOOKUP(Q363,YU!$B$1:$M$266,4,FALSE)</f>
        <v>32.643999999999998</v>
      </c>
      <c r="Y363" s="4">
        <v>32.643999999999998</v>
      </c>
      <c r="AA363">
        <f t="shared" si="30"/>
        <v>9.5481232203305897</v>
      </c>
      <c r="AB363">
        <f t="shared" si="31"/>
        <v>-0.97627348178184015</v>
      </c>
      <c r="AC363" s="4">
        <v>-0.97627348178183837</v>
      </c>
      <c r="AD363">
        <v>2.0594276359387198</v>
      </c>
      <c r="AE363">
        <v>17.328594017094019</v>
      </c>
      <c r="AG363" s="12">
        <f t="shared" si="32"/>
        <v>2.9103830456733704E-11</v>
      </c>
      <c r="AH363" s="12">
        <f t="shared" si="33"/>
        <v>0</v>
      </c>
      <c r="AI363" s="13">
        <f t="shared" si="34"/>
        <v>0</v>
      </c>
      <c r="AJ363" s="14">
        <f t="shared" si="35"/>
        <v>2.2472855852059048E-2</v>
      </c>
    </row>
    <row r="364" spans="1:36" x14ac:dyDescent="0.2">
      <c r="A364">
        <v>2018</v>
      </c>
      <c r="B364" t="s">
        <v>346</v>
      </c>
      <c r="C364">
        <f>VLOOKUP(B364,Sheet5!$B$2:$C$2166,2,FALSE)</f>
        <v>900</v>
      </c>
      <c r="D364">
        <v>785</v>
      </c>
      <c r="E364">
        <v>345</v>
      </c>
      <c r="F364" t="s">
        <v>345</v>
      </c>
      <c r="G364">
        <v>10</v>
      </c>
      <c r="H364">
        <v>6.6656837177824082</v>
      </c>
      <c r="I364">
        <v>0</v>
      </c>
      <c r="J364">
        <v>0</v>
      </c>
      <c r="K364">
        <v>0</v>
      </c>
      <c r="L364">
        <v>-2</v>
      </c>
      <c r="M364" t="s">
        <v>119</v>
      </c>
      <c r="N364" t="s">
        <v>120</v>
      </c>
      <c r="O364">
        <v>1.846520420857108</v>
      </c>
      <c r="P364">
        <v>0</v>
      </c>
      <c r="Q364" t="s">
        <v>347</v>
      </c>
      <c r="R364" t="str">
        <f>VLOOKUP(Q364,GDP!$A$2:$B$266,1,FALSE)</f>
        <v>EGY</v>
      </c>
      <c r="S364" t="str">
        <f>VLOOKUP(Q364,GDP!$A$2:$B$266,2,FALSE)</f>
        <v>Egypt, Arab Rep.</v>
      </c>
      <c r="T364">
        <f>VLOOKUP(Q364,GDP!$A$1:$L$266,5,FALSE)</f>
        <v>14488.209434026054</v>
      </c>
      <c r="U364" s="4">
        <v>14488.209434026099</v>
      </c>
      <c r="V364" s="5">
        <f>VLOOKUP(Q364,POP!$B$5:$M$269,5,FALSE)</f>
        <v>65041698</v>
      </c>
      <c r="W364" s="4">
        <v>65041698</v>
      </c>
      <c r="X364">
        <f>VLOOKUP(Q364,YU!$B$1:$M$266,5,FALSE)</f>
        <v>26.251999999999999</v>
      </c>
      <c r="Y364" s="4">
        <v>26.251999999999999</v>
      </c>
      <c r="AA364">
        <f t="shared" si="30"/>
        <v>9.5810904551480309</v>
      </c>
      <c r="AB364">
        <f t="shared" si="31"/>
        <v>-0.94330624696439891</v>
      </c>
      <c r="AC364" s="4">
        <v>-0.94330624696439003</v>
      </c>
      <c r="AD364">
        <v>2.0786540218329228</v>
      </c>
      <c r="AE364">
        <v>10.93659401709402</v>
      </c>
      <c r="AG364" s="12">
        <f t="shared" si="32"/>
        <v>-4.5474735088646412E-11</v>
      </c>
      <c r="AH364" s="12">
        <f t="shared" si="33"/>
        <v>0</v>
      </c>
      <c r="AI364" s="13">
        <f t="shared" si="34"/>
        <v>0</v>
      </c>
      <c r="AJ364" s="14">
        <f t="shared" si="35"/>
        <v>0.13671104554190272</v>
      </c>
    </row>
    <row r="365" spans="1:36" x14ac:dyDescent="0.2">
      <c r="A365">
        <v>2019</v>
      </c>
      <c r="B365" t="s">
        <v>346</v>
      </c>
      <c r="C365">
        <f>VLOOKUP(B365,Sheet5!$B$2:$C$2166,2,FALSE)</f>
        <v>900</v>
      </c>
      <c r="D365">
        <v>850</v>
      </c>
      <c r="E365">
        <v>385</v>
      </c>
      <c r="F365" t="s">
        <v>348</v>
      </c>
      <c r="G365">
        <v>10</v>
      </c>
      <c r="H365">
        <v>6.7452363494843626</v>
      </c>
      <c r="I365">
        <v>0</v>
      </c>
      <c r="J365">
        <v>0</v>
      </c>
      <c r="K365">
        <v>0</v>
      </c>
      <c r="L365">
        <v>-1</v>
      </c>
      <c r="M365" t="s">
        <v>119</v>
      </c>
      <c r="N365" t="s">
        <v>120</v>
      </c>
      <c r="O365">
        <v>1.846520420857108</v>
      </c>
      <c r="P365">
        <v>0</v>
      </c>
      <c r="Q365" t="s">
        <v>347</v>
      </c>
      <c r="R365" t="str">
        <f>VLOOKUP(Q365,GDP!$A$2:$B$266,1,FALSE)</f>
        <v>EGY</v>
      </c>
      <c r="S365" t="str">
        <f>VLOOKUP(Q365,GDP!$A$2:$B$266,2,FALSE)</f>
        <v>Egypt, Arab Rep.</v>
      </c>
      <c r="T365">
        <f>VLOOKUP(Q365,GDP!$A$1:$L$266,6,FALSE)</f>
        <v>15026.568243683027</v>
      </c>
      <c r="U365" s="4">
        <v>15026.568243682999</v>
      </c>
      <c r="V365" s="5">
        <f>VLOOKUP(Q365,POP!$B$5:$M$269,6,FALSE)</f>
        <v>66321975</v>
      </c>
      <c r="W365" s="4">
        <v>66321975</v>
      </c>
      <c r="X365">
        <f>VLOOKUP(Q365,YU!$B$1:$M$266,6,FALSE)</f>
        <v>20.631</v>
      </c>
      <c r="Y365" s="4">
        <v>20.631</v>
      </c>
      <c r="AA365">
        <f t="shared" si="30"/>
        <v>9.6175751295761547</v>
      </c>
      <c r="AB365">
        <f t="shared" si="31"/>
        <v>-0.90682157253627516</v>
      </c>
      <c r="AC365" s="4">
        <v>-0.9068215725362716</v>
      </c>
      <c r="AD365">
        <v>2.0981467401619529</v>
      </c>
      <c r="AE365">
        <v>5.3155940170940177</v>
      </c>
      <c r="AG365" s="12">
        <f t="shared" si="32"/>
        <v>2.7284841053187847E-11</v>
      </c>
      <c r="AH365" s="12">
        <f t="shared" si="33"/>
        <v>0</v>
      </c>
      <c r="AI365" s="13">
        <f t="shared" si="34"/>
        <v>0</v>
      </c>
      <c r="AJ365" s="14">
        <f t="shared" si="35"/>
        <v>5.7158413839948352E-2</v>
      </c>
    </row>
    <row r="366" spans="1:36" x14ac:dyDescent="0.2">
      <c r="A366">
        <v>2020</v>
      </c>
      <c r="B366" t="s">
        <v>346</v>
      </c>
      <c r="C366">
        <f>VLOOKUP(B366,Sheet5!$B$2:$C$2166,2,FALSE)</f>
        <v>900</v>
      </c>
      <c r="D366">
        <v>885</v>
      </c>
      <c r="E366">
        <v>450</v>
      </c>
      <c r="F366" t="s">
        <v>54</v>
      </c>
      <c r="G366">
        <v>15</v>
      </c>
      <c r="H366">
        <v>6.7855876450079293</v>
      </c>
      <c r="I366">
        <v>0</v>
      </c>
      <c r="J366">
        <v>0</v>
      </c>
      <c r="K366">
        <v>0</v>
      </c>
      <c r="L366">
        <v>0</v>
      </c>
      <c r="M366" t="s">
        <v>119</v>
      </c>
      <c r="N366" t="s">
        <v>120</v>
      </c>
      <c r="O366">
        <v>1.846520420857108</v>
      </c>
      <c r="P366">
        <v>0</v>
      </c>
      <c r="Q366" t="s">
        <v>347</v>
      </c>
      <c r="R366" t="str">
        <f>VLOOKUP(Q366,GDP!$A$2:$B$266,1,FALSE)</f>
        <v>EGY</v>
      </c>
      <c r="S366" t="str">
        <f>VLOOKUP(Q366,GDP!$A$2:$B$266,2,FALSE)</f>
        <v>Egypt, Arab Rep.</v>
      </c>
      <c r="T366">
        <f>VLOOKUP(Q366,GDP!$A$1:$L$266,7,FALSE)</f>
        <v>15309.235988183531</v>
      </c>
      <c r="U366" s="4">
        <v>15309.2359881835</v>
      </c>
      <c r="V366" s="5">
        <f>VLOOKUP(Q366,POP!$B$5:$M$269,7,FALSE)</f>
        <v>67594654</v>
      </c>
      <c r="W366" s="4">
        <v>67594654</v>
      </c>
      <c r="X366">
        <f>VLOOKUP(Q366,YU!$B$1:$M$266,7,FALSE)</f>
        <v>18.463000000000001</v>
      </c>
      <c r="Y366" s="4">
        <v>18.463000000000001</v>
      </c>
      <c r="AA366">
        <f t="shared" si="30"/>
        <v>9.6362115846099101</v>
      </c>
      <c r="AB366">
        <f t="shared" si="31"/>
        <v>-0.88818511750251972</v>
      </c>
      <c r="AC366" s="4">
        <v>-0.88818511750251794</v>
      </c>
      <c r="AD366">
        <v>2.1171543470045489</v>
      </c>
      <c r="AE366">
        <v>3.147594017094018</v>
      </c>
      <c r="AG366" s="12">
        <f t="shared" si="32"/>
        <v>3.092281986027956E-11</v>
      </c>
      <c r="AH366" s="12">
        <f t="shared" si="33"/>
        <v>0</v>
      </c>
      <c r="AI366" s="13">
        <f t="shared" si="34"/>
        <v>0</v>
      </c>
      <c r="AJ366" s="14">
        <f t="shared" si="35"/>
        <v>1.6807118316381597E-2</v>
      </c>
    </row>
    <row r="367" spans="1:36" x14ac:dyDescent="0.2">
      <c r="A367">
        <v>2021</v>
      </c>
      <c r="B367" t="s">
        <v>346</v>
      </c>
      <c r="C367">
        <f>VLOOKUP(B367,Sheet5!$B$2:$C$2166,2,FALSE)</f>
        <v>900</v>
      </c>
      <c r="D367">
        <v>900</v>
      </c>
      <c r="E367">
        <v>405</v>
      </c>
      <c r="F367" t="s">
        <v>134</v>
      </c>
      <c r="G367">
        <v>5</v>
      </c>
      <c r="H367">
        <v>6.8023947633243109</v>
      </c>
      <c r="I367">
        <v>0</v>
      </c>
      <c r="J367">
        <v>0</v>
      </c>
      <c r="K367">
        <v>1</v>
      </c>
      <c r="L367">
        <v>1</v>
      </c>
      <c r="M367" t="s">
        <v>119</v>
      </c>
      <c r="N367" t="s">
        <v>120</v>
      </c>
      <c r="O367">
        <v>1.846520420857108</v>
      </c>
      <c r="P367">
        <v>0</v>
      </c>
      <c r="Q367" t="s">
        <v>347</v>
      </c>
      <c r="R367" t="str">
        <f>VLOOKUP(Q367,GDP!$A$2:$B$266,1,FALSE)</f>
        <v>EGY</v>
      </c>
      <c r="S367" t="str">
        <f>VLOOKUP(Q367,GDP!$A$2:$B$266,2,FALSE)</f>
        <v>Egypt, Arab Rep.</v>
      </c>
      <c r="T367">
        <f>VLOOKUP(Q367,GDP!$A$1:$L$266,8,FALSE)</f>
        <v>15579.016086155119</v>
      </c>
      <c r="U367" s="4">
        <v>15579.016086155099</v>
      </c>
      <c r="V367" s="5">
        <f>VLOOKUP(Q367,POP!$B$5:$M$269,8,FALSE)</f>
        <v>68867963</v>
      </c>
      <c r="W367" s="4">
        <v>68867963</v>
      </c>
      <c r="X367">
        <f>VLOOKUP(Q367,YU!$B$1:$M$266,8,FALSE)</f>
        <v>18.21</v>
      </c>
      <c r="Y367" s="4">
        <v>18.21</v>
      </c>
      <c r="AA367">
        <f t="shared" si="30"/>
        <v>9.6536801650656621</v>
      </c>
      <c r="AB367">
        <f t="shared" si="31"/>
        <v>-0.87071653704676777</v>
      </c>
      <c r="AC367" s="4">
        <v>-0.87071653704676422</v>
      </c>
      <c r="AD367">
        <v>2.135816541577475</v>
      </c>
      <c r="AE367">
        <v>2.8945940170940179</v>
      </c>
      <c r="AG367" s="12">
        <f t="shared" si="32"/>
        <v>2.0008883439004421E-11</v>
      </c>
      <c r="AH367" s="12">
        <f t="shared" si="33"/>
        <v>0</v>
      </c>
      <c r="AI367" s="13">
        <f t="shared" si="34"/>
        <v>0</v>
      </c>
      <c r="AJ367" s="14">
        <f t="shared" si="35"/>
        <v>0</v>
      </c>
    </row>
    <row r="368" spans="1:36" x14ac:dyDescent="0.2">
      <c r="A368">
        <v>2022</v>
      </c>
      <c r="B368" t="s">
        <v>346</v>
      </c>
      <c r="C368">
        <f>VLOOKUP(B368,Sheet5!$B$2:$C$2166,2,FALSE)</f>
        <v>900</v>
      </c>
      <c r="D368">
        <v>940</v>
      </c>
      <c r="E368">
        <v>380</v>
      </c>
      <c r="F368" t="s">
        <v>62</v>
      </c>
      <c r="G368">
        <v>20</v>
      </c>
      <c r="H368">
        <v>6.8458798752640497</v>
      </c>
      <c r="I368">
        <v>0</v>
      </c>
      <c r="J368">
        <v>0</v>
      </c>
      <c r="K368">
        <v>1</v>
      </c>
      <c r="L368">
        <v>2</v>
      </c>
      <c r="M368" t="s">
        <v>119</v>
      </c>
      <c r="N368" t="s">
        <v>120</v>
      </c>
      <c r="O368">
        <v>1.846520420857108</v>
      </c>
      <c r="P368">
        <v>0</v>
      </c>
      <c r="Q368" t="s">
        <v>347</v>
      </c>
      <c r="R368" t="str">
        <f>VLOOKUP(Q368,GDP!$A$2:$B$266,1,FALSE)</f>
        <v>EGY</v>
      </c>
      <c r="S368" t="str">
        <f>VLOOKUP(Q368,GDP!$A$2:$B$266,2,FALSE)</f>
        <v>Egypt, Arab Rep.</v>
      </c>
      <c r="T368">
        <f>VLOOKUP(Q368,GDP!$A$1:$L$266,9,FALSE)</f>
        <v>16360.390775011048</v>
      </c>
      <c r="U368" s="4">
        <v>16360.390775010999</v>
      </c>
      <c r="V368" s="5">
        <f>VLOOKUP(Q368,POP!$B$5:$M$269,9,FALSE)</f>
        <v>70183982</v>
      </c>
      <c r="W368" s="4">
        <v>70183982</v>
      </c>
      <c r="X368">
        <f>VLOOKUP(Q368,YU!$B$1:$M$266,9,FALSE)</f>
        <v>16.341999999999999</v>
      </c>
      <c r="Y368" s="4">
        <v>16.341999999999999</v>
      </c>
      <c r="AA368">
        <f t="shared" si="30"/>
        <v>9.7026184958745922</v>
      </c>
      <c r="AB368">
        <f t="shared" si="31"/>
        <v>-0.82177820623783759</v>
      </c>
      <c r="AC368" s="4">
        <v>-0.82177820623783582</v>
      </c>
      <c r="AD368">
        <v>2.1547455582804189</v>
      </c>
      <c r="AE368">
        <v>1.026594017094016</v>
      </c>
      <c r="AG368" s="12">
        <f t="shared" si="32"/>
        <v>4.9112713895738125E-11</v>
      </c>
      <c r="AH368" s="12">
        <f t="shared" si="33"/>
        <v>0</v>
      </c>
      <c r="AI368" s="13">
        <f t="shared" si="34"/>
        <v>0</v>
      </c>
      <c r="AJ368" s="14">
        <f t="shared" si="35"/>
        <v>-4.3485111939738808E-2</v>
      </c>
    </row>
    <row r="369" spans="1:36" x14ac:dyDescent="0.2">
      <c r="A369">
        <v>2023</v>
      </c>
      <c r="B369" t="s">
        <v>346</v>
      </c>
      <c r="C369">
        <f>VLOOKUP(B369,Sheet5!$B$2:$C$2166,2,FALSE)</f>
        <v>900</v>
      </c>
      <c r="D369">
        <v>785</v>
      </c>
      <c r="E369">
        <v>295</v>
      </c>
      <c r="F369" t="s">
        <v>349</v>
      </c>
      <c r="G369">
        <v>10</v>
      </c>
      <c r="H369">
        <v>6.6656837177824082</v>
      </c>
      <c r="I369">
        <v>0</v>
      </c>
      <c r="J369">
        <v>0</v>
      </c>
      <c r="K369">
        <v>1</v>
      </c>
      <c r="L369">
        <v>3</v>
      </c>
      <c r="M369" t="s">
        <v>119</v>
      </c>
      <c r="N369" t="s">
        <v>120</v>
      </c>
      <c r="O369">
        <v>1.846520420857108</v>
      </c>
      <c r="P369">
        <v>0</v>
      </c>
      <c r="Q369" t="s">
        <v>347</v>
      </c>
      <c r="R369" t="str">
        <f>VLOOKUP(Q369,GDP!$A$2:$B$266,1,FALSE)</f>
        <v>EGY</v>
      </c>
      <c r="S369" t="str">
        <f>VLOOKUP(Q369,GDP!$A$2:$B$266,2,FALSE)</f>
        <v>Egypt, Arab Rep.</v>
      </c>
      <c r="T369">
        <f>VLOOKUP(Q369,GDP!$A$1:$L$266,10,FALSE)</f>
        <v>16691.387399196188</v>
      </c>
      <c r="U369" s="4">
        <v>16691.387399196199</v>
      </c>
      <c r="V369" s="5">
        <f>VLOOKUP(Q369,POP!$B$5:$M$269,10,FALSE)</f>
        <v>71693890</v>
      </c>
      <c r="W369" s="4">
        <v>71693890</v>
      </c>
      <c r="X369">
        <f>VLOOKUP(Q369,YU!$B$1:$M$266,10,FALSE)</f>
        <v>17.152999999999999</v>
      </c>
      <c r="Y369" s="4">
        <v>17.152999999999999</v>
      </c>
      <c r="AA369">
        <f t="shared" si="30"/>
        <v>9.7226481407741439</v>
      </c>
      <c r="AB369">
        <f t="shared" si="31"/>
        <v>-0.80174856133828598</v>
      </c>
      <c r="AC369" s="4">
        <v>-0.80174856133827888</v>
      </c>
      <c r="AD369">
        <v>2.1760309777190279</v>
      </c>
      <c r="AE369">
        <v>1.8375940170940159</v>
      </c>
      <c r="AG369" s="12">
        <f t="shared" si="32"/>
        <v>0</v>
      </c>
      <c r="AH369" s="12">
        <f t="shared" si="33"/>
        <v>0</v>
      </c>
      <c r="AI369" s="13">
        <f t="shared" si="34"/>
        <v>0</v>
      </c>
      <c r="AJ369" s="14">
        <f t="shared" si="35"/>
        <v>0.13671104554190272</v>
      </c>
    </row>
    <row r="370" spans="1:36" x14ac:dyDescent="0.2">
      <c r="A370">
        <v>2024</v>
      </c>
      <c r="B370" t="s">
        <v>346</v>
      </c>
      <c r="C370">
        <f>VLOOKUP(B370,Sheet5!$B$2:$C$2166,2,FALSE)</f>
        <v>900</v>
      </c>
      <c r="D370">
        <v>795</v>
      </c>
      <c r="E370">
        <v>305</v>
      </c>
      <c r="F370" t="s">
        <v>218</v>
      </c>
      <c r="G370">
        <v>10</v>
      </c>
      <c r="H370">
        <v>6.678342114654332</v>
      </c>
      <c r="I370">
        <v>0</v>
      </c>
      <c r="J370">
        <v>0</v>
      </c>
      <c r="K370">
        <v>1</v>
      </c>
      <c r="L370">
        <v>4</v>
      </c>
      <c r="M370" t="s">
        <v>119</v>
      </c>
      <c r="N370" t="s">
        <v>120</v>
      </c>
      <c r="O370">
        <v>1.846520420857108</v>
      </c>
      <c r="P370">
        <v>0</v>
      </c>
      <c r="Q370" t="s">
        <v>347</v>
      </c>
      <c r="R370" t="str">
        <f>VLOOKUP(Q370,GDP!$A$2:$B$266,1,FALSE)</f>
        <v>EGY</v>
      </c>
      <c r="S370" t="str">
        <f>VLOOKUP(Q370,GDP!$A$2:$B$266,2,FALSE)</f>
        <v>Egypt, Arab Rep.</v>
      </c>
      <c r="T370">
        <f>VLOOKUP(Q370,GDP!$A$1:$L$266,11,FALSE)</f>
        <v>16798.151577837994</v>
      </c>
      <c r="U370" s="4">
        <v>16798.151577838002</v>
      </c>
      <c r="V370" s="5">
        <f>VLOOKUP(Q370,POP!$B$5:$M$269,11,FALSE)</f>
        <v>73289803</v>
      </c>
      <c r="W370" s="4">
        <v>73289803</v>
      </c>
      <c r="X370">
        <f>VLOOKUP(Q370,YU!$B$1:$M$266,11,FALSE)</f>
        <v>17.291</v>
      </c>
      <c r="Y370" s="4">
        <v>17.291</v>
      </c>
      <c r="AA370">
        <f t="shared" si="30"/>
        <v>9.7290241342094514</v>
      </c>
      <c r="AB370">
        <f t="shared" si="31"/>
        <v>-0.79537256790297839</v>
      </c>
      <c r="AC370" s="4">
        <v>-0.79537256790297306</v>
      </c>
      <c r="AD370">
        <v>2.1980469359052521</v>
      </c>
      <c r="AE370">
        <v>1.9755940170940181</v>
      </c>
      <c r="AG370" s="12">
        <f t="shared" si="32"/>
        <v>0</v>
      </c>
      <c r="AH370" s="12">
        <f t="shared" si="33"/>
        <v>0</v>
      </c>
      <c r="AI370" s="13">
        <f t="shared" si="34"/>
        <v>0</v>
      </c>
      <c r="AJ370" s="14">
        <f t="shared" si="35"/>
        <v>0.12405264866997889</v>
      </c>
    </row>
    <row r="371" spans="1:36" x14ac:dyDescent="0.2">
      <c r="A371">
        <v>2016</v>
      </c>
      <c r="B371" t="s">
        <v>350</v>
      </c>
      <c r="C371">
        <f>VLOOKUP(B371,Sheet5!$B$2:$C$2166,2,FALSE)</f>
        <v>4235</v>
      </c>
      <c r="D371">
        <v>4235</v>
      </c>
      <c r="E371">
        <v>1605</v>
      </c>
      <c r="F371" t="s">
        <v>351</v>
      </c>
      <c r="G371">
        <v>20</v>
      </c>
      <c r="H371">
        <v>8.3511386070861544</v>
      </c>
      <c r="I371">
        <v>0</v>
      </c>
      <c r="J371">
        <v>0</v>
      </c>
      <c r="K371">
        <v>0</v>
      </c>
      <c r="L371">
        <v>-4</v>
      </c>
      <c r="M371" t="s">
        <v>119</v>
      </c>
      <c r="N371" t="s">
        <v>120</v>
      </c>
      <c r="O371">
        <v>1.1017226883295439</v>
      </c>
      <c r="P371">
        <v>0</v>
      </c>
      <c r="Q371" t="s">
        <v>352</v>
      </c>
      <c r="R371" t="str">
        <f>VLOOKUP(Q371,GDP!$A$2:$B$266,1,FALSE)</f>
        <v>USA</v>
      </c>
      <c r="S371" t="str">
        <f>VLOOKUP(Q371,GDP!$A$2:$B$266,2,FALSE)</f>
        <v>United States</v>
      </c>
      <c r="T371">
        <f>VLOOKUP(Q371,GDP!$A$1:$C$266,3,FALSE)</f>
        <v>65025.985598061583</v>
      </c>
      <c r="U371" s="4">
        <v>65025.985598061598</v>
      </c>
      <c r="V371" s="5">
        <f>VLOOKUP(Q371,POP!$B$5:$M$269,3,FALSE)</f>
        <v>215104779</v>
      </c>
      <c r="W371" s="4">
        <v>215104779</v>
      </c>
      <c r="X371">
        <f>VLOOKUP(Q371,YU!$B$1:$D$266,3,FALSE)</f>
        <v>10.432</v>
      </c>
      <c r="Y371" s="4">
        <v>10.432</v>
      </c>
      <c r="Z371">
        <v>4.7832798957824698</v>
      </c>
      <c r="AA371">
        <f t="shared" si="30"/>
        <v>11.082542247419385</v>
      </c>
      <c r="AB371">
        <f t="shared" si="31"/>
        <v>0.55814554530695482</v>
      </c>
      <c r="AC371" s="4">
        <v>0.55814554530696014</v>
      </c>
      <c r="AD371">
        <v>3.2747507035231771</v>
      </c>
      <c r="AE371">
        <v>-4.8834059829059822</v>
      </c>
      <c r="AG371" s="12">
        <f t="shared" si="32"/>
        <v>0</v>
      </c>
      <c r="AH371" s="12">
        <f t="shared" si="33"/>
        <v>0</v>
      </c>
      <c r="AI371" s="13">
        <f t="shared" si="34"/>
        <v>0</v>
      </c>
      <c r="AJ371" s="14">
        <f t="shared" si="35"/>
        <v>0</v>
      </c>
    </row>
    <row r="372" spans="1:36" x14ac:dyDescent="0.2">
      <c r="A372">
        <v>2017</v>
      </c>
      <c r="B372" t="s">
        <v>350</v>
      </c>
      <c r="C372">
        <f>VLOOKUP(B372,Sheet5!$B$2:$C$2166,2,FALSE)</f>
        <v>4235</v>
      </c>
      <c r="D372">
        <v>4580</v>
      </c>
      <c r="E372">
        <v>1850</v>
      </c>
      <c r="F372" t="s">
        <v>115</v>
      </c>
      <c r="G372">
        <v>35</v>
      </c>
      <c r="H372">
        <v>8.4294542771082313</v>
      </c>
      <c r="I372">
        <v>0</v>
      </c>
      <c r="J372">
        <v>0</v>
      </c>
      <c r="K372">
        <v>0</v>
      </c>
      <c r="L372">
        <v>-3</v>
      </c>
      <c r="M372" t="s">
        <v>119</v>
      </c>
      <c r="N372" t="s">
        <v>120</v>
      </c>
      <c r="O372">
        <v>1.1017226883295439</v>
      </c>
      <c r="P372">
        <v>0</v>
      </c>
      <c r="Q372" t="s">
        <v>352</v>
      </c>
      <c r="R372" t="str">
        <f>VLOOKUP(Q372,GDP!$A$2:$B$266,1,FALSE)</f>
        <v>USA</v>
      </c>
      <c r="S372" t="str">
        <f>VLOOKUP(Q372,GDP!$A$2:$B$266,2,FALSE)</f>
        <v>United States</v>
      </c>
      <c r="T372">
        <f>VLOOKUP(Q372,GDP!$A$1:$L$266,4,FALSE)</f>
        <v>66164.032001428932</v>
      </c>
      <c r="U372" s="4">
        <v>66164.032001428903</v>
      </c>
      <c r="V372" s="5">
        <f>VLOOKUP(Q372,POP!$B$5:$M$269,4,FALSE)</f>
        <v>215959913</v>
      </c>
      <c r="W372" s="4">
        <v>215959913</v>
      </c>
      <c r="X372">
        <f>VLOOKUP(Q372,YU!$B$1:$M$266,4,FALSE)</f>
        <v>9.2379999999999995</v>
      </c>
      <c r="Y372" s="4">
        <v>9.2379999999999995</v>
      </c>
      <c r="Z372">
        <v>5.0929698944091797</v>
      </c>
      <c r="AA372">
        <f t="shared" si="30"/>
        <v>11.099892271030289</v>
      </c>
      <c r="AB372">
        <f t="shared" si="31"/>
        <v>0.57549556891785869</v>
      </c>
      <c r="AC372" s="4">
        <v>0.57549556891786224</v>
      </c>
      <c r="AD372">
        <v>3.2787182524207039</v>
      </c>
      <c r="AE372">
        <v>-6.077405982905983</v>
      </c>
      <c r="AG372" s="12">
        <f t="shared" si="32"/>
        <v>0</v>
      </c>
      <c r="AH372" s="12">
        <f t="shared" si="33"/>
        <v>0</v>
      </c>
      <c r="AI372" s="13">
        <f t="shared" si="34"/>
        <v>0</v>
      </c>
      <c r="AJ372" s="14">
        <f t="shared" si="35"/>
        <v>-7.8315670022076844E-2</v>
      </c>
    </row>
    <row r="373" spans="1:36" x14ac:dyDescent="0.2">
      <c r="A373">
        <v>2018</v>
      </c>
      <c r="B373" t="s">
        <v>350</v>
      </c>
      <c r="C373">
        <f>VLOOKUP(B373,Sheet5!$B$2:$C$2166,2,FALSE)</f>
        <v>4235</v>
      </c>
      <c r="D373">
        <v>4965</v>
      </c>
      <c r="E373">
        <v>2040</v>
      </c>
      <c r="F373" t="s">
        <v>82</v>
      </c>
      <c r="G373">
        <v>35</v>
      </c>
      <c r="H373">
        <v>8.5101685764792734</v>
      </c>
      <c r="I373">
        <v>0</v>
      </c>
      <c r="J373">
        <v>0</v>
      </c>
      <c r="K373">
        <v>0</v>
      </c>
      <c r="L373">
        <v>-2</v>
      </c>
      <c r="M373" t="s">
        <v>119</v>
      </c>
      <c r="N373" t="s">
        <v>120</v>
      </c>
      <c r="O373">
        <v>1.1017226883295439</v>
      </c>
      <c r="P373">
        <v>0</v>
      </c>
      <c r="Q373" t="s">
        <v>352</v>
      </c>
      <c r="R373" t="str">
        <f>VLOOKUP(Q373,GDP!$A$2:$B$266,1,FALSE)</f>
        <v>USA</v>
      </c>
      <c r="S373" t="str">
        <f>VLOOKUP(Q373,GDP!$A$2:$B$266,2,FALSE)</f>
        <v>United States</v>
      </c>
      <c r="T373">
        <f>VLOOKUP(Q373,GDP!$A$1:$L$266,5,FALSE)</f>
        <v>67728.44249210236</v>
      </c>
      <c r="U373" s="4">
        <v>67728.442492102404</v>
      </c>
      <c r="V373" s="5">
        <f>VLOOKUP(Q373,POP!$B$5:$M$269,5,FALSE)</f>
        <v>216573411</v>
      </c>
      <c r="W373" s="4">
        <v>216573411</v>
      </c>
      <c r="X373">
        <f>VLOOKUP(Q373,YU!$B$1:$M$266,5,FALSE)</f>
        <v>8.6069999999999993</v>
      </c>
      <c r="Y373" s="4">
        <v>8.6069999999999993</v>
      </c>
      <c r="Z373">
        <v>4.89502000808716</v>
      </c>
      <c r="AA373">
        <f t="shared" si="30"/>
        <v>11.123261496109643</v>
      </c>
      <c r="AB373">
        <f t="shared" si="31"/>
        <v>0.5988647939972136</v>
      </c>
      <c r="AC373" s="4">
        <v>0.59886479399721892</v>
      </c>
      <c r="AD373">
        <v>3.2815550207221178</v>
      </c>
      <c r="AE373">
        <v>-6.7084059829059832</v>
      </c>
      <c r="AG373" s="12">
        <f t="shared" si="32"/>
        <v>0</v>
      </c>
      <c r="AH373" s="12">
        <f t="shared" si="33"/>
        <v>0</v>
      </c>
      <c r="AI373" s="13">
        <f t="shared" si="34"/>
        <v>0</v>
      </c>
      <c r="AJ373" s="14">
        <f t="shared" si="35"/>
        <v>-0.15902996939311898</v>
      </c>
    </row>
    <row r="374" spans="1:36" x14ac:dyDescent="0.2">
      <c r="A374">
        <v>2019</v>
      </c>
      <c r="B374" t="s">
        <v>350</v>
      </c>
      <c r="C374">
        <f>VLOOKUP(B374,Sheet5!$B$2:$C$2166,2,FALSE)</f>
        <v>4235</v>
      </c>
      <c r="D374">
        <v>5130</v>
      </c>
      <c r="E374">
        <v>1900</v>
      </c>
      <c r="F374" t="s">
        <v>72</v>
      </c>
      <c r="G374">
        <v>35</v>
      </c>
      <c r="H374">
        <v>8.5428609381648144</v>
      </c>
      <c r="I374">
        <v>0</v>
      </c>
      <c r="J374">
        <v>0</v>
      </c>
      <c r="K374">
        <v>0</v>
      </c>
      <c r="L374">
        <v>-1</v>
      </c>
      <c r="M374" t="s">
        <v>119</v>
      </c>
      <c r="N374" t="s">
        <v>120</v>
      </c>
      <c r="O374">
        <v>1.1017226883295439</v>
      </c>
      <c r="P374">
        <v>0</v>
      </c>
      <c r="Q374" t="s">
        <v>352</v>
      </c>
      <c r="R374" t="str">
        <f>VLOOKUP(Q374,GDP!$A$2:$B$266,1,FALSE)</f>
        <v>USA</v>
      </c>
      <c r="S374" t="str">
        <f>VLOOKUP(Q374,GDP!$A$2:$B$266,2,FALSE)</f>
        <v>United States</v>
      </c>
      <c r="T374">
        <f>VLOOKUP(Q374,GDP!$A$1:$L$266,6,FALSE)</f>
        <v>69121.45800167408</v>
      </c>
      <c r="U374" s="4">
        <v>69121.458001674095</v>
      </c>
      <c r="V374" s="5">
        <f>VLOOKUP(Q374,POP!$B$5:$M$269,6,FALSE)</f>
        <v>217020298</v>
      </c>
      <c r="W374" s="4">
        <v>217020298</v>
      </c>
      <c r="X374">
        <f>VLOOKUP(Q374,YU!$B$1:$M$266,6,FALSE)</f>
        <v>8.375</v>
      </c>
      <c r="Y374" s="4">
        <v>8.375</v>
      </c>
      <c r="Z374">
        <v>4.9574699401855504</v>
      </c>
      <c r="AA374">
        <f t="shared" si="30"/>
        <v>11.143620497029687</v>
      </c>
      <c r="AB374">
        <f t="shared" si="31"/>
        <v>0.61922379491725721</v>
      </c>
      <c r="AC374" s="4">
        <v>0.61922379491726254</v>
      </c>
      <c r="AD374">
        <v>3.2836163382595291</v>
      </c>
      <c r="AE374">
        <v>-6.9404059829059834</v>
      </c>
      <c r="AG374" s="12">
        <f t="shared" si="32"/>
        <v>0</v>
      </c>
      <c r="AH374" s="12">
        <f t="shared" si="33"/>
        <v>0</v>
      </c>
      <c r="AI374" s="13">
        <f t="shared" si="34"/>
        <v>0</v>
      </c>
      <c r="AJ374" s="14">
        <f t="shared" si="35"/>
        <v>-0.19172233107865999</v>
      </c>
    </row>
    <row r="375" spans="1:36" x14ac:dyDescent="0.2">
      <c r="A375">
        <v>2020</v>
      </c>
      <c r="B375" t="s">
        <v>350</v>
      </c>
      <c r="C375">
        <f>VLOOKUP(B375,Sheet5!$B$2:$C$2166,2,FALSE)</f>
        <v>4235</v>
      </c>
      <c r="D375">
        <v>5295</v>
      </c>
      <c r="E375">
        <v>2050</v>
      </c>
      <c r="F375" t="s">
        <v>353</v>
      </c>
      <c r="G375">
        <v>65</v>
      </c>
      <c r="H375">
        <v>8.574518258035507</v>
      </c>
      <c r="I375">
        <v>0</v>
      </c>
      <c r="J375">
        <v>0</v>
      </c>
      <c r="K375">
        <v>0</v>
      </c>
      <c r="L375">
        <v>0</v>
      </c>
      <c r="M375" t="s">
        <v>119</v>
      </c>
      <c r="N375" t="s">
        <v>120</v>
      </c>
      <c r="O375">
        <v>1.1017226883295439</v>
      </c>
      <c r="P375">
        <v>0</v>
      </c>
      <c r="Q375" t="s">
        <v>352</v>
      </c>
      <c r="R375" t="str">
        <f>VLOOKUP(Q375,GDP!$A$2:$B$266,1,FALSE)</f>
        <v>USA</v>
      </c>
      <c r="S375" t="str">
        <f>VLOOKUP(Q375,GDP!$A$2:$B$266,2,FALSE)</f>
        <v>United States</v>
      </c>
      <c r="T375">
        <f>VLOOKUP(Q375,GDP!$A$1:$L$266,7,FALSE)</f>
        <v>67406.831132550695</v>
      </c>
      <c r="U375" s="4">
        <v>67406.831132550695</v>
      </c>
      <c r="V375" s="5">
        <f>VLOOKUP(Q375,POP!$B$5:$M$269,7,FALSE)</f>
        <v>217300476</v>
      </c>
      <c r="W375" s="4">
        <v>217300476</v>
      </c>
      <c r="X375">
        <f>VLOOKUP(Q375,YU!$B$1:$M$266,7,FALSE)</f>
        <v>14.891</v>
      </c>
      <c r="Y375" s="4">
        <v>14.891</v>
      </c>
      <c r="Z375">
        <v>5.3953099250793501</v>
      </c>
      <c r="AA375">
        <f t="shared" si="30"/>
        <v>11.118501643879615</v>
      </c>
      <c r="AB375">
        <f t="shared" si="31"/>
        <v>0.59410494176718487</v>
      </c>
      <c r="AC375" s="4">
        <v>0.5941049417671902</v>
      </c>
      <c r="AD375">
        <v>3.2849065277030811</v>
      </c>
      <c r="AE375">
        <v>-0.42440598290598253</v>
      </c>
      <c r="AG375" s="12">
        <f t="shared" si="32"/>
        <v>0</v>
      </c>
      <c r="AH375" s="12">
        <f t="shared" si="33"/>
        <v>0</v>
      </c>
      <c r="AI375" s="13">
        <f t="shared" si="34"/>
        <v>0</v>
      </c>
      <c r="AJ375" s="14">
        <f t="shared" si="35"/>
        <v>-0.22337965094935264</v>
      </c>
    </row>
    <row r="376" spans="1:36" x14ac:dyDescent="0.2">
      <c r="A376">
        <v>2021</v>
      </c>
      <c r="B376" t="s">
        <v>350</v>
      </c>
      <c r="C376">
        <f>VLOOKUP(B376,Sheet5!$B$2:$C$2166,2,FALSE)</f>
        <v>4235</v>
      </c>
      <c r="D376">
        <v>7950</v>
      </c>
      <c r="E376">
        <v>2710</v>
      </c>
      <c r="F376" t="s">
        <v>354</v>
      </c>
      <c r="G376">
        <v>30</v>
      </c>
      <c r="H376">
        <v>8.9809272076483779</v>
      </c>
      <c r="I376">
        <v>0</v>
      </c>
      <c r="J376">
        <v>0</v>
      </c>
      <c r="K376">
        <v>1</v>
      </c>
      <c r="L376">
        <v>1</v>
      </c>
      <c r="M376" t="s">
        <v>119</v>
      </c>
      <c r="N376" t="s">
        <v>120</v>
      </c>
      <c r="O376">
        <v>1.1017226883295439</v>
      </c>
      <c r="P376">
        <v>0</v>
      </c>
      <c r="Q376" t="s">
        <v>352</v>
      </c>
      <c r="R376" t="str">
        <f>VLOOKUP(Q376,GDP!$A$2:$B$266,1,FALSE)</f>
        <v>USA</v>
      </c>
      <c r="S376" t="str">
        <f>VLOOKUP(Q376,GDP!$A$2:$B$266,2,FALSE)</f>
        <v>United States</v>
      </c>
      <c r="T376">
        <f>VLOOKUP(Q376,GDP!$A$1:$L$266,8,FALSE)</f>
        <v>71441.231980594981</v>
      </c>
      <c r="U376" s="4">
        <v>71441.231980594996</v>
      </c>
      <c r="V376" s="5">
        <f>VLOOKUP(Q376,POP!$B$5:$M$269,8,FALSE)</f>
        <v>217127463</v>
      </c>
      <c r="W376" s="4">
        <v>217127463</v>
      </c>
      <c r="X376">
        <f>VLOOKUP(Q376,YU!$B$1:$M$266,8,FALSE)</f>
        <v>9.7040000000000006</v>
      </c>
      <c r="Y376" s="4">
        <v>9.7040000000000006</v>
      </c>
      <c r="Z376">
        <v>5.4203801155090297</v>
      </c>
      <c r="AA376">
        <f t="shared" si="30"/>
        <v>11.176630460370822</v>
      </c>
      <c r="AB376">
        <f t="shared" si="31"/>
        <v>0.65223375825839192</v>
      </c>
      <c r="AC376" s="4">
        <v>0.65223375825839902</v>
      </c>
      <c r="AD376">
        <v>3.2841100181160372</v>
      </c>
      <c r="AE376">
        <v>-5.6114059829059819</v>
      </c>
      <c r="AG376" s="12">
        <f t="shared" si="32"/>
        <v>0</v>
      </c>
      <c r="AH376" s="12">
        <f t="shared" si="33"/>
        <v>0</v>
      </c>
      <c r="AI376" s="13">
        <f t="shared" si="34"/>
        <v>0</v>
      </c>
      <c r="AJ376" s="14">
        <f t="shared" si="35"/>
        <v>-0.62978860056222352</v>
      </c>
    </row>
    <row r="377" spans="1:36" x14ac:dyDescent="0.2">
      <c r="A377">
        <v>2022</v>
      </c>
      <c r="B377" t="s">
        <v>350</v>
      </c>
      <c r="C377">
        <f>VLOOKUP(B377,Sheet5!$B$2:$C$2166,2,FALSE)</f>
        <v>4235</v>
      </c>
      <c r="D377">
        <v>6820</v>
      </c>
      <c r="E377">
        <v>2285</v>
      </c>
      <c r="F377" t="s">
        <v>355</v>
      </c>
      <c r="G377">
        <v>45</v>
      </c>
      <c r="H377">
        <v>8.8276147508375082</v>
      </c>
      <c r="I377">
        <v>0</v>
      </c>
      <c r="J377">
        <v>0</v>
      </c>
      <c r="K377">
        <v>1</v>
      </c>
      <c r="L377">
        <v>2</v>
      </c>
      <c r="M377" t="s">
        <v>119</v>
      </c>
      <c r="N377" t="s">
        <v>120</v>
      </c>
      <c r="O377">
        <v>1.1017226883295439</v>
      </c>
      <c r="P377">
        <v>0</v>
      </c>
      <c r="Q377" t="s">
        <v>352</v>
      </c>
      <c r="R377" t="str">
        <f>VLOOKUP(Q377,GDP!$A$2:$B$266,1,FALSE)</f>
        <v>USA</v>
      </c>
      <c r="S377" t="str">
        <f>VLOOKUP(Q377,GDP!$A$2:$B$266,2,FALSE)</f>
        <v>United States</v>
      </c>
      <c r="T377">
        <f>VLOOKUP(Q377,GDP!$A$1:$L$266,9,FALSE)</f>
        <v>72828.743090718926</v>
      </c>
      <c r="U377" s="4">
        <v>72828.743090718897</v>
      </c>
      <c r="V377" s="5">
        <f>VLOOKUP(Q377,POP!$B$5:$M$269,9,FALSE)</f>
        <v>217760762</v>
      </c>
      <c r="W377" s="4">
        <v>217760762</v>
      </c>
      <c r="X377">
        <f>VLOOKUP(Q377,YU!$B$1:$M$266,9,FALSE)</f>
        <v>8.1050000000000004</v>
      </c>
      <c r="Y377" s="4">
        <v>8.1050000000000004</v>
      </c>
      <c r="AA377">
        <f t="shared" si="30"/>
        <v>11.195865978937524</v>
      </c>
      <c r="AB377">
        <f t="shared" si="31"/>
        <v>0.6714692768250945</v>
      </c>
      <c r="AC377" s="4">
        <v>0.67146927682509983</v>
      </c>
      <c r="AD377">
        <v>3.2870224880853569</v>
      </c>
      <c r="AE377">
        <v>-7.2104059829059821</v>
      </c>
      <c r="AG377" s="12">
        <f t="shared" si="32"/>
        <v>0</v>
      </c>
      <c r="AH377" s="12">
        <f t="shared" si="33"/>
        <v>0</v>
      </c>
      <c r="AI377" s="13">
        <f t="shared" si="34"/>
        <v>0</v>
      </c>
      <c r="AJ377" s="14">
        <f t="shared" si="35"/>
        <v>-0.47647614375135383</v>
      </c>
    </row>
    <row r="378" spans="1:36" x14ac:dyDescent="0.2">
      <c r="A378">
        <v>2023</v>
      </c>
      <c r="B378" t="s">
        <v>350</v>
      </c>
      <c r="C378">
        <f>VLOOKUP(B378,Sheet5!$B$2:$C$2166,2,FALSE)</f>
        <v>4235</v>
      </c>
      <c r="D378">
        <v>7295</v>
      </c>
      <c r="E378">
        <v>2480</v>
      </c>
      <c r="F378" t="s">
        <v>356</v>
      </c>
      <c r="G378">
        <v>50</v>
      </c>
      <c r="H378">
        <v>8.8949444609568857</v>
      </c>
      <c r="I378">
        <v>0</v>
      </c>
      <c r="J378">
        <v>0</v>
      </c>
      <c r="K378">
        <v>1</v>
      </c>
      <c r="L378">
        <v>3</v>
      </c>
      <c r="M378" t="s">
        <v>119</v>
      </c>
      <c r="N378" t="s">
        <v>120</v>
      </c>
      <c r="O378">
        <v>1.1017226883295439</v>
      </c>
      <c r="P378">
        <v>0</v>
      </c>
      <c r="Q378" t="s">
        <v>352</v>
      </c>
      <c r="R378" t="str">
        <f>VLOOKUP(Q378,GDP!$A$2:$B$266,1,FALSE)</f>
        <v>USA</v>
      </c>
      <c r="S378" t="str">
        <f>VLOOKUP(Q378,GDP!$A$2:$B$266,2,FALSE)</f>
        <v>United States</v>
      </c>
      <c r="T378">
        <f>VLOOKUP(Q378,GDP!$A$1:$L$266,10,FALSE)</f>
        <v>74351.6718197429</v>
      </c>
      <c r="U378" s="4">
        <v>74351.6718197429</v>
      </c>
      <c r="V378" s="5">
        <f>VLOOKUP(Q378,POP!$B$5:$M$269,10,FALSE)</f>
        <v>218801688</v>
      </c>
      <c r="W378" s="4">
        <v>218801688</v>
      </c>
      <c r="X378">
        <f>VLOOKUP(Q378,YU!$B$1:$M$266,10,FALSE)</f>
        <v>7.9530000000000003</v>
      </c>
      <c r="Y378" s="4">
        <v>7.9530000000000003</v>
      </c>
      <c r="AA378">
        <f t="shared" si="30"/>
        <v>11.216561437442397</v>
      </c>
      <c r="AB378">
        <f t="shared" si="31"/>
        <v>0.69216473532996758</v>
      </c>
      <c r="AC378" s="4">
        <v>0.69216473532997291</v>
      </c>
      <c r="AD378">
        <v>3.2917912352491911</v>
      </c>
      <c r="AE378">
        <v>-7.3624059829059822</v>
      </c>
      <c r="AG378" s="12">
        <f t="shared" si="32"/>
        <v>0</v>
      </c>
      <c r="AH378" s="12">
        <f t="shared" si="33"/>
        <v>0</v>
      </c>
      <c r="AI378" s="13">
        <f t="shared" si="34"/>
        <v>0</v>
      </c>
      <c r="AJ378" s="14">
        <f t="shared" si="35"/>
        <v>-0.54380585387073133</v>
      </c>
    </row>
    <row r="379" spans="1:36" x14ac:dyDescent="0.2">
      <c r="A379">
        <v>2024</v>
      </c>
      <c r="B379" t="s">
        <v>350</v>
      </c>
      <c r="C379">
        <f>VLOOKUP(B379,Sheet5!$B$2:$C$2166,2,FALSE)</f>
        <v>4235</v>
      </c>
      <c r="D379">
        <v>7320</v>
      </c>
      <c r="E379">
        <v>2485</v>
      </c>
      <c r="F379" t="s">
        <v>356</v>
      </c>
      <c r="G379">
        <v>40</v>
      </c>
      <c r="H379">
        <v>8.8983656069553572</v>
      </c>
      <c r="I379">
        <v>0</v>
      </c>
      <c r="J379">
        <v>0</v>
      </c>
      <c r="K379">
        <v>1</v>
      </c>
      <c r="L379">
        <v>4</v>
      </c>
      <c r="M379" t="s">
        <v>119</v>
      </c>
      <c r="N379" t="s">
        <v>120</v>
      </c>
      <c r="O379">
        <v>1.1017226883295439</v>
      </c>
      <c r="P379">
        <v>0</v>
      </c>
      <c r="Q379" t="s">
        <v>352</v>
      </c>
      <c r="R379" t="str">
        <f>VLOOKUP(Q379,GDP!$A$2:$B$266,1,FALSE)</f>
        <v>USA</v>
      </c>
      <c r="S379" t="str">
        <f>VLOOKUP(Q379,GDP!$A$2:$B$266,2,FALSE)</f>
        <v>United States</v>
      </c>
      <c r="T379">
        <f>VLOOKUP(Q379,GDP!$A$1:$L$266,11,FALSE)</f>
        <v>75698.177335462897</v>
      </c>
      <c r="U379" s="4">
        <v>75698.177335462897</v>
      </c>
      <c r="V379" s="5">
        <f>VLOOKUP(Q379,POP!$B$5:$M$269,11,FALSE)</f>
        <v>220141214</v>
      </c>
      <c r="W379" s="4">
        <v>220141214</v>
      </c>
      <c r="X379">
        <f>VLOOKUP(Q379,YU!$B$1:$M$266,11,FALSE)</f>
        <v>8.92</v>
      </c>
      <c r="Y379" s="4">
        <v>8.92</v>
      </c>
      <c r="AA379">
        <f t="shared" si="30"/>
        <v>11.234509361664905</v>
      </c>
      <c r="AB379">
        <f t="shared" si="31"/>
        <v>0.71011265955247538</v>
      </c>
      <c r="AC379" s="4">
        <v>0.71011265955248071</v>
      </c>
      <c r="AD379">
        <v>3.2978946721756</v>
      </c>
      <c r="AE379">
        <v>-6.3954059829059826</v>
      </c>
      <c r="AG379" s="12">
        <f t="shared" si="32"/>
        <v>0</v>
      </c>
      <c r="AH379" s="12">
        <f t="shared" si="33"/>
        <v>0</v>
      </c>
      <c r="AI379" s="13">
        <f t="shared" si="34"/>
        <v>0</v>
      </c>
      <c r="AJ379" s="14">
        <f t="shared" si="35"/>
        <v>-0.54722699986920276</v>
      </c>
    </row>
    <row r="380" spans="1:36" x14ac:dyDescent="0.2">
      <c r="A380">
        <v>2016</v>
      </c>
      <c r="B380" t="s">
        <v>357</v>
      </c>
      <c r="C380">
        <f>VLOOKUP(B380,Sheet5!$B$2:$C$2166,2,FALSE)</f>
        <v>580</v>
      </c>
      <c r="D380">
        <v>580</v>
      </c>
      <c r="E380">
        <v>190</v>
      </c>
      <c r="F380" t="s">
        <v>358</v>
      </c>
      <c r="G380">
        <v>0</v>
      </c>
      <c r="H380">
        <v>6.363028103540465</v>
      </c>
      <c r="I380">
        <v>0</v>
      </c>
      <c r="J380">
        <v>0</v>
      </c>
      <c r="K380">
        <v>0</v>
      </c>
      <c r="L380">
        <v>-4</v>
      </c>
      <c r="M380" t="s">
        <v>119</v>
      </c>
      <c r="N380" t="s">
        <v>120</v>
      </c>
      <c r="O380">
        <v>0.43571736068551442</v>
      </c>
      <c r="P380">
        <v>0</v>
      </c>
      <c r="Q380" t="s">
        <v>359</v>
      </c>
      <c r="R380" t="str">
        <f>VLOOKUP(Q380,GDP!$A$2:$B$266,1,FALSE)</f>
        <v>AUS</v>
      </c>
      <c r="S380" t="str">
        <f>VLOOKUP(Q380,GDP!$A$2:$B$266,2,FALSE)</f>
        <v>Australia</v>
      </c>
      <c r="T380">
        <f>VLOOKUP(Q380,GDP!$A$1:$C$266,3,FALSE)</f>
        <v>56529.951824687028</v>
      </c>
      <c r="U380" s="4">
        <v>56529.951824686999</v>
      </c>
      <c r="V380" s="5">
        <f>VLOOKUP(Q380,POP!$B$5:$M$269,3,FALSE)</f>
        <v>15956700</v>
      </c>
      <c r="W380" s="4">
        <v>15956700</v>
      </c>
      <c r="X380">
        <f>VLOOKUP(Q380,YU!$B$1:$D$266,3,FALSE)</f>
        <v>12.641999999999999</v>
      </c>
      <c r="Y380" s="4">
        <v>12.641999999999999</v>
      </c>
      <c r="AA380">
        <f t="shared" si="30"/>
        <v>10.942525897461067</v>
      </c>
      <c r="AB380">
        <f t="shared" si="31"/>
        <v>0.41812919534863724</v>
      </c>
      <c r="AC380" s="4">
        <v>0.41812919534864079</v>
      </c>
      <c r="AD380">
        <v>0.67350425364822364</v>
      </c>
      <c r="AE380">
        <v>-2.6734059829059831</v>
      </c>
      <c r="AG380" s="12">
        <f t="shared" si="32"/>
        <v>0</v>
      </c>
      <c r="AH380" s="12">
        <f t="shared" si="33"/>
        <v>0</v>
      </c>
      <c r="AI380" s="13">
        <f t="shared" si="34"/>
        <v>0</v>
      </c>
      <c r="AJ380" s="14">
        <f t="shared" si="35"/>
        <v>0</v>
      </c>
    </row>
    <row r="381" spans="1:36" x14ac:dyDescent="0.2">
      <c r="A381">
        <v>2017</v>
      </c>
      <c r="B381" t="s">
        <v>357</v>
      </c>
      <c r="C381">
        <f>VLOOKUP(B381,Sheet5!$B$2:$C$2166,2,FALSE)</f>
        <v>580</v>
      </c>
      <c r="D381">
        <v>600</v>
      </c>
      <c r="E381">
        <v>205</v>
      </c>
      <c r="F381" t="s">
        <v>354</v>
      </c>
      <c r="G381">
        <v>0</v>
      </c>
      <c r="H381">
        <v>6.3969296552161463</v>
      </c>
      <c r="I381">
        <v>0</v>
      </c>
      <c r="J381">
        <v>0</v>
      </c>
      <c r="K381">
        <v>0</v>
      </c>
      <c r="L381">
        <v>-3</v>
      </c>
      <c r="M381" t="s">
        <v>119</v>
      </c>
      <c r="N381" t="s">
        <v>120</v>
      </c>
      <c r="O381">
        <v>0.43571736068551442</v>
      </c>
      <c r="P381">
        <v>0</v>
      </c>
      <c r="Q381" t="s">
        <v>359</v>
      </c>
      <c r="R381" t="str">
        <f>VLOOKUP(Q381,GDP!$A$2:$B$266,1,FALSE)</f>
        <v>AUS</v>
      </c>
      <c r="S381" t="str">
        <f>VLOOKUP(Q381,GDP!$A$2:$B$266,2,FALSE)</f>
        <v>Australia</v>
      </c>
      <c r="T381">
        <f>VLOOKUP(Q381,GDP!$A$1:$L$266,4,FALSE)</f>
        <v>56881.856985910388</v>
      </c>
      <c r="U381" s="4">
        <v>56881.856985910403</v>
      </c>
      <c r="V381" s="5">
        <f>VLOOKUP(Q381,POP!$B$5:$M$269,4,FALSE)</f>
        <v>16174820</v>
      </c>
      <c r="W381" s="4">
        <v>16174820</v>
      </c>
      <c r="X381">
        <f>VLOOKUP(Q381,YU!$B$1:$M$266,4,FALSE)</f>
        <v>12.592000000000001</v>
      </c>
      <c r="Y381" s="4">
        <v>12.592000000000001</v>
      </c>
      <c r="AA381">
        <f t="shared" si="30"/>
        <v>10.948731711375824</v>
      </c>
      <c r="AB381">
        <f t="shared" si="31"/>
        <v>0.42433500926339462</v>
      </c>
      <c r="AC381" s="4">
        <v>0.42433500926340001</v>
      </c>
      <c r="AD381">
        <v>0.68708116196373403</v>
      </c>
      <c r="AE381">
        <v>-2.723405982905982</v>
      </c>
      <c r="AG381" s="12">
        <f t="shared" si="32"/>
        <v>0</v>
      </c>
      <c r="AH381" s="12">
        <f t="shared" si="33"/>
        <v>0</v>
      </c>
      <c r="AI381" s="13">
        <f t="shared" si="34"/>
        <v>0</v>
      </c>
      <c r="AJ381" s="14">
        <f t="shared" si="35"/>
        <v>-3.3901551675681318E-2</v>
      </c>
    </row>
    <row r="382" spans="1:36" x14ac:dyDescent="0.2">
      <c r="A382">
        <v>2018</v>
      </c>
      <c r="B382" t="s">
        <v>357</v>
      </c>
      <c r="C382">
        <f>VLOOKUP(B382,Sheet5!$B$2:$C$2166,2,FALSE)</f>
        <v>580</v>
      </c>
      <c r="D382">
        <v>610</v>
      </c>
      <c r="E382">
        <v>190</v>
      </c>
      <c r="F382" t="s">
        <v>360</v>
      </c>
      <c r="G382">
        <v>0</v>
      </c>
      <c r="H382">
        <v>6.4134589571673573</v>
      </c>
      <c r="I382">
        <v>0</v>
      </c>
      <c r="J382">
        <v>0</v>
      </c>
      <c r="K382">
        <v>0</v>
      </c>
      <c r="L382">
        <v>-2</v>
      </c>
      <c r="M382" t="s">
        <v>119</v>
      </c>
      <c r="N382" t="s">
        <v>120</v>
      </c>
      <c r="O382">
        <v>0.43571736068551442</v>
      </c>
      <c r="P382">
        <v>0</v>
      </c>
      <c r="Q382" t="s">
        <v>359</v>
      </c>
      <c r="R382" t="str">
        <f>VLOOKUP(Q382,GDP!$A$2:$B$266,1,FALSE)</f>
        <v>AUS</v>
      </c>
      <c r="S382" t="str">
        <f>VLOOKUP(Q382,GDP!$A$2:$B$266,2,FALSE)</f>
        <v>Australia</v>
      </c>
      <c r="T382">
        <f>VLOOKUP(Q382,GDP!$A$1:$L$266,5,FALSE)</f>
        <v>57647.845506810496</v>
      </c>
      <c r="U382" s="4">
        <v>57647.845506810503</v>
      </c>
      <c r="V382" s="5">
        <f>VLOOKUP(Q382,POP!$B$5:$M$269,5,FALSE)</f>
        <v>16375200</v>
      </c>
      <c r="W382" s="4">
        <v>16375200</v>
      </c>
      <c r="X382">
        <f>VLOOKUP(Q382,YU!$B$1:$M$266,5,FALSE)</f>
        <v>11.935</v>
      </c>
      <c r="Y382" s="4">
        <v>11.935</v>
      </c>
      <c r="AA382">
        <f t="shared" si="30"/>
        <v>10.962108153044138</v>
      </c>
      <c r="AB382">
        <f t="shared" si="31"/>
        <v>0.43771145093170816</v>
      </c>
      <c r="AC382" s="4">
        <v>0.43771145093171349</v>
      </c>
      <c r="AD382">
        <v>0.69939344511026569</v>
      </c>
      <c r="AE382">
        <v>-3.380405982905982</v>
      </c>
      <c r="AG382" s="12">
        <f t="shared" si="32"/>
        <v>0</v>
      </c>
      <c r="AH382" s="12">
        <f t="shared" si="33"/>
        <v>0</v>
      </c>
      <c r="AI382" s="13">
        <f t="shared" si="34"/>
        <v>0</v>
      </c>
      <c r="AJ382" s="14">
        <f t="shared" si="35"/>
        <v>-5.0430853626892258E-2</v>
      </c>
    </row>
    <row r="383" spans="1:36" x14ac:dyDescent="0.2">
      <c r="A383">
        <v>2019</v>
      </c>
      <c r="B383" t="s">
        <v>357</v>
      </c>
      <c r="C383">
        <f>VLOOKUP(B383,Sheet5!$B$2:$C$2166,2,FALSE)</f>
        <v>580</v>
      </c>
      <c r="D383">
        <v>635</v>
      </c>
      <c r="E383">
        <v>240</v>
      </c>
      <c r="F383" t="s">
        <v>361</v>
      </c>
      <c r="G383">
        <v>5</v>
      </c>
      <c r="H383">
        <v>6.4536249988926917</v>
      </c>
      <c r="I383">
        <v>0</v>
      </c>
      <c r="J383">
        <v>0</v>
      </c>
      <c r="K383">
        <v>0</v>
      </c>
      <c r="L383">
        <v>-1</v>
      </c>
      <c r="M383" t="s">
        <v>119</v>
      </c>
      <c r="N383" t="s">
        <v>120</v>
      </c>
      <c r="O383">
        <v>0.43571736068551442</v>
      </c>
      <c r="P383">
        <v>0</v>
      </c>
      <c r="Q383" t="s">
        <v>359</v>
      </c>
      <c r="R383" t="str">
        <f>VLOOKUP(Q383,GDP!$A$2:$B$266,1,FALSE)</f>
        <v>AUS</v>
      </c>
      <c r="S383" t="str">
        <f>VLOOKUP(Q383,GDP!$A$2:$B$266,2,FALSE)</f>
        <v>Australia</v>
      </c>
      <c r="T383">
        <f>VLOOKUP(Q383,GDP!$A$1:$L$266,6,FALSE)</f>
        <v>58048.618842083139</v>
      </c>
      <c r="U383" s="4">
        <v>58048.618842083102</v>
      </c>
      <c r="V383" s="5">
        <f>VLOOKUP(Q383,POP!$B$5:$M$269,6,FALSE)</f>
        <v>16567398</v>
      </c>
      <c r="W383" s="4">
        <v>16567398</v>
      </c>
      <c r="X383">
        <f>VLOOKUP(Q383,YU!$B$1:$M$266,6,FALSE)</f>
        <v>11.452</v>
      </c>
      <c r="Y383" s="4">
        <v>11.452</v>
      </c>
      <c r="AA383">
        <f t="shared" si="30"/>
        <v>10.969036194286282</v>
      </c>
      <c r="AB383">
        <f t="shared" si="31"/>
        <v>0.44463949217385235</v>
      </c>
      <c r="AC383" s="4">
        <v>0.44463949217385768</v>
      </c>
      <c r="AD383">
        <v>0.71106223825241166</v>
      </c>
      <c r="AE383">
        <v>-3.863405982905983</v>
      </c>
      <c r="AG383" s="12">
        <f t="shared" si="32"/>
        <v>0</v>
      </c>
      <c r="AH383" s="12">
        <f t="shared" si="33"/>
        <v>0</v>
      </c>
      <c r="AI383" s="13">
        <f t="shared" si="34"/>
        <v>0</v>
      </c>
      <c r="AJ383" s="14">
        <f t="shared" si="35"/>
        <v>-9.0596895352226703E-2</v>
      </c>
    </row>
    <row r="384" spans="1:36" x14ac:dyDescent="0.2">
      <c r="A384">
        <v>2020</v>
      </c>
      <c r="B384" t="s">
        <v>357</v>
      </c>
      <c r="C384">
        <f>VLOOKUP(B384,Sheet5!$B$2:$C$2166,2,FALSE)</f>
        <v>580</v>
      </c>
      <c r="D384">
        <v>595</v>
      </c>
      <c r="E384">
        <v>230</v>
      </c>
      <c r="F384" t="s">
        <v>310</v>
      </c>
      <c r="G384">
        <v>5</v>
      </c>
      <c r="H384">
        <v>6.3885614055456301</v>
      </c>
      <c r="I384">
        <v>0</v>
      </c>
      <c r="J384">
        <v>0</v>
      </c>
      <c r="K384">
        <v>0</v>
      </c>
      <c r="L384">
        <v>0</v>
      </c>
      <c r="M384" t="s">
        <v>119</v>
      </c>
      <c r="N384" t="s">
        <v>120</v>
      </c>
      <c r="O384">
        <v>0.43571736068551442</v>
      </c>
      <c r="P384">
        <v>0</v>
      </c>
      <c r="Q384" t="s">
        <v>359</v>
      </c>
      <c r="R384" t="str">
        <f>VLOOKUP(Q384,GDP!$A$2:$B$266,1,FALSE)</f>
        <v>AUS</v>
      </c>
      <c r="S384" t="str">
        <f>VLOOKUP(Q384,GDP!$A$2:$B$266,2,FALSE)</f>
        <v>Australia</v>
      </c>
      <c r="T384">
        <f>VLOOKUP(Q384,GDP!$A$1:$L$266,7,FALSE)</f>
        <v>57260.465053010841</v>
      </c>
      <c r="U384" s="4">
        <v>57260.465053010797</v>
      </c>
      <c r="V384" s="5">
        <f>VLOOKUP(Q384,POP!$B$5:$M$269,7,FALSE)</f>
        <v>16698064</v>
      </c>
      <c r="W384" s="4">
        <v>16698064</v>
      </c>
      <c r="X384">
        <f>VLOOKUP(Q384,YU!$B$1:$M$266,7,FALSE)</f>
        <v>14.141999999999999</v>
      </c>
      <c r="Y384" s="4">
        <v>14.141999999999999</v>
      </c>
      <c r="Z384">
        <v>5.3862500190734899</v>
      </c>
      <c r="AA384">
        <f t="shared" si="30"/>
        <v>10.95536570039717</v>
      </c>
      <c r="AB384">
        <f t="shared" si="31"/>
        <v>0.43096899828474022</v>
      </c>
      <c r="AC384" s="4">
        <v>0.43096899828474378</v>
      </c>
      <c r="AD384">
        <v>0.71891823448188852</v>
      </c>
      <c r="AE384">
        <v>-1.1734059829059831</v>
      </c>
      <c r="AG384" s="12">
        <f t="shared" si="32"/>
        <v>0</v>
      </c>
      <c r="AH384" s="12">
        <f t="shared" si="33"/>
        <v>0</v>
      </c>
      <c r="AI384" s="13">
        <f t="shared" si="34"/>
        <v>0</v>
      </c>
      <c r="AJ384" s="14">
        <f t="shared" si="35"/>
        <v>-2.5533302005165126E-2</v>
      </c>
    </row>
    <row r="385" spans="1:36" x14ac:dyDescent="0.2">
      <c r="A385">
        <v>2021</v>
      </c>
      <c r="B385" t="s">
        <v>357</v>
      </c>
      <c r="C385">
        <f>VLOOKUP(B385,Sheet5!$B$2:$C$2166,2,FALSE)</f>
        <v>580</v>
      </c>
      <c r="D385">
        <v>755</v>
      </c>
      <c r="E385">
        <v>380</v>
      </c>
      <c r="F385" t="s">
        <v>152</v>
      </c>
      <c r="G385">
        <v>5</v>
      </c>
      <c r="H385">
        <v>6.6267177492490248</v>
      </c>
      <c r="I385">
        <v>0</v>
      </c>
      <c r="J385">
        <v>0</v>
      </c>
      <c r="K385">
        <v>1</v>
      </c>
      <c r="L385">
        <v>1</v>
      </c>
      <c r="M385" t="s">
        <v>119</v>
      </c>
      <c r="N385" t="s">
        <v>120</v>
      </c>
      <c r="O385">
        <v>0.43571736068551442</v>
      </c>
      <c r="P385">
        <v>0</v>
      </c>
      <c r="Q385" t="s">
        <v>359</v>
      </c>
      <c r="R385" t="str">
        <f>VLOOKUP(Q385,GDP!$A$2:$B$266,1,FALSE)</f>
        <v>AUS</v>
      </c>
      <c r="S385" t="str">
        <f>VLOOKUP(Q385,GDP!$A$2:$B$266,2,FALSE)</f>
        <v>Australia</v>
      </c>
      <c r="T385">
        <f>VLOOKUP(Q385,GDP!$A$1:$L$266,8,FALSE)</f>
        <v>58327.414684232484</v>
      </c>
      <c r="U385" s="4">
        <v>58327.414684232499</v>
      </c>
      <c r="V385" s="5">
        <f>VLOOKUP(Q385,POP!$B$5:$M$269,8,FALSE)</f>
        <v>16651179</v>
      </c>
      <c r="W385" s="4">
        <v>16651179</v>
      </c>
      <c r="X385">
        <f>VLOOKUP(Q385,YU!$B$1:$M$266,8,FALSE)</f>
        <v>11.134</v>
      </c>
      <c r="Y385" s="4">
        <v>11.134</v>
      </c>
      <c r="Z385">
        <v>5.3410902023315403</v>
      </c>
      <c r="AA385">
        <f t="shared" si="30"/>
        <v>10.973827496533854</v>
      </c>
      <c r="AB385">
        <f t="shared" si="31"/>
        <v>0.4494307944214242</v>
      </c>
      <c r="AC385" s="4">
        <v>0.44943079442142952</v>
      </c>
      <c r="AD385">
        <v>0.71610647465337429</v>
      </c>
      <c r="AE385">
        <v>-4.1814059829059822</v>
      </c>
      <c r="AG385" s="12">
        <f t="shared" si="32"/>
        <v>0</v>
      </c>
      <c r="AH385" s="12">
        <f t="shared" si="33"/>
        <v>0</v>
      </c>
      <c r="AI385" s="13">
        <f t="shared" si="34"/>
        <v>0</v>
      </c>
      <c r="AJ385" s="14">
        <f t="shared" si="35"/>
        <v>-0.26368964570855979</v>
      </c>
    </row>
    <row r="386" spans="1:36" x14ac:dyDescent="0.2">
      <c r="A386">
        <v>2022</v>
      </c>
      <c r="B386" t="s">
        <v>357</v>
      </c>
      <c r="C386">
        <f>VLOOKUP(B386,Sheet5!$B$2:$C$2166,2,FALSE)</f>
        <v>580</v>
      </c>
      <c r="D386">
        <v>720</v>
      </c>
      <c r="E386">
        <v>240</v>
      </c>
      <c r="F386" t="s">
        <v>362</v>
      </c>
      <c r="G386">
        <v>5</v>
      </c>
      <c r="H386">
        <v>6.5792512120101012</v>
      </c>
      <c r="I386">
        <v>0</v>
      </c>
      <c r="J386">
        <v>0</v>
      </c>
      <c r="K386">
        <v>1</v>
      </c>
      <c r="L386">
        <v>2</v>
      </c>
      <c r="M386" t="s">
        <v>119</v>
      </c>
      <c r="N386" t="s">
        <v>120</v>
      </c>
      <c r="O386">
        <v>0.43571736068551442</v>
      </c>
      <c r="P386">
        <v>0</v>
      </c>
      <c r="Q386" t="s">
        <v>359</v>
      </c>
      <c r="R386" t="str">
        <f>VLOOKUP(Q386,GDP!$A$2:$B$266,1,FALSE)</f>
        <v>AUS</v>
      </c>
      <c r="S386" t="str">
        <f>VLOOKUP(Q386,GDP!$A$2:$B$266,2,FALSE)</f>
        <v>Australia</v>
      </c>
      <c r="T386">
        <f>VLOOKUP(Q386,GDP!$A$1:$L$266,9,FALSE)</f>
        <v>60029.13291907325</v>
      </c>
      <c r="U386" s="4">
        <v>60029.132919073301</v>
      </c>
      <c r="V386" s="5">
        <f>VLOOKUP(Q386,POP!$B$5:$M$269,9,FALSE)</f>
        <v>16831361</v>
      </c>
      <c r="W386" s="4">
        <v>16831361</v>
      </c>
      <c r="X386">
        <f>VLOOKUP(Q386,YU!$B$1:$M$266,9,FALSE)</f>
        <v>8.468</v>
      </c>
      <c r="Y386" s="4">
        <v>8.468</v>
      </c>
      <c r="Z386">
        <v>5.0591502189636204</v>
      </c>
      <c r="AA386">
        <f t="shared" si="30"/>
        <v>11.002585272014855</v>
      </c>
      <c r="AB386">
        <f t="shared" si="31"/>
        <v>0.47818856990242509</v>
      </c>
      <c r="AC386" s="4">
        <v>0.47818856990243219</v>
      </c>
      <c r="AD386">
        <v>0.72686932235470714</v>
      </c>
      <c r="AE386">
        <v>-6.8474059829059826</v>
      </c>
      <c r="AG386" s="12">
        <f t="shared" si="32"/>
        <v>0</v>
      </c>
      <c r="AH386" s="12">
        <f t="shared" si="33"/>
        <v>0</v>
      </c>
      <c r="AI386" s="13">
        <f t="shared" si="34"/>
        <v>0</v>
      </c>
      <c r="AJ386" s="14">
        <f t="shared" si="35"/>
        <v>-0.21622310846963622</v>
      </c>
    </row>
    <row r="387" spans="1:36" x14ac:dyDescent="0.2">
      <c r="A387">
        <v>2023</v>
      </c>
      <c r="B387" t="s">
        <v>357</v>
      </c>
      <c r="C387">
        <f>VLOOKUP(B387,Sheet5!$B$2:$C$2166,2,FALSE)</f>
        <v>580</v>
      </c>
      <c r="D387">
        <v>855</v>
      </c>
      <c r="E387">
        <v>280</v>
      </c>
      <c r="F387" t="s">
        <v>363</v>
      </c>
      <c r="G387">
        <v>5</v>
      </c>
      <c r="H387">
        <v>6.7511014689367599</v>
      </c>
      <c r="I387">
        <v>0</v>
      </c>
      <c r="J387">
        <v>0</v>
      </c>
      <c r="K387">
        <v>1</v>
      </c>
      <c r="L387">
        <v>3</v>
      </c>
      <c r="M387" t="s">
        <v>119</v>
      </c>
      <c r="N387" t="s">
        <v>120</v>
      </c>
      <c r="O387">
        <v>0.43571736068551442</v>
      </c>
      <c r="P387">
        <v>0</v>
      </c>
      <c r="Q387" t="s">
        <v>359</v>
      </c>
      <c r="R387" t="str">
        <f>VLOOKUP(Q387,GDP!$A$2:$B$266,1,FALSE)</f>
        <v>AUS</v>
      </c>
      <c r="S387" t="str">
        <f>VLOOKUP(Q387,GDP!$A$2:$B$266,2,FALSE)</f>
        <v>Australia</v>
      </c>
      <c r="T387">
        <f>VLOOKUP(Q387,GDP!$A$1:$L$266,10,FALSE)</f>
        <v>60684.959620488291</v>
      </c>
      <c r="U387" s="4">
        <v>60684.959620488298</v>
      </c>
      <c r="V387" s="5">
        <f>VLOOKUP(Q387,POP!$B$5:$M$269,10,FALSE)</f>
        <v>17218495</v>
      </c>
      <c r="W387" s="4">
        <v>17218495</v>
      </c>
      <c r="X387">
        <f>VLOOKUP(Q387,YU!$B$1:$M$266,10,FALSE)</f>
        <v>8.3879999999999999</v>
      </c>
      <c r="Y387" s="4">
        <v>8.3879999999999999</v>
      </c>
      <c r="AA387">
        <f t="shared" ref="AA387:AA450" si="36">LN(T387)</f>
        <v>11.013451164144975</v>
      </c>
      <c r="AB387">
        <f t="shared" ref="AB387:AB450" si="37">AA387-AVERAGE($AA$2:$AA$469)</f>
        <v>0.48905446203254499</v>
      </c>
      <c r="AC387" s="4">
        <v>0.48905446203255032</v>
      </c>
      <c r="AD387">
        <v>0.74960954672921964</v>
      </c>
      <c r="AE387">
        <v>-6.9274059829059826</v>
      </c>
      <c r="AG387" s="12">
        <f t="shared" ref="AG387:AG450" si="38">T387-U387</f>
        <v>0</v>
      </c>
      <c r="AH387" s="12">
        <f t="shared" ref="AH387:AH450" si="39">V387-W387</f>
        <v>0</v>
      </c>
      <c r="AI387" s="13">
        <f t="shared" ref="AI387:AI450" si="40">X387-Y387</f>
        <v>0</v>
      </c>
      <c r="AJ387" s="14">
        <f t="shared" ref="AJ387:AJ450" si="41">LN(C387)-H387</f>
        <v>-0.38807336539629489</v>
      </c>
    </row>
    <row r="388" spans="1:36" x14ac:dyDescent="0.2">
      <c r="A388">
        <v>2024</v>
      </c>
      <c r="B388" t="s">
        <v>357</v>
      </c>
      <c r="C388">
        <f>VLOOKUP(B388,Sheet5!$B$2:$C$2166,2,FALSE)</f>
        <v>580</v>
      </c>
      <c r="D388">
        <v>810</v>
      </c>
      <c r="E388">
        <v>270</v>
      </c>
      <c r="F388" t="s">
        <v>364</v>
      </c>
      <c r="G388">
        <v>10</v>
      </c>
      <c r="H388">
        <v>6.6970342476664841</v>
      </c>
      <c r="I388">
        <v>0</v>
      </c>
      <c r="J388">
        <v>0</v>
      </c>
      <c r="K388">
        <v>1</v>
      </c>
      <c r="L388">
        <v>4</v>
      </c>
      <c r="M388" t="s">
        <v>119</v>
      </c>
      <c r="N388" t="s">
        <v>120</v>
      </c>
      <c r="O388">
        <v>0.43571736068551442</v>
      </c>
      <c r="P388">
        <v>0</v>
      </c>
      <c r="Q388" t="s">
        <v>359</v>
      </c>
      <c r="R388" t="str">
        <f>VLOOKUP(Q388,GDP!$A$2:$B$266,1,FALSE)</f>
        <v>AUS</v>
      </c>
      <c r="S388" t="str">
        <f>VLOOKUP(Q388,GDP!$A$2:$B$266,2,FALSE)</f>
        <v>Australia</v>
      </c>
      <c r="T388">
        <f>VLOOKUP(Q388,GDP!$A$1:$L$266,11,FALSE)</f>
        <v>60309.583177233944</v>
      </c>
      <c r="U388" s="4">
        <v>60309.583177233901</v>
      </c>
      <c r="V388" s="5">
        <f>VLOOKUP(Q388,POP!$B$5:$M$269,11,FALSE)</f>
        <v>17520772</v>
      </c>
      <c r="W388" s="4">
        <v>17520772</v>
      </c>
      <c r="X388">
        <f>VLOOKUP(Q388,YU!$B$1:$M$266,11,FALSE)</f>
        <v>9.4079999999999995</v>
      </c>
      <c r="Y388" s="4">
        <v>9.4079999999999995</v>
      </c>
      <c r="AA388">
        <f t="shared" si="36"/>
        <v>11.007246295083625</v>
      </c>
      <c r="AB388">
        <f t="shared" si="37"/>
        <v>0.48284959297119556</v>
      </c>
      <c r="AC388" s="4">
        <v>0.48284959297120089</v>
      </c>
      <c r="AD388">
        <v>0.76701259838747937</v>
      </c>
      <c r="AE388">
        <v>-5.9074059829059831</v>
      </c>
      <c r="AG388" s="12">
        <f t="shared" si="38"/>
        <v>0</v>
      </c>
      <c r="AH388" s="12">
        <f t="shared" si="39"/>
        <v>0</v>
      </c>
      <c r="AI388" s="13">
        <f t="shared" si="40"/>
        <v>0</v>
      </c>
      <c r="AJ388" s="14">
        <f t="shared" si="41"/>
        <v>-0.33400614412601914</v>
      </c>
    </row>
    <row r="389" spans="1:36" x14ac:dyDescent="0.2">
      <c r="A389">
        <v>2016</v>
      </c>
      <c r="B389" t="s">
        <v>365</v>
      </c>
      <c r="C389">
        <f>VLOOKUP(B389,Sheet5!$B$2:$C$2166,2,FALSE)</f>
        <v>170</v>
      </c>
      <c r="D389">
        <v>170</v>
      </c>
      <c r="E389">
        <v>100</v>
      </c>
      <c r="F389" t="s">
        <v>40</v>
      </c>
      <c r="G389">
        <v>0</v>
      </c>
      <c r="H389">
        <v>5.1357984370502621</v>
      </c>
      <c r="I389">
        <v>0</v>
      </c>
      <c r="J389">
        <v>0</v>
      </c>
      <c r="K389">
        <v>0</v>
      </c>
      <c r="L389">
        <v>-4</v>
      </c>
      <c r="M389" t="s">
        <v>119</v>
      </c>
      <c r="N389" t="s">
        <v>120</v>
      </c>
      <c r="O389">
        <v>1.0418392852873761E-8</v>
      </c>
      <c r="P389">
        <v>0</v>
      </c>
      <c r="Q389" t="s">
        <v>366</v>
      </c>
      <c r="R389" t="str">
        <f>VLOOKUP(Q389,GDP!$A$2:$B$266,1,FALSE)</f>
        <v>BWA</v>
      </c>
      <c r="S389" t="str">
        <f>VLOOKUP(Q389,GDP!$A$2:$B$266,2,FALSE)</f>
        <v>Botswana</v>
      </c>
      <c r="T389">
        <f>VLOOKUP(Q389,GDP!$A$1:$C$266,3,FALSE)</f>
        <v>16905.588740873049</v>
      </c>
      <c r="U389" s="4">
        <v>16905.588740873001</v>
      </c>
      <c r="V389" s="5">
        <f>VLOOKUP(Q389,POP!$B$5:$M$269,3,FALSE)</f>
        <v>1389470</v>
      </c>
      <c r="W389" s="4">
        <v>1389470</v>
      </c>
      <c r="X389">
        <f>VLOOKUP(Q389,YU!$B$1:$D$266,3,FALSE)</f>
        <v>34.850999999999999</v>
      </c>
      <c r="Y389" s="4">
        <v>34.850999999999999</v>
      </c>
      <c r="Z389">
        <v>8.7358929635892792</v>
      </c>
      <c r="AA389">
        <f t="shared" si="36"/>
        <v>9.7353995409699312</v>
      </c>
      <c r="AB389">
        <f t="shared" si="37"/>
        <v>-0.78899716114249863</v>
      </c>
      <c r="AC389" s="4">
        <v>-0.78899716114249507</v>
      </c>
      <c r="AD389">
        <v>-1.7674521706097579</v>
      </c>
      <c r="AE389">
        <v>19.53559401709402</v>
      </c>
      <c r="AG389" s="12">
        <f t="shared" si="38"/>
        <v>4.7293724492192268E-11</v>
      </c>
      <c r="AH389" s="12">
        <f t="shared" si="39"/>
        <v>0</v>
      </c>
      <c r="AI389" s="13">
        <f t="shared" si="40"/>
        <v>0</v>
      </c>
      <c r="AJ389" s="14">
        <f t="shared" si="41"/>
        <v>0</v>
      </c>
    </row>
    <row r="390" spans="1:36" x14ac:dyDescent="0.2">
      <c r="A390">
        <v>2017</v>
      </c>
      <c r="B390" t="s">
        <v>365</v>
      </c>
      <c r="C390">
        <f>VLOOKUP(B390,Sheet5!$B$2:$C$2166,2,FALSE)</f>
        <v>170</v>
      </c>
      <c r="D390">
        <v>160</v>
      </c>
      <c r="E390">
        <v>95</v>
      </c>
      <c r="F390" t="s">
        <v>40</v>
      </c>
      <c r="G390">
        <v>0</v>
      </c>
      <c r="H390">
        <v>5.0751738152338266</v>
      </c>
      <c r="I390">
        <v>0</v>
      </c>
      <c r="J390">
        <v>0</v>
      </c>
      <c r="K390">
        <v>0</v>
      </c>
      <c r="L390">
        <v>-3</v>
      </c>
      <c r="M390" t="s">
        <v>119</v>
      </c>
      <c r="N390" t="s">
        <v>120</v>
      </c>
      <c r="O390">
        <v>1.0418392852873761E-8</v>
      </c>
      <c r="P390">
        <v>0</v>
      </c>
      <c r="Q390" t="s">
        <v>366</v>
      </c>
      <c r="R390" t="str">
        <f>VLOOKUP(Q390,GDP!$A$2:$B$266,1,FALSE)</f>
        <v>BWA</v>
      </c>
      <c r="S390" t="str">
        <f>VLOOKUP(Q390,GDP!$A$2:$B$266,2,FALSE)</f>
        <v>Botswana</v>
      </c>
      <c r="T390">
        <f>VLOOKUP(Q390,GDP!$A$1:$L$266,4,FALSE)</f>
        <v>17352.895845145355</v>
      </c>
      <c r="U390" s="4">
        <v>17352.895845145398</v>
      </c>
      <c r="V390" s="5">
        <f>VLOOKUP(Q390,POP!$B$5:$M$269,4,FALSE)</f>
        <v>1413252</v>
      </c>
      <c r="W390" s="4">
        <v>1413252</v>
      </c>
      <c r="X390">
        <f>VLOOKUP(Q390,YU!$B$1:$M$266,4,FALSE)</f>
        <v>34.872</v>
      </c>
      <c r="Y390" s="4">
        <v>34.872</v>
      </c>
      <c r="Z390">
        <v>7.80924443947392</v>
      </c>
      <c r="AA390">
        <f t="shared" si="36"/>
        <v>9.7615146789486715</v>
      </c>
      <c r="AB390">
        <f t="shared" si="37"/>
        <v>-0.7628820231637583</v>
      </c>
      <c r="AC390" s="4">
        <v>-0.7628820231637512</v>
      </c>
      <c r="AD390">
        <v>-1.750481118326878</v>
      </c>
      <c r="AE390">
        <v>19.556594017094021</v>
      </c>
      <c r="AG390" s="12">
        <f t="shared" si="38"/>
        <v>-4.3655745685100555E-11</v>
      </c>
      <c r="AH390" s="12">
        <f t="shared" si="39"/>
        <v>0</v>
      </c>
      <c r="AI390" s="13">
        <f t="shared" si="40"/>
        <v>0</v>
      </c>
      <c r="AJ390" s="14">
        <f t="shared" si="41"/>
        <v>6.0624621816435464E-2</v>
      </c>
    </row>
    <row r="391" spans="1:36" x14ac:dyDescent="0.2">
      <c r="A391">
        <v>2018</v>
      </c>
      <c r="B391" t="s">
        <v>365</v>
      </c>
      <c r="C391">
        <f>VLOOKUP(B391,Sheet5!$B$2:$C$2166,2,FALSE)</f>
        <v>170</v>
      </c>
      <c r="D391">
        <v>145</v>
      </c>
      <c r="E391">
        <v>80</v>
      </c>
      <c r="F391" t="s">
        <v>143</v>
      </c>
      <c r="G391">
        <v>0</v>
      </c>
      <c r="H391">
        <v>4.9767337424205742</v>
      </c>
      <c r="I391">
        <v>0</v>
      </c>
      <c r="J391">
        <v>0</v>
      </c>
      <c r="K391">
        <v>0</v>
      </c>
      <c r="L391">
        <v>-2</v>
      </c>
      <c r="M391" t="s">
        <v>119</v>
      </c>
      <c r="N391" t="s">
        <v>120</v>
      </c>
      <c r="O391">
        <v>1.0418392852873761E-8</v>
      </c>
      <c r="P391">
        <v>0</v>
      </c>
      <c r="Q391" t="s">
        <v>366</v>
      </c>
      <c r="R391" t="str">
        <f>VLOOKUP(Q391,GDP!$A$2:$B$266,1,FALSE)</f>
        <v>BWA</v>
      </c>
      <c r="S391" t="str">
        <f>VLOOKUP(Q391,GDP!$A$2:$B$266,2,FALSE)</f>
        <v>Botswana</v>
      </c>
      <c r="T391">
        <f>VLOOKUP(Q391,GDP!$A$1:$L$266,5,FALSE)</f>
        <v>17825.018569213007</v>
      </c>
      <c r="U391" s="4">
        <v>17825.018569213</v>
      </c>
      <c r="V391" s="5">
        <f>VLOOKUP(Q391,POP!$B$5:$M$269,5,FALSE)</f>
        <v>1438946</v>
      </c>
      <c r="W391" s="4">
        <v>1438946</v>
      </c>
      <c r="X391">
        <f>VLOOKUP(Q391,YU!$B$1:$M$266,5,FALSE)</f>
        <v>34.404000000000003</v>
      </c>
      <c r="Y391" s="4">
        <v>34.404000000000003</v>
      </c>
      <c r="Z391">
        <v>7.9053860532971001</v>
      </c>
      <c r="AA391">
        <f t="shared" si="36"/>
        <v>9.7883582870330343</v>
      </c>
      <c r="AB391">
        <f t="shared" si="37"/>
        <v>-0.73603841507939549</v>
      </c>
      <c r="AC391" s="4">
        <v>-0.73603841507939016</v>
      </c>
      <c r="AD391">
        <v>-1.7324636489355749</v>
      </c>
      <c r="AE391">
        <v>19.088594017094021</v>
      </c>
      <c r="AG391" s="12">
        <f t="shared" si="38"/>
        <v>0</v>
      </c>
      <c r="AH391" s="12">
        <f t="shared" si="39"/>
        <v>0</v>
      </c>
      <c r="AI391" s="13">
        <f t="shared" si="40"/>
        <v>0</v>
      </c>
      <c r="AJ391" s="14">
        <f t="shared" si="41"/>
        <v>0.15906469462968786</v>
      </c>
    </row>
    <row r="392" spans="1:36" x14ac:dyDescent="0.2">
      <c r="A392">
        <v>2019</v>
      </c>
      <c r="B392" t="s">
        <v>365</v>
      </c>
      <c r="C392">
        <f>VLOOKUP(B392,Sheet5!$B$2:$C$2166,2,FALSE)</f>
        <v>170</v>
      </c>
      <c r="D392">
        <v>155</v>
      </c>
      <c r="E392">
        <v>65</v>
      </c>
      <c r="F392" t="s">
        <v>73</v>
      </c>
      <c r="G392">
        <v>0</v>
      </c>
      <c r="H392">
        <v>5.0434251169192468</v>
      </c>
      <c r="I392">
        <v>0</v>
      </c>
      <c r="J392">
        <v>0</v>
      </c>
      <c r="K392">
        <v>0</v>
      </c>
      <c r="L392">
        <v>-1</v>
      </c>
      <c r="M392" t="s">
        <v>119</v>
      </c>
      <c r="N392" t="s">
        <v>120</v>
      </c>
      <c r="O392">
        <v>1.0418392852873761E-8</v>
      </c>
      <c r="P392">
        <v>0</v>
      </c>
      <c r="Q392" t="s">
        <v>366</v>
      </c>
      <c r="R392" t="str">
        <f>VLOOKUP(Q392,GDP!$A$2:$B$266,1,FALSE)</f>
        <v>BWA</v>
      </c>
      <c r="S392" t="str">
        <f>VLOOKUP(Q392,GDP!$A$2:$B$266,2,FALSE)</f>
        <v>Botswana</v>
      </c>
      <c r="T392">
        <f>VLOOKUP(Q392,GDP!$A$1:$L$266,6,FALSE)</f>
        <v>18106.01054711243</v>
      </c>
      <c r="U392" s="4">
        <v>18106.010547112401</v>
      </c>
      <c r="V392" s="5">
        <f>VLOOKUP(Q392,POP!$B$5:$M$269,6,FALSE)</f>
        <v>1466523</v>
      </c>
      <c r="W392" s="4">
        <v>1466523</v>
      </c>
      <c r="X392">
        <f>VLOOKUP(Q392,YU!$B$1:$M$266,6,FALSE)</f>
        <v>34.588000000000001</v>
      </c>
      <c r="Y392" s="4">
        <v>34.588000000000001</v>
      </c>
      <c r="Z392">
        <v>8.3989966033445995</v>
      </c>
      <c r="AA392">
        <f t="shared" si="36"/>
        <v>9.8039992365555086</v>
      </c>
      <c r="AB392">
        <f t="shared" si="37"/>
        <v>-0.72039746555692119</v>
      </c>
      <c r="AC392" s="4">
        <v>-0.72039746555691764</v>
      </c>
      <c r="AD392">
        <v>-1.713480257164131</v>
      </c>
      <c r="AE392">
        <v>19.272594017094018</v>
      </c>
      <c r="AG392" s="12">
        <f t="shared" si="38"/>
        <v>2.9103830456733704E-11</v>
      </c>
      <c r="AH392" s="12">
        <f t="shared" si="39"/>
        <v>0</v>
      </c>
      <c r="AI392" s="13">
        <f t="shared" si="40"/>
        <v>0</v>
      </c>
      <c r="AJ392" s="14">
        <f t="shared" si="41"/>
        <v>9.2373320131015291E-2</v>
      </c>
    </row>
    <row r="393" spans="1:36" x14ac:dyDescent="0.2">
      <c r="A393">
        <v>2020</v>
      </c>
      <c r="B393" t="s">
        <v>365</v>
      </c>
      <c r="C393">
        <f>VLOOKUP(B393,Sheet5!$B$2:$C$2166,2,FALSE)</f>
        <v>170</v>
      </c>
      <c r="D393">
        <v>170</v>
      </c>
      <c r="E393">
        <v>75</v>
      </c>
      <c r="F393" t="s">
        <v>84</v>
      </c>
      <c r="G393">
        <v>0</v>
      </c>
      <c r="H393">
        <v>5.1357984370502621</v>
      </c>
      <c r="I393">
        <v>0</v>
      </c>
      <c r="J393">
        <v>0</v>
      </c>
      <c r="K393">
        <v>0</v>
      </c>
      <c r="L393">
        <v>0</v>
      </c>
      <c r="M393" t="s">
        <v>119</v>
      </c>
      <c r="N393" t="s">
        <v>120</v>
      </c>
      <c r="O393">
        <v>1.0418392852873761E-8</v>
      </c>
      <c r="P393">
        <v>0</v>
      </c>
      <c r="Q393" t="s">
        <v>366</v>
      </c>
      <c r="R393" t="str">
        <f>VLOOKUP(Q393,GDP!$A$2:$B$266,1,FALSE)</f>
        <v>BWA</v>
      </c>
      <c r="S393" t="str">
        <f>VLOOKUP(Q393,GDP!$A$2:$B$266,2,FALSE)</f>
        <v>Botswana</v>
      </c>
      <c r="T393">
        <f>VLOOKUP(Q393,GDP!$A$1:$L$266,7,FALSE)</f>
        <v>16289.391358264542</v>
      </c>
      <c r="U393" s="4">
        <v>16289.3913582645</v>
      </c>
      <c r="V393" s="5">
        <f>VLOOKUP(Q393,POP!$B$5:$M$269,7,FALSE)</f>
        <v>1496080</v>
      </c>
      <c r="W393" s="4">
        <v>1496080</v>
      </c>
      <c r="X393">
        <f>VLOOKUP(Q393,YU!$B$1:$M$266,7,FALSE)</f>
        <v>40.436</v>
      </c>
      <c r="Y393" s="4">
        <v>40.436</v>
      </c>
      <c r="Z393">
        <v>8.0583366099154095</v>
      </c>
      <c r="AA393">
        <f t="shared" si="36"/>
        <v>9.6982693379922811</v>
      </c>
      <c r="AB393">
        <f t="shared" si="37"/>
        <v>-0.82612736412014875</v>
      </c>
      <c r="AC393" s="4">
        <v>-0.8261273641201452</v>
      </c>
      <c r="AD393">
        <v>-1.6935261960185941</v>
      </c>
      <c r="AE393">
        <v>25.120594017094021</v>
      </c>
      <c r="AG393" s="12">
        <f t="shared" si="38"/>
        <v>4.1836756281554699E-11</v>
      </c>
      <c r="AH393" s="12">
        <f t="shared" si="39"/>
        <v>0</v>
      </c>
      <c r="AI393" s="13">
        <f t="shared" si="40"/>
        <v>0</v>
      </c>
      <c r="AJ393" s="14">
        <f t="shared" si="41"/>
        <v>0</v>
      </c>
    </row>
    <row r="394" spans="1:36" x14ac:dyDescent="0.2">
      <c r="A394">
        <v>2021</v>
      </c>
      <c r="B394" t="s">
        <v>365</v>
      </c>
      <c r="C394">
        <f>VLOOKUP(B394,Sheet5!$B$2:$C$2166,2,FALSE)</f>
        <v>170</v>
      </c>
      <c r="D394">
        <v>180</v>
      </c>
      <c r="E394">
        <v>65</v>
      </c>
      <c r="F394" t="s">
        <v>72</v>
      </c>
      <c r="G394">
        <v>5</v>
      </c>
      <c r="H394">
        <v>5.1929568508902104</v>
      </c>
      <c r="I394">
        <v>0</v>
      </c>
      <c r="J394">
        <v>0</v>
      </c>
      <c r="K394">
        <v>1</v>
      </c>
      <c r="L394">
        <v>1</v>
      </c>
      <c r="M394" t="s">
        <v>119</v>
      </c>
      <c r="N394" t="s">
        <v>120</v>
      </c>
      <c r="O394">
        <v>1.0418392852873761E-8</v>
      </c>
      <c r="P394">
        <v>0</v>
      </c>
      <c r="Q394" t="s">
        <v>366</v>
      </c>
      <c r="R394" t="str">
        <f>VLOOKUP(Q394,GDP!$A$2:$B$266,1,FALSE)</f>
        <v>BWA</v>
      </c>
      <c r="S394" t="str">
        <f>VLOOKUP(Q394,GDP!$A$2:$B$266,2,FALSE)</f>
        <v>Botswana</v>
      </c>
      <c r="T394">
        <f>VLOOKUP(Q394,GDP!$A$1:$L$266,8,FALSE)</f>
        <v>17960.625444743728</v>
      </c>
      <c r="U394" s="4">
        <v>17960.625444743699</v>
      </c>
      <c r="V394" s="5">
        <f>VLOOKUP(Q394,POP!$B$5:$M$269,8,FALSE)</f>
        <v>1526008</v>
      </c>
      <c r="W394" s="4">
        <v>1526008</v>
      </c>
      <c r="X394">
        <f>VLOOKUP(Q394,YU!$B$1:$M$266,8,FALSE)</f>
        <v>43.354999999999997</v>
      </c>
      <c r="Y394" s="4">
        <v>43.354999999999997</v>
      </c>
      <c r="AA394">
        <f t="shared" si="36"/>
        <v>9.7959371655674179</v>
      </c>
      <c r="AB394">
        <f t="shared" si="37"/>
        <v>-0.72845953654501194</v>
      </c>
      <c r="AC394" s="4">
        <v>-0.72845953654500839</v>
      </c>
      <c r="AD394">
        <v>-1.6737193747644401</v>
      </c>
      <c r="AE394">
        <v>28.039594017094011</v>
      </c>
      <c r="AG394" s="12">
        <f t="shared" si="38"/>
        <v>2.9103830456733704E-11</v>
      </c>
      <c r="AH394" s="12">
        <f t="shared" si="39"/>
        <v>0</v>
      </c>
      <c r="AI394" s="13">
        <f t="shared" si="40"/>
        <v>0</v>
      </c>
      <c r="AJ394" s="14">
        <f t="shared" si="41"/>
        <v>-5.7158413839948352E-2</v>
      </c>
    </row>
    <row r="395" spans="1:36" x14ac:dyDescent="0.2">
      <c r="A395">
        <v>2022</v>
      </c>
      <c r="B395" t="s">
        <v>365</v>
      </c>
      <c r="C395">
        <f>VLOOKUP(B395,Sheet5!$B$2:$C$2166,2,FALSE)</f>
        <v>170</v>
      </c>
      <c r="D395">
        <v>190</v>
      </c>
      <c r="E395">
        <v>85</v>
      </c>
      <c r="F395" t="s">
        <v>155</v>
      </c>
      <c r="G395">
        <v>5</v>
      </c>
      <c r="H395">
        <v>5.2470240721604862</v>
      </c>
      <c r="I395">
        <v>0</v>
      </c>
      <c r="J395">
        <v>0</v>
      </c>
      <c r="K395">
        <v>1</v>
      </c>
      <c r="L395">
        <v>2</v>
      </c>
      <c r="M395" t="s">
        <v>119</v>
      </c>
      <c r="N395" t="s">
        <v>120</v>
      </c>
      <c r="O395">
        <v>1.0418392852873761E-8</v>
      </c>
      <c r="P395">
        <v>0</v>
      </c>
      <c r="Q395" t="s">
        <v>366</v>
      </c>
      <c r="R395" t="str">
        <f>VLOOKUP(Q395,GDP!$A$2:$B$266,1,FALSE)</f>
        <v>BWA</v>
      </c>
      <c r="S395" t="str">
        <f>VLOOKUP(Q395,GDP!$A$2:$B$266,2,FALSE)</f>
        <v>Botswana</v>
      </c>
      <c r="T395">
        <f>VLOOKUP(Q395,GDP!$A$1:$L$266,9,FALSE)</f>
        <v>18647.373458883187</v>
      </c>
      <c r="U395" s="4">
        <v>18647.373458883201</v>
      </c>
      <c r="V395" s="5">
        <f>VLOOKUP(Q395,POP!$B$5:$M$269,9,FALSE)</f>
        <v>1554129</v>
      </c>
      <c r="W395" s="4">
        <v>1554129</v>
      </c>
      <c r="X395">
        <f>VLOOKUP(Q395,YU!$B$1:$M$266,9,FALSE)</f>
        <v>42.610999999999997</v>
      </c>
      <c r="Y395" s="4">
        <v>42.610999999999997</v>
      </c>
      <c r="AA395">
        <f t="shared" si="36"/>
        <v>9.8334605818501704</v>
      </c>
      <c r="AB395">
        <f t="shared" si="37"/>
        <v>-0.69093612026225948</v>
      </c>
      <c r="AC395" s="4">
        <v>-0.69093612026225415</v>
      </c>
      <c r="AD395">
        <v>-1.655459289993725</v>
      </c>
      <c r="AE395">
        <v>27.295594017094011</v>
      </c>
      <c r="AG395" s="12">
        <f t="shared" si="38"/>
        <v>0</v>
      </c>
      <c r="AH395" s="12">
        <f t="shared" si="39"/>
        <v>0</v>
      </c>
      <c r="AI395" s="13">
        <f t="shared" si="40"/>
        <v>0</v>
      </c>
      <c r="AJ395" s="14">
        <f t="shared" si="41"/>
        <v>-0.1112256351102241</v>
      </c>
    </row>
    <row r="396" spans="1:36" x14ac:dyDescent="0.2">
      <c r="A396">
        <v>2023</v>
      </c>
      <c r="B396" t="s">
        <v>365</v>
      </c>
      <c r="C396">
        <f>VLOOKUP(B396,Sheet5!$B$2:$C$2166,2,FALSE)</f>
        <v>170</v>
      </c>
      <c r="D396">
        <v>185</v>
      </c>
      <c r="E396">
        <v>70</v>
      </c>
      <c r="F396" t="s">
        <v>118</v>
      </c>
      <c r="G396">
        <v>5</v>
      </c>
      <c r="H396">
        <v>5.2203558250783244</v>
      </c>
      <c r="I396">
        <v>0</v>
      </c>
      <c r="J396">
        <v>0</v>
      </c>
      <c r="K396">
        <v>1</v>
      </c>
      <c r="L396">
        <v>3</v>
      </c>
      <c r="M396" t="s">
        <v>119</v>
      </c>
      <c r="N396" t="s">
        <v>120</v>
      </c>
      <c r="O396">
        <v>1.0418392852873761E-8</v>
      </c>
      <c r="P396">
        <v>0</v>
      </c>
      <c r="Q396" t="s">
        <v>366</v>
      </c>
      <c r="R396" t="str">
        <f>VLOOKUP(Q396,GDP!$A$2:$B$266,1,FALSE)</f>
        <v>BWA</v>
      </c>
      <c r="S396" t="str">
        <f>VLOOKUP(Q396,GDP!$A$2:$B$266,2,FALSE)</f>
        <v>Botswana</v>
      </c>
      <c r="T396">
        <f>VLOOKUP(Q396,GDP!$A$1:$L$266,10,FALSE)</f>
        <v>18932.480271233406</v>
      </c>
      <c r="U396" s="4">
        <v>18932.480271233399</v>
      </c>
      <c r="V396" s="5">
        <f>VLOOKUP(Q396,POP!$B$5:$M$269,10,FALSE)</f>
        <v>1581133</v>
      </c>
      <c r="W396" s="4">
        <v>1581133</v>
      </c>
      <c r="X396">
        <f>VLOOKUP(Q396,YU!$B$1:$M$266,10,FALSE)</f>
        <v>44.360999999999997</v>
      </c>
      <c r="Y396" s="4">
        <v>44.360999999999997</v>
      </c>
      <c r="AA396">
        <f t="shared" si="36"/>
        <v>9.8486342589292502</v>
      </c>
      <c r="AB396">
        <f t="shared" si="37"/>
        <v>-0.67576244318317968</v>
      </c>
      <c r="AC396" s="4">
        <v>-0.67576244318317613</v>
      </c>
      <c r="AD396">
        <v>-1.63823287141564</v>
      </c>
      <c r="AE396">
        <v>29.045594017094011</v>
      </c>
      <c r="AG396" s="12">
        <f t="shared" si="38"/>
        <v>0</v>
      </c>
      <c r="AH396" s="12">
        <f t="shared" si="39"/>
        <v>0</v>
      </c>
      <c r="AI396" s="13">
        <f t="shared" si="40"/>
        <v>0</v>
      </c>
      <c r="AJ396" s="14">
        <f t="shared" si="41"/>
        <v>-8.4557388028062341E-2</v>
      </c>
    </row>
    <row r="397" spans="1:36" x14ac:dyDescent="0.2">
      <c r="A397">
        <v>2024</v>
      </c>
      <c r="B397" t="s">
        <v>365</v>
      </c>
      <c r="C397">
        <f>VLOOKUP(B397,Sheet5!$B$2:$C$2166,2,FALSE)</f>
        <v>170</v>
      </c>
      <c r="D397">
        <v>200</v>
      </c>
      <c r="E397">
        <v>75</v>
      </c>
      <c r="F397" t="s">
        <v>351</v>
      </c>
      <c r="G397">
        <v>0</v>
      </c>
      <c r="H397">
        <v>5.2983173665480363</v>
      </c>
      <c r="I397">
        <v>0</v>
      </c>
      <c r="J397">
        <v>0</v>
      </c>
      <c r="K397">
        <v>1</v>
      </c>
      <c r="L397">
        <v>4</v>
      </c>
      <c r="M397" t="s">
        <v>119</v>
      </c>
      <c r="N397" t="s">
        <v>120</v>
      </c>
      <c r="O397">
        <v>1.0418392852873761E-8</v>
      </c>
      <c r="P397">
        <v>0</v>
      </c>
      <c r="Q397" t="s">
        <v>366</v>
      </c>
      <c r="R397" t="str">
        <f>VLOOKUP(Q397,GDP!$A$2:$B$266,1,FALSE)</f>
        <v>BWA</v>
      </c>
      <c r="S397" t="str">
        <f>VLOOKUP(Q397,GDP!$A$2:$B$266,2,FALSE)</f>
        <v>Botswana</v>
      </c>
      <c r="T397">
        <f>VLOOKUP(Q397,GDP!$A$1:$L$266,11,FALSE)</f>
        <v>18107.614452913022</v>
      </c>
      <c r="U397" s="4">
        <v>18107.614452913</v>
      </c>
      <c r="V397" s="5">
        <f>VLOOKUP(Q397,POP!$B$5:$M$269,11,FALSE)</f>
        <v>1609356</v>
      </c>
      <c r="W397" s="4">
        <v>1609356</v>
      </c>
      <c r="X397">
        <f>VLOOKUP(Q397,YU!$B$1:$M$266,11,FALSE)</f>
        <v>45.295999999999999</v>
      </c>
      <c r="Y397" s="4">
        <v>45.295999999999999</v>
      </c>
      <c r="AA397">
        <f t="shared" si="36"/>
        <v>9.8040878167957715</v>
      </c>
      <c r="AB397">
        <f t="shared" si="37"/>
        <v>-0.72030888531665838</v>
      </c>
      <c r="AC397" s="4">
        <v>-0.72030888531665305</v>
      </c>
      <c r="AD397">
        <v>-1.6205404511018899</v>
      </c>
      <c r="AE397">
        <v>29.98059401709402</v>
      </c>
      <c r="AG397" s="12">
        <f t="shared" si="38"/>
        <v>0</v>
      </c>
      <c r="AH397" s="12">
        <f t="shared" si="39"/>
        <v>0</v>
      </c>
      <c r="AI397" s="13">
        <f t="shared" si="40"/>
        <v>0</v>
      </c>
      <c r="AJ397" s="14">
        <f t="shared" si="41"/>
        <v>-0.16251892949777424</v>
      </c>
    </row>
    <row r="398" spans="1:36" x14ac:dyDescent="0.2">
      <c r="A398">
        <v>2016</v>
      </c>
      <c r="B398" t="s">
        <v>367</v>
      </c>
      <c r="C398">
        <f>VLOOKUP(B398,Sheet5!$B$2:$C$2166,2,FALSE)</f>
        <v>455</v>
      </c>
      <c r="D398">
        <v>455</v>
      </c>
      <c r="E398">
        <v>295</v>
      </c>
      <c r="F398" t="s">
        <v>368</v>
      </c>
      <c r="G398">
        <v>0</v>
      </c>
      <c r="H398">
        <v>6.1202974189509503</v>
      </c>
      <c r="I398">
        <v>0</v>
      </c>
      <c r="J398">
        <v>0</v>
      </c>
      <c r="K398">
        <v>0</v>
      </c>
      <c r="L398">
        <v>-4</v>
      </c>
      <c r="M398" t="s">
        <v>119</v>
      </c>
      <c r="N398" t="s">
        <v>120</v>
      </c>
      <c r="O398">
        <v>6.6500888908012067E-11</v>
      </c>
      <c r="P398">
        <v>0</v>
      </c>
      <c r="Q398" t="s">
        <v>369</v>
      </c>
      <c r="R398" t="str">
        <f>VLOOKUP(Q398,GDP!$A$2:$B$266,1,FALSE)</f>
        <v>BRN</v>
      </c>
      <c r="S398" t="str">
        <f>VLOOKUP(Q398,GDP!$A$2:$B$266,2,FALSE)</f>
        <v>Brunei Darussalam</v>
      </c>
      <c r="T398">
        <f>VLOOKUP(Q398,GDP!$A$1:$C$266,3,FALSE)</f>
        <v>78880.622850176762</v>
      </c>
      <c r="U398" s="4">
        <v>78880.622850176806</v>
      </c>
      <c r="V398" s="5">
        <f>VLOOKUP(Q398,POP!$B$5:$M$269,3,FALSE)</f>
        <v>309815</v>
      </c>
      <c r="W398" s="4">
        <v>309815</v>
      </c>
      <c r="X398">
        <f>VLOOKUP(Q398,YU!$B$1:$D$266,3,FALSE)</f>
        <v>27.629000000000001</v>
      </c>
      <c r="Y398" s="4">
        <v>27.629000000000001</v>
      </c>
      <c r="Z398">
        <v>4.4253997802734402</v>
      </c>
      <c r="AA398">
        <f t="shared" si="36"/>
        <v>11.275690885418983</v>
      </c>
      <c r="AB398">
        <f t="shared" si="37"/>
        <v>0.75129418330655362</v>
      </c>
      <c r="AC398" s="4">
        <v>0.75129418330655895</v>
      </c>
      <c r="AD398">
        <v>-3.2681544839140102</v>
      </c>
      <c r="AE398">
        <v>12.313594017094021</v>
      </c>
      <c r="AG398" s="12">
        <f t="shared" si="38"/>
        <v>0</v>
      </c>
      <c r="AH398" s="12">
        <f t="shared" si="39"/>
        <v>0</v>
      </c>
      <c r="AI398" s="13">
        <f t="shared" si="40"/>
        <v>0</v>
      </c>
      <c r="AJ398" s="14">
        <f t="shared" si="41"/>
        <v>0</v>
      </c>
    </row>
    <row r="399" spans="1:36" x14ac:dyDescent="0.2">
      <c r="A399">
        <v>2017</v>
      </c>
      <c r="B399" t="s">
        <v>367</v>
      </c>
      <c r="C399">
        <f>VLOOKUP(B399,Sheet5!$B$2:$C$2166,2,FALSE)</f>
        <v>455</v>
      </c>
      <c r="D399">
        <v>395</v>
      </c>
      <c r="E399">
        <v>215</v>
      </c>
      <c r="F399" t="s">
        <v>89</v>
      </c>
      <c r="G399">
        <v>0</v>
      </c>
      <c r="H399">
        <v>5.978885764901122</v>
      </c>
      <c r="I399">
        <v>0</v>
      </c>
      <c r="J399">
        <v>0</v>
      </c>
      <c r="K399">
        <v>0</v>
      </c>
      <c r="L399">
        <v>-3</v>
      </c>
      <c r="M399" t="s">
        <v>119</v>
      </c>
      <c r="N399" t="s">
        <v>120</v>
      </c>
      <c r="O399">
        <v>6.6500888908012067E-11</v>
      </c>
      <c r="P399">
        <v>0</v>
      </c>
      <c r="Q399" t="s">
        <v>369</v>
      </c>
      <c r="R399" t="str">
        <f>VLOOKUP(Q399,GDP!$A$2:$B$266,1,FALSE)</f>
        <v>BRN</v>
      </c>
      <c r="S399" t="str">
        <f>VLOOKUP(Q399,GDP!$A$2:$B$266,2,FALSE)</f>
        <v>Brunei Darussalam</v>
      </c>
      <c r="T399">
        <f>VLOOKUP(Q399,GDP!$A$1:$L$266,4,FALSE)</f>
        <v>78966.864314234583</v>
      </c>
      <c r="U399" s="4">
        <v>78966.864314234597</v>
      </c>
      <c r="V399" s="5">
        <f>VLOOKUP(Q399,POP!$B$5:$M$269,4,FALSE)</f>
        <v>314193</v>
      </c>
      <c r="W399" s="4">
        <v>314193</v>
      </c>
      <c r="X399">
        <f>VLOOKUP(Q399,YU!$B$1:$M$266,4,FALSE)</f>
        <v>29.254999999999999</v>
      </c>
      <c r="Y399" s="4">
        <v>29.254999999999999</v>
      </c>
      <c r="AA399">
        <f t="shared" si="36"/>
        <v>11.27678360439967</v>
      </c>
      <c r="AB399">
        <f t="shared" si="37"/>
        <v>0.75238690228724003</v>
      </c>
      <c r="AC399" s="4">
        <v>0.75238690228724536</v>
      </c>
      <c r="AD399">
        <v>-3.2541223822890242</v>
      </c>
      <c r="AE399">
        <v>13.93959401709402</v>
      </c>
      <c r="AG399" s="12">
        <f t="shared" si="38"/>
        <v>0</v>
      </c>
      <c r="AH399" s="12">
        <f t="shared" si="39"/>
        <v>0</v>
      </c>
      <c r="AI399" s="13">
        <f t="shared" si="40"/>
        <v>0</v>
      </c>
      <c r="AJ399" s="14">
        <f t="shared" si="41"/>
        <v>0.14141165404982825</v>
      </c>
    </row>
    <row r="400" spans="1:36" x14ac:dyDescent="0.2">
      <c r="A400">
        <v>2018</v>
      </c>
      <c r="B400" t="s">
        <v>367</v>
      </c>
      <c r="C400">
        <f>VLOOKUP(B400,Sheet5!$B$2:$C$2166,2,FALSE)</f>
        <v>455</v>
      </c>
      <c r="D400">
        <v>350</v>
      </c>
      <c r="E400">
        <v>200</v>
      </c>
      <c r="F400" t="s">
        <v>370</v>
      </c>
      <c r="G400">
        <v>0</v>
      </c>
      <c r="H400">
        <v>5.857933154483459</v>
      </c>
      <c r="I400">
        <v>0</v>
      </c>
      <c r="J400">
        <v>0</v>
      </c>
      <c r="K400">
        <v>0</v>
      </c>
      <c r="L400">
        <v>-2</v>
      </c>
      <c r="M400" t="s">
        <v>119</v>
      </c>
      <c r="N400" t="s">
        <v>120</v>
      </c>
      <c r="O400">
        <v>6.6500888908012067E-11</v>
      </c>
      <c r="P400">
        <v>0</v>
      </c>
      <c r="Q400" t="s">
        <v>369</v>
      </c>
      <c r="R400" t="str">
        <f>VLOOKUP(Q400,GDP!$A$2:$B$266,1,FALSE)</f>
        <v>BRN</v>
      </c>
      <c r="S400" t="str">
        <f>VLOOKUP(Q400,GDP!$A$2:$B$266,2,FALSE)</f>
        <v>Brunei Darussalam</v>
      </c>
      <c r="T400">
        <f>VLOOKUP(Q400,GDP!$A$1:$L$266,5,FALSE)</f>
        <v>78099.05078025609</v>
      </c>
      <c r="U400" s="4">
        <v>78099.050780256104</v>
      </c>
      <c r="V400" s="5">
        <f>VLOOKUP(Q400,POP!$B$5:$M$269,5,FALSE)</f>
        <v>318285</v>
      </c>
      <c r="W400" s="4">
        <v>318285</v>
      </c>
      <c r="X400">
        <f>VLOOKUP(Q400,YU!$B$1:$M$266,5,FALSE)</f>
        <v>30.809000000000001</v>
      </c>
      <c r="Y400" s="4">
        <v>30.809000000000001</v>
      </c>
      <c r="AA400">
        <f t="shared" si="36"/>
        <v>11.265733181851948</v>
      </c>
      <c r="AB400">
        <f t="shared" si="37"/>
        <v>0.74133647973951788</v>
      </c>
      <c r="AC400" s="4">
        <v>0.74133647973952321</v>
      </c>
      <c r="AD400">
        <v>-3.241182621234886</v>
      </c>
      <c r="AE400">
        <v>15.49359401709402</v>
      </c>
      <c r="AG400" s="12">
        <f t="shared" si="38"/>
        <v>0</v>
      </c>
      <c r="AH400" s="12">
        <f t="shared" si="39"/>
        <v>0</v>
      </c>
      <c r="AI400" s="13">
        <f t="shared" si="40"/>
        <v>0</v>
      </c>
      <c r="AJ400" s="14">
        <f t="shared" si="41"/>
        <v>0.26236426446749128</v>
      </c>
    </row>
    <row r="401" spans="1:36" x14ac:dyDescent="0.2">
      <c r="A401">
        <v>2019</v>
      </c>
      <c r="B401" t="s">
        <v>367</v>
      </c>
      <c r="C401">
        <f>VLOOKUP(B401,Sheet5!$B$2:$C$2166,2,FALSE)</f>
        <v>455</v>
      </c>
      <c r="D401">
        <v>335</v>
      </c>
      <c r="E401">
        <v>185</v>
      </c>
      <c r="F401" t="s">
        <v>230</v>
      </c>
      <c r="G401">
        <v>0</v>
      </c>
      <c r="H401">
        <v>5.8141305318250662</v>
      </c>
      <c r="I401">
        <v>0</v>
      </c>
      <c r="J401">
        <v>0</v>
      </c>
      <c r="K401">
        <v>0</v>
      </c>
      <c r="L401">
        <v>-1</v>
      </c>
      <c r="M401" t="s">
        <v>119</v>
      </c>
      <c r="N401" t="s">
        <v>120</v>
      </c>
      <c r="O401">
        <v>6.6500888908012067E-11</v>
      </c>
      <c r="P401">
        <v>0</v>
      </c>
      <c r="Q401" t="s">
        <v>369</v>
      </c>
      <c r="R401" t="str">
        <f>VLOOKUP(Q401,GDP!$A$2:$B$266,1,FALSE)</f>
        <v>BRN</v>
      </c>
      <c r="S401" t="str">
        <f>VLOOKUP(Q401,GDP!$A$2:$B$266,2,FALSE)</f>
        <v>Brunei Darussalam</v>
      </c>
      <c r="T401">
        <f>VLOOKUP(Q401,GDP!$A$1:$L$266,6,FALSE)</f>
        <v>80228.1598170527</v>
      </c>
      <c r="U401" s="4">
        <v>80228.1598170527</v>
      </c>
      <c r="V401" s="5">
        <f>VLOOKUP(Q401,POP!$B$5:$M$269,6,FALSE)</f>
        <v>322116</v>
      </c>
      <c r="W401" s="4">
        <v>322116</v>
      </c>
      <c r="X401">
        <f>VLOOKUP(Q401,YU!$B$1:$M$266,6,FALSE)</f>
        <v>20.140999999999998</v>
      </c>
      <c r="Y401" s="4">
        <v>20.140999999999998</v>
      </c>
      <c r="AA401">
        <f t="shared" si="36"/>
        <v>11.292629852139809</v>
      </c>
      <c r="AB401">
        <f t="shared" si="37"/>
        <v>0.76823315002737935</v>
      </c>
      <c r="AC401" s="4">
        <v>0.76823315002738468</v>
      </c>
      <c r="AD401">
        <v>-3.229218099941336</v>
      </c>
      <c r="AE401">
        <v>4.8255940170940157</v>
      </c>
      <c r="AG401" s="12">
        <f t="shared" si="38"/>
        <v>0</v>
      </c>
      <c r="AH401" s="12">
        <f t="shared" si="39"/>
        <v>0</v>
      </c>
      <c r="AI401" s="13">
        <f t="shared" si="40"/>
        <v>0</v>
      </c>
      <c r="AJ401" s="14">
        <f t="shared" si="41"/>
        <v>0.30616688712588402</v>
      </c>
    </row>
    <row r="402" spans="1:36" x14ac:dyDescent="0.2">
      <c r="A402">
        <v>2020</v>
      </c>
      <c r="B402" t="s">
        <v>367</v>
      </c>
      <c r="C402">
        <f>VLOOKUP(B402,Sheet5!$B$2:$C$2166,2,FALSE)</f>
        <v>455</v>
      </c>
      <c r="D402">
        <v>350</v>
      </c>
      <c r="E402">
        <v>200</v>
      </c>
      <c r="F402" t="s">
        <v>371</v>
      </c>
      <c r="G402">
        <v>0</v>
      </c>
      <c r="H402">
        <v>5.857933154483459</v>
      </c>
      <c r="I402">
        <v>0</v>
      </c>
      <c r="J402">
        <v>0</v>
      </c>
      <c r="K402">
        <v>0</v>
      </c>
      <c r="L402">
        <v>0</v>
      </c>
      <c r="M402" t="s">
        <v>119</v>
      </c>
      <c r="N402" t="s">
        <v>120</v>
      </c>
      <c r="O402">
        <v>6.6500888908012067E-11</v>
      </c>
      <c r="P402">
        <v>0</v>
      </c>
      <c r="Q402" t="s">
        <v>369</v>
      </c>
      <c r="R402" t="str">
        <f>VLOOKUP(Q402,GDP!$A$2:$B$266,1,FALSE)</f>
        <v>BRN</v>
      </c>
      <c r="S402" t="str">
        <f>VLOOKUP(Q402,GDP!$A$2:$B$266,2,FALSE)</f>
        <v>Brunei Darussalam</v>
      </c>
      <c r="T402">
        <f>VLOOKUP(Q402,GDP!$A$1:$L$266,7,FALSE)</f>
        <v>80280.898064067675</v>
      </c>
      <c r="U402" s="4">
        <v>80280.898064067704</v>
      </c>
      <c r="V402" s="5">
        <f>VLOOKUP(Q402,POP!$B$5:$M$269,7,FALSE)</f>
        <v>325652</v>
      </c>
      <c r="W402" s="4">
        <v>325652</v>
      </c>
      <c r="X402">
        <f>VLOOKUP(Q402,YU!$B$1:$M$266,7,FALSE)</f>
        <v>26.852</v>
      </c>
      <c r="Y402" s="4">
        <v>26.852</v>
      </c>
      <c r="AA402">
        <f t="shared" si="36"/>
        <v>11.293286989495284</v>
      </c>
      <c r="AB402">
        <f t="shared" si="37"/>
        <v>0.76889028738285425</v>
      </c>
      <c r="AC402" s="4">
        <v>0.76889028738285958</v>
      </c>
      <c r="AD402">
        <v>-3.2183005025224798</v>
      </c>
      <c r="AE402">
        <v>11.53659401709402</v>
      </c>
      <c r="AG402" s="12">
        <f t="shared" si="38"/>
        <v>0</v>
      </c>
      <c r="AH402" s="12">
        <f t="shared" si="39"/>
        <v>0</v>
      </c>
      <c r="AI402" s="13">
        <f t="shared" si="40"/>
        <v>0</v>
      </c>
      <c r="AJ402" s="14">
        <f t="shared" si="41"/>
        <v>0.26236426446749128</v>
      </c>
    </row>
    <row r="403" spans="1:36" x14ac:dyDescent="0.2">
      <c r="A403">
        <v>2021</v>
      </c>
      <c r="B403" t="s">
        <v>367</v>
      </c>
      <c r="C403">
        <f>VLOOKUP(B403,Sheet5!$B$2:$C$2166,2,FALSE)</f>
        <v>455</v>
      </c>
      <c r="D403">
        <v>300</v>
      </c>
      <c r="E403">
        <v>165</v>
      </c>
      <c r="F403" t="s">
        <v>372</v>
      </c>
      <c r="G403">
        <v>0</v>
      </c>
      <c r="H403">
        <v>5.7037824746562009</v>
      </c>
      <c r="I403">
        <v>0</v>
      </c>
      <c r="J403">
        <v>0</v>
      </c>
      <c r="K403">
        <v>1</v>
      </c>
      <c r="L403">
        <v>1</v>
      </c>
      <c r="M403" t="s">
        <v>119</v>
      </c>
      <c r="N403" t="s">
        <v>120</v>
      </c>
      <c r="O403">
        <v>6.6500888908012067E-11</v>
      </c>
      <c r="P403">
        <v>0</v>
      </c>
      <c r="Q403" t="s">
        <v>369</v>
      </c>
      <c r="R403" t="str">
        <f>VLOOKUP(Q403,GDP!$A$2:$B$266,1,FALSE)</f>
        <v>BRN</v>
      </c>
      <c r="S403" t="str">
        <f>VLOOKUP(Q403,GDP!$A$2:$B$266,2,FALSE)</f>
        <v>Brunei Darussalam</v>
      </c>
      <c r="T403">
        <f>VLOOKUP(Q403,GDP!$A$1:$L$266,8,FALSE)</f>
        <v>78248.797127611004</v>
      </c>
      <c r="U403" s="4">
        <v>78248.797127611004</v>
      </c>
      <c r="V403" s="5">
        <f>VLOOKUP(Q403,POP!$B$5:$M$269,8,FALSE)</f>
        <v>328573</v>
      </c>
      <c r="W403" s="4">
        <v>328573</v>
      </c>
      <c r="X403">
        <f>VLOOKUP(Q403,YU!$B$1:$M$266,8,FALSE)</f>
        <v>16.238</v>
      </c>
      <c r="Y403" s="4">
        <v>16.238</v>
      </c>
      <c r="AA403">
        <f t="shared" si="36"/>
        <v>11.267648736113141</v>
      </c>
      <c r="AB403">
        <f t="shared" si="37"/>
        <v>0.7432520340007116</v>
      </c>
      <c r="AC403" s="4">
        <v>0.74325203400071693</v>
      </c>
      <c r="AD403">
        <v>-3.2093707935998719</v>
      </c>
      <c r="AE403">
        <v>0.922594017094017</v>
      </c>
      <c r="AG403" s="12">
        <f t="shared" si="38"/>
        <v>0</v>
      </c>
      <c r="AH403" s="12">
        <f t="shared" si="39"/>
        <v>0</v>
      </c>
      <c r="AI403" s="13">
        <f t="shared" si="40"/>
        <v>0</v>
      </c>
      <c r="AJ403" s="14">
        <f t="shared" si="41"/>
        <v>0.41651494429474933</v>
      </c>
    </row>
    <row r="404" spans="1:36" x14ac:dyDescent="0.2">
      <c r="A404">
        <v>2022</v>
      </c>
      <c r="B404" t="s">
        <v>367</v>
      </c>
      <c r="C404">
        <f>VLOOKUP(B404,Sheet5!$B$2:$C$2166,2,FALSE)</f>
        <v>455</v>
      </c>
      <c r="D404">
        <v>475</v>
      </c>
      <c r="E404">
        <v>230</v>
      </c>
      <c r="F404" t="s">
        <v>244</v>
      </c>
      <c r="G404">
        <v>0</v>
      </c>
      <c r="H404">
        <v>6.1633148040346413</v>
      </c>
      <c r="I404">
        <v>0</v>
      </c>
      <c r="J404">
        <v>0</v>
      </c>
      <c r="K404">
        <v>1</v>
      </c>
      <c r="L404">
        <v>2</v>
      </c>
      <c r="M404" t="s">
        <v>119</v>
      </c>
      <c r="N404" t="s">
        <v>120</v>
      </c>
      <c r="O404">
        <v>6.6500888908012067E-11</v>
      </c>
      <c r="P404">
        <v>0</v>
      </c>
      <c r="Q404" t="s">
        <v>369</v>
      </c>
      <c r="R404" t="str">
        <f>VLOOKUP(Q404,GDP!$A$2:$B$266,1,FALSE)</f>
        <v>BRN</v>
      </c>
      <c r="S404" t="str">
        <f>VLOOKUP(Q404,GDP!$A$2:$B$266,2,FALSE)</f>
        <v>Brunei Darussalam</v>
      </c>
      <c r="T404">
        <f>VLOOKUP(Q404,GDP!$A$1:$L$266,9,FALSE)</f>
        <v>76357.829114996028</v>
      </c>
      <c r="U404" s="4">
        <v>76357.829114995999</v>
      </c>
      <c r="V404" s="5">
        <f>VLOOKUP(Q404,POP!$B$5:$M$269,9,FALSE)</f>
        <v>330673</v>
      </c>
      <c r="W404" s="4">
        <v>330673</v>
      </c>
      <c r="X404">
        <f>VLOOKUP(Q404,YU!$B$1:$M$266,9,FALSE)</f>
        <v>18.298999999999999</v>
      </c>
      <c r="Y404" s="4">
        <v>18.298999999999999</v>
      </c>
      <c r="AA404">
        <f t="shared" si="36"/>
        <v>11.24318584782576</v>
      </c>
      <c r="AB404">
        <f t="shared" si="37"/>
        <v>0.71878914571333041</v>
      </c>
      <c r="AC404" s="4">
        <v>0.71878914571333397</v>
      </c>
      <c r="AD404">
        <v>-3.202999857399909</v>
      </c>
      <c r="AE404">
        <v>2.9835940170940169</v>
      </c>
      <c r="AG404" s="12">
        <f t="shared" si="38"/>
        <v>0</v>
      </c>
      <c r="AH404" s="12">
        <f t="shared" si="39"/>
        <v>0</v>
      </c>
      <c r="AI404" s="13">
        <f t="shared" si="40"/>
        <v>0</v>
      </c>
      <c r="AJ404" s="14">
        <f t="shared" si="41"/>
        <v>-4.3017385083691018E-2</v>
      </c>
    </row>
    <row r="405" spans="1:36" x14ac:dyDescent="0.2">
      <c r="A405">
        <v>2023</v>
      </c>
      <c r="B405" t="s">
        <v>367</v>
      </c>
      <c r="C405">
        <f>VLOOKUP(B405,Sheet5!$B$2:$C$2166,2,FALSE)</f>
        <v>455</v>
      </c>
      <c r="D405">
        <v>410</v>
      </c>
      <c r="E405">
        <v>180</v>
      </c>
      <c r="F405" t="s">
        <v>34</v>
      </c>
      <c r="G405">
        <v>0</v>
      </c>
      <c r="H405">
        <v>6.0161571596983539</v>
      </c>
      <c r="I405">
        <v>0</v>
      </c>
      <c r="J405">
        <v>0</v>
      </c>
      <c r="K405">
        <v>1</v>
      </c>
      <c r="L405">
        <v>3</v>
      </c>
      <c r="M405" t="s">
        <v>119</v>
      </c>
      <c r="N405" t="s">
        <v>120</v>
      </c>
      <c r="O405">
        <v>6.6500888908012067E-11</v>
      </c>
      <c r="P405">
        <v>0</v>
      </c>
      <c r="Q405" t="s">
        <v>369</v>
      </c>
      <c r="R405" t="str">
        <f>VLOOKUP(Q405,GDP!$A$2:$B$266,1,FALSE)</f>
        <v>BRN</v>
      </c>
      <c r="S405" t="str">
        <f>VLOOKUP(Q405,GDP!$A$2:$B$266,2,FALSE)</f>
        <v>Brunei Darussalam</v>
      </c>
      <c r="T405">
        <f>VLOOKUP(Q405,GDP!$A$1:$L$266,10,FALSE)</f>
        <v>76616.701488498089</v>
      </c>
      <c r="U405" s="4">
        <v>76616.701488498104</v>
      </c>
      <c r="V405" s="5">
        <f>VLOOKUP(Q405,POP!$B$5:$M$269,10,FALSE)</f>
        <v>332575</v>
      </c>
      <c r="W405" s="4">
        <v>332575</v>
      </c>
      <c r="X405">
        <f>VLOOKUP(Q405,YU!$B$1:$M$266,10,FALSE)</f>
        <v>17.954999999999998</v>
      </c>
      <c r="Y405" s="4">
        <v>17.954999999999998</v>
      </c>
      <c r="AA405">
        <f t="shared" si="36"/>
        <v>11.246570367060372</v>
      </c>
      <c r="AB405">
        <f t="shared" si="37"/>
        <v>0.72217366494794177</v>
      </c>
      <c r="AC405" s="4">
        <v>0.7221736649479471</v>
      </c>
      <c r="AD405">
        <v>-3.197264430489088</v>
      </c>
      <c r="AE405">
        <v>2.6395940170940162</v>
      </c>
      <c r="AG405" s="12">
        <f t="shared" si="38"/>
        <v>0</v>
      </c>
      <c r="AH405" s="12">
        <f t="shared" si="39"/>
        <v>0</v>
      </c>
      <c r="AI405" s="13">
        <f t="shared" si="40"/>
        <v>0</v>
      </c>
      <c r="AJ405" s="14">
        <f t="shared" si="41"/>
        <v>0.1041402592525964</v>
      </c>
    </row>
    <row r="406" spans="1:36" x14ac:dyDescent="0.2">
      <c r="A406">
        <v>2024</v>
      </c>
      <c r="B406" t="s">
        <v>367</v>
      </c>
      <c r="C406">
        <f>VLOOKUP(B406,Sheet5!$B$2:$C$2166,2,FALSE)</f>
        <v>455</v>
      </c>
      <c r="D406">
        <v>330</v>
      </c>
      <c r="E406">
        <v>165</v>
      </c>
      <c r="F406" t="s">
        <v>373</v>
      </c>
      <c r="G406">
        <v>0</v>
      </c>
      <c r="H406">
        <v>5.7990926544605257</v>
      </c>
      <c r="I406">
        <v>0</v>
      </c>
      <c r="J406">
        <v>0</v>
      </c>
      <c r="K406">
        <v>1</v>
      </c>
      <c r="L406">
        <v>4</v>
      </c>
      <c r="M406" t="s">
        <v>119</v>
      </c>
      <c r="N406" t="s">
        <v>120</v>
      </c>
      <c r="O406">
        <v>6.6500888908012067E-11</v>
      </c>
      <c r="P406">
        <v>0</v>
      </c>
      <c r="Q406" t="s">
        <v>369</v>
      </c>
      <c r="R406" t="str">
        <f>VLOOKUP(Q406,GDP!$A$2:$B$266,1,FALSE)</f>
        <v>BRN</v>
      </c>
      <c r="S406" t="str">
        <f>VLOOKUP(Q406,GDP!$A$2:$B$266,2,FALSE)</f>
        <v>Brunei Darussalam</v>
      </c>
      <c r="T406">
        <f>VLOOKUP(Q406,GDP!$A$1:$L$266,11,FALSE)</f>
        <v>79071.733380144506</v>
      </c>
      <c r="U406" s="4">
        <v>79071.733380144506</v>
      </c>
      <c r="V406" s="5">
        <f>VLOOKUP(Q406,POP!$B$5:$M$269,11,FALSE)</f>
        <v>334579</v>
      </c>
      <c r="W406" s="4">
        <v>334579</v>
      </c>
      <c r="X406">
        <f>VLOOKUP(Q406,YU!$B$1:$M$266,11,FALSE)</f>
        <v>17.872</v>
      </c>
      <c r="Y406" s="4">
        <v>17.872</v>
      </c>
      <c r="AA406">
        <f t="shared" si="36"/>
        <v>11.278110736920862</v>
      </c>
      <c r="AB406">
        <f t="shared" si="37"/>
        <v>0.75371403480843213</v>
      </c>
      <c r="AC406" s="4">
        <v>0.75371403480843746</v>
      </c>
      <c r="AD406">
        <v>-3.1912568039821969</v>
      </c>
      <c r="AE406">
        <v>2.5565940170940169</v>
      </c>
      <c r="AG406" s="12">
        <f t="shared" si="38"/>
        <v>0</v>
      </c>
      <c r="AH406" s="12">
        <f t="shared" si="39"/>
        <v>0</v>
      </c>
      <c r="AI406" s="13">
        <f t="shared" si="40"/>
        <v>0</v>
      </c>
      <c r="AJ406" s="14">
        <f t="shared" si="41"/>
        <v>0.32120476449042457</v>
      </c>
    </row>
    <row r="407" spans="1:36" x14ac:dyDescent="0.2">
      <c r="A407">
        <v>2016</v>
      </c>
      <c r="B407" t="s">
        <v>374</v>
      </c>
      <c r="C407">
        <f>VLOOKUP(B407,Sheet5!$B$2:$C$2166,2,FALSE)</f>
        <v>13895</v>
      </c>
      <c r="D407">
        <v>13895</v>
      </c>
      <c r="E407">
        <v>7990</v>
      </c>
      <c r="F407" t="s">
        <v>375</v>
      </c>
      <c r="G407">
        <v>30</v>
      </c>
      <c r="H407">
        <v>9.5392843421766038</v>
      </c>
      <c r="I407">
        <v>0</v>
      </c>
      <c r="J407">
        <v>0</v>
      </c>
      <c r="K407">
        <v>0</v>
      </c>
      <c r="L407">
        <v>-4</v>
      </c>
      <c r="M407" t="s">
        <v>119</v>
      </c>
      <c r="N407" t="s">
        <v>120</v>
      </c>
      <c r="O407">
        <v>0.33039294557404097</v>
      </c>
      <c r="P407">
        <v>0</v>
      </c>
      <c r="Q407" t="s">
        <v>376</v>
      </c>
      <c r="R407" t="str">
        <f>VLOOKUP(Q407,GDP!$A$2:$B$266,1,FALSE)</f>
        <v>CHN</v>
      </c>
      <c r="S407" t="str">
        <f>VLOOKUP(Q407,GDP!$A$2:$B$266,2,FALSE)</f>
        <v>China</v>
      </c>
      <c r="T407">
        <f>VLOOKUP(Q407,GDP!$A$1:$C$266,3,FALSE)</f>
        <v>15772.837260750168</v>
      </c>
      <c r="U407" s="4">
        <v>15772.837260750201</v>
      </c>
      <c r="V407" s="5">
        <f>VLOOKUP(Q407,POP!$B$5:$M$269,3,FALSE)</f>
        <v>988168271</v>
      </c>
      <c r="W407" s="4">
        <v>988168271</v>
      </c>
      <c r="X407">
        <f>VLOOKUP(Q407,YU!$B$1:$D$266,3,FALSE)</f>
        <v>10.574</v>
      </c>
      <c r="Y407" s="4">
        <v>10.574</v>
      </c>
      <c r="AA407">
        <f t="shared" si="36"/>
        <v>9.6660445788504123</v>
      </c>
      <c r="AB407">
        <f t="shared" si="37"/>
        <v>-0.85835212326201749</v>
      </c>
      <c r="AC407" s="4">
        <v>-0.85835212326201038</v>
      </c>
      <c r="AD407">
        <v>4.7994784479463579</v>
      </c>
      <c r="AE407">
        <v>-4.7414059829059827</v>
      </c>
      <c r="AG407" s="12">
        <f t="shared" si="38"/>
        <v>-3.2741809263825417E-11</v>
      </c>
      <c r="AH407" s="12">
        <f t="shared" si="39"/>
        <v>0</v>
      </c>
      <c r="AI407" s="13">
        <f t="shared" si="40"/>
        <v>0</v>
      </c>
      <c r="AJ407" s="14">
        <f t="shared" si="41"/>
        <v>0</v>
      </c>
    </row>
    <row r="408" spans="1:36" x14ac:dyDescent="0.2">
      <c r="A408">
        <v>2017</v>
      </c>
      <c r="B408" t="s">
        <v>374</v>
      </c>
      <c r="C408">
        <f>VLOOKUP(B408,Sheet5!$B$2:$C$2166,2,FALSE)</f>
        <v>13895</v>
      </c>
      <c r="D408">
        <v>15240</v>
      </c>
      <c r="E408">
        <v>9215</v>
      </c>
      <c r="F408" t="s">
        <v>39</v>
      </c>
      <c r="G408">
        <v>30</v>
      </c>
      <c r="H408">
        <v>9.6316788292406379</v>
      </c>
      <c r="I408">
        <v>0</v>
      </c>
      <c r="J408">
        <v>0</v>
      </c>
      <c r="K408">
        <v>0</v>
      </c>
      <c r="L408">
        <v>-3</v>
      </c>
      <c r="M408" t="s">
        <v>119</v>
      </c>
      <c r="N408" t="s">
        <v>120</v>
      </c>
      <c r="O408">
        <v>0.33039294557404097</v>
      </c>
      <c r="P408">
        <v>0</v>
      </c>
      <c r="Q408" t="s">
        <v>376</v>
      </c>
      <c r="R408" t="str">
        <f>VLOOKUP(Q408,GDP!$A$2:$B$266,1,FALSE)</f>
        <v>CHN</v>
      </c>
      <c r="S408" t="str">
        <f>VLOOKUP(Q408,GDP!$A$2:$B$266,2,FALSE)</f>
        <v>China</v>
      </c>
      <c r="T408">
        <f>VLOOKUP(Q408,GDP!$A$1:$L$266,4,FALSE)</f>
        <v>16758.046397685786</v>
      </c>
      <c r="U408" s="4">
        <v>16758.046397685801</v>
      </c>
      <c r="V408" s="5">
        <f>VLOOKUP(Q408,POP!$B$5:$M$269,4,FALSE)</f>
        <v>986648065</v>
      </c>
      <c r="W408" s="4">
        <v>986648065</v>
      </c>
      <c r="X408">
        <f>VLOOKUP(Q408,YU!$B$1:$M$266,4,FALSE)</f>
        <v>10.430999999999999</v>
      </c>
      <c r="Y408" s="4">
        <v>10.430999999999999</v>
      </c>
      <c r="AA408">
        <f t="shared" si="36"/>
        <v>9.7266338038581317</v>
      </c>
      <c r="AB408">
        <f t="shared" si="37"/>
        <v>-0.79776289825429814</v>
      </c>
      <c r="AC408" s="4">
        <v>-0.79776289825429103</v>
      </c>
      <c r="AD408">
        <v>4.797938855354813</v>
      </c>
      <c r="AE408">
        <v>-4.8844059829059834</v>
      </c>
      <c r="AG408" s="12">
        <f t="shared" si="38"/>
        <v>0</v>
      </c>
      <c r="AH408" s="12">
        <f t="shared" si="39"/>
        <v>0</v>
      </c>
      <c r="AI408" s="13">
        <f t="shared" si="40"/>
        <v>0</v>
      </c>
      <c r="AJ408" s="14">
        <f t="shared" si="41"/>
        <v>-9.2394487064034081E-2</v>
      </c>
    </row>
    <row r="409" spans="1:36" x14ac:dyDescent="0.2">
      <c r="A409">
        <v>2018</v>
      </c>
      <c r="B409" t="s">
        <v>374</v>
      </c>
      <c r="C409">
        <f>VLOOKUP(B409,Sheet5!$B$2:$C$2166,2,FALSE)</f>
        <v>13895</v>
      </c>
      <c r="D409">
        <v>17075</v>
      </c>
      <c r="E409">
        <v>10180</v>
      </c>
      <c r="F409" t="s">
        <v>377</v>
      </c>
      <c r="G409">
        <v>35</v>
      </c>
      <c r="H409">
        <v>9.7453706844389902</v>
      </c>
      <c r="I409">
        <v>0</v>
      </c>
      <c r="J409">
        <v>0</v>
      </c>
      <c r="K409">
        <v>0</v>
      </c>
      <c r="L409">
        <v>-2</v>
      </c>
      <c r="M409" t="s">
        <v>119</v>
      </c>
      <c r="N409" t="s">
        <v>120</v>
      </c>
      <c r="O409">
        <v>0.33039294557404097</v>
      </c>
      <c r="P409">
        <v>0</v>
      </c>
      <c r="Q409" t="s">
        <v>376</v>
      </c>
      <c r="R409" t="str">
        <f>VLOOKUP(Q409,GDP!$A$2:$B$266,1,FALSE)</f>
        <v>CHN</v>
      </c>
      <c r="S409" t="str">
        <f>VLOOKUP(Q409,GDP!$A$2:$B$266,2,FALSE)</f>
        <v>China</v>
      </c>
      <c r="T409">
        <f>VLOOKUP(Q409,GDP!$A$1:$L$266,5,FALSE)</f>
        <v>17807.049055224419</v>
      </c>
      <c r="U409" s="4">
        <v>17807.049055224401</v>
      </c>
      <c r="V409" s="5">
        <f>VLOOKUP(Q409,POP!$B$5:$M$269,5,FALSE)</f>
        <v>984110714</v>
      </c>
      <c r="W409" s="4">
        <v>984110714</v>
      </c>
      <c r="X409">
        <f>VLOOKUP(Q409,YU!$B$1:$M$266,5,FALSE)</f>
        <v>9.6739999999999995</v>
      </c>
      <c r="Y409" s="4">
        <v>9.6739999999999995</v>
      </c>
      <c r="AA409">
        <f t="shared" si="36"/>
        <v>9.7873496722256448</v>
      </c>
      <c r="AB409">
        <f t="shared" si="37"/>
        <v>-0.73704702988678505</v>
      </c>
      <c r="AC409" s="4">
        <v>-0.7370470298867815</v>
      </c>
      <c r="AD409">
        <v>4.7953638548737221</v>
      </c>
      <c r="AE409">
        <v>-5.6414059829059831</v>
      </c>
      <c r="AG409" s="12">
        <f t="shared" si="38"/>
        <v>0</v>
      </c>
      <c r="AH409" s="12">
        <f t="shared" si="39"/>
        <v>0</v>
      </c>
      <c r="AI409" s="13">
        <f t="shared" si="40"/>
        <v>0</v>
      </c>
      <c r="AJ409" s="14">
        <f t="shared" si="41"/>
        <v>-0.20608634226238642</v>
      </c>
    </row>
    <row r="410" spans="1:36" x14ac:dyDescent="0.2">
      <c r="A410">
        <v>2019</v>
      </c>
      <c r="B410" t="s">
        <v>374</v>
      </c>
      <c r="C410">
        <f>VLOOKUP(B410,Sheet5!$B$2:$C$2166,2,FALSE)</f>
        <v>13895</v>
      </c>
      <c r="D410">
        <v>21450</v>
      </c>
      <c r="E410">
        <v>12415</v>
      </c>
      <c r="F410" t="s">
        <v>371</v>
      </c>
      <c r="G410">
        <v>55</v>
      </c>
      <c r="H410">
        <v>9.9734799243561625</v>
      </c>
      <c r="I410">
        <v>0</v>
      </c>
      <c r="J410">
        <v>0</v>
      </c>
      <c r="K410">
        <v>0</v>
      </c>
      <c r="L410">
        <v>-1</v>
      </c>
      <c r="M410" t="s">
        <v>119</v>
      </c>
      <c r="N410" t="s">
        <v>120</v>
      </c>
      <c r="O410">
        <v>0.33039294557404097</v>
      </c>
      <c r="P410">
        <v>0</v>
      </c>
      <c r="Q410" t="s">
        <v>376</v>
      </c>
      <c r="R410" t="str">
        <f>VLOOKUP(Q410,GDP!$A$2:$B$266,1,FALSE)</f>
        <v>CHN</v>
      </c>
      <c r="S410" t="str">
        <f>VLOOKUP(Q410,GDP!$A$2:$B$266,2,FALSE)</f>
        <v>China</v>
      </c>
      <c r="T410">
        <f>VLOOKUP(Q410,GDP!$A$1:$L$266,6,FALSE)</f>
        <v>18820.587164564455</v>
      </c>
      <c r="U410" s="4">
        <v>18820.587164564498</v>
      </c>
      <c r="V410" s="5">
        <f>VLOOKUP(Q410,POP!$B$5:$M$269,6,FALSE)</f>
        <v>981777589</v>
      </c>
      <c r="W410" s="4">
        <v>981777589</v>
      </c>
      <c r="X410">
        <f>VLOOKUP(Q410,YU!$B$1:$M$266,6,FALSE)</f>
        <v>10.680999999999999</v>
      </c>
      <c r="Y410" s="4">
        <v>10.680999999999999</v>
      </c>
      <c r="AA410">
        <f t="shared" si="36"/>
        <v>9.8427066116199864</v>
      </c>
      <c r="AB410">
        <f t="shared" si="37"/>
        <v>-0.68169009049244345</v>
      </c>
      <c r="AC410" s="4">
        <v>-0.68169009049243634</v>
      </c>
      <c r="AD410">
        <v>4.7929902448452726</v>
      </c>
      <c r="AE410">
        <v>-4.6344059829059834</v>
      </c>
      <c r="AG410" s="12">
        <f t="shared" si="38"/>
        <v>-4.3655745685100555E-11</v>
      </c>
      <c r="AH410" s="12">
        <f t="shared" si="39"/>
        <v>0</v>
      </c>
      <c r="AI410" s="13">
        <f t="shared" si="40"/>
        <v>0</v>
      </c>
      <c r="AJ410" s="14">
        <f t="shared" si="41"/>
        <v>-0.43419558217955867</v>
      </c>
    </row>
    <row r="411" spans="1:36" x14ac:dyDescent="0.2">
      <c r="A411">
        <v>2020</v>
      </c>
      <c r="B411" t="s">
        <v>374</v>
      </c>
      <c r="C411">
        <f>VLOOKUP(B411,Sheet5!$B$2:$C$2166,2,FALSE)</f>
        <v>13895</v>
      </c>
      <c r="D411">
        <v>26655</v>
      </c>
      <c r="E411">
        <v>16185</v>
      </c>
      <c r="F411" t="s">
        <v>378</v>
      </c>
      <c r="G411">
        <v>55</v>
      </c>
      <c r="H411">
        <v>10.190732029256861</v>
      </c>
      <c r="I411">
        <v>0</v>
      </c>
      <c r="J411">
        <v>0</v>
      </c>
      <c r="K411">
        <v>0</v>
      </c>
      <c r="L411">
        <v>0</v>
      </c>
      <c r="M411" t="s">
        <v>119</v>
      </c>
      <c r="N411" t="s">
        <v>120</v>
      </c>
      <c r="O411">
        <v>0.33039294557404097</v>
      </c>
      <c r="P411">
        <v>0</v>
      </c>
      <c r="Q411" t="s">
        <v>376</v>
      </c>
      <c r="R411" t="str">
        <f>VLOOKUP(Q411,GDP!$A$2:$B$266,1,FALSE)</f>
        <v>CHN</v>
      </c>
      <c r="S411" t="str">
        <f>VLOOKUP(Q411,GDP!$A$2:$B$266,2,FALSE)</f>
        <v>China</v>
      </c>
      <c r="T411">
        <f>VLOOKUP(Q411,GDP!$A$1:$L$266,7,FALSE)</f>
        <v>19215.101249101157</v>
      </c>
      <c r="U411" s="4">
        <v>19215.101249101201</v>
      </c>
      <c r="V411" s="5">
        <f>VLOOKUP(Q411,POP!$B$5:$M$269,7,FALSE)</f>
        <v>979302341</v>
      </c>
      <c r="W411" s="4">
        <v>979302341</v>
      </c>
      <c r="X411">
        <f>VLOOKUP(Q411,YU!$B$1:$M$266,7,FALSE)</f>
        <v>12.65</v>
      </c>
      <c r="Y411" s="4">
        <v>12.65</v>
      </c>
      <c r="AA411">
        <f t="shared" si="36"/>
        <v>9.8634517722591273</v>
      </c>
      <c r="AB411">
        <f t="shared" si="37"/>
        <v>-0.66094492985330255</v>
      </c>
      <c r="AC411" s="4">
        <v>-0.66094492985329545</v>
      </c>
      <c r="AD411">
        <v>4.7904658711299692</v>
      </c>
      <c r="AE411">
        <v>-2.6654059829059822</v>
      </c>
      <c r="AG411" s="12">
        <f t="shared" si="38"/>
        <v>-4.3655745685100555E-11</v>
      </c>
      <c r="AH411" s="12">
        <f t="shared" si="39"/>
        <v>0</v>
      </c>
      <c r="AI411" s="13">
        <f t="shared" si="40"/>
        <v>0</v>
      </c>
      <c r="AJ411" s="14">
        <f t="shared" si="41"/>
        <v>-0.6514476870802568</v>
      </c>
    </row>
    <row r="412" spans="1:36" x14ac:dyDescent="0.2">
      <c r="A412">
        <v>2021</v>
      </c>
      <c r="B412" t="s">
        <v>374</v>
      </c>
      <c r="C412">
        <f>VLOOKUP(B412,Sheet5!$B$2:$C$2166,2,FALSE)</f>
        <v>13895</v>
      </c>
      <c r="D412">
        <v>30810</v>
      </c>
      <c r="E412">
        <v>16310</v>
      </c>
      <c r="F412" t="s">
        <v>228</v>
      </c>
      <c r="G412">
        <v>35</v>
      </c>
      <c r="H412">
        <v>10.335594591590709</v>
      </c>
      <c r="I412">
        <v>0</v>
      </c>
      <c r="J412">
        <v>0</v>
      </c>
      <c r="K412">
        <v>1</v>
      </c>
      <c r="L412">
        <v>1</v>
      </c>
      <c r="M412" t="s">
        <v>119</v>
      </c>
      <c r="N412" t="s">
        <v>120</v>
      </c>
      <c r="O412">
        <v>0.33039294557404097</v>
      </c>
      <c r="P412">
        <v>0</v>
      </c>
      <c r="Q412" t="s">
        <v>376</v>
      </c>
      <c r="R412" t="str">
        <f>VLOOKUP(Q412,GDP!$A$2:$B$266,1,FALSE)</f>
        <v>CHN</v>
      </c>
      <c r="S412" t="str">
        <f>VLOOKUP(Q412,GDP!$A$2:$B$266,2,FALSE)</f>
        <v>China</v>
      </c>
      <c r="T412">
        <f>VLOOKUP(Q412,GDP!$A$1:$L$266,8,FALSE)</f>
        <v>20843.297834737652</v>
      </c>
      <c r="U412" s="4">
        <v>20843.297834737699</v>
      </c>
      <c r="V412" s="5">
        <f>VLOOKUP(Q412,POP!$B$5:$M$269,8,FALSE)</f>
        <v>977528322</v>
      </c>
      <c r="W412" s="4">
        <v>977528322</v>
      </c>
      <c r="X412">
        <f>VLOOKUP(Q412,YU!$B$1:$M$266,8,FALSE)</f>
        <v>12.404</v>
      </c>
      <c r="Y412" s="4">
        <v>12.404</v>
      </c>
      <c r="AA412">
        <f t="shared" si="36"/>
        <v>9.9447877287766868</v>
      </c>
      <c r="AB412">
        <f t="shared" si="37"/>
        <v>-0.57960897333574302</v>
      </c>
      <c r="AC412" s="4">
        <v>-0.57960897333573591</v>
      </c>
      <c r="AD412">
        <v>4.7886527152759069</v>
      </c>
      <c r="AE412">
        <v>-2.9114059829059831</v>
      </c>
      <c r="AG412" s="12">
        <f t="shared" si="38"/>
        <v>-4.7293724492192268E-11</v>
      </c>
      <c r="AH412" s="12">
        <f t="shared" si="39"/>
        <v>0</v>
      </c>
      <c r="AI412" s="13">
        <f t="shared" si="40"/>
        <v>0</v>
      </c>
      <c r="AJ412" s="14">
        <f t="shared" si="41"/>
        <v>-0.79631024941410544</v>
      </c>
    </row>
    <row r="413" spans="1:36" x14ac:dyDescent="0.2">
      <c r="A413">
        <v>2022</v>
      </c>
      <c r="B413" t="s">
        <v>374</v>
      </c>
      <c r="C413">
        <f>VLOOKUP(B413,Sheet5!$B$2:$C$2166,2,FALSE)</f>
        <v>13895</v>
      </c>
      <c r="D413">
        <v>33660</v>
      </c>
      <c r="E413">
        <v>18500</v>
      </c>
      <c r="F413" t="s">
        <v>230</v>
      </c>
      <c r="G413">
        <v>50</v>
      </c>
      <c r="H413">
        <v>10.4240654677448</v>
      </c>
      <c r="I413">
        <v>0</v>
      </c>
      <c r="J413">
        <v>0</v>
      </c>
      <c r="K413">
        <v>1</v>
      </c>
      <c r="L413">
        <v>2</v>
      </c>
      <c r="M413" t="s">
        <v>119</v>
      </c>
      <c r="N413" t="s">
        <v>120</v>
      </c>
      <c r="O413">
        <v>0.33039294557404097</v>
      </c>
      <c r="P413">
        <v>0</v>
      </c>
      <c r="Q413" t="s">
        <v>376</v>
      </c>
      <c r="R413" t="str">
        <f>VLOOKUP(Q413,GDP!$A$2:$B$266,1,FALSE)</f>
        <v>CHN</v>
      </c>
      <c r="S413" t="str">
        <f>VLOOKUP(Q413,GDP!$A$2:$B$266,2,FALSE)</f>
        <v>China</v>
      </c>
      <c r="T413">
        <f>VLOOKUP(Q413,GDP!$A$1:$L$266,9,FALSE)</f>
        <v>21499.312555975706</v>
      </c>
      <c r="U413" s="4">
        <v>21499.312555975699</v>
      </c>
      <c r="V413" s="5">
        <f>VLOOKUP(Q413,POP!$B$5:$M$269,9,FALSE)</f>
        <v>975760249</v>
      </c>
      <c r="W413" s="4">
        <v>975760249</v>
      </c>
      <c r="X413">
        <f>VLOOKUP(Q413,YU!$B$1:$M$266,9,FALSE)</f>
        <v>14.673</v>
      </c>
      <c r="Y413" s="4">
        <v>14.673</v>
      </c>
      <c r="AA413">
        <f t="shared" si="36"/>
        <v>9.9757762394639062</v>
      </c>
      <c r="AB413">
        <f t="shared" si="37"/>
        <v>-0.5486204626485236</v>
      </c>
      <c r="AC413" s="4">
        <v>-0.54862046264852005</v>
      </c>
      <c r="AD413">
        <v>4.7868423596437299</v>
      </c>
      <c r="AE413">
        <v>-0.6424059829059825</v>
      </c>
      <c r="AG413" s="12">
        <f t="shared" si="38"/>
        <v>0</v>
      </c>
      <c r="AH413" s="12">
        <f t="shared" si="39"/>
        <v>0</v>
      </c>
      <c r="AI413" s="13">
        <f t="shared" si="40"/>
        <v>0</v>
      </c>
      <c r="AJ413" s="14">
        <f t="shared" si="41"/>
        <v>-0.8847811255681961</v>
      </c>
    </row>
    <row r="414" spans="1:36" x14ac:dyDescent="0.2">
      <c r="A414">
        <v>2023</v>
      </c>
      <c r="B414" t="s">
        <v>374</v>
      </c>
      <c r="C414">
        <f>VLOOKUP(B414,Sheet5!$B$2:$C$2166,2,FALSE)</f>
        <v>13895</v>
      </c>
      <c r="D414">
        <v>33195</v>
      </c>
      <c r="E414">
        <v>17405</v>
      </c>
      <c r="F414" t="s">
        <v>379</v>
      </c>
      <c r="G414">
        <v>50</v>
      </c>
      <c r="H414">
        <v>10.410154541153259</v>
      </c>
      <c r="I414">
        <v>0</v>
      </c>
      <c r="J414">
        <v>0</v>
      </c>
      <c r="K414">
        <v>1</v>
      </c>
      <c r="L414">
        <v>3</v>
      </c>
      <c r="M414" t="s">
        <v>119</v>
      </c>
      <c r="N414" t="s">
        <v>120</v>
      </c>
      <c r="O414">
        <v>0.33039294557404097</v>
      </c>
      <c r="P414">
        <v>0</v>
      </c>
      <c r="Q414" t="s">
        <v>376</v>
      </c>
      <c r="R414" t="str">
        <f>VLOOKUP(Q414,GDP!$A$2:$B$266,1,FALSE)</f>
        <v>CHN</v>
      </c>
      <c r="S414" t="str">
        <f>VLOOKUP(Q414,GDP!$A$2:$B$266,2,FALSE)</f>
        <v>China</v>
      </c>
      <c r="T414">
        <f>VLOOKUP(Q414,GDP!$A$1:$L$266,10,FALSE)</f>
        <v>22687.251953432795</v>
      </c>
      <c r="U414" s="4">
        <v>22687.251953432798</v>
      </c>
      <c r="V414" s="5">
        <f>VLOOKUP(Q414,POP!$B$5:$M$269,10,FALSE)</f>
        <v>974720366</v>
      </c>
      <c r="W414" s="4">
        <v>974720366</v>
      </c>
      <c r="X414">
        <f>VLOOKUP(Q414,YU!$B$1:$M$266,10,FALSE)</f>
        <v>15.561999999999999</v>
      </c>
      <c r="Y414" s="4">
        <v>15.561999999999999</v>
      </c>
      <c r="Z414">
        <v>3.8971400260925302</v>
      </c>
      <c r="AA414">
        <f t="shared" si="36"/>
        <v>10.029558457765413</v>
      </c>
      <c r="AB414">
        <f t="shared" si="37"/>
        <v>-0.49483824434701695</v>
      </c>
      <c r="AC414" s="4">
        <v>-0.49483824434701162</v>
      </c>
      <c r="AD414">
        <v>4.7857760756821994</v>
      </c>
      <c r="AE414">
        <v>0.24659401709401679</v>
      </c>
      <c r="AG414" s="12">
        <f t="shared" si="38"/>
        <v>0</v>
      </c>
      <c r="AH414" s="12">
        <f t="shared" si="39"/>
        <v>0</v>
      </c>
      <c r="AI414" s="13">
        <f t="shared" si="40"/>
        <v>0</v>
      </c>
      <c r="AJ414" s="14">
        <f t="shared" si="41"/>
        <v>-0.87087019897665563</v>
      </c>
    </row>
    <row r="415" spans="1:36" x14ac:dyDescent="0.2">
      <c r="A415">
        <v>2024</v>
      </c>
      <c r="B415" t="s">
        <v>374</v>
      </c>
      <c r="C415">
        <f>VLOOKUP(B415,Sheet5!$B$2:$C$2166,2,FALSE)</f>
        <v>13895</v>
      </c>
      <c r="D415">
        <v>33425</v>
      </c>
      <c r="E415">
        <v>17070</v>
      </c>
      <c r="F415" t="s">
        <v>191</v>
      </c>
      <c r="G415">
        <v>105</v>
      </c>
      <c r="H415">
        <v>10.417059401970141</v>
      </c>
      <c r="I415">
        <v>0</v>
      </c>
      <c r="J415">
        <v>0</v>
      </c>
      <c r="K415">
        <v>1</v>
      </c>
      <c r="L415">
        <v>4</v>
      </c>
      <c r="M415" t="s">
        <v>119</v>
      </c>
      <c r="N415" t="s">
        <v>120</v>
      </c>
      <c r="O415">
        <v>0.33039294557404097</v>
      </c>
      <c r="P415">
        <v>0</v>
      </c>
      <c r="Q415" t="s">
        <v>376</v>
      </c>
      <c r="R415" t="str">
        <f>VLOOKUP(Q415,GDP!$A$2:$B$266,1,FALSE)</f>
        <v>CHN</v>
      </c>
      <c r="S415" t="str">
        <f>VLOOKUP(Q415,GDP!$A$2:$B$266,2,FALSE)</f>
        <v>China</v>
      </c>
      <c r="T415">
        <f>VLOOKUP(Q415,GDP!$A$1:$L$266,11,FALSE)</f>
        <v>23841.476914181672</v>
      </c>
      <c r="U415" s="4">
        <v>23841.476914181701</v>
      </c>
      <c r="V415" s="5">
        <f>VLOOKUP(Q415,POP!$B$5:$M$269,11,FALSE)</f>
        <v>976798955</v>
      </c>
      <c r="W415" s="4">
        <v>976798955</v>
      </c>
      <c r="X415">
        <f>VLOOKUP(Q415,YU!$B$1:$M$266,11,FALSE)</f>
        <v>15.044</v>
      </c>
      <c r="Y415" s="4">
        <v>15.044</v>
      </c>
      <c r="AA415">
        <f t="shared" si="36"/>
        <v>10.07918207035862</v>
      </c>
      <c r="AB415">
        <f t="shared" si="37"/>
        <v>-0.44521463175381015</v>
      </c>
      <c r="AC415" s="4">
        <v>-0.44521463175380299</v>
      </c>
      <c r="AD415">
        <v>4.7879063028991826</v>
      </c>
      <c r="AE415">
        <v>-0.27140598290598211</v>
      </c>
      <c r="AG415" s="12">
        <f t="shared" si="38"/>
        <v>-2.9103830456733704E-11</v>
      </c>
      <c r="AH415" s="12">
        <f t="shared" si="39"/>
        <v>0</v>
      </c>
      <c r="AI415" s="13">
        <f t="shared" si="40"/>
        <v>0</v>
      </c>
      <c r="AJ415" s="14">
        <f t="shared" si="41"/>
        <v>-0.87777505979353698</v>
      </c>
    </row>
    <row r="416" spans="1:36" x14ac:dyDescent="0.2">
      <c r="A416">
        <v>2016</v>
      </c>
      <c r="B416" t="s">
        <v>380</v>
      </c>
      <c r="C416">
        <f>VLOOKUP(B416,Sheet5!$B$2:$C$2166,2,FALSE)</f>
        <v>625</v>
      </c>
      <c r="D416">
        <v>625</v>
      </c>
      <c r="E416">
        <v>335</v>
      </c>
      <c r="F416" t="s">
        <v>381</v>
      </c>
      <c r="G416">
        <v>5</v>
      </c>
      <c r="H416">
        <v>6.4377516497364011</v>
      </c>
      <c r="I416">
        <v>0</v>
      </c>
      <c r="J416">
        <v>0</v>
      </c>
      <c r="K416">
        <v>0</v>
      </c>
      <c r="L416">
        <v>-4</v>
      </c>
      <c r="M416" t="s">
        <v>119</v>
      </c>
      <c r="N416" t="s">
        <v>120</v>
      </c>
      <c r="O416">
        <v>0.79603593562092489</v>
      </c>
      <c r="P416">
        <v>0</v>
      </c>
      <c r="Q416" t="s">
        <v>382</v>
      </c>
      <c r="R416" t="str">
        <f>VLOOKUP(Q416,GDP!$A$2:$B$266,1,FALSE)</f>
        <v>IDN</v>
      </c>
      <c r="S416" t="str">
        <f>VLOOKUP(Q416,GDP!$A$2:$B$266,2,FALSE)</f>
        <v>Indonesia</v>
      </c>
      <c r="T416">
        <f>VLOOKUP(Q416,GDP!$A$1:$C$266,3,FALSE)</f>
        <v>11319.663428773802</v>
      </c>
      <c r="U416" s="4">
        <v>11319.6634287738</v>
      </c>
      <c r="V416" s="5">
        <f>VLOOKUP(Q416,POP!$B$5:$M$269,3,FALSE)</f>
        <v>177506245</v>
      </c>
      <c r="W416" s="4">
        <v>177506245</v>
      </c>
      <c r="X416">
        <f>VLOOKUP(Q416,YU!$B$1:$D$266,3,FALSE)</f>
        <v>15.997</v>
      </c>
      <c r="Y416" s="4">
        <v>15.997</v>
      </c>
      <c r="Z416">
        <v>1.21023452496964</v>
      </c>
      <c r="AA416">
        <f t="shared" si="36"/>
        <v>9.3342966188746797</v>
      </c>
      <c r="AB416">
        <f t="shared" si="37"/>
        <v>-1.1901000832377502</v>
      </c>
      <c r="AC416" s="4">
        <v>-1.1901000832377451</v>
      </c>
      <c r="AD416">
        <v>3.08263124131823</v>
      </c>
      <c r="AE416">
        <v>0.68159401709401735</v>
      </c>
      <c r="AG416" s="12">
        <f t="shared" si="38"/>
        <v>0</v>
      </c>
      <c r="AH416" s="12">
        <f t="shared" si="39"/>
        <v>0</v>
      </c>
      <c r="AI416" s="13">
        <f t="shared" si="40"/>
        <v>0</v>
      </c>
      <c r="AJ416" s="14">
        <f t="shared" si="41"/>
        <v>0</v>
      </c>
    </row>
    <row r="417" spans="1:36" x14ac:dyDescent="0.2">
      <c r="A417">
        <v>2017</v>
      </c>
      <c r="B417" t="s">
        <v>380</v>
      </c>
      <c r="C417">
        <f>VLOOKUP(B417,Sheet5!$B$2:$C$2166,2,FALSE)</f>
        <v>625</v>
      </c>
      <c r="D417">
        <v>655</v>
      </c>
      <c r="E417">
        <v>355</v>
      </c>
      <c r="F417" t="s">
        <v>131</v>
      </c>
      <c r="G417">
        <v>10</v>
      </c>
      <c r="H417">
        <v>6.4846352356352517</v>
      </c>
      <c r="I417">
        <v>0</v>
      </c>
      <c r="J417">
        <v>0</v>
      </c>
      <c r="K417">
        <v>0</v>
      </c>
      <c r="L417">
        <v>-3</v>
      </c>
      <c r="M417" t="s">
        <v>119</v>
      </c>
      <c r="N417" t="s">
        <v>120</v>
      </c>
      <c r="O417">
        <v>0.79603593562092489</v>
      </c>
      <c r="P417">
        <v>0</v>
      </c>
      <c r="Q417" t="s">
        <v>382</v>
      </c>
      <c r="R417" t="str">
        <f>VLOOKUP(Q417,GDP!$A$2:$B$266,1,FALSE)</f>
        <v>IDN</v>
      </c>
      <c r="S417" t="str">
        <f>VLOOKUP(Q417,GDP!$A$2:$B$266,2,FALSE)</f>
        <v>Indonesia</v>
      </c>
      <c r="T417">
        <f>VLOOKUP(Q417,GDP!$A$1:$L$266,4,FALSE)</f>
        <v>11772.574329610683</v>
      </c>
      <c r="U417" s="4">
        <v>11772.574329610699</v>
      </c>
      <c r="V417" s="5">
        <f>VLOOKUP(Q417,POP!$B$5:$M$269,4,FALSE)</f>
        <v>179652374</v>
      </c>
      <c r="W417" s="4">
        <v>179652374</v>
      </c>
      <c r="X417">
        <f>VLOOKUP(Q417,YU!$B$1:$M$266,4,FALSE)</f>
        <v>14.553000000000001</v>
      </c>
      <c r="Y417" s="4">
        <v>14.553000000000001</v>
      </c>
      <c r="Z417">
        <v>1.05324382490056</v>
      </c>
      <c r="AA417">
        <f t="shared" si="36"/>
        <v>9.3735278959317707</v>
      </c>
      <c r="AB417">
        <f t="shared" si="37"/>
        <v>-1.1508688061806591</v>
      </c>
      <c r="AC417" s="4">
        <v>-1.150868806180652</v>
      </c>
      <c r="AD417">
        <v>3.0946491779792091</v>
      </c>
      <c r="AE417">
        <v>-0.76240598290598172</v>
      </c>
      <c r="AG417" s="12">
        <f t="shared" si="38"/>
        <v>-1.6370904631912708E-11</v>
      </c>
      <c r="AH417" s="12">
        <f t="shared" si="39"/>
        <v>0</v>
      </c>
      <c r="AI417" s="13">
        <f t="shared" si="40"/>
        <v>0</v>
      </c>
      <c r="AJ417" s="14">
        <f t="shared" si="41"/>
        <v>-4.6883585898850555E-2</v>
      </c>
    </row>
    <row r="418" spans="1:36" x14ac:dyDescent="0.2">
      <c r="A418">
        <v>2018</v>
      </c>
      <c r="B418" t="s">
        <v>380</v>
      </c>
      <c r="C418">
        <f>VLOOKUP(B418,Sheet5!$B$2:$C$2166,2,FALSE)</f>
        <v>625</v>
      </c>
      <c r="D418">
        <v>805</v>
      </c>
      <c r="E418">
        <v>410</v>
      </c>
      <c r="F418" t="s">
        <v>325</v>
      </c>
      <c r="G418">
        <v>0</v>
      </c>
      <c r="H418">
        <v>6.6908422774185636</v>
      </c>
      <c r="I418">
        <v>0</v>
      </c>
      <c r="J418">
        <v>0</v>
      </c>
      <c r="K418">
        <v>0</v>
      </c>
      <c r="L418">
        <v>-2</v>
      </c>
      <c r="M418" t="s">
        <v>119</v>
      </c>
      <c r="N418" t="s">
        <v>120</v>
      </c>
      <c r="O418">
        <v>0.79603593562092489</v>
      </c>
      <c r="P418">
        <v>0</v>
      </c>
      <c r="Q418" t="s">
        <v>382</v>
      </c>
      <c r="R418" t="str">
        <f>VLOOKUP(Q418,GDP!$A$2:$B$266,1,FALSE)</f>
        <v>IDN</v>
      </c>
      <c r="S418" t="str">
        <f>VLOOKUP(Q418,GDP!$A$2:$B$266,2,FALSE)</f>
        <v>Indonesia</v>
      </c>
      <c r="T418">
        <f>VLOOKUP(Q418,GDP!$A$1:$L$266,5,FALSE)</f>
        <v>12262.231030077104</v>
      </c>
      <c r="U418" s="4">
        <v>12262.231030077101</v>
      </c>
      <c r="V418" s="5">
        <f>VLOOKUP(Q418,POP!$B$5:$M$269,5,FALSE)</f>
        <v>181715656</v>
      </c>
      <c r="W418" s="4">
        <v>181715656</v>
      </c>
      <c r="X418">
        <f>VLOOKUP(Q418,YU!$B$1:$M$266,5,FALSE)</f>
        <v>16.369</v>
      </c>
      <c r="Y418" s="4">
        <v>16.369</v>
      </c>
      <c r="Z418">
        <v>0.99443646084617898</v>
      </c>
      <c r="AA418">
        <f t="shared" si="36"/>
        <v>9.4142791692866439</v>
      </c>
      <c r="AB418">
        <f t="shared" si="37"/>
        <v>-1.110117532825786</v>
      </c>
      <c r="AC418" s="4">
        <v>-1.1101175328257811</v>
      </c>
      <c r="AD418">
        <v>3.1060685856199028</v>
      </c>
      <c r="AE418">
        <v>1.053594017094017</v>
      </c>
      <c r="AG418" s="12">
        <f t="shared" si="38"/>
        <v>0</v>
      </c>
      <c r="AH418" s="12">
        <f t="shared" si="39"/>
        <v>0</v>
      </c>
      <c r="AI418" s="13">
        <f t="shared" si="40"/>
        <v>0</v>
      </c>
      <c r="AJ418" s="14">
        <f t="shared" si="41"/>
        <v>-0.25309062768216251</v>
      </c>
    </row>
    <row r="419" spans="1:36" x14ac:dyDescent="0.2">
      <c r="A419">
        <v>2019</v>
      </c>
      <c r="B419" t="s">
        <v>380</v>
      </c>
      <c r="C419">
        <f>VLOOKUP(B419,Sheet5!$B$2:$C$2166,2,FALSE)</f>
        <v>625</v>
      </c>
      <c r="D419">
        <v>870</v>
      </c>
      <c r="E419">
        <v>445</v>
      </c>
      <c r="F419" t="s">
        <v>335</v>
      </c>
      <c r="G419">
        <v>5</v>
      </c>
      <c r="H419">
        <v>6.7684932116486296</v>
      </c>
      <c r="I419">
        <v>0</v>
      </c>
      <c r="J419">
        <v>0</v>
      </c>
      <c r="K419">
        <v>0</v>
      </c>
      <c r="L419">
        <v>-1</v>
      </c>
      <c r="M419" t="s">
        <v>119</v>
      </c>
      <c r="N419" t="s">
        <v>120</v>
      </c>
      <c r="O419">
        <v>0.79603593562092489</v>
      </c>
      <c r="P419">
        <v>0</v>
      </c>
      <c r="Q419" t="s">
        <v>382</v>
      </c>
      <c r="R419" t="str">
        <f>VLOOKUP(Q419,GDP!$A$2:$B$266,1,FALSE)</f>
        <v>IDN</v>
      </c>
      <c r="S419" t="str">
        <f>VLOOKUP(Q419,GDP!$A$2:$B$266,2,FALSE)</f>
        <v>Indonesia</v>
      </c>
      <c r="T419">
        <f>VLOOKUP(Q419,GDP!$A$1:$L$266,6,FALSE)</f>
        <v>12757.78508548416</v>
      </c>
      <c r="U419" s="4">
        <v>12757.7850854842</v>
      </c>
      <c r="V419" s="5">
        <f>VLOOKUP(Q419,POP!$B$5:$M$269,6,FALSE)</f>
        <v>183718792</v>
      </c>
      <c r="W419" s="4">
        <v>183718792</v>
      </c>
      <c r="X419">
        <f>VLOOKUP(Q419,YU!$B$1:$M$266,6,FALSE)</f>
        <v>13.577</v>
      </c>
      <c r="Y419" s="4">
        <v>13.577</v>
      </c>
      <c r="Z419">
        <v>0.96439907762292698</v>
      </c>
      <c r="AA419">
        <f t="shared" si="36"/>
        <v>9.4538969591892634</v>
      </c>
      <c r="AB419">
        <f t="shared" si="37"/>
        <v>-1.0704997429231664</v>
      </c>
      <c r="AC419" s="4">
        <v>-1.070499742923158</v>
      </c>
      <c r="AD419">
        <v>3.1170317341358911</v>
      </c>
      <c r="AE419">
        <v>-1.738405982905983</v>
      </c>
      <c r="AG419" s="12">
        <f t="shared" si="38"/>
        <v>-4.0017766878008842E-11</v>
      </c>
      <c r="AH419" s="12">
        <f t="shared" si="39"/>
        <v>0</v>
      </c>
      <c r="AI419" s="13">
        <f t="shared" si="40"/>
        <v>0</v>
      </c>
      <c r="AJ419" s="14">
        <f t="shared" si="41"/>
        <v>-0.33074156191222848</v>
      </c>
    </row>
    <row r="420" spans="1:36" x14ac:dyDescent="0.2">
      <c r="A420">
        <v>2020</v>
      </c>
      <c r="B420" t="s">
        <v>380</v>
      </c>
      <c r="C420">
        <f>VLOOKUP(B420,Sheet5!$B$2:$C$2166,2,FALSE)</f>
        <v>625</v>
      </c>
      <c r="D420">
        <v>815</v>
      </c>
      <c r="E420">
        <v>415</v>
      </c>
      <c r="F420" t="s">
        <v>54</v>
      </c>
      <c r="G420">
        <v>0</v>
      </c>
      <c r="H420">
        <v>6.7031881132408628</v>
      </c>
      <c r="I420">
        <v>0</v>
      </c>
      <c r="J420">
        <v>0</v>
      </c>
      <c r="K420">
        <v>0</v>
      </c>
      <c r="L420">
        <v>0</v>
      </c>
      <c r="M420" t="s">
        <v>119</v>
      </c>
      <c r="N420" t="s">
        <v>120</v>
      </c>
      <c r="O420">
        <v>0.79603593562092489</v>
      </c>
      <c r="P420">
        <v>0</v>
      </c>
      <c r="Q420" t="s">
        <v>382</v>
      </c>
      <c r="R420" t="str">
        <f>VLOOKUP(Q420,GDP!$A$2:$B$266,1,FALSE)</f>
        <v>IDN</v>
      </c>
      <c r="S420" t="str">
        <f>VLOOKUP(Q420,GDP!$A$2:$B$266,2,FALSE)</f>
        <v>Indonesia</v>
      </c>
      <c r="T420">
        <f>VLOOKUP(Q420,GDP!$A$1:$L$266,7,FALSE)</f>
        <v>12388.544926813132</v>
      </c>
      <c r="U420" s="4">
        <v>12388.5449268131</v>
      </c>
      <c r="V420" s="5">
        <f>VLOOKUP(Q420,POP!$B$5:$M$269,7,FALSE)</f>
        <v>185658524</v>
      </c>
      <c r="W420" s="4">
        <v>185658524</v>
      </c>
      <c r="X420">
        <f>VLOOKUP(Q420,YU!$B$1:$M$266,7,FALSE)</f>
        <v>14.773</v>
      </c>
      <c r="Y420" s="4">
        <v>14.773</v>
      </c>
      <c r="Z420">
        <v>1.0159322134780899</v>
      </c>
      <c r="AA420">
        <f t="shared" si="36"/>
        <v>9.4245275284056778</v>
      </c>
      <c r="AB420">
        <f t="shared" si="37"/>
        <v>-1.0998691737067521</v>
      </c>
      <c r="AC420" s="4">
        <v>-1.0998691737067501</v>
      </c>
      <c r="AD420">
        <v>3.1275345438471072</v>
      </c>
      <c r="AE420">
        <v>-0.54240598290598285</v>
      </c>
      <c r="AG420" s="12">
        <f t="shared" si="38"/>
        <v>3.2741809263825417E-11</v>
      </c>
      <c r="AH420" s="12">
        <f t="shared" si="39"/>
        <v>0</v>
      </c>
      <c r="AI420" s="13">
        <f t="shared" si="40"/>
        <v>0</v>
      </c>
      <c r="AJ420" s="14">
        <f t="shared" si="41"/>
        <v>-0.26543646350446171</v>
      </c>
    </row>
    <row r="421" spans="1:36" x14ac:dyDescent="0.2">
      <c r="A421">
        <v>2021</v>
      </c>
      <c r="B421" t="s">
        <v>380</v>
      </c>
      <c r="C421">
        <f>VLOOKUP(B421,Sheet5!$B$2:$C$2166,2,FALSE)</f>
        <v>625</v>
      </c>
      <c r="D421">
        <v>875</v>
      </c>
      <c r="E421">
        <v>475</v>
      </c>
      <c r="F421" t="s">
        <v>383</v>
      </c>
      <c r="G421">
        <v>5</v>
      </c>
      <c r="H421">
        <v>6.7742238863576141</v>
      </c>
      <c r="I421">
        <v>0</v>
      </c>
      <c r="J421">
        <v>0</v>
      </c>
      <c r="K421">
        <v>1</v>
      </c>
      <c r="L421">
        <v>1</v>
      </c>
      <c r="M421" t="s">
        <v>119</v>
      </c>
      <c r="N421" t="s">
        <v>120</v>
      </c>
      <c r="O421">
        <v>0.79603593562092489</v>
      </c>
      <c r="P421">
        <v>0</v>
      </c>
      <c r="Q421" t="s">
        <v>382</v>
      </c>
      <c r="R421" t="str">
        <f>VLOOKUP(Q421,GDP!$A$2:$B$266,1,FALSE)</f>
        <v>IDN</v>
      </c>
      <c r="S421" t="str">
        <f>VLOOKUP(Q421,GDP!$A$2:$B$266,2,FALSE)</f>
        <v>Indonesia</v>
      </c>
      <c r="T421">
        <f>VLOOKUP(Q421,GDP!$A$1:$L$266,8,FALSE)</f>
        <v>12757.074644020369</v>
      </c>
      <c r="U421" s="4">
        <v>12757.0746440204</v>
      </c>
      <c r="V421" s="5">
        <f>VLOOKUP(Q421,POP!$B$5:$M$269,8,FALSE)</f>
        <v>187469916</v>
      </c>
      <c r="W421" s="4">
        <v>187469916</v>
      </c>
      <c r="X421">
        <f>VLOOKUP(Q421,YU!$B$1:$M$266,8,FALSE)</f>
        <v>13.8</v>
      </c>
      <c r="Y421" s="4">
        <v>13.8</v>
      </c>
      <c r="Z421">
        <v>1.03221750658374</v>
      </c>
      <c r="AA421">
        <f t="shared" si="36"/>
        <v>9.453841270741707</v>
      </c>
      <c r="AB421">
        <f t="shared" si="37"/>
        <v>-1.0705554313707228</v>
      </c>
      <c r="AC421" s="4">
        <v>-1.070555431370716</v>
      </c>
      <c r="AD421">
        <v>3.1372438344603868</v>
      </c>
      <c r="AE421">
        <v>-1.5154059829059821</v>
      </c>
      <c r="AG421" s="12">
        <f t="shared" si="38"/>
        <v>-3.092281986027956E-11</v>
      </c>
      <c r="AH421" s="12">
        <f t="shared" si="39"/>
        <v>0</v>
      </c>
      <c r="AI421" s="13">
        <f t="shared" si="40"/>
        <v>0</v>
      </c>
      <c r="AJ421" s="14">
        <f t="shared" si="41"/>
        <v>-0.33647223662121295</v>
      </c>
    </row>
    <row r="422" spans="1:36" x14ac:dyDescent="0.2">
      <c r="A422">
        <v>2022</v>
      </c>
      <c r="B422" t="s">
        <v>380</v>
      </c>
      <c r="C422">
        <f>VLOOKUP(B422,Sheet5!$B$2:$C$2166,2,FALSE)</f>
        <v>625</v>
      </c>
      <c r="D422">
        <v>950</v>
      </c>
      <c r="E422">
        <v>450</v>
      </c>
      <c r="F422" t="s">
        <v>384</v>
      </c>
      <c r="G422">
        <v>5</v>
      </c>
      <c r="H422">
        <v>6.8564619845945867</v>
      </c>
      <c r="I422">
        <v>0</v>
      </c>
      <c r="J422">
        <v>0</v>
      </c>
      <c r="K422">
        <v>1</v>
      </c>
      <c r="L422">
        <v>2</v>
      </c>
      <c r="M422" t="s">
        <v>119</v>
      </c>
      <c r="N422" t="s">
        <v>120</v>
      </c>
      <c r="O422">
        <v>0.79603593562092489</v>
      </c>
      <c r="P422">
        <v>0</v>
      </c>
      <c r="Q422" t="s">
        <v>382</v>
      </c>
      <c r="R422" t="str">
        <f>VLOOKUP(Q422,GDP!$A$2:$B$266,1,FALSE)</f>
        <v>IDN</v>
      </c>
      <c r="S422" t="str">
        <f>VLOOKUP(Q422,GDP!$A$2:$B$266,2,FALSE)</f>
        <v>Indonesia</v>
      </c>
      <c r="T422">
        <f>VLOOKUP(Q422,GDP!$A$1:$L$266,9,FALSE)</f>
        <v>13334.265394763685</v>
      </c>
      <c r="U422" s="4">
        <v>13334.265394763701</v>
      </c>
      <c r="V422" s="5">
        <f>VLOOKUP(Q422,POP!$B$5:$M$269,9,FALSE)</f>
        <v>189329461</v>
      </c>
      <c r="W422" s="4">
        <v>189329461</v>
      </c>
      <c r="X422">
        <f>VLOOKUP(Q422,YU!$B$1:$M$266,9,FALSE)</f>
        <v>14.054</v>
      </c>
      <c r="Y422" s="4">
        <v>14.054</v>
      </c>
      <c r="Z422">
        <v>0.86394334957590702</v>
      </c>
      <c r="AA422">
        <f t="shared" si="36"/>
        <v>9.4980923465920259</v>
      </c>
      <c r="AB422">
        <f t="shared" si="37"/>
        <v>-1.0263043555204039</v>
      </c>
      <c r="AC422" s="4">
        <v>-1.026304355520397</v>
      </c>
      <c r="AD422">
        <v>3.1471141273021761</v>
      </c>
      <c r="AE422">
        <v>-1.261405982905982</v>
      </c>
      <c r="AG422" s="12">
        <f t="shared" si="38"/>
        <v>-1.6370904631912708E-11</v>
      </c>
      <c r="AH422" s="12">
        <f t="shared" si="39"/>
        <v>0</v>
      </c>
      <c r="AI422" s="13">
        <f t="shared" si="40"/>
        <v>0</v>
      </c>
      <c r="AJ422" s="14">
        <f t="shared" si="41"/>
        <v>-0.41871033485818554</v>
      </c>
    </row>
    <row r="423" spans="1:36" x14ac:dyDescent="0.2">
      <c r="A423">
        <v>2023</v>
      </c>
      <c r="B423" t="s">
        <v>380</v>
      </c>
      <c r="C423">
        <f>VLOOKUP(B423,Sheet5!$B$2:$C$2166,2,FALSE)</f>
        <v>625</v>
      </c>
      <c r="D423">
        <v>895</v>
      </c>
      <c r="E423">
        <v>400</v>
      </c>
      <c r="F423" t="s">
        <v>84</v>
      </c>
      <c r="G423">
        <v>5</v>
      </c>
      <c r="H423">
        <v>6.7968237182748554</v>
      </c>
      <c r="I423">
        <v>0</v>
      </c>
      <c r="J423">
        <v>0</v>
      </c>
      <c r="K423">
        <v>1</v>
      </c>
      <c r="L423">
        <v>3</v>
      </c>
      <c r="M423" t="s">
        <v>119</v>
      </c>
      <c r="N423" t="s">
        <v>120</v>
      </c>
      <c r="O423">
        <v>0.79603593562092489</v>
      </c>
      <c r="P423">
        <v>0</v>
      </c>
      <c r="Q423" t="s">
        <v>382</v>
      </c>
      <c r="R423" t="str">
        <f>VLOOKUP(Q423,GDP!$A$2:$B$266,1,FALSE)</f>
        <v>IDN</v>
      </c>
      <c r="S423" t="str">
        <f>VLOOKUP(Q423,GDP!$A$2:$B$266,2,FALSE)</f>
        <v>Indonesia</v>
      </c>
      <c r="T423">
        <f>VLOOKUP(Q423,GDP!$A$1:$L$266,10,FALSE)</f>
        <v>13889.949501285811</v>
      </c>
      <c r="U423" s="4">
        <v>13889.949501285801</v>
      </c>
      <c r="V423" s="5">
        <f>VLOOKUP(Q423,POP!$B$5:$M$269,10,FALSE)</f>
        <v>191256542</v>
      </c>
      <c r="W423" s="4">
        <v>191256542</v>
      </c>
      <c r="X423">
        <f>VLOOKUP(Q423,YU!$B$1:$M$266,10,FALSE)</f>
        <v>13.015000000000001</v>
      </c>
      <c r="Y423" s="4">
        <v>13.015000000000001</v>
      </c>
      <c r="Z423">
        <v>1.27517088245674</v>
      </c>
      <c r="AA423">
        <f t="shared" si="36"/>
        <v>9.5389208001252079</v>
      </c>
      <c r="AB423">
        <f t="shared" si="37"/>
        <v>-0.9854759019872219</v>
      </c>
      <c r="AC423" s="4">
        <v>-0.98547590198721657</v>
      </c>
      <c r="AD423">
        <v>3.1572411285806421</v>
      </c>
      <c r="AE423">
        <v>-2.300405982905982</v>
      </c>
      <c r="AG423" s="12">
        <f t="shared" si="38"/>
        <v>0</v>
      </c>
      <c r="AH423" s="12">
        <f t="shared" si="39"/>
        <v>0</v>
      </c>
      <c r="AI423" s="13">
        <f t="shared" si="40"/>
        <v>0</v>
      </c>
      <c r="AJ423" s="14">
        <f t="shared" si="41"/>
        <v>-0.3590720685384543</v>
      </c>
    </row>
    <row r="424" spans="1:36" x14ac:dyDescent="0.2">
      <c r="A424">
        <v>2024</v>
      </c>
      <c r="B424" t="s">
        <v>380</v>
      </c>
      <c r="C424">
        <f>VLOOKUP(B424,Sheet5!$B$2:$C$2166,2,FALSE)</f>
        <v>625</v>
      </c>
      <c r="D424">
        <v>990</v>
      </c>
      <c r="E424">
        <v>470</v>
      </c>
      <c r="F424" t="s">
        <v>384</v>
      </c>
      <c r="G424">
        <v>5</v>
      </c>
      <c r="H424">
        <v>6.8977049431286357</v>
      </c>
      <c r="I424">
        <v>0</v>
      </c>
      <c r="J424">
        <v>0</v>
      </c>
      <c r="K424">
        <v>1</v>
      </c>
      <c r="L424">
        <v>4</v>
      </c>
      <c r="M424" t="s">
        <v>119</v>
      </c>
      <c r="N424" t="s">
        <v>120</v>
      </c>
      <c r="O424">
        <v>0.79603593562092489</v>
      </c>
      <c r="P424">
        <v>0</v>
      </c>
      <c r="Q424" t="s">
        <v>382</v>
      </c>
      <c r="R424" t="str">
        <f>VLOOKUP(Q424,GDP!$A$2:$B$266,1,FALSE)</f>
        <v>IDN</v>
      </c>
      <c r="S424" t="str">
        <f>VLOOKUP(Q424,GDP!$A$2:$B$266,2,FALSE)</f>
        <v>Indonesia</v>
      </c>
      <c r="T424">
        <f>VLOOKUP(Q424,GDP!$A$1:$L$266,11,FALSE)</f>
        <v>14470.717980657781</v>
      </c>
      <c r="U424" s="4">
        <v>14470.717980657801</v>
      </c>
      <c r="V424" s="5">
        <f>VLOOKUP(Q424,POP!$B$5:$M$269,11,FALSE)</f>
        <v>193093840</v>
      </c>
      <c r="W424" s="4">
        <v>193093840</v>
      </c>
      <c r="X424">
        <f>VLOOKUP(Q424,YU!$B$1:$M$266,11,FALSE)</f>
        <v>13.074999999999999</v>
      </c>
      <c r="Y424" s="4">
        <v>13.074999999999999</v>
      </c>
      <c r="AA424">
        <f t="shared" si="36"/>
        <v>9.5798824369611051</v>
      </c>
      <c r="AB424">
        <f t="shared" si="37"/>
        <v>-0.94451426515132475</v>
      </c>
      <c r="AC424" s="4">
        <v>-0.94451426515131764</v>
      </c>
      <c r="AD424">
        <v>3.166801738279061</v>
      </c>
      <c r="AE424">
        <v>-2.2404059829059828</v>
      </c>
      <c r="AG424" s="12">
        <f t="shared" si="38"/>
        <v>-2.0008883439004421E-11</v>
      </c>
      <c r="AH424" s="12">
        <f t="shared" si="39"/>
        <v>0</v>
      </c>
      <c r="AI424" s="13">
        <f t="shared" si="40"/>
        <v>0</v>
      </c>
      <c r="AJ424" s="14">
        <f t="shared" si="41"/>
        <v>-0.45995329339223456</v>
      </c>
    </row>
    <row r="425" spans="1:36" x14ac:dyDescent="0.2">
      <c r="A425">
        <v>2016</v>
      </c>
      <c r="B425" t="s">
        <v>385</v>
      </c>
      <c r="C425">
        <f>VLOOKUP(B425,Sheet5!$B$2:$C$2166,2,FALSE)</f>
        <v>265</v>
      </c>
      <c r="D425">
        <v>265</v>
      </c>
      <c r="E425">
        <v>135</v>
      </c>
      <c r="F425" t="s">
        <v>386</v>
      </c>
      <c r="G425">
        <v>5</v>
      </c>
      <c r="H425">
        <v>5.579729825986222</v>
      </c>
      <c r="I425">
        <v>0</v>
      </c>
      <c r="J425">
        <v>0</v>
      </c>
      <c r="K425">
        <v>0</v>
      </c>
      <c r="L425">
        <v>-4</v>
      </c>
      <c r="M425" t="s">
        <v>119</v>
      </c>
      <c r="N425" t="s">
        <v>120</v>
      </c>
      <c r="O425">
        <v>8.7994670667848056E-9</v>
      </c>
      <c r="P425">
        <v>0</v>
      </c>
      <c r="Q425" t="s">
        <v>387</v>
      </c>
      <c r="R425" t="str">
        <f>VLOOKUP(Q425,GDP!$A$2:$B$266,1,FALSE)</f>
        <v>IRN</v>
      </c>
      <c r="S425" t="str">
        <f>VLOOKUP(Q425,GDP!$A$2:$B$266,2,FALSE)</f>
        <v>Iran, Islamic Rep.</v>
      </c>
      <c r="T425">
        <f>VLOOKUP(Q425,GDP!$A$1:$C$266,3,FALSE)</f>
        <v>15920.371802120235</v>
      </c>
      <c r="U425" s="4">
        <v>15920.3718021202</v>
      </c>
      <c r="V425" s="5">
        <f>VLOOKUP(Q425,POP!$B$5:$M$269,3,FALSE)</f>
        <v>58653653</v>
      </c>
      <c r="W425" s="4">
        <v>58653653</v>
      </c>
      <c r="X425">
        <f>VLOOKUP(Q425,YU!$B$1:$D$266,3,FALSE)</f>
        <v>29.087</v>
      </c>
      <c r="Y425" s="4">
        <v>29.087</v>
      </c>
      <c r="Z425">
        <v>3.1739699840545601</v>
      </c>
      <c r="AA425">
        <f t="shared" si="36"/>
        <v>9.6753548135302019</v>
      </c>
      <c r="AB425">
        <f t="shared" si="37"/>
        <v>-0.84904188858222795</v>
      </c>
      <c r="AC425" s="4">
        <v>-0.8490418885822244</v>
      </c>
      <c r="AD425">
        <v>1.975275307822931</v>
      </c>
      <c r="AE425">
        <v>13.771594017094021</v>
      </c>
      <c r="AG425" s="12">
        <f t="shared" si="38"/>
        <v>3.4560798667371273E-11</v>
      </c>
      <c r="AH425" s="12">
        <f t="shared" si="39"/>
        <v>0</v>
      </c>
      <c r="AI425" s="13">
        <f t="shared" si="40"/>
        <v>0</v>
      </c>
      <c r="AJ425" s="14">
        <f t="shared" si="41"/>
        <v>0</v>
      </c>
    </row>
    <row r="426" spans="1:36" x14ac:dyDescent="0.2">
      <c r="A426">
        <v>2017</v>
      </c>
      <c r="B426" t="s">
        <v>385</v>
      </c>
      <c r="C426">
        <f>VLOOKUP(B426,Sheet5!$B$2:$C$2166,2,FALSE)</f>
        <v>265</v>
      </c>
      <c r="D426">
        <v>340</v>
      </c>
      <c r="E426">
        <v>165</v>
      </c>
      <c r="F426" t="s">
        <v>388</v>
      </c>
      <c r="G426">
        <v>5</v>
      </c>
      <c r="H426">
        <v>5.8289456176102066</v>
      </c>
      <c r="I426">
        <v>0</v>
      </c>
      <c r="J426">
        <v>0</v>
      </c>
      <c r="K426">
        <v>0</v>
      </c>
      <c r="L426">
        <v>-3</v>
      </c>
      <c r="M426" t="s">
        <v>119</v>
      </c>
      <c r="N426" t="s">
        <v>120</v>
      </c>
      <c r="O426">
        <v>8.7994670667848056E-9</v>
      </c>
      <c r="P426">
        <v>0</v>
      </c>
      <c r="Q426" t="s">
        <v>387</v>
      </c>
      <c r="R426" t="str">
        <f>VLOOKUP(Q426,GDP!$A$2:$B$266,1,FALSE)</f>
        <v>IRN</v>
      </c>
      <c r="S426" t="str">
        <f>VLOOKUP(Q426,GDP!$A$2:$B$266,2,FALSE)</f>
        <v>Iran, Islamic Rep.</v>
      </c>
      <c r="T426">
        <f>VLOOKUP(Q426,GDP!$A$1:$L$266,4,FALSE)</f>
        <v>16167.967722422654</v>
      </c>
      <c r="U426" s="4">
        <v>16167.9677224227</v>
      </c>
      <c r="V426" s="5">
        <f>VLOOKUP(Q426,POP!$B$5:$M$269,4,FALSE)</f>
        <v>59181768</v>
      </c>
      <c r="W426" s="4">
        <v>59181768</v>
      </c>
      <c r="X426">
        <f>VLOOKUP(Q426,YU!$B$1:$M$266,4,FALSE)</f>
        <v>28.207999999999998</v>
      </c>
      <c r="Y426" s="4">
        <v>28.207999999999998</v>
      </c>
      <c r="Z426">
        <v>3.4595699310302699</v>
      </c>
      <c r="AA426">
        <f t="shared" si="36"/>
        <v>9.6907872626949381</v>
      </c>
      <c r="AB426">
        <f t="shared" si="37"/>
        <v>-0.83360943941749177</v>
      </c>
      <c r="AC426" s="4">
        <v>-0.83360943941748289</v>
      </c>
      <c r="AD426">
        <v>1.984238971406652</v>
      </c>
      <c r="AE426">
        <v>12.892594017094019</v>
      </c>
      <c r="AG426" s="12">
        <f t="shared" si="38"/>
        <v>-4.5474735088646412E-11</v>
      </c>
      <c r="AH426" s="12">
        <f t="shared" si="39"/>
        <v>0</v>
      </c>
      <c r="AI426" s="13">
        <f t="shared" si="40"/>
        <v>0</v>
      </c>
      <c r="AJ426" s="14">
        <f t="shared" si="41"/>
        <v>-0.24921579162398455</v>
      </c>
    </row>
    <row r="427" spans="1:36" x14ac:dyDescent="0.2">
      <c r="A427">
        <v>2018</v>
      </c>
      <c r="B427" t="s">
        <v>385</v>
      </c>
      <c r="C427">
        <f>VLOOKUP(B427,Sheet5!$B$2:$C$2166,2,FALSE)</f>
        <v>265</v>
      </c>
      <c r="D427">
        <v>385</v>
      </c>
      <c r="E427">
        <v>190</v>
      </c>
      <c r="F427" t="s">
        <v>70</v>
      </c>
      <c r="G427">
        <v>5</v>
      </c>
      <c r="H427">
        <v>5.9532433342877846</v>
      </c>
      <c r="I427">
        <v>0</v>
      </c>
      <c r="J427">
        <v>0</v>
      </c>
      <c r="K427">
        <v>0</v>
      </c>
      <c r="L427">
        <v>-2</v>
      </c>
      <c r="M427" t="s">
        <v>119</v>
      </c>
      <c r="N427" t="s">
        <v>120</v>
      </c>
      <c r="O427">
        <v>8.7994670667848056E-9</v>
      </c>
      <c r="P427">
        <v>0</v>
      </c>
      <c r="Q427" t="s">
        <v>387</v>
      </c>
      <c r="R427" t="str">
        <f>VLOOKUP(Q427,GDP!$A$2:$B$266,1,FALSE)</f>
        <v>IRN</v>
      </c>
      <c r="S427" t="str">
        <f>VLOOKUP(Q427,GDP!$A$2:$B$266,2,FALSE)</f>
        <v>Iran, Islamic Rep.</v>
      </c>
      <c r="T427">
        <f>VLOOKUP(Q427,GDP!$A$1:$L$266,5,FALSE)</f>
        <v>15364.804905261386</v>
      </c>
      <c r="U427" s="4">
        <v>15364.804905261401</v>
      </c>
      <c r="V427" s="5">
        <f>VLOOKUP(Q427,POP!$B$5:$M$269,5,FALSE)</f>
        <v>59663966</v>
      </c>
      <c r="W427" s="4">
        <v>59663966</v>
      </c>
      <c r="X427">
        <f>VLOOKUP(Q427,YU!$B$1:$M$266,5,FALSE)</f>
        <v>27.501999999999999</v>
      </c>
      <c r="Y427" s="4">
        <v>27.501999999999999</v>
      </c>
      <c r="Z427">
        <v>3.61980009078979</v>
      </c>
      <c r="AA427">
        <f t="shared" si="36"/>
        <v>9.639834777136846</v>
      </c>
      <c r="AB427">
        <f t="shared" si="37"/>
        <v>-0.88456192497558384</v>
      </c>
      <c r="AC427" s="4">
        <v>-0.88456192497557851</v>
      </c>
      <c r="AD427">
        <v>1.9923537035015091</v>
      </c>
      <c r="AE427">
        <v>12.18659401709402</v>
      </c>
      <c r="AG427" s="12">
        <f t="shared" si="38"/>
        <v>-1.4551915228366852E-11</v>
      </c>
      <c r="AH427" s="12">
        <f t="shared" si="39"/>
        <v>0</v>
      </c>
      <c r="AI427" s="13">
        <f t="shared" si="40"/>
        <v>0</v>
      </c>
      <c r="AJ427" s="14">
        <f t="shared" si="41"/>
        <v>-0.3735135083015626</v>
      </c>
    </row>
    <row r="428" spans="1:36" x14ac:dyDescent="0.2">
      <c r="A428">
        <v>2019</v>
      </c>
      <c r="B428" t="s">
        <v>385</v>
      </c>
      <c r="C428">
        <f>VLOOKUP(B428,Sheet5!$B$2:$C$2166,2,FALSE)</f>
        <v>265</v>
      </c>
      <c r="D428">
        <v>325</v>
      </c>
      <c r="E428">
        <v>160</v>
      </c>
      <c r="F428" t="s">
        <v>70</v>
      </c>
      <c r="G428">
        <v>5</v>
      </c>
      <c r="H428">
        <v>5.7838251823297373</v>
      </c>
      <c r="I428">
        <v>0</v>
      </c>
      <c r="J428">
        <v>0</v>
      </c>
      <c r="K428">
        <v>0</v>
      </c>
      <c r="L428">
        <v>-1</v>
      </c>
      <c r="M428" t="s">
        <v>119</v>
      </c>
      <c r="N428" t="s">
        <v>120</v>
      </c>
      <c r="O428">
        <v>8.7994670667848056E-9</v>
      </c>
      <c r="P428">
        <v>0</v>
      </c>
      <c r="Q428" t="s">
        <v>387</v>
      </c>
      <c r="R428" t="str">
        <f>VLOOKUP(Q428,GDP!$A$2:$B$266,1,FALSE)</f>
        <v>IRN</v>
      </c>
      <c r="S428" t="str">
        <f>VLOOKUP(Q428,GDP!$A$2:$B$266,2,FALSE)</f>
        <v>Iran, Islamic Rep.</v>
      </c>
      <c r="T428">
        <f>VLOOKUP(Q428,GDP!$A$1:$L$266,6,FALSE)</f>
        <v>14841.075151499766</v>
      </c>
      <c r="U428" s="4">
        <v>14841.075151499799</v>
      </c>
      <c r="V428" s="5">
        <f>VLOOKUP(Q428,POP!$B$5:$M$269,6,FALSE)</f>
        <v>60127389</v>
      </c>
      <c r="W428" s="4">
        <v>60127389</v>
      </c>
      <c r="X428">
        <f>VLOOKUP(Q428,YU!$B$1:$M$266,6,FALSE)</f>
        <v>25.948</v>
      </c>
      <c r="Y428" s="4">
        <v>25.948</v>
      </c>
      <c r="Z428">
        <v>3.2400500774383501</v>
      </c>
      <c r="AA428">
        <f t="shared" si="36"/>
        <v>9.6051539636590082</v>
      </c>
      <c r="AB428">
        <f t="shared" si="37"/>
        <v>-0.91924273845342164</v>
      </c>
      <c r="AC428" s="4">
        <v>-0.91924273845341453</v>
      </c>
      <c r="AD428">
        <v>2.0000909114473679</v>
      </c>
      <c r="AE428">
        <v>10.63259401709402</v>
      </c>
      <c r="AG428" s="12">
        <f t="shared" si="38"/>
        <v>-3.2741809263825417E-11</v>
      </c>
      <c r="AH428" s="12">
        <f t="shared" si="39"/>
        <v>0</v>
      </c>
      <c r="AI428" s="13">
        <f t="shared" si="40"/>
        <v>0</v>
      </c>
      <c r="AJ428" s="14">
        <f t="shared" si="41"/>
        <v>-0.20409535634351528</v>
      </c>
    </row>
    <row r="429" spans="1:36" x14ac:dyDescent="0.2">
      <c r="A429">
        <v>2020</v>
      </c>
      <c r="B429" t="s">
        <v>385</v>
      </c>
      <c r="C429">
        <f>VLOOKUP(B429,Sheet5!$B$2:$C$2166,2,FALSE)</f>
        <v>265</v>
      </c>
      <c r="D429">
        <v>310</v>
      </c>
      <c r="E429">
        <v>150</v>
      </c>
      <c r="F429" t="s">
        <v>389</v>
      </c>
      <c r="G429">
        <v>5</v>
      </c>
      <c r="H429">
        <v>5.7365722974791922</v>
      </c>
      <c r="I429">
        <v>0</v>
      </c>
      <c r="J429">
        <v>0</v>
      </c>
      <c r="K429">
        <v>0</v>
      </c>
      <c r="L429">
        <v>0</v>
      </c>
      <c r="M429" t="s">
        <v>119</v>
      </c>
      <c r="N429" t="s">
        <v>120</v>
      </c>
      <c r="O429">
        <v>8.7994670667848056E-9</v>
      </c>
      <c r="P429">
        <v>0</v>
      </c>
      <c r="Q429" t="s">
        <v>387</v>
      </c>
      <c r="R429" t="str">
        <f>VLOOKUP(Q429,GDP!$A$2:$B$266,1,FALSE)</f>
        <v>IRN</v>
      </c>
      <c r="S429" t="str">
        <f>VLOOKUP(Q429,GDP!$A$2:$B$266,2,FALSE)</f>
        <v>Iran, Islamic Rep.</v>
      </c>
      <c r="T429">
        <f>VLOOKUP(Q429,GDP!$A$1:$L$266,7,FALSE)</f>
        <v>15381.584543726643</v>
      </c>
      <c r="U429" s="4">
        <v>15381.5845437266</v>
      </c>
      <c r="V429" s="5">
        <f>VLOOKUP(Q429,POP!$B$5:$M$269,7,FALSE)</f>
        <v>60526092</v>
      </c>
      <c r="W429" s="4">
        <v>60526092</v>
      </c>
      <c r="X429">
        <f>VLOOKUP(Q429,YU!$B$1:$M$266,7,FALSE)</f>
        <v>23.712</v>
      </c>
      <c r="Y429" s="4">
        <v>23.712</v>
      </c>
      <c r="Z429">
        <v>3.2049500942230198</v>
      </c>
      <c r="AA429">
        <f t="shared" si="36"/>
        <v>9.6409262640029016</v>
      </c>
      <c r="AB429">
        <f t="shared" si="37"/>
        <v>-0.88347043810952819</v>
      </c>
      <c r="AC429" s="4">
        <v>-0.88347043810952464</v>
      </c>
      <c r="AD429">
        <v>2.006699994715794</v>
      </c>
      <c r="AE429">
        <v>8.3965940170940172</v>
      </c>
      <c r="AG429" s="12">
        <f t="shared" si="38"/>
        <v>4.3655745685100555E-11</v>
      </c>
      <c r="AH429" s="12">
        <f t="shared" si="39"/>
        <v>0</v>
      </c>
      <c r="AI429" s="13">
        <f t="shared" si="40"/>
        <v>0</v>
      </c>
      <c r="AJ429" s="14">
        <f t="shared" si="41"/>
        <v>-0.15684247149297015</v>
      </c>
    </row>
    <row r="430" spans="1:36" x14ac:dyDescent="0.2">
      <c r="A430">
        <v>2021</v>
      </c>
      <c r="B430" t="s">
        <v>385</v>
      </c>
      <c r="C430">
        <f>VLOOKUP(B430,Sheet5!$B$2:$C$2166,2,FALSE)</f>
        <v>265</v>
      </c>
      <c r="D430">
        <v>335</v>
      </c>
      <c r="E430">
        <v>170</v>
      </c>
      <c r="F430" t="s">
        <v>58</v>
      </c>
      <c r="G430">
        <v>5</v>
      </c>
      <c r="H430">
        <v>5.8141305318250662</v>
      </c>
      <c r="I430">
        <v>0</v>
      </c>
      <c r="J430">
        <v>0</v>
      </c>
      <c r="K430">
        <v>1</v>
      </c>
      <c r="L430">
        <v>1</v>
      </c>
      <c r="M430" t="s">
        <v>119</v>
      </c>
      <c r="N430" t="s">
        <v>120</v>
      </c>
      <c r="O430">
        <v>8.7994670667848056E-9</v>
      </c>
      <c r="P430">
        <v>0</v>
      </c>
      <c r="Q430" t="s">
        <v>387</v>
      </c>
      <c r="R430" t="str">
        <f>VLOOKUP(Q430,GDP!$A$2:$B$266,1,FALSE)</f>
        <v>IRN</v>
      </c>
      <c r="S430" t="str">
        <f>VLOOKUP(Q430,GDP!$A$2:$B$266,2,FALSE)</f>
        <v>Iran, Islamic Rep.</v>
      </c>
      <c r="T430">
        <f>VLOOKUP(Q430,GDP!$A$1:$L$266,8,FALSE)</f>
        <v>15884.427677596332</v>
      </c>
      <c r="U430" s="4">
        <v>15884.427677596301</v>
      </c>
      <c r="V430" s="5">
        <f>VLOOKUP(Q430,POP!$B$5:$M$269,8,FALSE)</f>
        <v>61073582</v>
      </c>
      <c r="W430" s="4">
        <v>61073582</v>
      </c>
      <c r="X430">
        <f>VLOOKUP(Q430,YU!$B$1:$M$266,8,FALSE)</f>
        <v>23.751999999999999</v>
      </c>
      <c r="Y430" s="4">
        <v>23.751999999999999</v>
      </c>
      <c r="AA430">
        <f t="shared" si="36"/>
        <v>9.673094516945099</v>
      </c>
      <c r="AB430">
        <f t="shared" si="37"/>
        <v>-0.8513021851673308</v>
      </c>
      <c r="AC430" s="4">
        <v>-0.85130218516732725</v>
      </c>
      <c r="AD430">
        <v>2.015704849441645</v>
      </c>
      <c r="AE430">
        <v>8.4365940170940164</v>
      </c>
      <c r="AG430" s="12">
        <f t="shared" si="38"/>
        <v>3.092281986027956E-11</v>
      </c>
      <c r="AH430" s="12">
        <f t="shared" si="39"/>
        <v>0</v>
      </c>
      <c r="AI430" s="13">
        <f t="shared" si="40"/>
        <v>0</v>
      </c>
      <c r="AJ430" s="14">
        <f t="shared" si="41"/>
        <v>-0.2344007058388442</v>
      </c>
    </row>
    <row r="431" spans="1:36" x14ac:dyDescent="0.2">
      <c r="A431">
        <v>2022</v>
      </c>
      <c r="B431" t="s">
        <v>385</v>
      </c>
      <c r="C431">
        <f>VLOOKUP(B431,Sheet5!$B$2:$C$2166,2,FALSE)</f>
        <v>265</v>
      </c>
      <c r="D431">
        <v>345</v>
      </c>
      <c r="E431">
        <v>150</v>
      </c>
      <c r="F431" t="s">
        <v>302</v>
      </c>
      <c r="G431">
        <v>5</v>
      </c>
      <c r="H431">
        <v>5.8435444170313602</v>
      </c>
      <c r="I431">
        <v>0</v>
      </c>
      <c r="J431">
        <v>0</v>
      </c>
      <c r="K431">
        <v>1</v>
      </c>
      <c r="L431">
        <v>2</v>
      </c>
      <c r="M431" t="s">
        <v>119</v>
      </c>
      <c r="N431" t="s">
        <v>120</v>
      </c>
      <c r="O431">
        <v>8.7994670667848056E-9</v>
      </c>
      <c r="P431">
        <v>0</v>
      </c>
      <c r="Q431" t="s">
        <v>387</v>
      </c>
      <c r="R431" t="str">
        <f>VLOOKUP(Q431,GDP!$A$2:$B$266,1,FALSE)</f>
        <v>IRN</v>
      </c>
      <c r="S431" t="str">
        <f>VLOOKUP(Q431,GDP!$A$2:$B$266,2,FALSE)</f>
        <v>Iran, Islamic Rep.</v>
      </c>
      <c r="T431">
        <f>VLOOKUP(Q431,GDP!$A$1:$L$266,9,FALSE)</f>
        <v>16377.961064536818</v>
      </c>
      <c r="U431" s="4">
        <v>16377.961064536799</v>
      </c>
      <c r="V431" s="5">
        <f>VLOOKUP(Q431,POP!$B$5:$M$269,9,FALSE)</f>
        <v>61905803</v>
      </c>
      <c r="W431" s="4">
        <v>61905803</v>
      </c>
      <c r="X431">
        <f>VLOOKUP(Q431,YU!$B$1:$M$266,9,FALSE)</f>
        <v>22.686</v>
      </c>
      <c r="Y431" s="4">
        <v>22.686</v>
      </c>
      <c r="Z431">
        <v>2.6699800491332999</v>
      </c>
      <c r="AA431">
        <f t="shared" si="36"/>
        <v>9.7036918725246348</v>
      </c>
      <c r="AB431">
        <f t="shared" si="37"/>
        <v>-0.820704829587795</v>
      </c>
      <c r="AC431" s="4">
        <v>-0.82070482958779145</v>
      </c>
      <c r="AD431">
        <v>2.0292393732001748</v>
      </c>
      <c r="AE431">
        <v>7.3705940170940174</v>
      </c>
      <c r="AG431" s="12">
        <f t="shared" si="38"/>
        <v>1.8189894035458565E-11</v>
      </c>
      <c r="AH431" s="12">
        <f t="shared" si="39"/>
        <v>0</v>
      </c>
      <c r="AI431" s="13">
        <f t="shared" si="40"/>
        <v>0</v>
      </c>
      <c r="AJ431" s="14">
        <f t="shared" si="41"/>
        <v>-0.26381459104513816</v>
      </c>
    </row>
    <row r="432" spans="1:36" x14ac:dyDescent="0.2">
      <c r="A432">
        <v>2023</v>
      </c>
      <c r="B432" t="s">
        <v>385</v>
      </c>
      <c r="C432">
        <f>VLOOKUP(B432,Sheet5!$B$2:$C$2166,2,FALSE)</f>
        <v>265</v>
      </c>
      <c r="D432">
        <v>475</v>
      </c>
      <c r="E432">
        <v>220</v>
      </c>
      <c r="F432" t="s">
        <v>339</v>
      </c>
      <c r="G432">
        <v>10</v>
      </c>
      <c r="H432">
        <v>6.1633148040346413</v>
      </c>
      <c r="I432">
        <v>0</v>
      </c>
      <c r="J432">
        <v>0</v>
      </c>
      <c r="K432">
        <v>1</v>
      </c>
      <c r="L432">
        <v>3</v>
      </c>
      <c r="M432" t="s">
        <v>119</v>
      </c>
      <c r="N432" t="s">
        <v>120</v>
      </c>
      <c r="O432">
        <v>8.7994670667848056E-9</v>
      </c>
      <c r="P432">
        <v>0</v>
      </c>
      <c r="Q432" t="s">
        <v>387</v>
      </c>
      <c r="R432" t="str">
        <f>VLOOKUP(Q432,GDP!$A$2:$B$266,1,FALSE)</f>
        <v>IRN</v>
      </c>
      <c r="S432" t="str">
        <f>VLOOKUP(Q432,GDP!$A$2:$B$266,2,FALSE)</f>
        <v>Iran, Islamic Rep.</v>
      </c>
      <c r="T432">
        <f>VLOOKUP(Q432,GDP!$A$1:$L$266,10,FALSE)</f>
        <v>17044.817344264055</v>
      </c>
      <c r="U432" s="4">
        <v>17044.817344264098</v>
      </c>
      <c r="V432" s="5">
        <f>VLOOKUP(Q432,POP!$B$5:$M$269,10,FALSE)</f>
        <v>62742120</v>
      </c>
      <c r="W432" s="4">
        <v>62742120</v>
      </c>
      <c r="X432">
        <f>VLOOKUP(Q432,YU!$B$1:$M$266,10,FALSE)</f>
        <v>21.265000000000001</v>
      </c>
      <c r="Y432" s="4">
        <v>21.265000000000001</v>
      </c>
      <c r="Z432">
        <v>2.8244329095871201</v>
      </c>
      <c r="AA432">
        <f t="shared" si="36"/>
        <v>9.7436014684256484</v>
      </c>
      <c r="AB432">
        <f t="shared" si="37"/>
        <v>-0.78079523368678139</v>
      </c>
      <c r="AC432" s="4">
        <v>-0.78079523368677428</v>
      </c>
      <c r="AD432">
        <v>2.042658442360191</v>
      </c>
      <c r="AE432">
        <v>5.949594017094018</v>
      </c>
      <c r="AG432" s="12">
        <f t="shared" si="38"/>
        <v>-4.3655745685100555E-11</v>
      </c>
      <c r="AH432" s="12">
        <f t="shared" si="39"/>
        <v>0</v>
      </c>
      <c r="AI432" s="13">
        <f t="shared" si="40"/>
        <v>0</v>
      </c>
      <c r="AJ432" s="14">
        <f t="shared" si="41"/>
        <v>-0.58358497804841925</v>
      </c>
    </row>
    <row r="433" spans="1:36" x14ac:dyDescent="0.2">
      <c r="A433">
        <v>2024</v>
      </c>
      <c r="B433" t="s">
        <v>385</v>
      </c>
      <c r="C433">
        <f>VLOOKUP(B433,Sheet5!$B$2:$C$2166,2,FALSE)</f>
        <v>265</v>
      </c>
      <c r="D433">
        <v>470</v>
      </c>
      <c r="E433">
        <v>180</v>
      </c>
      <c r="F433" t="s">
        <v>390</v>
      </c>
      <c r="G433">
        <v>5</v>
      </c>
      <c r="H433">
        <v>6.1527326947041043</v>
      </c>
      <c r="I433">
        <v>0</v>
      </c>
      <c r="J433">
        <v>0</v>
      </c>
      <c r="K433">
        <v>1</v>
      </c>
      <c r="L433">
        <v>4</v>
      </c>
      <c r="M433" t="s">
        <v>119</v>
      </c>
      <c r="N433" t="s">
        <v>120</v>
      </c>
      <c r="O433">
        <v>8.7994670667848056E-9</v>
      </c>
      <c r="P433">
        <v>0</v>
      </c>
      <c r="Q433" t="s">
        <v>387</v>
      </c>
      <c r="R433" t="str">
        <f>VLOOKUP(Q433,GDP!$A$2:$B$266,1,FALSE)</f>
        <v>IRN</v>
      </c>
      <c r="S433" t="str">
        <f>VLOOKUP(Q433,GDP!$A$2:$B$266,2,FALSE)</f>
        <v>Iran, Islamic Rep.</v>
      </c>
      <c r="T433">
        <f>VLOOKUP(Q433,GDP!$A$1:$L$266,11,FALSE)</f>
        <v>17484.132014046689</v>
      </c>
      <c r="U433" s="4">
        <v>17484.1320140467</v>
      </c>
      <c r="V433" s="5">
        <f>VLOOKUP(Q433,POP!$B$5:$M$269,11,FALSE)</f>
        <v>63475136</v>
      </c>
      <c r="W433" s="4">
        <v>63475136</v>
      </c>
      <c r="X433">
        <f>VLOOKUP(Q433,YU!$B$1:$M$266,11,FALSE)</f>
        <v>21.306999999999999</v>
      </c>
      <c r="Y433" s="4">
        <v>21.306999999999999</v>
      </c>
      <c r="AA433">
        <f t="shared" si="36"/>
        <v>9.7690490065178821</v>
      </c>
      <c r="AB433">
        <f t="shared" si="37"/>
        <v>-0.75534769559454773</v>
      </c>
      <c r="AC433" s="4">
        <v>-0.75534769559454062</v>
      </c>
      <c r="AD433">
        <v>2.0542737200873429</v>
      </c>
      <c r="AE433">
        <v>5.9915940170940161</v>
      </c>
      <c r="AG433" s="12">
        <f t="shared" si="38"/>
        <v>0</v>
      </c>
      <c r="AH433" s="12">
        <f t="shared" si="39"/>
        <v>0</v>
      </c>
      <c r="AI433" s="13">
        <f t="shared" si="40"/>
        <v>0</v>
      </c>
      <c r="AJ433" s="14">
        <f t="shared" si="41"/>
        <v>-0.57300286871788231</v>
      </c>
    </row>
    <row r="434" spans="1:36" x14ac:dyDescent="0.2">
      <c r="A434">
        <v>2016</v>
      </c>
      <c r="B434" t="s">
        <v>391</v>
      </c>
      <c r="C434">
        <f>VLOOKUP(B434,Sheet5!$B$2:$C$2166,2,FALSE)</f>
        <v>145</v>
      </c>
      <c r="D434">
        <v>145</v>
      </c>
      <c r="E434">
        <v>55</v>
      </c>
      <c r="F434" t="s">
        <v>361</v>
      </c>
      <c r="G434">
        <v>0</v>
      </c>
      <c r="H434">
        <v>4.9767337424205742</v>
      </c>
      <c r="I434">
        <v>0</v>
      </c>
      <c r="J434">
        <v>0</v>
      </c>
      <c r="K434">
        <v>0</v>
      </c>
      <c r="L434">
        <v>-4</v>
      </c>
      <c r="M434" t="s">
        <v>119</v>
      </c>
      <c r="N434" t="s">
        <v>120</v>
      </c>
      <c r="O434">
        <v>0.99999975717947165</v>
      </c>
      <c r="P434">
        <v>0</v>
      </c>
      <c r="Q434" t="s">
        <v>392</v>
      </c>
      <c r="R434" t="str">
        <f>VLOOKUP(Q434,GDP!$A$2:$B$266,1,FALSE)</f>
        <v>ISR</v>
      </c>
      <c r="S434" t="str">
        <f>VLOOKUP(Q434,GDP!$A$2:$B$266,2,FALSE)</f>
        <v>Israel</v>
      </c>
      <c r="T434">
        <f>VLOOKUP(Q434,GDP!$A$1:$C$266,3,FALSE)</f>
        <v>41914.580297770583</v>
      </c>
      <c r="U434" s="4">
        <v>41914.580297770597</v>
      </c>
      <c r="V434" s="5">
        <f>VLOOKUP(Q434,POP!$B$5:$M$269,3,FALSE)</f>
        <v>5169199</v>
      </c>
      <c r="W434" s="4">
        <v>5169199</v>
      </c>
      <c r="X434">
        <f>VLOOKUP(Q434,YU!$B$1:$D$266,3,FALSE)</f>
        <v>8.5139999999999993</v>
      </c>
      <c r="Y434" s="4">
        <v>8.5139999999999993</v>
      </c>
      <c r="Z434">
        <v>5.8027100563049299</v>
      </c>
      <c r="AA434">
        <f t="shared" si="36"/>
        <v>10.643389023846842</v>
      </c>
      <c r="AB434">
        <f t="shared" si="37"/>
        <v>0.11899232173441199</v>
      </c>
      <c r="AC434" s="4">
        <v>0.11899232173441909</v>
      </c>
      <c r="AD434">
        <v>-0.45365680586157348</v>
      </c>
      <c r="AE434">
        <v>-6.8014059829059832</v>
      </c>
      <c r="AG434" s="12">
        <f t="shared" si="38"/>
        <v>0</v>
      </c>
      <c r="AH434" s="12">
        <f t="shared" si="39"/>
        <v>0</v>
      </c>
      <c r="AI434" s="13">
        <f t="shared" si="40"/>
        <v>0</v>
      </c>
      <c r="AJ434" s="14">
        <f t="shared" si="41"/>
        <v>0</v>
      </c>
    </row>
    <row r="435" spans="1:36" x14ac:dyDescent="0.2">
      <c r="A435">
        <v>2017</v>
      </c>
      <c r="B435" t="s">
        <v>391</v>
      </c>
      <c r="C435">
        <f>VLOOKUP(B435,Sheet5!$B$2:$C$2166,2,FALSE)</f>
        <v>145</v>
      </c>
      <c r="D435">
        <v>115</v>
      </c>
      <c r="E435">
        <v>55</v>
      </c>
      <c r="F435" t="s">
        <v>267</v>
      </c>
      <c r="G435">
        <v>0</v>
      </c>
      <c r="H435">
        <v>4.7449321283632502</v>
      </c>
      <c r="I435">
        <v>0</v>
      </c>
      <c r="J435">
        <v>0</v>
      </c>
      <c r="K435">
        <v>0</v>
      </c>
      <c r="L435">
        <v>-3</v>
      </c>
      <c r="M435" t="s">
        <v>119</v>
      </c>
      <c r="N435" t="s">
        <v>120</v>
      </c>
      <c r="O435">
        <v>0.99999975717947165</v>
      </c>
      <c r="P435">
        <v>0</v>
      </c>
      <c r="Q435" t="s">
        <v>392</v>
      </c>
      <c r="R435" t="str">
        <f>VLOOKUP(Q435,GDP!$A$2:$B$266,1,FALSE)</f>
        <v>ISR</v>
      </c>
      <c r="S435" t="str">
        <f>VLOOKUP(Q435,GDP!$A$2:$B$266,2,FALSE)</f>
        <v>Israel</v>
      </c>
      <c r="T435">
        <f>VLOOKUP(Q435,GDP!$A$1:$L$266,4,FALSE)</f>
        <v>42895.585129847037</v>
      </c>
      <c r="U435" s="4">
        <v>42895.585129847001</v>
      </c>
      <c r="V435" s="5">
        <f>VLOOKUP(Q435,POP!$B$5:$M$269,4,FALSE)</f>
        <v>5250514</v>
      </c>
      <c r="W435" s="4">
        <v>5250514</v>
      </c>
      <c r="X435">
        <f>VLOOKUP(Q435,YU!$B$1:$M$266,4,FALSE)</f>
        <v>7.1509999999999998</v>
      </c>
      <c r="Y435" s="4">
        <v>7.1509999999999998</v>
      </c>
      <c r="Z435">
        <v>6.00425004959106</v>
      </c>
      <c r="AA435">
        <f t="shared" si="36"/>
        <v>10.666524188894259</v>
      </c>
      <c r="AB435">
        <f t="shared" si="37"/>
        <v>0.1421274867818294</v>
      </c>
      <c r="AC435" s="4">
        <v>0.14212748678183471</v>
      </c>
      <c r="AD435">
        <v>-0.43804857350384202</v>
      </c>
      <c r="AE435">
        <v>-8.1644059829059827</v>
      </c>
      <c r="AG435" s="12">
        <f t="shared" si="38"/>
        <v>0</v>
      </c>
      <c r="AH435" s="12">
        <f t="shared" si="39"/>
        <v>0</v>
      </c>
      <c r="AI435" s="13">
        <f t="shared" si="40"/>
        <v>0</v>
      </c>
      <c r="AJ435" s="14">
        <f t="shared" si="41"/>
        <v>0.23180161405732402</v>
      </c>
    </row>
    <row r="436" spans="1:36" x14ac:dyDescent="0.2">
      <c r="A436">
        <v>2018</v>
      </c>
      <c r="B436" t="s">
        <v>391</v>
      </c>
      <c r="C436">
        <f>VLOOKUP(B436,Sheet5!$B$2:$C$2166,2,FALSE)</f>
        <v>145</v>
      </c>
      <c r="D436">
        <v>160</v>
      </c>
      <c r="E436">
        <v>65</v>
      </c>
      <c r="F436" t="s">
        <v>305</v>
      </c>
      <c r="G436">
        <v>5</v>
      </c>
      <c r="H436">
        <v>5.0751738152338266</v>
      </c>
      <c r="I436">
        <v>0</v>
      </c>
      <c r="J436">
        <v>0</v>
      </c>
      <c r="K436">
        <v>0</v>
      </c>
      <c r="L436">
        <v>-2</v>
      </c>
      <c r="M436" t="s">
        <v>119</v>
      </c>
      <c r="N436" t="s">
        <v>120</v>
      </c>
      <c r="O436">
        <v>0.99999975717947165</v>
      </c>
      <c r="P436">
        <v>0</v>
      </c>
      <c r="Q436" t="s">
        <v>392</v>
      </c>
      <c r="R436" t="str">
        <f>VLOOKUP(Q436,GDP!$A$2:$B$266,1,FALSE)</f>
        <v>ISR</v>
      </c>
      <c r="S436" t="str">
        <f>VLOOKUP(Q436,GDP!$A$2:$B$266,2,FALSE)</f>
        <v>Israel</v>
      </c>
      <c r="T436">
        <f>VLOOKUP(Q436,GDP!$A$1:$L$266,5,FALSE)</f>
        <v>43782.652649168944</v>
      </c>
      <c r="U436" s="4">
        <v>43782.6526491689</v>
      </c>
      <c r="V436" s="5">
        <f>VLOOKUP(Q436,POP!$B$5:$M$269,5,FALSE)</f>
        <v>5338168</v>
      </c>
      <c r="W436" s="4">
        <v>5338168</v>
      </c>
      <c r="X436">
        <f>VLOOKUP(Q436,YU!$B$1:$M$266,5,FALSE)</f>
        <v>7.0250000000000004</v>
      </c>
      <c r="Y436" s="4">
        <v>7.0250000000000004</v>
      </c>
      <c r="Z436">
        <v>6.0691900253295898</v>
      </c>
      <c r="AA436">
        <f t="shared" si="36"/>
        <v>10.686992959674606</v>
      </c>
      <c r="AB436">
        <f t="shared" si="37"/>
        <v>0.16259625756217666</v>
      </c>
      <c r="AC436" s="4">
        <v>0.16259625756218021</v>
      </c>
      <c r="AD436">
        <v>-0.42149202712823991</v>
      </c>
      <c r="AE436">
        <v>-8.2904059829059822</v>
      </c>
      <c r="AG436" s="12">
        <f t="shared" si="38"/>
        <v>0</v>
      </c>
      <c r="AH436" s="12">
        <f t="shared" si="39"/>
        <v>0</v>
      </c>
      <c r="AI436" s="13">
        <f t="shared" si="40"/>
        <v>0</v>
      </c>
      <c r="AJ436" s="14">
        <f t="shared" si="41"/>
        <v>-9.8440072813252399E-2</v>
      </c>
    </row>
    <row r="437" spans="1:36" x14ac:dyDescent="0.2">
      <c r="A437">
        <v>2019</v>
      </c>
      <c r="B437" t="s">
        <v>391</v>
      </c>
      <c r="C437">
        <f>VLOOKUP(B437,Sheet5!$B$2:$C$2166,2,FALSE)</f>
        <v>145</v>
      </c>
      <c r="D437">
        <v>125</v>
      </c>
      <c r="E437">
        <v>50</v>
      </c>
      <c r="F437" t="s">
        <v>195</v>
      </c>
      <c r="G437">
        <v>0</v>
      </c>
      <c r="H437">
        <v>4.8283137373023024</v>
      </c>
      <c r="I437">
        <v>0</v>
      </c>
      <c r="J437">
        <v>0</v>
      </c>
      <c r="K437">
        <v>0</v>
      </c>
      <c r="L437">
        <v>-1</v>
      </c>
      <c r="M437" t="s">
        <v>119</v>
      </c>
      <c r="N437" t="s">
        <v>120</v>
      </c>
      <c r="O437">
        <v>0.99999975717947165</v>
      </c>
      <c r="P437">
        <v>0</v>
      </c>
      <c r="Q437" t="s">
        <v>392</v>
      </c>
      <c r="R437" t="str">
        <f>VLOOKUP(Q437,GDP!$A$2:$B$266,1,FALSE)</f>
        <v>ISR</v>
      </c>
      <c r="S437" t="str">
        <f>VLOOKUP(Q437,GDP!$A$2:$B$266,2,FALSE)</f>
        <v>Israel</v>
      </c>
      <c r="T437">
        <f>VLOOKUP(Q437,GDP!$A$1:$L$266,6,FALSE)</f>
        <v>44492.122696708437</v>
      </c>
      <c r="U437" s="4">
        <v>44492.1226967084</v>
      </c>
      <c r="V437" s="5">
        <f>VLOOKUP(Q437,POP!$B$5:$M$269,6,FALSE)</f>
        <v>5431498</v>
      </c>
      <c r="W437" s="4">
        <v>5431498</v>
      </c>
      <c r="X437">
        <f>VLOOKUP(Q437,YU!$B$1:$M$266,6,FALSE)</f>
        <v>6.5250000000000004</v>
      </c>
      <c r="Y437" s="4">
        <v>6.5250000000000004</v>
      </c>
      <c r="Z437">
        <v>6.0689997673034703</v>
      </c>
      <c r="AA437">
        <f t="shared" si="36"/>
        <v>10.703067434433292</v>
      </c>
      <c r="AB437">
        <f t="shared" si="37"/>
        <v>0.17867073232086206</v>
      </c>
      <c r="AC437" s="4">
        <v>0.17867073232086561</v>
      </c>
      <c r="AD437">
        <v>-0.40415957940772712</v>
      </c>
      <c r="AE437">
        <v>-8.7904059829059822</v>
      </c>
      <c r="AG437" s="12">
        <f t="shared" si="38"/>
        <v>0</v>
      </c>
      <c r="AH437" s="12">
        <f t="shared" si="39"/>
        <v>0</v>
      </c>
      <c r="AI437" s="13">
        <f t="shared" si="40"/>
        <v>0</v>
      </c>
      <c r="AJ437" s="14">
        <f t="shared" si="41"/>
        <v>0.1484200051182718</v>
      </c>
    </row>
    <row r="438" spans="1:36" x14ac:dyDescent="0.2">
      <c r="A438">
        <v>2020</v>
      </c>
      <c r="B438" t="s">
        <v>391</v>
      </c>
      <c r="C438">
        <f>VLOOKUP(B438,Sheet5!$B$2:$C$2166,2,FALSE)</f>
        <v>145</v>
      </c>
      <c r="D438">
        <v>145</v>
      </c>
      <c r="E438">
        <v>60</v>
      </c>
      <c r="F438" t="s">
        <v>31</v>
      </c>
      <c r="G438">
        <v>0</v>
      </c>
      <c r="H438">
        <v>4.9767337424205742</v>
      </c>
      <c r="I438">
        <v>0</v>
      </c>
      <c r="J438">
        <v>0</v>
      </c>
      <c r="K438">
        <v>0</v>
      </c>
      <c r="L438">
        <v>0</v>
      </c>
      <c r="M438" t="s">
        <v>119</v>
      </c>
      <c r="N438" t="s">
        <v>120</v>
      </c>
      <c r="O438">
        <v>0.99999975717947165</v>
      </c>
      <c r="P438">
        <v>0</v>
      </c>
      <c r="Q438" t="s">
        <v>392</v>
      </c>
      <c r="R438" t="str">
        <f>VLOOKUP(Q438,GDP!$A$2:$B$266,1,FALSE)</f>
        <v>ISR</v>
      </c>
      <c r="S438" t="str">
        <f>VLOOKUP(Q438,GDP!$A$2:$B$266,2,FALSE)</f>
        <v>Israel</v>
      </c>
      <c r="T438">
        <f>VLOOKUP(Q438,GDP!$A$1:$L$266,7,FALSE)</f>
        <v>42926.541541858438</v>
      </c>
      <c r="U438" s="4">
        <v>42926.541541858402</v>
      </c>
      <c r="V438" s="5">
        <f>VLOOKUP(Q438,POP!$B$5:$M$269,7,FALSE)</f>
        <v>5521012</v>
      </c>
      <c r="W438" s="4">
        <v>5521012</v>
      </c>
      <c r="X438">
        <f>VLOOKUP(Q438,YU!$B$1:$M$266,7,FALSE)</f>
        <v>7.6449999999999996</v>
      </c>
      <c r="Y438" s="4">
        <v>7.6449999999999996</v>
      </c>
      <c r="Z438">
        <v>6.51824998855591</v>
      </c>
      <c r="AA438">
        <f t="shared" si="36"/>
        <v>10.667245597569494</v>
      </c>
      <c r="AB438">
        <f t="shared" si="37"/>
        <v>0.14284889545706392</v>
      </c>
      <c r="AC438" s="4">
        <v>0.1428488954570675</v>
      </c>
      <c r="AD438">
        <v>-0.38781337325808529</v>
      </c>
      <c r="AE438">
        <v>-7.670405982905983</v>
      </c>
      <c r="AG438" s="12">
        <f t="shared" si="38"/>
        <v>0</v>
      </c>
      <c r="AH438" s="12">
        <f t="shared" si="39"/>
        <v>0</v>
      </c>
      <c r="AI438" s="13">
        <f t="shared" si="40"/>
        <v>0</v>
      </c>
      <c r="AJ438" s="14">
        <f t="shared" si="41"/>
        <v>0</v>
      </c>
    </row>
    <row r="439" spans="1:36" x14ac:dyDescent="0.2">
      <c r="A439">
        <v>2021</v>
      </c>
      <c r="B439" t="s">
        <v>391</v>
      </c>
      <c r="C439">
        <f>VLOOKUP(B439,Sheet5!$B$2:$C$2166,2,FALSE)</f>
        <v>145</v>
      </c>
      <c r="D439">
        <v>160</v>
      </c>
      <c r="E439">
        <v>70</v>
      </c>
      <c r="F439" t="s">
        <v>393</v>
      </c>
      <c r="G439">
        <v>5</v>
      </c>
      <c r="H439">
        <v>5.0751738152338266</v>
      </c>
      <c r="I439">
        <v>0</v>
      </c>
      <c r="J439">
        <v>0</v>
      </c>
      <c r="K439">
        <v>1</v>
      </c>
      <c r="L439">
        <v>1</v>
      </c>
      <c r="M439" t="s">
        <v>119</v>
      </c>
      <c r="N439" t="s">
        <v>120</v>
      </c>
      <c r="O439">
        <v>0.99999975717947165</v>
      </c>
      <c r="P439">
        <v>0</v>
      </c>
      <c r="Q439" t="s">
        <v>392</v>
      </c>
      <c r="R439" t="str">
        <f>VLOOKUP(Q439,GDP!$A$2:$B$266,1,FALSE)</f>
        <v>ISR</v>
      </c>
      <c r="S439" t="str">
        <f>VLOOKUP(Q439,GDP!$A$2:$B$266,2,FALSE)</f>
        <v>Israel</v>
      </c>
      <c r="T439">
        <f>VLOOKUP(Q439,GDP!$A$1:$L$266,8,FALSE)</f>
        <v>46151.10082040303</v>
      </c>
      <c r="U439" s="4">
        <v>46151.100820403</v>
      </c>
      <c r="V439" s="5">
        <f>VLOOKUP(Q439,POP!$B$5:$M$269,8,FALSE)</f>
        <v>5609567</v>
      </c>
      <c r="W439" s="4">
        <v>5609567</v>
      </c>
      <c r="X439">
        <f>VLOOKUP(Q439,YU!$B$1:$M$266,8,FALSE)</f>
        <v>7.649</v>
      </c>
      <c r="Y439" s="4">
        <v>7.649</v>
      </c>
      <c r="Z439">
        <v>6.1672701835632298</v>
      </c>
      <c r="AA439">
        <f t="shared" si="36"/>
        <v>10.739676092743007</v>
      </c>
      <c r="AB439">
        <f t="shared" si="37"/>
        <v>0.21527939063057744</v>
      </c>
      <c r="AC439" s="4">
        <v>0.2152793906305828</v>
      </c>
      <c r="AD439">
        <v>-0.37190101712183748</v>
      </c>
      <c r="AE439">
        <v>-7.6664059829059834</v>
      </c>
      <c r="AG439" s="12">
        <f t="shared" si="38"/>
        <v>0</v>
      </c>
      <c r="AH439" s="12">
        <f t="shared" si="39"/>
        <v>0</v>
      </c>
      <c r="AI439" s="13">
        <f t="shared" si="40"/>
        <v>0</v>
      </c>
      <c r="AJ439" s="14">
        <f t="shared" si="41"/>
        <v>-9.8440072813252399E-2</v>
      </c>
    </row>
    <row r="440" spans="1:36" x14ac:dyDescent="0.2">
      <c r="A440">
        <v>2022</v>
      </c>
      <c r="B440" t="s">
        <v>391</v>
      </c>
      <c r="C440">
        <f>VLOOKUP(B440,Sheet5!$B$2:$C$2166,2,FALSE)</f>
        <v>145</v>
      </c>
      <c r="D440">
        <v>175</v>
      </c>
      <c r="E440">
        <v>80</v>
      </c>
      <c r="F440" t="s">
        <v>134</v>
      </c>
      <c r="G440">
        <v>5</v>
      </c>
      <c r="H440">
        <v>5.1647859739235136</v>
      </c>
      <c r="I440">
        <v>0</v>
      </c>
      <c r="J440">
        <v>0</v>
      </c>
      <c r="K440">
        <v>1</v>
      </c>
      <c r="L440">
        <v>2</v>
      </c>
      <c r="M440" t="s">
        <v>119</v>
      </c>
      <c r="N440" t="s">
        <v>120</v>
      </c>
      <c r="O440">
        <v>0.99999975717947165</v>
      </c>
      <c r="P440">
        <v>0</v>
      </c>
      <c r="Q440" t="s">
        <v>392</v>
      </c>
      <c r="R440" t="str">
        <f>VLOOKUP(Q440,GDP!$A$2:$B$266,1,FALSE)</f>
        <v>ISR</v>
      </c>
      <c r="S440" t="str">
        <f>VLOOKUP(Q440,GDP!$A$2:$B$266,2,FALSE)</f>
        <v>Israel</v>
      </c>
      <c r="T440">
        <f>VLOOKUP(Q440,GDP!$A$1:$L$266,9,FALSE)</f>
        <v>48132.363720517707</v>
      </c>
      <c r="U440" s="4">
        <v>48132.3637205177</v>
      </c>
      <c r="V440" s="5">
        <f>VLOOKUP(Q440,POP!$B$5:$M$269,9,FALSE)</f>
        <v>5724315</v>
      </c>
      <c r="W440" s="4">
        <v>5724315</v>
      </c>
      <c r="X440">
        <f>VLOOKUP(Q440,YU!$B$1:$M$266,9,FALSE)</f>
        <v>6.7190000000000003</v>
      </c>
      <c r="Y440" s="4">
        <v>6.7190000000000003</v>
      </c>
      <c r="Z440">
        <v>5.9329199790954599</v>
      </c>
      <c r="AA440">
        <f t="shared" si="36"/>
        <v>10.78171007225928</v>
      </c>
      <c r="AB440">
        <f t="shared" si="37"/>
        <v>0.25731337014684996</v>
      </c>
      <c r="AC440" s="4">
        <v>0.25731337014685529</v>
      </c>
      <c r="AD440">
        <v>-0.35165165845035062</v>
      </c>
      <c r="AE440">
        <v>-8.5964059829059813</v>
      </c>
      <c r="AG440" s="12">
        <f t="shared" si="38"/>
        <v>0</v>
      </c>
      <c r="AH440" s="12">
        <f t="shared" si="39"/>
        <v>0</v>
      </c>
      <c r="AI440" s="13">
        <f t="shared" si="40"/>
        <v>0</v>
      </c>
      <c r="AJ440" s="14">
        <f t="shared" si="41"/>
        <v>-0.18805223150293937</v>
      </c>
    </row>
    <row r="441" spans="1:36" x14ac:dyDescent="0.2">
      <c r="A441">
        <v>2023</v>
      </c>
      <c r="B441" t="s">
        <v>391</v>
      </c>
      <c r="C441">
        <f>VLOOKUP(B441,Sheet5!$B$2:$C$2166,2,FALSE)</f>
        <v>145</v>
      </c>
      <c r="D441">
        <v>230</v>
      </c>
      <c r="E441">
        <v>95</v>
      </c>
      <c r="F441" t="s">
        <v>269</v>
      </c>
      <c r="G441">
        <v>5</v>
      </c>
      <c r="H441">
        <v>5.4380793089231956</v>
      </c>
      <c r="I441">
        <v>0</v>
      </c>
      <c r="J441">
        <v>0</v>
      </c>
      <c r="K441">
        <v>1</v>
      </c>
      <c r="L441">
        <v>3</v>
      </c>
      <c r="M441" t="s">
        <v>119</v>
      </c>
      <c r="N441" t="s">
        <v>120</v>
      </c>
      <c r="O441">
        <v>0.99999975717947165</v>
      </c>
      <c r="P441">
        <v>0</v>
      </c>
      <c r="Q441" t="s">
        <v>392</v>
      </c>
      <c r="R441" t="str">
        <f>VLOOKUP(Q441,GDP!$A$2:$B$266,1,FALSE)</f>
        <v>ISR</v>
      </c>
      <c r="S441" t="str">
        <f>VLOOKUP(Q441,GDP!$A$2:$B$266,2,FALSE)</f>
        <v>Israel</v>
      </c>
      <c r="T441">
        <f>VLOOKUP(Q441,GDP!$A$1:$L$266,10,FALSE)</f>
        <v>47671.247692608595</v>
      </c>
      <c r="U441" s="4">
        <v>47671.247692608602</v>
      </c>
      <c r="V441" s="5">
        <f>VLOOKUP(Q441,POP!$B$5:$M$269,10,FALSE)</f>
        <v>5906413</v>
      </c>
      <c r="W441" s="4">
        <v>5906413</v>
      </c>
      <c r="X441">
        <f>VLOOKUP(Q441,YU!$B$1:$M$266,10,FALSE)</f>
        <v>5.8730000000000002</v>
      </c>
      <c r="Y441" s="4">
        <v>5.8730000000000002</v>
      </c>
      <c r="AA441">
        <f t="shared" si="36"/>
        <v>10.772083721395443</v>
      </c>
      <c r="AB441">
        <f t="shared" si="37"/>
        <v>0.2476870192830134</v>
      </c>
      <c r="AC441" s="4">
        <v>0.2476870192830187</v>
      </c>
      <c r="AD441">
        <v>-0.3203358403142218</v>
      </c>
      <c r="AE441">
        <v>-9.4424059829059814</v>
      </c>
      <c r="AG441" s="12">
        <f t="shared" si="38"/>
        <v>0</v>
      </c>
      <c r="AH441" s="12">
        <f t="shared" si="39"/>
        <v>0</v>
      </c>
      <c r="AI441" s="13">
        <f t="shared" si="40"/>
        <v>0</v>
      </c>
      <c r="AJ441" s="14">
        <f t="shared" si="41"/>
        <v>-0.46134556650262137</v>
      </c>
    </row>
    <row r="442" spans="1:36" x14ac:dyDescent="0.2">
      <c r="A442">
        <v>2024</v>
      </c>
      <c r="B442" t="s">
        <v>391</v>
      </c>
      <c r="C442">
        <f>VLOOKUP(B442,Sheet5!$B$2:$C$2166,2,FALSE)</f>
        <v>145</v>
      </c>
      <c r="D442">
        <v>215</v>
      </c>
      <c r="E442">
        <v>85</v>
      </c>
      <c r="F442" t="s">
        <v>122</v>
      </c>
      <c r="G442">
        <v>0</v>
      </c>
      <c r="H442">
        <v>5.3706380281276616</v>
      </c>
      <c r="I442">
        <v>0</v>
      </c>
      <c r="J442">
        <v>0</v>
      </c>
      <c r="K442">
        <v>1</v>
      </c>
      <c r="L442">
        <v>4</v>
      </c>
      <c r="M442" t="s">
        <v>119</v>
      </c>
      <c r="N442" t="s">
        <v>120</v>
      </c>
      <c r="O442">
        <v>0.99999975717947165</v>
      </c>
      <c r="P442">
        <v>0</v>
      </c>
      <c r="Q442" t="s">
        <v>392</v>
      </c>
      <c r="R442" t="str">
        <f>VLOOKUP(Q442,GDP!$A$2:$B$266,1,FALSE)</f>
        <v>ISR</v>
      </c>
      <c r="S442" t="str">
        <f>VLOOKUP(Q442,GDP!$A$2:$B$266,2,FALSE)</f>
        <v>Israel</v>
      </c>
      <c r="T442">
        <f>VLOOKUP(Q442,GDP!$A$1:$L$266,11,FALSE)</f>
        <v>47388.723668236402</v>
      </c>
      <c r="U442" s="4">
        <v>47388.723668236402</v>
      </c>
      <c r="V442" s="5">
        <f>VLOOKUP(Q442,POP!$B$5:$M$269,11,FALSE)</f>
        <v>6005125</v>
      </c>
      <c r="W442" s="4">
        <v>6005125</v>
      </c>
      <c r="X442">
        <f>VLOOKUP(Q442,YU!$B$1:$M$266,11,FALSE)</f>
        <v>6.1630000000000003</v>
      </c>
      <c r="Y442" s="4">
        <v>6.1630000000000003</v>
      </c>
      <c r="AA442">
        <f t="shared" si="36"/>
        <v>10.766139582086527</v>
      </c>
      <c r="AB442">
        <f t="shared" si="37"/>
        <v>0.24174287997409749</v>
      </c>
      <c r="AC442" s="4">
        <v>0.24174287997410279</v>
      </c>
      <c r="AD442">
        <v>-0.30376127877494602</v>
      </c>
      <c r="AE442">
        <v>-9.1524059829059823</v>
      </c>
      <c r="AG442" s="12">
        <f t="shared" si="38"/>
        <v>0</v>
      </c>
      <c r="AH442" s="12">
        <f t="shared" si="39"/>
        <v>0</v>
      </c>
      <c r="AI442" s="13">
        <f t="shared" si="40"/>
        <v>0</v>
      </c>
      <c r="AJ442" s="14">
        <f t="shared" si="41"/>
        <v>-0.39390428570708735</v>
      </c>
    </row>
    <row r="443" spans="1:36" x14ac:dyDescent="0.2">
      <c r="A443">
        <v>2016</v>
      </c>
      <c r="B443" t="s">
        <v>394</v>
      </c>
      <c r="C443">
        <f>VLOOKUP(B443,Sheet5!$B$2:$C$2166,2,FALSE)</f>
        <v>1625</v>
      </c>
      <c r="D443">
        <v>1625</v>
      </c>
      <c r="E443">
        <v>845</v>
      </c>
      <c r="F443" t="s">
        <v>395</v>
      </c>
      <c r="G443">
        <v>10</v>
      </c>
      <c r="H443">
        <v>7.3932630947638378</v>
      </c>
      <c r="I443">
        <v>0</v>
      </c>
      <c r="J443">
        <v>0</v>
      </c>
      <c r="K443">
        <v>0</v>
      </c>
      <c r="L443">
        <v>-4</v>
      </c>
      <c r="M443" t="s">
        <v>119</v>
      </c>
      <c r="N443" t="s">
        <v>120</v>
      </c>
      <c r="O443">
        <v>4.1777007704309126</v>
      </c>
      <c r="P443">
        <v>0</v>
      </c>
      <c r="Q443" t="s">
        <v>396</v>
      </c>
      <c r="R443" t="str">
        <f>VLOOKUP(Q443,GDP!$A$2:$B$266,1,FALSE)</f>
        <v>KOR</v>
      </c>
      <c r="S443" t="str">
        <f>VLOOKUP(Q443,GDP!$A$2:$B$266,2,FALSE)</f>
        <v>Korea, Rep.</v>
      </c>
      <c r="T443">
        <f>VLOOKUP(Q443,GDP!$A$1:$C$266,3,FALSE)</f>
        <v>46088.243078538326</v>
      </c>
      <c r="U443" s="4">
        <v>46088.243078538297</v>
      </c>
      <c r="V443" s="5">
        <f>VLOOKUP(Q443,POP!$B$5:$M$269,3,FALSE)</f>
        <v>37533180</v>
      </c>
      <c r="W443" s="4">
        <v>37533180</v>
      </c>
      <c r="X443">
        <f>VLOOKUP(Q443,YU!$B$1:$D$266,3,FALSE)</f>
        <v>10.145</v>
      </c>
      <c r="Y443" s="4">
        <v>10.145</v>
      </c>
      <c r="Z443">
        <v>4.11502981185913</v>
      </c>
      <c r="AA443">
        <f t="shared" si="36"/>
        <v>10.738313165624536</v>
      </c>
      <c r="AB443">
        <f t="shared" si="37"/>
        <v>0.21391646351210625</v>
      </c>
      <c r="AC443" s="4">
        <v>0.2139164635121116</v>
      </c>
      <c r="AD443">
        <v>1.5288507916946641</v>
      </c>
      <c r="AE443">
        <v>-5.170405982905983</v>
      </c>
      <c r="AG443" s="12">
        <f t="shared" si="38"/>
        <v>0</v>
      </c>
      <c r="AH443" s="12">
        <f t="shared" si="39"/>
        <v>0</v>
      </c>
      <c r="AI443" s="13">
        <f t="shared" si="40"/>
        <v>0</v>
      </c>
      <c r="AJ443" s="14">
        <f t="shared" si="41"/>
        <v>0</v>
      </c>
    </row>
    <row r="444" spans="1:36" x14ac:dyDescent="0.2">
      <c r="A444">
        <v>2017</v>
      </c>
      <c r="B444" t="s">
        <v>394</v>
      </c>
      <c r="C444">
        <f>VLOOKUP(B444,Sheet5!$B$2:$C$2166,2,FALSE)</f>
        <v>1625</v>
      </c>
      <c r="D444">
        <v>1620</v>
      </c>
      <c r="E444">
        <v>875</v>
      </c>
      <c r="F444" t="s">
        <v>81</v>
      </c>
      <c r="G444">
        <v>5</v>
      </c>
      <c r="H444">
        <v>7.3901814282264304</v>
      </c>
      <c r="I444">
        <v>0</v>
      </c>
      <c r="J444">
        <v>0</v>
      </c>
      <c r="K444">
        <v>0</v>
      </c>
      <c r="L444">
        <v>-3</v>
      </c>
      <c r="M444" t="s">
        <v>119</v>
      </c>
      <c r="N444" t="s">
        <v>120</v>
      </c>
      <c r="O444">
        <v>4.1777007704309126</v>
      </c>
      <c r="P444">
        <v>0</v>
      </c>
      <c r="Q444" t="s">
        <v>396</v>
      </c>
      <c r="R444" t="str">
        <f>VLOOKUP(Q444,GDP!$A$2:$B$266,1,FALSE)</f>
        <v>KOR</v>
      </c>
      <c r="S444" t="str">
        <f>VLOOKUP(Q444,GDP!$A$2:$B$266,2,FALSE)</f>
        <v>Korea, Rep.</v>
      </c>
      <c r="T444">
        <f>VLOOKUP(Q444,GDP!$A$1:$L$266,4,FALSE)</f>
        <v>47536.789856885116</v>
      </c>
      <c r="U444" s="4">
        <v>47536.789856885101</v>
      </c>
      <c r="V444" s="5">
        <f>VLOOKUP(Q444,POP!$B$5:$M$269,4,FALSE)</f>
        <v>37550935</v>
      </c>
      <c r="W444" s="4">
        <v>37550935</v>
      </c>
      <c r="X444">
        <f>VLOOKUP(Q444,YU!$B$1:$M$266,4,FALSE)</f>
        <v>9.7810000000000006</v>
      </c>
      <c r="Y444" s="4">
        <v>9.7810000000000006</v>
      </c>
      <c r="Z444">
        <v>4.1077599525451696</v>
      </c>
      <c r="AA444">
        <f t="shared" si="36"/>
        <v>10.76925921353719</v>
      </c>
      <c r="AB444">
        <f t="shared" si="37"/>
        <v>0.24486251142475979</v>
      </c>
      <c r="AC444" s="4">
        <v>0.24486251142476509</v>
      </c>
      <c r="AD444">
        <v>1.5293237279563761</v>
      </c>
      <c r="AE444">
        <v>-5.534405982905982</v>
      </c>
      <c r="AG444" s="12">
        <f t="shared" si="38"/>
        <v>0</v>
      </c>
      <c r="AH444" s="12">
        <f t="shared" si="39"/>
        <v>0</v>
      </c>
      <c r="AI444" s="13">
        <f t="shared" si="40"/>
        <v>0</v>
      </c>
      <c r="AJ444" s="14">
        <f t="shared" si="41"/>
        <v>3.0816665374073793E-3</v>
      </c>
    </row>
    <row r="445" spans="1:36" x14ac:dyDescent="0.2">
      <c r="A445">
        <v>2018</v>
      </c>
      <c r="B445" t="s">
        <v>394</v>
      </c>
      <c r="C445">
        <f>VLOOKUP(B445,Sheet5!$B$2:$C$2166,2,FALSE)</f>
        <v>1625</v>
      </c>
      <c r="D445">
        <v>1680</v>
      </c>
      <c r="E445">
        <v>890</v>
      </c>
      <c r="F445" t="s">
        <v>228</v>
      </c>
      <c r="G445">
        <v>0</v>
      </c>
      <c r="H445">
        <v>7.4265490723973047</v>
      </c>
      <c r="I445">
        <v>0</v>
      </c>
      <c r="J445">
        <v>0</v>
      </c>
      <c r="K445">
        <v>0</v>
      </c>
      <c r="L445">
        <v>-2</v>
      </c>
      <c r="M445" t="s">
        <v>119</v>
      </c>
      <c r="N445" t="s">
        <v>120</v>
      </c>
      <c r="O445">
        <v>4.1777007704309126</v>
      </c>
      <c r="P445">
        <v>0</v>
      </c>
      <c r="Q445" t="s">
        <v>396</v>
      </c>
      <c r="R445" t="str">
        <f>VLOOKUP(Q445,GDP!$A$2:$B$266,1,FALSE)</f>
        <v>KOR</v>
      </c>
      <c r="S445" t="str">
        <f>VLOOKUP(Q445,GDP!$A$2:$B$266,2,FALSE)</f>
        <v>Korea, Rep.</v>
      </c>
      <c r="T445">
        <f>VLOOKUP(Q445,GDP!$A$1:$L$266,5,FALSE)</f>
        <v>48834.447115773335</v>
      </c>
      <c r="U445" s="4">
        <v>48834.447115773299</v>
      </c>
      <c r="V445" s="5">
        <f>VLOOKUP(Q445,POP!$B$5:$M$269,5,FALSE)</f>
        <v>37571156</v>
      </c>
      <c r="W445" s="4">
        <v>37571156</v>
      </c>
      <c r="X445">
        <f>VLOOKUP(Q445,YU!$B$1:$M$266,5,FALSE)</f>
        <v>10.119999999999999</v>
      </c>
      <c r="Y445" s="4">
        <v>10.119999999999999</v>
      </c>
      <c r="Z445">
        <v>4.2164502143859899</v>
      </c>
      <c r="AA445">
        <f t="shared" si="36"/>
        <v>10.796191226342591</v>
      </c>
      <c r="AB445">
        <f t="shared" si="37"/>
        <v>0.27179452423016137</v>
      </c>
      <c r="AC445" s="4">
        <v>0.27179452423016492</v>
      </c>
      <c r="AD445">
        <v>1.5298620782663639</v>
      </c>
      <c r="AE445">
        <v>-5.1954059829059833</v>
      </c>
      <c r="AG445" s="12">
        <f t="shared" si="38"/>
        <v>0</v>
      </c>
      <c r="AH445" s="12">
        <f t="shared" si="39"/>
        <v>0</v>
      </c>
      <c r="AI445" s="13">
        <f t="shared" si="40"/>
        <v>0</v>
      </c>
      <c r="AJ445" s="14">
        <f t="shared" si="41"/>
        <v>-3.3285977633466857E-2</v>
      </c>
    </row>
    <row r="446" spans="1:36" x14ac:dyDescent="0.2">
      <c r="A446">
        <v>2019</v>
      </c>
      <c r="B446" t="s">
        <v>394</v>
      </c>
      <c r="C446">
        <f>VLOOKUP(B446,Sheet5!$B$2:$C$2166,2,FALSE)</f>
        <v>1625</v>
      </c>
      <c r="D446">
        <v>1720</v>
      </c>
      <c r="E446">
        <v>920</v>
      </c>
      <c r="F446" t="s">
        <v>68</v>
      </c>
      <c r="G446">
        <v>5</v>
      </c>
      <c r="H446">
        <v>7.4500795698074986</v>
      </c>
      <c r="I446">
        <v>0</v>
      </c>
      <c r="J446">
        <v>0</v>
      </c>
      <c r="K446">
        <v>0</v>
      </c>
      <c r="L446">
        <v>-1</v>
      </c>
      <c r="M446" t="s">
        <v>119</v>
      </c>
      <c r="N446" t="s">
        <v>120</v>
      </c>
      <c r="O446">
        <v>4.1777007704309126</v>
      </c>
      <c r="P446">
        <v>0</v>
      </c>
      <c r="Q446" t="s">
        <v>396</v>
      </c>
      <c r="R446" t="str">
        <f>VLOOKUP(Q446,GDP!$A$2:$B$266,1,FALSE)</f>
        <v>KOR</v>
      </c>
      <c r="S446" t="str">
        <f>VLOOKUP(Q446,GDP!$A$2:$B$266,2,FALSE)</f>
        <v>Korea, Rep.</v>
      </c>
      <c r="T446">
        <f>VLOOKUP(Q446,GDP!$A$1:$L$266,6,FALSE)</f>
        <v>49790.867988482147</v>
      </c>
      <c r="U446" s="4">
        <v>49790.867988482103</v>
      </c>
      <c r="V446" s="5">
        <f>VLOOKUP(Q446,POP!$B$5:$M$269,6,FALSE)</f>
        <v>37543009</v>
      </c>
      <c r="W446" s="4">
        <v>37543009</v>
      </c>
      <c r="X446">
        <f>VLOOKUP(Q446,YU!$B$1:$M$266,6,FALSE)</f>
        <v>9.827</v>
      </c>
      <c r="Y446" s="4">
        <v>9.827</v>
      </c>
      <c r="Z446">
        <v>4.4181399345397896</v>
      </c>
      <c r="AA446">
        <f t="shared" si="36"/>
        <v>10.815586872472469</v>
      </c>
      <c r="AB446">
        <f t="shared" si="37"/>
        <v>0.29119017036003925</v>
      </c>
      <c r="AC446" s="4">
        <v>0.2911901703600428</v>
      </c>
      <c r="AD446">
        <v>1.529112632371104</v>
      </c>
      <c r="AE446">
        <v>-5.4884059829059826</v>
      </c>
      <c r="AG446" s="12">
        <f t="shared" si="38"/>
        <v>0</v>
      </c>
      <c r="AH446" s="12">
        <f t="shared" si="39"/>
        <v>0</v>
      </c>
      <c r="AI446" s="13">
        <f t="shared" si="40"/>
        <v>0</v>
      </c>
      <c r="AJ446" s="14">
        <f t="shared" si="41"/>
        <v>-5.681647504366083E-2</v>
      </c>
    </row>
    <row r="447" spans="1:36" x14ac:dyDescent="0.2">
      <c r="A447">
        <v>2020</v>
      </c>
      <c r="B447" t="s">
        <v>394</v>
      </c>
      <c r="C447">
        <f>VLOOKUP(B447,Sheet5!$B$2:$C$2166,2,FALSE)</f>
        <v>1625</v>
      </c>
      <c r="D447">
        <v>1680</v>
      </c>
      <c r="E447">
        <v>935</v>
      </c>
      <c r="F447" t="s">
        <v>397</v>
      </c>
      <c r="G447">
        <v>5</v>
      </c>
      <c r="H447">
        <v>7.4265490723973047</v>
      </c>
      <c r="I447">
        <v>0</v>
      </c>
      <c r="J447">
        <v>0</v>
      </c>
      <c r="K447">
        <v>0</v>
      </c>
      <c r="L447">
        <v>0</v>
      </c>
      <c r="M447" t="s">
        <v>119</v>
      </c>
      <c r="N447" t="s">
        <v>120</v>
      </c>
      <c r="O447">
        <v>4.1777007704309126</v>
      </c>
      <c r="P447">
        <v>0</v>
      </c>
      <c r="Q447" t="s">
        <v>396</v>
      </c>
      <c r="R447" t="str">
        <f>VLOOKUP(Q447,GDP!$A$2:$B$266,1,FALSE)</f>
        <v>KOR</v>
      </c>
      <c r="S447" t="str">
        <f>VLOOKUP(Q447,GDP!$A$2:$B$266,2,FALSE)</f>
        <v>Korea, Rep.</v>
      </c>
      <c r="T447">
        <f>VLOOKUP(Q447,GDP!$A$1:$L$266,7,FALSE)</f>
        <v>49374.092614802532</v>
      </c>
      <c r="U447" s="4">
        <v>49374.092614802503</v>
      </c>
      <c r="V447" s="5">
        <f>VLOOKUP(Q447,POP!$B$5:$M$269,7,FALSE)</f>
        <v>37354839</v>
      </c>
      <c r="W447" s="4">
        <v>37354839</v>
      </c>
      <c r="X447">
        <f>VLOOKUP(Q447,YU!$B$1:$M$266,7,FALSE)</f>
        <v>10.143000000000001</v>
      </c>
      <c r="Y447" s="4">
        <v>10.143000000000001</v>
      </c>
      <c r="Z447">
        <v>4.52706003189087</v>
      </c>
      <c r="AA447">
        <f t="shared" si="36"/>
        <v>10.807181124612836</v>
      </c>
      <c r="AB447">
        <f t="shared" si="37"/>
        <v>0.2827844225004057</v>
      </c>
      <c r="AC447" s="4">
        <v>0.28278442250041103</v>
      </c>
      <c r="AD447">
        <v>1.524087911342894</v>
      </c>
      <c r="AE447">
        <v>-5.1724059829059819</v>
      </c>
      <c r="AG447" s="12">
        <f t="shared" si="38"/>
        <v>0</v>
      </c>
      <c r="AH447" s="12">
        <f t="shared" si="39"/>
        <v>0</v>
      </c>
      <c r="AI447" s="13">
        <f t="shared" si="40"/>
        <v>0</v>
      </c>
      <c r="AJ447" s="14">
        <f t="shared" si="41"/>
        <v>-3.3285977633466857E-2</v>
      </c>
    </row>
    <row r="448" spans="1:36" x14ac:dyDescent="0.2">
      <c r="A448">
        <v>2021</v>
      </c>
      <c r="B448" t="s">
        <v>394</v>
      </c>
      <c r="C448">
        <f>VLOOKUP(B448,Sheet5!$B$2:$C$2166,2,FALSE)</f>
        <v>1625</v>
      </c>
      <c r="D448">
        <v>1570</v>
      </c>
      <c r="E448">
        <v>790</v>
      </c>
      <c r="F448" t="s">
        <v>386</v>
      </c>
      <c r="G448">
        <v>5</v>
      </c>
      <c r="H448">
        <v>7.3588308983423536</v>
      </c>
      <c r="I448">
        <v>0</v>
      </c>
      <c r="J448">
        <v>0</v>
      </c>
      <c r="K448">
        <v>1</v>
      </c>
      <c r="L448">
        <v>1</v>
      </c>
      <c r="M448" t="s">
        <v>119</v>
      </c>
      <c r="N448" t="s">
        <v>120</v>
      </c>
      <c r="O448">
        <v>4.1777007704309126</v>
      </c>
      <c r="P448">
        <v>0</v>
      </c>
      <c r="Q448" t="s">
        <v>396</v>
      </c>
      <c r="R448" t="str">
        <f>VLOOKUP(Q448,GDP!$A$2:$B$266,1,FALSE)</f>
        <v>KOR</v>
      </c>
      <c r="S448" t="str">
        <f>VLOOKUP(Q448,GDP!$A$2:$B$266,2,FALSE)</f>
        <v>Korea, Rep.</v>
      </c>
      <c r="T448">
        <f>VLOOKUP(Q448,GDP!$A$1:$L$266,8,FALSE)</f>
        <v>51718.251865663115</v>
      </c>
      <c r="U448" s="4">
        <v>51718.2518656631</v>
      </c>
      <c r="V448" s="5">
        <f>VLOOKUP(Q448,POP!$B$5:$M$269,8,FALSE)</f>
        <v>37036120</v>
      </c>
      <c r="W448" s="4">
        <v>37036120</v>
      </c>
      <c r="X448">
        <f>VLOOKUP(Q448,YU!$B$1:$M$266,8,FALSE)</f>
        <v>8.0549999999999997</v>
      </c>
      <c r="Y448" s="4">
        <v>8.0549999999999997</v>
      </c>
      <c r="Z448">
        <v>4.5559000968933097</v>
      </c>
      <c r="AA448">
        <f t="shared" si="36"/>
        <v>10.853566032346718</v>
      </c>
      <c r="AB448">
        <f t="shared" si="37"/>
        <v>0.32916933023428818</v>
      </c>
      <c r="AC448" s="4">
        <v>0.32916933023429351</v>
      </c>
      <c r="AD448">
        <v>1.515519102594352</v>
      </c>
      <c r="AE448">
        <v>-7.2604059829059828</v>
      </c>
      <c r="AG448" s="12">
        <f t="shared" si="38"/>
        <v>0</v>
      </c>
      <c r="AH448" s="12">
        <f t="shared" si="39"/>
        <v>0</v>
      </c>
      <c r="AI448" s="13">
        <f t="shared" si="40"/>
        <v>0</v>
      </c>
      <c r="AJ448" s="14">
        <f t="shared" si="41"/>
        <v>3.4432196421484207E-2</v>
      </c>
    </row>
    <row r="449" spans="1:36" x14ac:dyDescent="0.2">
      <c r="A449">
        <v>2022</v>
      </c>
      <c r="B449" t="s">
        <v>394</v>
      </c>
      <c r="C449">
        <f>VLOOKUP(B449,Sheet5!$B$2:$C$2166,2,FALSE)</f>
        <v>1625</v>
      </c>
      <c r="D449">
        <v>1520</v>
      </c>
      <c r="E449">
        <v>745</v>
      </c>
      <c r="F449" t="s">
        <v>296</v>
      </c>
      <c r="G449">
        <v>5</v>
      </c>
      <c r="H449">
        <v>7.3264656138403224</v>
      </c>
      <c r="I449">
        <v>0</v>
      </c>
      <c r="J449">
        <v>0</v>
      </c>
      <c r="K449">
        <v>1</v>
      </c>
      <c r="L449">
        <v>2</v>
      </c>
      <c r="M449" t="s">
        <v>119</v>
      </c>
      <c r="N449" t="s">
        <v>120</v>
      </c>
      <c r="O449">
        <v>4.1777007704309126</v>
      </c>
      <c r="P449">
        <v>0</v>
      </c>
      <c r="Q449" t="s">
        <v>396</v>
      </c>
      <c r="R449" t="str">
        <f>VLOOKUP(Q449,GDP!$A$2:$B$266,1,FALSE)</f>
        <v>KOR</v>
      </c>
      <c r="S449" t="str">
        <f>VLOOKUP(Q449,GDP!$A$2:$B$266,2,FALSE)</f>
        <v>Korea, Rep.</v>
      </c>
      <c r="T449">
        <f>VLOOKUP(Q449,GDP!$A$1:$L$266,9,FALSE)</f>
        <v>53228.603565536541</v>
      </c>
      <c r="U449" s="4">
        <v>53228.603565536498</v>
      </c>
      <c r="V449" s="5">
        <f>VLOOKUP(Q449,POP!$B$5:$M$269,9,FALSE)</f>
        <v>36739762</v>
      </c>
      <c r="W449" s="4">
        <v>36739762</v>
      </c>
      <c r="X449">
        <f>VLOOKUP(Q449,YU!$B$1:$M$266,9,FALSE)</f>
        <v>6.6379999999999999</v>
      </c>
      <c r="Y449" s="4">
        <v>6.6379999999999999</v>
      </c>
      <c r="Z449">
        <v>5.4091000556945801</v>
      </c>
      <c r="AA449">
        <f t="shared" si="36"/>
        <v>10.882351191848171</v>
      </c>
      <c r="AB449">
        <f t="shared" si="37"/>
        <v>0.35795448973574118</v>
      </c>
      <c r="AC449" s="4">
        <v>0.35795448973574467</v>
      </c>
      <c r="AD449">
        <v>1.5074850517358931</v>
      </c>
      <c r="AE449">
        <v>-8.6774059829059826</v>
      </c>
      <c r="AG449" s="12">
        <f t="shared" si="38"/>
        <v>0</v>
      </c>
      <c r="AH449" s="12">
        <f t="shared" si="39"/>
        <v>0</v>
      </c>
      <c r="AI449" s="13">
        <f t="shared" si="40"/>
        <v>0</v>
      </c>
      <c r="AJ449" s="14">
        <f t="shared" si="41"/>
        <v>6.6797480923515451E-2</v>
      </c>
    </row>
    <row r="450" spans="1:36" x14ac:dyDescent="0.2">
      <c r="A450">
        <v>2023</v>
      </c>
      <c r="B450" t="s">
        <v>394</v>
      </c>
      <c r="C450">
        <f>VLOOKUP(B450,Sheet5!$B$2:$C$2166,2,FALSE)</f>
        <v>1625</v>
      </c>
      <c r="D450">
        <v>1460</v>
      </c>
      <c r="E450">
        <v>700</v>
      </c>
      <c r="F450" t="s">
        <v>388</v>
      </c>
      <c r="G450">
        <v>5</v>
      </c>
      <c r="H450">
        <v>7.2861917147023822</v>
      </c>
      <c r="I450">
        <v>0</v>
      </c>
      <c r="J450">
        <v>0</v>
      </c>
      <c r="K450">
        <v>1</v>
      </c>
      <c r="L450">
        <v>3</v>
      </c>
      <c r="M450" t="s">
        <v>119</v>
      </c>
      <c r="N450" t="s">
        <v>120</v>
      </c>
      <c r="O450">
        <v>4.1777007704309126</v>
      </c>
      <c r="P450">
        <v>0</v>
      </c>
      <c r="Q450" t="s">
        <v>396</v>
      </c>
      <c r="R450" t="str">
        <f>VLOOKUP(Q450,GDP!$A$2:$B$266,1,FALSE)</f>
        <v>KOR</v>
      </c>
      <c r="S450" t="str">
        <f>VLOOKUP(Q450,GDP!$A$2:$B$266,2,FALSE)</f>
        <v>Korea, Rep.</v>
      </c>
      <c r="T450">
        <f>VLOOKUP(Q450,GDP!$A$1:$L$266,10,FALSE)</f>
        <v>54029.343499078503</v>
      </c>
      <c r="U450" s="4">
        <v>54029.343499078503</v>
      </c>
      <c r="V450" s="5">
        <f>VLOOKUP(Q450,POP!$B$5:$M$269,10,FALSE)</f>
        <v>36557801</v>
      </c>
      <c r="W450" s="4">
        <v>36557801</v>
      </c>
      <c r="X450">
        <f>VLOOKUP(Q450,YU!$B$1:$M$266,10,FALSE)</f>
        <v>5.4050000000000002</v>
      </c>
      <c r="Y450" s="4">
        <v>5.4050000000000002</v>
      </c>
      <c r="AA450">
        <f t="shared" si="36"/>
        <v>10.897282576090193</v>
      </c>
      <c r="AB450">
        <f t="shared" si="37"/>
        <v>0.37288587397776318</v>
      </c>
      <c r="AC450" s="4">
        <v>0.37288587397776851</v>
      </c>
      <c r="AD450">
        <v>1.5025200469976761</v>
      </c>
      <c r="AE450">
        <v>-9.9104059829059814</v>
      </c>
      <c r="AG450" s="12">
        <f t="shared" si="38"/>
        <v>0</v>
      </c>
      <c r="AH450" s="12">
        <f t="shared" si="39"/>
        <v>0</v>
      </c>
      <c r="AI450" s="13">
        <f t="shared" si="40"/>
        <v>0</v>
      </c>
      <c r="AJ450" s="14">
        <f t="shared" si="41"/>
        <v>0.10707138006145556</v>
      </c>
    </row>
    <row r="451" spans="1:36" x14ac:dyDescent="0.2">
      <c r="A451">
        <v>2024</v>
      </c>
      <c r="B451" t="s">
        <v>394</v>
      </c>
      <c r="C451">
        <f>VLOOKUP(B451,Sheet5!$B$2:$C$2166,2,FALSE)</f>
        <v>1625</v>
      </c>
      <c r="D451">
        <v>1520</v>
      </c>
      <c r="E451">
        <v>745</v>
      </c>
      <c r="F451" t="s">
        <v>398</v>
      </c>
      <c r="G451">
        <v>0</v>
      </c>
      <c r="H451">
        <v>7.3264656138403224</v>
      </c>
      <c r="I451">
        <v>0</v>
      </c>
      <c r="J451">
        <v>0</v>
      </c>
      <c r="K451">
        <v>1</v>
      </c>
      <c r="L451">
        <v>4</v>
      </c>
      <c r="M451" t="s">
        <v>119</v>
      </c>
      <c r="N451" t="s">
        <v>120</v>
      </c>
      <c r="O451">
        <v>4.1777007704309126</v>
      </c>
      <c r="P451">
        <v>0</v>
      </c>
      <c r="Q451" t="s">
        <v>396</v>
      </c>
      <c r="R451" t="str">
        <f>VLOOKUP(Q451,GDP!$A$2:$B$266,1,FALSE)</f>
        <v>KOR</v>
      </c>
      <c r="S451" t="str">
        <f>VLOOKUP(Q451,GDP!$A$2:$B$266,2,FALSE)</f>
        <v>Korea, Rep.</v>
      </c>
      <c r="T451">
        <f>VLOOKUP(Q451,GDP!$A$1:$L$266,11,FALSE)</f>
        <v>55070.938619412125</v>
      </c>
      <c r="U451" s="4">
        <v>55070.938619412103</v>
      </c>
      <c r="V451" s="5">
        <f>VLOOKUP(Q451,POP!$B$5:$M$269,11,FALSE)</f>
        <v>36307699</v>
      </c>
      <c r="W451" s="4">
        <v>36307699</v>
      </c>
      <c r="X451">
        <f>VLOOKUP(Q451,YU!$B$1:$M$266,11,FALSE)</f>
        <v>6.4340000000000002</v>
      </c>
      <c r="Y451" s="4">
        <v>6.4340000000000002</v>
      </c>
      <c r="AA451">
        <f t="shared" ref="AA451:AA469" si="42">LN(T451)</f>
        <v>10.91637742622626</v>
      </c>
      <c r="AB451">
        <f t="shared" ref="AB451:AB469" si="43">AA451-AVERAGE($AA$2:$AA$469)</f>
        <v>0.39198072411383045</v>
      </c>
      <c r="AC451" s="4">
        <v>0.39198072411383578</v>
      </c>
      <c r="AD451">
        <v>1.4956552623691139</v>
      </c>
      <c r="AE451">
        <v>-8.8814059829059815</v>
      </c>
      <c r="AG451" s="12">
        <f t="shared" ref="AG451:AG469" si="44">T451-U451</f>
        <v>0</v>
      </c>
      <c r="AH451" s="12">
        <f t="shared" ref="AH451:AH469" si="45">V451-W451</f>
        <v>0</v>
      </c>
      <c r="AI451" s="13">
        <f t="shared" ref="AI451:AI469" si="46">X451-Y451</f>
        <v>0</v>
      </c>
      <c r="AJ451" s="14">
        <f t="shared" ref="AJ451:AJ469" si="47">LN(C451)-H451</f>
        <v>6.6797480923515451E-2</v>
      </c>
    </row>
    <row r="452" spans="1:36" x14ac:dyDescent="0.2">
      <c r="A452">
        <v>2016</v>
      </c>
      <c r="B452" t="s">
        <v>399</v>
      </c>
      <c r="C452">
        <f>VLOOKUP(B452,Sheet5!$B$2:$C$2166,2,FALSE)</f>
        <v>350</v>
      </c>
      <c r="D452">
        <v>350</v>
      </c>
      <c r="E452">
        <v>135</v>
      </c>
      <c r="F452" t="s">
        <v>329</v>
      </c>
      <c r="G452">
        <v>5</v>
      </c>
      <c r="H452">
        <v>5.857933154483459</v>
      </c>
      <c r="I452">
        <v>0</v>
      </c>
      <c r="J452">
        <v>0</v>
      </c>
      <c r="K452">
        <v>0</v>
      </c>
      <c r="L452">
        <v>-4</v>
      </c>
      <c r="M452" t="s">
        <v>119</v>
      </c>
      <c r="N452" t="s">
        <v>120</v>
      </c>
      <c r="O452">
        <v>0.26893988985655282</v>
      </c>
      <c r="P452">
        <v>0</v>
      </c>
      <c r="Q452" t="s">
        <v>400</v>
      </c>
      <c r="R452" t="str">
        <f>VLOOKUP(Q452,GDP!$A$2:$B$266,1,FALSE)</f>
        <v>LBN</v>
      </c>
      <c r="S452" t="str">
        <f>VLOOKUP(Q452,GDP!$A$2:$B$266,2,FALSE)</f>
        <v>Lebanon</v>
      </c>
      <c r="T452">
        <f>VLOOKUP(Q452,GDP!$A$1:$C$266,3,FALSE)</f>
        <v>15572.361173977366</v>
      </c>
      <c r="U452" s="4">
        <v>15572.361173977401</v>
      </c>
      <c r="V452" s="5">
        <f>VLOOKUP(Q452,POP!$B$5:$M$269,3,FALSE)</f>
        <v>4191006</v>
      </c>
      <c r="W452" s="4">
        <v>4191006</v>
      </c>
      <c r="X452">
        <f>VLOOKUP(Q452,YU!$B$1:$D$266,3,FALSE)</f>
        <v>21.37</v>
      </c>
      <c r="Y452" s="4">
        <v>21.37</v>
      </c>
      <c r="Z452">
        <v>2.1782027084140498</v>
      </c>
      <c r="AA452">
        <f t="shared" si="42"/>
        <v>9.6532529022693225</v>
      </c>
      <c r="AB452">
        <f t="shared" si="43"/>
        <v>-0.8711437998431073</v>
      </c>
      <c r="AC452" s="4">
        <v>-0.8711437998431002</v>
      </c>
      <c r="AD452">
        <v>-0.66343374949578404</v>
      </c>
      <c r="AE452">
        <v>6.0545940170940176</v>
      </c>
      <c r="AG452" s="12">
        <f t="shared" si="44"/>
        <v>-3.4560798667371273E-11</v>
      </c>
      <c r="AH452" s="12">
        <f t="shared" si="45"/>
        <v>0</v>
      </c>
      <c r="AI452" s="13">
        <f t="shared" si="46"/>
        <v>0</v>
      </c>
      <c r="AJ452" s="14">
        <f t="shared" si="47"/>
        <v>0</v>
      </c>
    </row>
    <row r="453" spans="1:36" x14ac:dyDescent="0.2">
      <c r="A453">
        <v>2017</v>
      </c>
      <c r="B453" t="s">
        <v>399</v>
      </c>
      <c r="C453">
        <f>VLOOKUP(B453,Sheet5!$B$2:$C$2166,2,FALSE)</f>
        <v>350</v>
      </c>
      <c r="D453">
        <v>340</v>
      </c>
      <c r="E453">
        <v>135</v>
      </c>
      <c r="F453" t="s">
        <v>329</v>
      </c>
      <c r="G453">
        <v>5</v>
      </c>
      <c r="H453">
        <v>5.8289456176102066</v>
      </c>
      <c r="I453">
        <v>0</v>
      </c>
      <c r="J453">
        <v>0</v>
      </c>
      <c r="K453">
        <v>0</v>
      </c>
      <c r="L453">
        <v>-3</v>
      </c>
      <c r="M453" t="s">
        <v>119</v>
      </c>
      <c r="N453" t="s">
        <v>120</v>
      </c>
      <c r="O453">
        <v>0.26893988985655282</v>
      </c>
      <c r="P453">
        <v>0</v>
      </c>
      <c r="Q453" t="s">
        <v>400</v>
      </c>
      <c r="R453" t="str">
        <f>VLOOKUP(Q453,GDP!$A$2:$B$266,1,FALSE)</f>
        <v>LBN</v>
      </c>
      <c r="S453" t="str">
        <f>VLOOKUP(Q453,GDP!$A$2:$B$266,2,FALSE)</f>
        <v>Lebanon</v>
      </c>
      <c r="T453">
        <f>VLOOKUP(Q453,GDP!$A$1:$L$266,4,FALSE)</f>
        <v>16128.58381960507</v>
      </c>
      <c r="U453" s="4">
        <v>16128.583819605101</v>
      </c>
      <c r="V453" s="5">
        <f>VLOOKUP(Q453,POP!$B$5:$M$269,4,FALSE)</f>
        <v>4016797</v>
      </c>
      <c r="W453" s="4">
        <v>4016797</v>
      </c>
      <c r="X453">
        <f>VLOOKUP(Q453,YU!$B$1:$M$266,4,FALSE)</f>
        <v>22.039000000000001</v>
      </c>
      <c r="Y453" s="4">
        <v>22.039000000000001</v>
      </c>
      <c r="Z453">
        <v>2.2160684442323801</v>
      </c>
      <c r="AA453">
        <f t="shared" si="42"/>
        <v>9.6883483693481818</v>
      </c>
      <c r="AB453">
        <f t="shared" si="43"/>
        <v>-0.83604833276424806</v>
      </c>
      <c r="AC453" s="4">
        <v>-0.83604833276424095</v>
      </c>
      <c r="AD453">
        <v>-0.70588973120201537</v>
      </c>
      <c r="AE453">
        <v>6.7235940170940189</v>
      </c>
      <c r="AG453" s="12">
        <f t="shared" si="44"/>
        <v>-3.092281986027956E-11</v>
      </c>
      <c r="AH453" s="12">
        <f t="shared" si="45"/>
        <v>0</v>
      </c>
      <c r="AI453" s="13">
        <f t="shared" si="46"/>
        <v>0</v>
      </c>
      <c r="AJ453" s="14">
        <f t="shared" si="47"/>
        <v>2.8987536873252395E-2</v>
      </c>
    </row>
    <row r="454" spans="1:36" x14ac:dyDescent="0.2">
      <c r="A454">
        <v>2018</v>
      </c>
      <c r="B454" t="s">
        <v>399</v>
      </c>
      <c r="C454">
        <f>VLOOKUP(B454,Sheet5!$B$2:$C$2166,2,FALSE)</f>
        <v>350</v>
      </c>
      <c r="D454">
        <v>400</v>
      </c>
      <c r="E454">
        <v>155</v>
      </c>
      <c r="F454" t="s">
        <v>210</v>
      </c>
      <c r="G454">
        <v>0</v>
      </c>
      <c r="H454">
        <v>5.9914645471079817</v>
      </c>
      <c r="I454">
        <v>0</v>
      </c>
      <c r="J454">
        <v>0</v>
      </c>
      <c r="K454">
        <v>0</v>
      </c>
      <c r="L454">
        <v>-2</v>
      </c>
      <c r="M454" t="s">
        <v>119</v>
      </c>
      <c r="N454" t="s">
        <v>120</v>
      </c>
      <c r="O454">
        <v>0.26893988985655282</v>
      </c>
      <c r="P454">
        <v>0</v>
      </c>
      <c r="Q454" t="s">
        <v>400</v>
      </c>
      <c r="R454" t="str">
        <f>VLOOKUP(Q454,GDP!$A$2:$B$266,1,FALSE)</f>
        <v>LBN</v>
      </c>
      <c r="S454" t="str">
        <f>VLOOKUP(Q454,GDP!$A$2:$B$266,2,FALSE)</f>
        <v>Lebanon</v>
      </c>
      <c r="T454">
        <f>VLOOKUP(Q454,GDP!$A$1:$L$266,5,FALSE)</f>
        <v>16290.051647859174</v>
      </c>
      <c r="U454" s="4">
        <v>16290.0516478592</v>
      </c>
      <c r="V454" s="5">
        <f>VLOOKUP(Q454,POP!$B$5:$M$269,5,FALSE)</f>
        <v>3842268</v>
      </c>
      <c r="W454" s="4">
        <v>3842268</v>
      </c>
      <c r="X454">
        <f>VLOOKUP(Q454,YU!$B$1:$M$266,5,FALSE)</f>
        <v>22.667999999999999</v>
      </c>
      <c r="Y454" s="4">
        <v>22.667999999999999</v>
      </c>
      <c r="Z454">
        <v>2.6165251225734001</v>
      </c>
      <c r="AA454">
        <f t="shared" si="42"/>
        <v>9.6983098721164893</v>
      </c>
      <c r="AB454">
        <f t="shared" si="43"/>
        <v>-0.82608682999594052</v>
      </c>
      <c r="AC454" s="4">
        <v>-0.82608682999593341</v>
      </c>
      <c r="AD454">
        <v>-0.75031173282758346</v>
      </c>
      <c r="AE454">
        <v>7.3525940170940167</v>
      </c>
      <c r="AG454" s="12">
        <f t="shared" si="44"/>
        <v>-2.5465851649641991E-11</v>
      </c>
      <c r="AH454" s="12">
        <f t="shared" si="45"/>
        <v>0</v>
      </c>
      <c r="AI454" s="13">
        <f t="shared" si="46"/>
        <v>0</v>
      </c>
      <c r="AJ454" s="14">
        <f t="shared" si="47"/>
        <v>-0.13353139262452274</v>
      </c>
    </row>
    <row r="455" spans="1:36" x14ac:dyDescent="0.2">
      <c r="A455">
        <v>2019</v>
      </c>
      <c r="B455" t="s">
        <v>399</v>
      </c>
      <c r="C455">
        <f>VLOOKUP(B455,Sheet5!$B$2:$C$2166,2,FALSE)</f>
        <v>350</v>
      </c>
      <c r="D455">
        <v>395</v>
      </c>
      <c r="E455">
        <v>140</v>
      </c>
      <c r="F455" t="s">
        <v>401</v>
      </c>
      <c r="G455">
        <v>0</v>
      </c>
      <c r="H455">
        <v>5.978885764901122</v>
      </c>
      <c r="I455">
        <v>0</v>
      </c>
      <c r="J455">
        <v>0</v>
      </c>
      <c r="K455">
        <v>0</v>
      </c>
      <c r="L455">
        <v>-1</v>
      </c>
      <c r="M455" t="s">
        <v>119</v>
      </c>
      <c r="N455" t="s">
        <v>120</v>
      </c>
      <c r="O455">
        <v>0.26893988985655282</v>
      </c>
      <c r="P455">
        <v>0</v>
      </c>
      <c r="Q455" t="s">
        <v>400</v>
      </c>
      <c r="R455" t="str">
        <f>VLOOKUP(Q455,GDP!$A$2:$B$266,1,FALSE)</f>
        <v>LBN</v>
      </c>
      <c r="S455" t="str">
        <f>VLOOKUP(Q455,GDP!$A$2:$B$266,2,FALSE)</f>
        <v>Lebanon</v>
      </c>
      <c r="T455">
        <f>VLOOKUP(Q455,GDP!$A$1:$L$266,6,FALSE)</f>
        <v>15659.566104001171</v>
      </c>
      <c r="U455" s="4">
        <v>15659.5661040012</v>
      </c>
      <c r="V455" s="5">
        <f>VLOOKUP(Q455,POP!$B$5:$M$269,6,FALSE)</f>
        <v>3668674</v>
      </c>
      <c r="W455" s="4">
        <v>3668674</v>
      </c>
      <c r="X455">
        <f>VLOOKUP(Q455,YU!$B$1:$M$266,6,FALSE)</f>
        <v>23.28</v>
      </c>
      <c r="Y455" s="4">
        <v>23.28</v>
      </c>
      <c r="Z455">
        <v>2.51957250612723</v>
      </c>
      <c r="AA455">
        <f t="shared" si="42"/>
        <v>9.6588372618813221</v>
      </c>
      <c r="AB455">
        <f t="shared" si="43"/>
        <v>-0.86555944023110776</v>
      </c>
      <c r="AC455" s="4">
        <v>-0.86555944023110065</v>
      </c>
      <c r="AD455">
        <v>-0.79654426119977551</v>
      </c>
      <c r="AE455">
        <v>7.9645940170940186</v>
      </c>
      <c r="AG455" s="12">
        <f t="shared" si="44"/>
        <v>-2.9103830456733704E-11</v>
      </c>
      <c r="AH455" s="12">
        <f t="shared" si="45"/>
        <v>0</v>
      </c>
      <c r="AI455" s="13">
        <f t="shared" si="46"/>
        <v>0</v>
      </c>
      <c r="AJ455" s="14">
        <f t="shared" si="47"/>
        <v>-0.12095261041766303</v>
      </c>
    </row>
    <row r="456" spans="1:36" x14ac:dyDescent="0.2">
      <c r="A456">
        <v>2020</v>
      </c>
      <c r="B456" t="s">
        <v>399</v>
      </c>
      <c r="C456">
        <f>VLOOKUP(B456,Sheet5!$B$2:$C$2166,2,FALSE)</f>
        <v>350</v>
      </c>
      <c r="D456">
        <v>585</v>
      </c>
      <c r="E456">
        <v>225</v>
      </c>
      <c r="F456" t="s">
        <v>353</v>
      </c>
      <c r="G456">
        <v>10</v>
      </c>
      <c r="H456">
        <v>6.3716118472318568</v>
      </c>
      <c r="I456">
        <v>0</v>
      </c>
      <c r="J456">
        <v>0</v>
      </c>
      <c r="K456">
        <v>0</v>
      </c>
      <c r="L456">
        <v>0</v>
      </c>
      <c r="M456" t="s">
        <v>119</v>
      </c>
      <c r="N456" t="s">
        <v>120</v>
      </c>
      <c r="O456">
        <v>0.26893988985655282</v>
      </c>
      <c r="P456">
        <v>0</v>
      </c>
      <c r="Q456" t="s">
        <v>400</v>
      </c>
      <c r="R456" t="str">
        <f>VLOOKUP(Q456,GDP!$A$2:$B$266,1,FALSE)</f>
        <v>LBN</v>
      </c>
      <c r="S456" t="str">
        <f>VLOOKUP(Q456,GDP!$A$2:$B$266,2,FALSE)</f>
        <v>Lebanon</v>
      </c>
      <c r="T456">
        <f>VLOOKUP(Q456,GDP!$A$1:$L$266,7,FALSE)</f>
        <v>12507.436636807848</v>
      </c>
      <c r="U456" s="4">
        <v>12507.436636807801</v>
      </c>
      <c r="V456" s="5">
        <f>VLOOKUP(Q456,POP!$B$5:$M$269,7,FALSE)</f>
        <v>3588504</v>
      </c>
      <c r="W456" s="4">
        <v>3588504</v>
      </c>
      <c r="X456">
        <f>VLOOKUP(Q456,YU!$B$1:$M$266,7,FALSE)</f>
        <v>26.576000000000001</v>
      </c>
      <c r="Y456" s="4">
        <v>26.576000000000001</v>
      </c>
      <c r="Z456">
        <v>2.4354185601395999</v>
      </c>
      <c r="AA456">
        <f t="shared" si="42"/>
        <v>9.4340786773337655</v>
      </c>
      <c r="AB456">
        <f t="shared" si="43"/>
        <v>-1.0903180247786644</v>
      </c>
      <c r="AC456" s="4">
        <v>-1.090318024778663</v>
      </c>
      <c r="AD456">
        <v>-0.81863914751768441</v>
      </c>
      <c r="AE456">
        <v>11.26059401709402</v>
      </c>
      <c r="AG456" s="12">
        <f t="shared" si="44"/>
        <v>4.7293724492192268E-11</v>
      </c>
      <c r="AH456" s="12">
        <f t="shared" si="45"/>
        <v>0</v>
      </c>
      <c r="AI456" s="13">
        <f t="shared" si="46"/>
        <v>0</v>
      </c>
      <c r="AJ456" s="14">
        <f t="shared" si="47"/>
        <v>-0.51367869274839784</v>
      </c>
    </row>
    <row r="457" spans="1:36" x14ac:dyDescent="0.2">
      <c r="A457">
        <v>2021</v>
      </c>
      <c r="B457" t="s">
        <v>399</v>
      </c>
      <c r="C457">
        <f>VLOOKUP(B457,Sheet5!$B$2:$C$2166,2,FALSE)</f>
        <v>350</v>
      </c>
      <c r="D457">
        <v>465</v>
      </c>
      <c r="E457">
        <v>175</v>
      </c>
      <c r="F457" t="s">
        <v>402</v>
      </c>
      <c r="G457">
        <v>5</v>
      </c>
      <c r="H457">
        <v>6.1420374055873559</v>
      </c>
      <c r="I457">
        <v>0</v>
      </c>
      <c r="J457">
        <v>0</v>
      </c>
      <c r="K457">
        <v>1</v>
      </c>
      <c r="L457">
        <v>1</v>
      </c>
      <c r="M457" t="s">
        <v>119</v>
      </c>
      <c r="N457" t="s">
        <v>120</v>
      </c>
      <c r="O457">
        <v>0.26893988985655282</v>
      </c>
      <c r="P457">
        <v>0</v>
      </c>
      <c r="Q457" t="s">
        <v>400</v>
      </c>
      <c r="R457" t="str">
        <f>VLOOKUP(Q457,GDP!$A$2:$B$266,1,FALSE)</f>
        <v>LBN</v>
      </c>
      <c r="S457" t="str">
        <f>VLOOKUP(Q457,GDP!$A$2:$B$266,2,FALSE)</f>
        <v>Lebanon</v>
      </c>
      <c r="T457">
        <f>VLOOKUP(Q457,GDP!$A$1:$L$266,8,FALSE)</f>
        <v>11599.775508376539</v>
      </c>
      <c r="U457" s="4">
        <v>11599.775508376501</v>
      </c>
      <c r="V457" s="5">
        <f>VLOOKUP(Q457,POP!$B$5:$M$269,8,FALSE)</f>
        <v>3607901</v>
      </c>
      <c r="W457" s="4">
        <v>3607901</v>
      </c>
      <c r="X457">
        <f>VLOOKUP(Q457,YU!$B$1:$M$266,8,FALSE)</f>
        <v>25.202999999999999</v>
      </c>
      <c r="Y457" s="4">
        <v>25.202999999999999</v>
      </c>
      <c r="AA457">
        <f t="shared" si="42"/>
        <v>9.3587410241810289</v>
      </c>
      <c r="AB457">
        <f t="shared" si="43"/>
        <v>-1.1656556779314009</v>
      </c>
      <c r="AC457" s="4">
        <v>-1.1656556779313989</v>
      </c>
      <c r="AD457">
        <v>-0.81324838727739035</v>
      </c>
      <c r="AE457">
        <v>9.8875940170940169</v>
      </c>
      <c r="AG457" s="12">
        <f t="shared" si="44"/>
        <v>3.8198777474462986E-11</v>
      </c>
      <c r="AH457" s="12">
        <f t="shared" si="45"/>
        <v>0</v>
      </c>
      <c r="AI457" s="13">
        <f t="shared" si="46"/>
        <v>0</v>
      </c>
      <c r="AJ457" s="14">
        <f t="shared" si="47"/>
        <v>-0.28410425110389692</v>
      </c>
    </row>
    <row r="458" spans="1:36" x14ac:dyDescent="0.2">
      <c r="A458">
        <v>2022</v>
      </c>
      <c r="B458" t="s">
        <v>399</v>
      </c>
      <c r="C458">
        <f>VLOOKUP(B458,Sheet5!$B$2:$C$2166,2,FALSE)</f>
        <v>350</v>
      </c>
      <c r="D458">
        <v>410</v>
      </c>
      <c r="E458">
        <v>150</v>
      </c>
      <c r="F458" t="s">
        <v>217</v>
      </c>
      <c r="G458">
        <v>0</v>
      </c>
      <c r="H458">
        <v>6.0161571596983539</v>
      </c>
      <c r="I458">
        <v>0</v>
      </c>
      <c r="J458">
        <v>0</v>
      </c>
      <c r="K458">
        <v>1</v>
      </c>
      <c r="L458">
        <v>2</v>
      </c>
      <c r="M458" t="s">
        <v>119</v>
      </c>
      <c r="N458" t="s">
        <v>120</v>
      </c>
      <c r="O458">
        <v>0.26893988985655282</v>
      </c>
      <c r="P458">
        <v>0</v>
      </c>
      <c r="Q458" t="s">
        <v>400</v>
      </c>
      <c r="R458" t="str">
        <f>VLOOKUP(Q458,GDP!$A$2:$B$266,1,FALSE)</f>
        <v>LBN</v>
      </c>
      <c r="S458" t="str">
        <f>VLOOKUP(Q458,GDP!$A$2:$B$266,2,FALSE)</f>
        <v>Lebanon</v>
      </c>
      <c r="T458">
        <f>VLOOKUP(Q458,GDP!$A$1:$L$266,9,FALSE)</f>
        <v>11474.750584555837</v>
      </c>
      <c r="U458" s="4">
        <v>11474.750584555801</v>
      </c>
      <c r="V458" s="5">
        <f>VLOOKUP(Q458,POP!$B$5:$M$269,9,FALSE)</f>
        <v>3636328</v>
      </c>
      <c r="W458" s="4">
        <v>3636328</v>
      </c>
      <c r="X458">
        <f>VLOOKUP(Q458,YU!$B$1:$M$266,9,FALSE)</f>
        <v>22.9</v>
      </c>
      <c r="Y458" s="4">
        <v>22.9</v>
      </c>
      <c r="Z458">
        <v>1.3315142762871099</v>
      </c>
      <c r="AA458">
        <f t="shared" si="42"/>
        <v>9.3479042991418364</v>
      </c>
      <c r="AB458">
        <f t="shared" si="43"/>
        <v>-1.1764924029705934</v>
      </c>
      <c r="AC458" s="4">
        <v>-1.1764924029705921</v>
      </c>
      <c r="AD458">
        <v>-0.80540016880937593</v>
      </c>
      <c r="AE458">
        <v>7.584594017094016</v>
      </c>
      <c r="AG458" s="12">
        <f t="shared" si="44"/>
        <v>3.637978807091713E-11</v>
      </c>
      <c r="AH458" s="12">
        <f t="shared" si="45"/>
        <v>0</v>
      </c>
      <c r="AI458" s="13">
        <f t="shared" si="46"/>
        <v>0</v>
      </c>
      <c r="AJ458" s="14">
        <f t="shared" si="47"/>
        <v>-0.15822400521489488</v>
      </c>
    </row>
    <row r="459" spans="1:36" x14ac:dyDescent="0.2">
      <c r="A459">
        <v>2023</v>
      </c>
      <c r="B459" t="s">
        <v>399</v>
      </c>
      <c r="C459">
        <f>VLOOKUP(B459,Sheet5!$B$2:$C$2166,2,FALSE)</f>
        <v>350</v>
      </c>
      <c r="D459">
        <v>330</v>
      </c>
      <c r="E459">
        <v>110</v>
      </c>
      <c r="F459" t="s">
        <v>403</v>
      </c>
      <c r="G459">
        <v>0</v>
      </c>
      <c r="H459">
        <v>5.7990926544605257</v>
      </c>
      <c r="I459">
        <v>0</v>
      </c>
      <c r="J459">
        <v>0</v>
      </c>
      <c r="K459">
        <v>1</v>
      </c>
      <c r="L459">
        <v>3</v>
      </c>
      <c r="M459" t="s">
        <v>119</v>
      </c>
      <c r="N459" t="s">
        <v>120</v>
      </c>
      <c r="O459">
        <v>0.26893988985655282</v>
      </c>
      <c r="P459">
        <v>0</v>
      </c>
      <c r="Q459" t="s">
        <v>400</v>
      </c>
      <c r="R459" t="str">
        <f>VLOOKUP(Q459,GDP!$A$2:$B$266,1,FALSE)</f>
        <v>LBN</v>
      </c>
      <c r="S459" t="str">
        <f>VLOOKUP(Q459,GDP!$A$2:$B$266,2,FALSE)</f>
        <v>Lebanon</v>
      </c>
      <c r="T459">
        <f>VLOOKUP(Q459,GDP!$A$1:$L$266,10,FALSE)</f>
        <v>11330.268738742221</v>
      </c>
      <c r="U459" s="4">
        <v>11330.268738742199</v>
      </c>
      <c r="V459" s="5">
        <f>VLOOKUP(Q459,POP!$B$5:$M$269,10,FALSE)</f>
        <v>3663844</v>
      </c>
      <c r="W459" s="4">
        <v>3663844</v>
      </c>
      <c r="X459">
        <f>VLOOKUP(Q459,YU!$B$1:$M$266,10,FALSE)</f>
        <v>22.744</v>
      </c>
      <c r="Y459" s="4">
        <v>22.744</v>
      </c>
      <c r="Z459">
        <v>1.5041636110808601</v>
      </c>
      <c r="AA459">
        <f t="shared" si="42"/>
        <v>9.3352330729589568</v>
      </c>
      <c r="AB459">
        <f t="shared" si="43"/>
        <v>-1.1891636291534731</v>
      </c>
      <c r="AC459" s="4">
        <v>-1.18916362915347</v>
      </c>
      <c r="AD459">
        <v>-0.79786168059065332</v>
      </c>
      <c r="AE459">
        <v>7.4285940170940172</v>
      </c>
      <c r="AG459" s="12">
        <f t="shared" si="44"/>
        <v>2.1827872842550278E-11</v>
      </c>
      <c r="AH459" s="12">
        <f t="shared" si="45"/>
        <v>0</v>
      </c>
      <c r="AI459" s="13">
        <f t="shared" si="46"/>
        <v>0</v>
      </c>
      <c r="AJ459" s="14">
        <f t="shared" si="47"/>
        <v>5.8840500022933284E-2</v>
      </c>
    </row>
    <row r="460" spans="1:36" x14ac:dyDescent="0.2">
      <c r="A460" s="4">
        <v>2024</v>
      </c>
      <c r="B460" s="4" t="s">
        <v>399</v>
      </c>
      <c r="C460">
        <f>VLOOKUP(B460,Sheet5!$B$2:$C$2166,2,FALSE)</f>
        <v>350</v>
      </c>
      <c r="D460" s="4">
        <v>400</v>
      </c>
      <c r="E460" s="4">
        <v>150</v>
      </c>
      <c r="F460" s="4" t="s">
        <v>118</v>
      </c>
      <c r="G460" s="4">
        <v>0</v>
      </c>
      <c r="H460" s="4">
        <v>5.9914645471079817</v>
      </c>
      <c r="I460" s="4">
        <v>0</v>
      </c>
      <c r="J460" s="4">
        <v>0</v>
      </c>
      <c r="K460" s="4">
        <v>1</v>
      </c>
      <c r="L460" s="4">
        <v>4</v>
      </c>
      <c r="M460" s="4" t="s">
        <v>119</v>
      </c>
      <c r="N460" s="4" t="s">
        <v>120</v>
      </c>
      <c r="O460" s="4">
        <v>0.26893988985655282</v>
      </c>
      <c r="P460" s="4">
        <v>0</v>
      </c>
      <c r="Q460" s="4" t="s">
        <v>400</v>
      </c>
      <c r="R460" s="4" t="str">
        <f>VLOOKUP(Q460,GDP!$A$2:$B$266,1,FALSE)</f>
        <v>LBN</v>
      </c>
      <c r="S460" s="4" t="str">
        <f>VLOOKUP(Q460,GDP!$A$2:$B$266,2,FALSE)</f>
        <v>Lebanon</v>
      </c>
      <c r="T460" s="4">
        <f>VLOOKUP(Q460,GDP!$A$1:$L$266,11,FALSE)</f>
        <v>10469.221096693158</v>
      </c>
      <c r="U460" s="4">
        <v>10469.2210966932</v>
      </c>
      <c r="V460" s="4">
        <f>VLOOKUP(Q460,POP!$B$5:$M$269,11,FALSE)</f>
        <v>3696945</v>
      </c>
      <c r="W460" s="4">
        <v>3696945</v>
      </c>
      <c r="X460" s="4">
        <f>VLOOKUP(Q460,YU!$B$1:$M$266,11,FALSE)</f>
        <v>0</v>
      </c>
      <c r="Y460" s="4">
        <v>22.821999999999999</v>
      </c>
      <c r="Z460" s="4">
        <v>1.2249086999308501</v>
      </c>
      <c r="AA460" s="4">
        <f t="shared" si="42"/>
        <v>9.2561949072761323</v>
      </c>
      <c r="AB460" s="4">
        <f t="shared" si="43"/>
        <v>-1.2682017948362976</v>
      </c>
      <c r="AC460" s="4">
        <v>-1.2682017948362889</v>
      </c>
      <c r="AD460" s="4">
        <v>-0.78886774716032804</v>
      </c>
      <c r="AE460" s="4">
        <v>7.5065940170940166</v>
      </c>
      <c r="AF460" s="4"/>
      <c r="AG460" s="12">
        <f t="shared" si="44"/>
        <v>-4.1836756281554699E-11</v>
      </c>
      <c r="AH460" s="12">
        <f t="shared" si="45"/>
        <v>0</v>
      </c>
      <c r="AI460" s="13">
        <f t="shared" si="46"/>
        <v>-22.821999999999999</v>
      </c>
      <c r="AJ460" s="14">
        <f t="shared" si="47"/>
        <v>-0.13353139262452274</v>
      </c>
    </row>
    <row r="461" spans="1:36" x14ac:dyDescent="0.2">
      <c r="A461">
        <v>2016</v>
      </c>
      <c r="B461" t="s">
        <v>404</v>
      </c>
      <c r="C461">
        <f>VLOOKUP(B461,Sheet5!$B$2:$C$2166,2,FALSE)</f>
        <v>5695</v>
      </c>
      <c r="D461">
        <v>5695</v>
      </c>
      <c r="E461">
        <v>3460</v>
      </c>
      <c r="F461" t="s">
        <v>160</v>
      </c>
      <c r="G461">
        <v>15</v>
      </c>
      <c r="H461">
        <v>8.6473438758812833</v>
      </c>
      <c r="I461">
        <v>0</v>
      </c>
      <c r="J461">
        <v>0</v>
      </c>
      <c r="K461">
        <v>0</v>
      </c>
      <c r="L461">
        <v>-4</v>
      </c>
      <c r="M461" t="s">
        <v>119</v>
      </c>
      <c r="N461" t="s">
        <v>120</v>
      </c>
      <c r="O461">
        <v>2.5301780047786688</v>
      </c>
      <c r="P461">
        <v>0</v>
      </c>
      <c r="Q461" t="s">
        <v>405</v>
      </c>
      <c r="R461" t="str">
        <f>VLOOKUP(Q461,GDP!$A$2:$B$266,1,FALSE)</f>
        <v>MYS</v>
      </c>
      <c r="S461" t="str">
        <f>VLOOKUP(Q461,GDP!$A$2:$B$266,2,FALSE)</f>
        <v>Malaysia</v>
      </c>
      <c r="T461">
        <f>VLOOKUP(Q461,GDP!$A$1:$C$266,3,FALSE)</f>
        <v>28425.370760941158</v>
      </c>
      <c r="U461" s="4">
        <v>28425.370760941201</v>
      </c>
      <c r="V461" s="5">
        <f>VLOOKUP(Q461,POP!$B$5:$M$269,3,FALSE)</f>
        <v>21813486</v>
      </c>
      <c r="W461" s="4">
        <v>21813486</v>
      </c>
      <c r="X461">
        <f>VLOOKUP(Q461,YU!$B$1:$D$266,3,FALSE)</f>
        <v>10.836</v>
      </c>
      <c r="Y461" s="4">
        <v>10.836</v>
      </c>
      <c r="Z461">
        <v>4.7519102096557599</v>
      </c>
      <c r="AA461">
        <f t="shared" si="42"/>
        <v>10.25503736201445</v>
      </c>
      <c r="AB461">
        <f t="shared" si="43"/>
        <v>-0.26935934009797968</v>
      </c>
      <c r="AC461" s="4">
        <v>-0.26935934009797258</v>
      </c>
      <c r="AD461">
        <v>0.98615385230247377</v>
      </c>
      <c r="AE461">
        <v>-4.4794059829059822</v>
      </c>
      <c r="AG461" s="12">
        <f t="shared" si="44"/>
        <v>-4.3655745685100555E-11</v>
      </c>
      <c r="AH461" s="12">
        <f t="shared" si="45"/>
        <v>0</v>
      </c>
      <c r="AI461" s="13">
        <f t="shared" si="46"/>
        <v>0</v>
      </c>
      <c r="AJ461" s="14">
        <f t="shared" si="47"/>
        <v>0</v>
      </c>
    </row>
    <row r="462" spans="1:36" x14ac:dyDescent="0.2">
      <c r="A462">
        <v>2017</v>
      </c>
      <c r="B462" t="s">
        <v>404</v>
      </c>
      <c r="C462">
        <f>VLOOKUP(B462,Sheet5!$B$2:$C$2166,2,FALSE)</f>
        <v>5695</v>
      </c>
      <c r="D462">
        <v>4855</v>
      </c>
      <c r="E462">
        <v>3090</v>
      </c>
      <c r="F462" t="s">
        <v>314</v>
      </c>
      <c r="G462">
        <v>10</v>
      </c>
      <c r="H462">
        <v>8.4877643807254248</v>
      </c>
      <c r="I462">
        <v>0</v>
      </c>
      <c r="J462">
        <v>0</v>
      </c>
      <c r="K462">
        <v>0</v>
      </c>
      <c r="L462">
        <v>-3</v>
      </c>
      <c r="M462" t="s">
        <v>119</v>
      </c>
      <c r="N462" t="s">
        <v>120</v>
      </c>
      <c r="O462">
        <v>2.5301780047786688</v>
      </c>
      <c r="P462">
        <v>0</v>
      </c>
      <c r="Q462" t="s">
        <v>405</v>
      </c>
      <c r="R462" t="str">
        <f>VLOOKUP(Q462,GDP!$A$2:$B$266,1,FALSE)</f>
        <v>MYS</v>
      </c>
      <c r="S462" t="str">
        <f>VLOOKUP(Q462,GDP!$A$2:$B$266,2,FALSE)</f>
        <v>Malaysia</v>
      </c>
      <c r="T462">
        <f>VLOOKUP(Q462,GDP!$A$1:$L$266,4,FALSE)</f>
        <v>29551.545759719724</v>
      </c>
      <c r="U462" s="4">
        <v>29551.545759719698</v>
      </c>
      <c r="V462" s="5">
        <f>VLOOKUP(Q462,POP!$B$5:$M$269,4,FALSE)</f>
        <v>22238297</v>
      </c>
      <c r="W462" s="4">
        <v>22238297</v>
      </c>
      <c r="X462">
        <f>VLOOKUP(Q462,YU!$B$1:$M$266,4,FALSE)</f>
        <v>11.276999999999999</v>
      </c>
      <c r="Y462" s="4">
        <v>11.276999999999999</v>
      </c>
      <c r="Z462">
        <v>4.6753101348876998</v>
      </c>
      <c r="AA462">
        <f t="shared" si="42"/>
        <v>10.29389133143972</v>
      </c>
      <c r="AB462">
        <f t="shared" si="43"/>
        <v>-0.23050537067270938</v>
      </c>
      <c r="AC462" s="4">
        <v>-0.23050537067270579</v>
      </c>
      <c r="AD462">
        <v>1.005441342632535</v>
      </c>
      <c r="AE462">
        <v>-4.0384059829059833</v>
      </c>
      <c r="AG462" s="12">
        <f t="shared" si="44"/>
        <v>0</v>
      </c>
      <c r="AH462" s="12">
        <f t="shared" si="45"/>
        <v>0</v>
      </c>
      <c r="AI462" s="13">
        <f t="shared" si="46"/>
        <v>0</v>
      </c>
      <c r="AJ462" s="14">
        <f t="shared" si="47"/>
        <v>0.15957949515585845</v>
      </c>
    </row>
    <row r="463" spans="1:36" x14ac:dyDescent="0.2">
      <c r="A463">
        <v>2018</v>
      </c>
      <c r="B463" t="s">
        <v>404</v>
      </c>
      <c r="C463">
        <f>VLOOKUP(B463,Sheet5!$B$2:$C$2166,2,FALSE)</f>
        <v>5695</v>
      </c>
      <c r="D463">
        <v>4430</v>
      </c>
      <c r="E463">
        <v>2875</v>
      </c>
      <c r="F463" t="s">
        <v>111</v>
      </c>
      <c r="G463">
        <v>15</v>
      </c>
      <c r="H463">
        <v>8.3961548630391807</v>
      </c>
      <c r="I463">
        <v>0</v>
      </c>
      <c r="J463">
        <v>0</v>
      </c>
      <c r="K463">
        <v>0</v>
      </c>
      <c r="L463">
        <v>-2</v>
      </c>
      <c r="M463" t="s">
        <v>119</v>
      </c>
      <c r="N463" t="s">
        <v>120</v>
      </c>
      <c r="O463">
        <v>2.5301780047786688</v>
      </c>
      <c r="P463">
        <v>0</v>
      </c>
      <c r="Q463" t="s">
        <v>405</v>
      </c>
      <c r="R463" t="str">
        <f>VLOOKUP(Q463,GDP!$A$2:$B$266,1,FALSE)</f>
        <v>MYS</v>
      </c>
      <c r="S463" t="str">
        <f>VLOOKUP(Q463,GDP!$A$2:$B$266,2,FALSE)</f>
        <v>Malaysia</v>
      </c>
      <c r="T463">
        <f>VLOOKUP(Q463,GDP!$A$1:$L$266,5,FALSE)</f>
        <v>30459.965533806091</v>
      </c>
      <c r="U463" s="4">
        <v>30459.965533806098</v>
      </c>
      <c r="V463" s="5">
        <f>VLOOKUP(Q463,POP!$B$5:$M$269,5,FALSE)</f>
        <v>22661661</v>
      </c>
      <c r="W463" s="4">
        <v>22661661</v>
      </c>
      <c r="X463">
        <f>VLOOKUP(Q463,YU!$B$1:$M$266,5,FALSE)</f>
        <v>11.395</v>
      </c>
      <c r="Y463" s="4">
        <v>11.395</v>
      </c>
      <c r="Z463">
        <v>4.4786500930786097</v>
      </c>
      <c r="AA463">
        <f t="shared" si="42"/>
        <v>10.324168494925404</v>
      </c>
      <c r="AB463">
        <f t="shared" si="43"/>
        <v>-0.20022820718702583</v>
      </c>
      <c r="AC463" s="4">
        <v>-0.2002282071870205</v>
      </c>
      <c r="AD463">
        <v>1.024300003807427</v>
      </c>
      <c r="AE463">
        <v>-3.920405982905983</v>
      </c>
      <c r="AG463" s="12">
        <f t="shared" si="44"/>
        <v>0</v>
      </c>
      <c r="AH463" s="12">
        <f t="shared" si="45"/>
        <v>0</v>
      </c>
      <c r="AI463" s="13">
        <f t="shared" si="46"/>
        <v>0</v>
      </c>
      <c r="AJ463" s="14">
        <f t="shared" si="47"/>
        <v>0.2511890128421026</v>
      </c>
    </row>
    <row r="464" spans="1:36" x14ac:dyDescent="0.2">
      <c r="A464">
        <v>2019</v>
      </c>
      <c r="B464" t="s">
        <v>404</v>
      </c>
      <c r="C464">
        <f>VLOOKUP(B464,Sheet5!$B$2:$C$2166,2,FALSE)</f>
        <v>5695</v>
      </c>
      <c r="D464">
        <v>4410</v>
      </c>
      <c r="E464">
        <v>2745</v>
      </c>
      <c r="F464" t="s">
        <v>110</v>
      </c>
      <c r="G464">
        <v>10</v>
      </c>
      <c r="H464">
        <v>8.3916299684408919</v>
      </c>
      <c r="I464">
        <v>0</v>
      </c>
      <c r="J464">
        <v>0</v>
      </c>
      <c r="K464">
        <v>0</v>
      </c>
      <c r="L464">
        <v>-1</v>
      </c>
      <c r="M464" t="s">
        <v>119</v>
      </c>
      <c r="N464" t="s">
        <v>120</v>
      </c>
      <c r="O464">
        <v>2.5301780047786688</v>
      </c>
      <c r="P464">
        <v>0</v>
      </c>
      <c r="Q464" t="s">
        <v>405</v>
      </c>
      <c r="R464" t="str">
        <f>VLOOKUP(Q464,GDP!$A$2:$B$266,1,FALSE)</f>
        <v>MYS</v>
      </c>
      <c r="S464" t="str">
        <f>VLOOKUP(Q464,GDP!$A$2:$B$266,2,FALSE)</f>
        <v>Malaysia</v>
      </c>
      <c r="T464">
        <f>VLOOKUP(Q464,GDP!$A$1:$L$266,6,FALSE)</f>
        <v>31300.508655484915</v>
      </c>
      <c r="U464" s="4">
        <v>31300.5086554849</v>
      </c>
      <c r="V464" s="5">
        <f>VLOOKUP(Q464,POP!$B$5:$M$269,6,FALSE)</f>
        <v>23088580</v>
      </c>
      <c r="W464" s="4">
        <v>23088580</v>
      </c>
      <c r="X464">
        <f>VLOOKUP(Q464,YU!$B$1:$M$266,6,FALSE)</f>
        <v>11.211</v>
      </c>
      <c r="Y464" s="4">
        <v>11.211</v>
      </c>
      <c r="Z464">
        <v>4.1577501296997097</v>
      </c>
      <c r="AA464">
        <f t="shared" si="42"/>
        <v>10.351389627370159</v>
      </c>
      <c r="AB464">
        <f t="shared" si="43"/>
        <v>-0.17300707474227117</v>
      </c>
      <c r="AC464" s="4">
        <v>-0.17300707474226759</v>
      </c>
      <c r="AD464">
        <v>1.04296357291418</v>
      </c>
      <c r="AE464">
        <v>-4.1044059829059822</v>
      </c>
      <c r="AG464" s="12">
        <f t="shared" si="44"/>
        <v>0</v>
      </c>
      <c r="AH464" s="12">
        <f t="shared" si="45"/>
        <v>0</v>
      </c>
      <c r="AI464" s="13">
        <f t="shared" si="46"/>
        <v>0</v>
      </c>
      <c r="AJ464" s="14">
        <f t="shared" si="47"/>
        <v>0.25571390744039135</v>
      </c>
    </row>
    <row r="465" spans="1:36" x14ac:dyDescent="0.2">
      <c r="A465">
        <v>2020</v>
      </c>
      <c r="B465" t="s">
        <v>404</v>
      </c>
      <c r="C465">
        <f>VLOOKUP(B465,Sheet5!$B$2:$C$2166,2,FALSE)</f>
        <v>5695</v>
      </c>
      <c r="D465">
        <v>4010</v>
      </c>
      <c r="E465">
        <v>2425</v>
      </c>
      <c r="F465" t="s">
        <v>39</v>
      </c>
      <c r="G465">
        <v>15</v>
      </c>
      <c r="H465">
        <v>8.2965465203006143</v>
      </c>
      <c r="I465">
        <v>0</v>
      </c>
      <c r="J465">
        <v>0</v>
      </c>
      <c r="K465">
        <v>0</v>
      </c>
      <c r="L465">
        <v>0</v>
      </c>
      <c r="M465" t="s">
        <v>119</v>
      </c>
      <c r="N465" t="s">
        <v>120</v>
      </c>
      <c r="O465">
        <v>2.5301780047786688</v>
      </c>
      <c r="P465">
        <v>0</v>
      </c>
      <c r="Q465" t="s">
        <v>405</v>
      </c>
      <c r="R465" t="str">
        <f>VLOOKUP(Q465,GDP!$A$2:$B$266,1,FALSE)</f>
        <v>MYS</v>
      </c>
      <c r="S465" t="str">
        <f>VLOOKUP(Q465,GDP!$A$2:$B$266,2,FALSE)</f>
        <v>Malaysia</v>
      </c>
      <c r="T465">
        <f>VLOOKUP(Q465,GDP!$A$1:$L$266,7,FALSE)</f>
        <v>29200.452632127035</v>
      </c>
      <c r="U465" s="4">
        <v>29200.452632126999</v>
      </c>
      <c r="V465" s="5">
        <f>VLOOKUP(Q465,POP!$B$5:$M$269,7,FALSE)</f>
        <v>23490230</v>
      </c>
      <c r="W465" s="4">
        <v>23490230</v>
      </c>
      <c r="X465">
        <f>VLOOKUP(Q465,YU!$B$1:$M$266,7,FALSE)</f>
        <v>12.365</v>
      </c>
      <c r="Y465" s="4">
        <v>12.365</v>
      </c>
      <c r="Z465">
        <v>3.9117600917816202</v>
      </c>
      <c r="AA465">
        <f t="shared" si="42"/>
        <v>10.281939489236473</v>
      </c>
      <c r="AB465">
        <f t="shared" si="43"/>
        <v>-0.24245721287595678</v>
      </c>
      <c r="AC465" s="4">
        <v>-0.2424572128759532</v>
      </c>
      <c r="AD465">
        <v>1.060210039946559</v>
      </c>
      <c r="AE465">
        <v>-2.9504059829059819</v>
      </c>
      <c r="AG465" s="12">
        <f t="shared" si="44"/>
        <v>3.637978807091713E-11</v>
      </c>
      <c r="AH465" s="12">
        <f t="shared" si="45"/>
        <v>0</v>
      </c>
      <c r="AI465" s="13">
        <f t="shared" si="46"/>
        <v>0</v>
      </c>
      <c r="AJ465" s="14">
        <f t="shared" si="47"/>
        <v>0.35079735558066893</v>
      </c>
    </row>
    <row r="466" spans="1:36" x14ac:dyDescent="0.2">
      <c r="A466">
        <v>2021</v>
      </c>
      <c r="B466" t="s">
        <v>404</v>
      </c>
      <c r="C466">
        <f>VLOOKUP(B466,Sheet5!$B$2:$C$2166,2,FALSE)</f>
        <v>5695</v>
      </c>
      <c r="D466">
        <v>4275</v>
      </c>
      <c r="E466">
        <v>2825</v>
      </c>
      <c r="F466" t="s">
        <v>406</v>
      </c>
      <c r="G466">
        <v>15</v>
      </c>
      <c r="H466">
        <v>8.3605393813708613</v>
      </c>
      <c r="I466">
        <v>0</v>
      </c>
      <c r="J466">
        <v>0</v>
      </c>
      <c r="K466">
        <v>1</v>
      </c>
      <c r="L466">
        <v>1</v>
      </c>
      <c r="M466" t="s">
        <v>119</v>
      </c>
      <c r="N466" t="s">
        <v>120</v>
      </c>
      <c r="O466">
        <v>2.5301780047786688</v>
      </c>
      <c r="P466">
        <v>0</v>
      </c>
      <c r="Q466" t="s">
        <v>405</v>
      </c>
      <c r="R466" t="str">
        <f>VLOOKUP(Q466,GDP!$A$2:$B$266,1,FALSE)</f>
        <v>MYS</v>
      </c>
      <c r="S466" t="str">
        <f>VLOOKUP(Q466,GDP!$A$2:$B$266,2,FALSE)</f>
        <v>Malaysia</v>
      </c>
      <c r="T466">
        <f>VLOOKUP(Q466,GDP!$A$1:$L$266,8,FALSE)</f>
        <v>29822.849183161834</v>
      </c>
      <c r="U466" s="4">
        <v>29822.849183161801</v>
      </c>
      <c r="V466" s="5">
        <f>VLOOKUP(Q466,POP!$B$5:$M$269,8,FALSE)</f>
        <v>23877045</v>
      </c>
      <c r="W466" s="4">
        <v>23877045</v>
      </c>
      <c r="X466">
        <f>VLOOKUP(Q466,YU!$B$1:$M$266,8,FALSE)</f>
        <v>11.579000000000001</v>
      </c>
      <c r="Y466" s="4">
        <v>11.579000000000001</v>
      </c>
      <c r="Z466">
        <v>4.2610939339886702</v>
      </c>
      <c r="AA466">
        <f t="shared" si="42"/>
        <v>10.303030129802847</v>
      </c>
      <c r="AB466">
        <f t="shared" si="43"/>
        <v>-0.22136657230958257</v>
      </c>
      <c r="AC466" s="4">
        <v>-0.22136657230957721</v>
      </c>
      <c r="AD466">
        <v>1.0765429870720009</v>
      </c>
      <c r="AE466">
        <v>-3.7364059829059819</v>
      </c>
      <c r="AG466" s="12">
        <f t="shared" si="44"/>
        <v>3.2741809263825417E-11</v>
      </c>
      <c r="AH466" s="12">
        <f t="shared" si="45"/>
        <v>0</v>
      </c>
      <c r="AI466" s="13">
        <f t="shared" si="46"/>
        <v>0</v>
      </c>
      <c r="AJ466" s="14">
        <f t="shared" si="47"/>
        <v>0.286804494510422</v>
      </c>
    </row>
    <row r="467" spans="1:36" x14ac:dyDescent="0.2">
      <c r="A467">
        <v>2022</v>
      </c>
      <c r="B467" t="s">
        <v>404</v>
      </c>
      <c r="C467">
        <f>VLOOKUP(B467,Sheet5!$B$2:$C$2166,2,FALSE)</f>
        <v>5695</v>
      </c>
      <c r="D467">
        <v>4420</v>
      </c>
      <c r="E467">
        <v>2845</v>
      </c>
      <c r="F467" t="s">
        <v>407</v>
      </c>
      <c r="G467">
        <v>15</v>
      </c>
      <c r="H467">
        <v>8.3938949750717438</v>
      </c>
      <c r="I467">
        <v>0</v>
      </c>
      <c r="J467">
        <v>0</v>
      </c>
      <c r="K467">
        <v>1</v>
      </c>
      <c r="L467">
        <v>2</v>
      </c>
      <c r="M467" t="s">
        <v>119</v>
      </c>
      <c r="N467" t="s">
        <v>120</v>
      </c>
      <c r="O467">
        <v>2.5301780047786688</v>
      </c>
      <c r="P467">
        <v>0</v>
      </c>
      <c r="Q467" t="s">
        <v>405</v>
      </c>
      <c r="R467" t="str">
        <f>VLOOKUP(Q467,GDP!$A$2:$B$266,1,FALSE)</f>
        <v>MYS</v>
      </c>
      <c r="S467" t="str">
        <f>VLOOKUP(Q467,GDP!$A$2:$B$266,2,FALSE)</f>
        <v>Malaysia</v>
      </c>
      <c r="T467">
        <f>VLOOKUP(Q467,GDP!$A$1:$L$266,9,FALSE)</f>
        <v>32129.221782011253</v>
      </c>
      <c r="U467" s="4">
        <v>32129.2217820113</v>
      </c>
      <c r="V467" s="5">
        <f>VLOOKUP(Q467,POP!$B$5:$M$269,9,FALSE)</f>
        <v>24280146</v>
      </c>
      <c r="W467" s="4">
        <v>24280146</v>
      </c>
      <c r="X467">
        <f>VLOOKUP(Q467,YU!$B$1:$M$266,9,FALSE)</f>
        <v>12.159000000000001</v>
      </c>
      <c r="Y467" s="4">
        <v>12.159000000000001</v>
      </c>
      <c r="Z467">
        <v>3.49933781956284</v>
      </c>
      <c r="AA467">
        <f t="shared" si="42"/>
        <v>10.377521230901891</v>
      </c>
      <c r="AB467">
        <f t="shared" si="43"/>
        <v>-0.14687547121053868</v>
      </c>
      <c r="AC467" s="4">
        <v>-0.1468754712105316</v>
      </c>
      <c r="AD467">
        <v>1.093284429275871</v>
      </c>
      <c r="AE467">
        <v>-3.1564059829059818</v>
      </c>
      <c r="AG467" s="12">
        <f t="shared" si="44"/>
        <v>-4.7293724492192268E-11</v>
      </c>
      <c r="AH467" s="12">
        <f t="shared" si="45"/>
        <v>0</v>
      </c>
      <c r="AI467" s="13">
        <f t="shared" si="46"/>
        <v>0</v>
      </c>
      <c r="AJ467" s="14">
        <f t="shared" si="47"/>
        <v>0.25344890080953952</v>
      </c>
    </row>
    <row r="468" spans="1:36" x14ac:dyDescent="0.2">
      <c r="A468">
        <v>2023</v>
      </c>
      <c r="B468" t="s">
        <v>404</v>
      </c>
      <c r="C468">
        <f>VLOOKUP(B468,Sheet5!$B$2:$C$2166,2,FALSE)</f>
        <v>5695</v>
      </c>
      <c r="D468">
        <v>4650</v>
      </c>
      <c r="E468">
        <v>2755</v>
      </c>
      <c r="F468" t="s">
        <v>408</v>
      </c>
      <c r="G468">
        <v>10</v>
      </c>
      <c r="H468">
        <v>8.4446224985814027</v>
      </c>
      <c r="I468">
        <v>0</v>
      </c>
      <c r="J468">
        <v>0</v>
      </c>
      <c r="K468">
        <v>1</v>
      </c>
      <c r="L468">
        <v>3</v>
      </c>
      <c r="M468" t="s">
        <v>119</v>
      </c>
      <c r="N468" t="s">
        <v>120</v>
      </c>
      <c r="O468">
        <v>2.5301780047786688</v>
      </c>
      <c r="P468">
        <v>0</v>
      </c>
      <c r="Q468" t="s">
        <v>405</v>
      </c>
      <c r="R468" t="str">
        <f>VLOOKUP(Q468,GDP!$A$2:$B$266,1,FALSE)</f>
        <v>MYS</v>
      </c>
      <c r="S468" t="str">
        <f>VLOOKUP(Q468,GDP!$A$2:$B$266,2,FALSE)</f>
        <v>Malaysia</v>
      </c>
      <c r="T468">
        <f>VLOOKUP(Q468,GDP!$A$1:$L$266,10,FALSE)</f>
        <v>32857.66766007743</v>
      </c>
      <c r="U468" s="4">
        <v>32857.667660077401</v>
      </c>
      <c r="V468" s="5">
        <f>VLOOKUP(Q468,POP!$B$5:$M$269,10,FALSE)</f>
        <v>24680030</v>
      </c>
      <c r="W468" s="4">
        <v>24680030</v>
      </c>
      <c r="X468">
        <f>VLOOKUP(Q468,YU!$B$1:$M$266,10,FALSE)</f>
        <v>12.146000000000001</v>
      </c>
      <c r="Y468" s="4">
        <v>12.146000000000001</v>
      </c>
      <c r="Z468">
        <v>3.51481008529663</v>
      </c>
      <c r="AA468">
        <f t="shared" si="42"/>
        <v>10.399940410985691</v>
      </c>
      <c r="AB468">
        <f t="shared" si="43"/>
        <v>-0.12445629112673906</v>
      </c>
      <c r="AC468" s="4">
        <v>-0.12445629112673549</v>
      </c>
      <c r="AD468">
        <v>1.109619864518683</v>
      </c>
      <c r="AE468">
        <v>-3.1694059829059822</v>
      </c>
      <c r="AG468" s="12">
        <f t="shared" si="44"/>
        <v>0</v>
      </c>
      <c r="AH468" s="12">
        <f t="shared" si="45"/>
        <v>0</v>
      </c>
      <c r="AI468" s="13">
        <f t="shared" si="46"/>
        <v>0</v>
      </c>
      <c r="AJ468" s="14">
        <f t="shared" si="47"/>
        <v>0.2027213772998806</v>
      </c>
    </row>
    <row r="469" spans="1:36" x14ac:dyDescent="0.2">
      <c r="A469">
        <v>2024</v>
      </c>
      <c r="B469" t="s">
        <v>404</v>
      </c>
      <c r="C469">
        <f>VLOOKUP(B469,Sheet5!$B$2:$C$2166,2,FALSE)</f>
        <v>5695</v>
      </c>
      <c r="D469">
        <v>4535</v>
      </c>
      <c r="E469">
        <v>2705</v>
      </c>
      <c r="F469" t="s">
        <v>409</v>
      </c>
      <c r="G469">
        <v>20</v>
      </c>
      <c r="H469">
        <v>8.4195803625492367</v>
      </c>
      <c r="I469">
        <v>0</v>
      </c>
      <c r="J469">
        <v>0</v>
      </c>
      <c r="K469">
        <v>1</v>
      </c>
      <c r="L469">
        <v>4</v>
      </c>
      <c r="M469" t="s">
        <v>119</v>
      </c>
      <c r="N469" t="s">
        <v>120</v>
      </c>
      <c r="O469">
        <v>2.5301780047786688</v>
      </c>
      <c r="P469">
        <v>0</v>
      </c>
      <c r="Q469" t="s">
        <v>405</v>
      </c>
      <c r="R469" t="str">
        <f>VLOOKUP(Q469,GDP!$A$2:$B$266,1,FALSE)</f>
        <v>MYS</v>
      </c>
      <c r="S469" t="str">
        <f>VLOOKUP(Q469,GDP!$A$2:$B$266,2,FALSE)</f>
        <v>Malaysia</v>
      </c>
      <c r="T469">
        <f>VLOOKUP(Q469,GDP!$A$1:$L$266,11,FALSE)</f>
        <v>34116.231784888529</v>
      </c>
      <c r="U469" s="4">
        <v>34116.2317848885</v>
      </c>
      <c r="V469" s="5">
        <f>VLOOKUP(Q469,POP!$B$5:$M$269,11,FALSE)</f>
        <v>25059539</v>
      </c>
      <c r="W469" s="4">
        <v>25059539</v>
      </c>
      <c r="X469">
        <f>VLOOKUP(Q469,YU!$B$1:$M$266,11,FALSE)</f>
        <v>12.25</v>
      </c>
      <c r="Y469" s="4">
        <v>12.25</v>
      </c>
      <c r="AA469">
        <f t="shared" si="42"/>
        <v>10.437528555438917</v>
      </c>
      <c r="AB469">
        <f t="shared" si="43"/>
        <v>-8.686814667351328E-2</v>
      </c>
      <c r="AC469" s="4">
        <v>-8.6868146673507951E-2</v>
      </c>
      <c r="AD469">
        <v>1.124880003371834</v>
      </c>
      <c r="AE469">
        <v>-3.065405982905983</v>
      </c>
      <c r="AG469" s="12">
        <f t="shared" si="44"/>
        <v>0</v>
      </c>
      <c r="AH469" s="12">
        <f t="shared" si="45"/>
        <v>0</v>
      </c>
      <c r="AI469" s="13">
        <f t="shared" si="46"/>
        <v>0</v>
      </c>
      <c r="AJ469" s="14">
        <f t="shared" si="47"/>
        <v>0.22776351333204659</v>
      </c>
    </row>
    <row r="471" spans="1:36" x14ac:dyDescent="0.2">
      <c r="Y471" s="9">
        <f>(X458+X459)/2</f>
        <v>22.821999999999999</v>
      </c>
    </row>
  </sheetData>
  <conditionalFormatting sqref="AG1:AI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92D050"/>
        <color rgb="FFFF0000"/>
      </colorScale>
    </cfRule>
    <cfRule type="colorScale" priority="2">
      <colorScale>
        <cfvo type="min"/>
        <cfvo type="max"/>
        <color rgb="FF92D050"/>
        <color rgb="FFFF0000"/>
      </colorScale>
    </cfRule>
    <cfRule type="colorScale" priority="1">
      <colorScale>
        <cfvo type="min"/>
        <cfvo type="max"/>
        <color rgb="FFFF0000"/>
        <color rgb="FF00B050"/>
      </colorScale>
    </cfRule>
  </conditionalFormatting>
  <conditionalFormatting sqref="AJ1:AJ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pageSetup paperSize="9"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1025" r:id="rId3">
          <objectPr defaultSize="0" autoPict="0" r:id="rId4">
            <anchor moveWithCells="1">
              <from>
                <xdr:col>39</xdr:col>
                <xdr:colOff>571500</xdr:colOff>
                <xdr:row>1</xdr:row>
                <xdr:rowOff>76200</xdr:rowOff>
              </from>
              <to>
                <xdr:col>48</xdr:col>
                <xdr:colOff>292100</xdr:colOff>
                <xdr:row>29</xdr:row>
                <xdr:rowOff>0</xdr:rowOff>
              </to>
            </anchor>
          </objectPr>
        </oleObject>
      </mc:Choice>
      <mc:Fallback>
        <oleObject progId="Word.Document.12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CFAC-FF33-B543-9C95-473FD6F13A69}">
  <dimension ref="A1:L266"/>
  <sheetViews>
    <sheetView workbookViewId="0">
      <selection activeCell="C1" sqref="C1:C1048576"/>
    </sheetView>
  </sheetViews>
  <sheetFormatPr baseColWidth="10" defaultRowHeight="15" x14ac:dyDescent="0.2"/>
  <cols>
    <col min="1" max="1" width="8.5" customWidth="1"/>
    <col min="2" max="2" width="31.33203125" customWidth="1"/>
    <col min="3" max="12" width="11.5" bestFit="1" customWidth="1"/>
    <col min="13" max="198" width="8.83203125" customWidth="1"/>
    <col min="199" max="199" width="60.1640625" bestFit="1" customWidth="1"/>
    <col min="200" max="200" width="25.6640625" bestFit="1" customWidth="1"/>
    <col min="201" max="201" width="42.33203125" bestFit="1" customWidth="1"/>
    <col min="202" max="202" width="17.1640625" bestFit="1" customWidth="1"/>
    <col min="203" max="232" width="5" bestFit="1" customWidth="1"/>
    <col min="233" max="268" width="11.5" bestFit="1" customWidth="1"/>
    <col min="269" max="454" width="8.83203125" customWidth="1"/>
    <col min="455" max="455" width="60.1640625" bestFit="1" customWidth="1"/>
    <col min="456" max="456" width="25.6640625" bestFit="1" customWidth="1"/>
    <col min="457" max="457" width="42.33203125" bestFit="1" customWidth="1"/>
    <col min="458" max="458" width="17.1640625" bestFit="1" customWidth="1"/>
    <col min="459" max="488" width="5" bestFit="1" customWidth="1"/>
    <col min="489" max="524" width="11.5" bestFit="1" customWidth="1"/>
    <col min="525" max="710" width="8.83203125" customWidth="1"/>
    <col min="711" max="711" width="60.1640625" bestFit="1" customWidth="1"/>
    <col min="712" max="712" width="25.6640625" bestFit="1" customWidth="1"/>
    <col min="713" max="713" width="42.33203125" bestFit="1" customWidth="1"/>
    <col min="714" max="714" width="17.1640625" bestFit="1" customWidth="1"/>
    <col min="715" max="744" width="5" bestFit="1" customWidth="1"/>
    <col min="745" max="780" width="11.5" bestFit="1" customWidth="1"/>
    <col min="781" max="966" width="8.83203125" customWidth="1"/>
    <col min="967" max="967" width="60.1640625" bestFit="1" customWidth="1"/>
    <col min="968" max="968" width="25.6640625" bestFit="1" customWidth="1"/>
    <col min="969" max="969" width="42.33203125" bestFit="1" customWidth="1"/>
    <col min="970" max="970" width="17.1640625" bestFit="1" customWidth="1"/>
    <col min="971" max="1000" width="5" bestFit="1" customWidth="1"/>
    <col min="1001" max="1036" width="11.5" bestFit="1" customWidth="1"/>
    <col min="1037" max="1222" width="8.83203125" customWidth="1"/>
    <col min="1223" max="1223" width="60.1640625" bestFit="1" customWidth="1"/>
    <col min="1224" max="1224" width="25.6640625" bestFit="1" customWidth="1"/>
    <col min="1225" max="1225" width="42.33203125" bestFit="1" customWidth="1"/>
    <col min="1226" max="1226" width="17.1640625" bestFit="1" customWidth="1"/>
    <col min="1227" max="1256" width="5" bestFit="1" customWidth="1"/>
    <col min="1257" max="1292" width="11.5" bestFit="1" customWidth="1"/>
    <col min="1293" max="1478" width="8.83203125" customWidth="1"/>
    <col min="1479" max="1479" width="60.1640625" bestFit="1" customWidth="1"/>
    <col min="1480" max="1480" width="25.6640625" bestFit="1" customWidth="1"/>
    <col min="1481" max="1481" width="42.33203125" bestFit="1" customWidth="1"/>
    <col min="1482" max="1482" width="17.1640625" bestFit="1" customWidth="1"/>
    <col min="1483" max="1512" width="5" bestFit="1" customWidth="1"/>
    <col min="1513" max="1548" width="11.5" bestFit="1" customWidth="1"/>
    <col min="1549" max="1734" width="8.83203125" customWidth="1"/>
    <col min="1735" max="1735" width="60.1640625" bestFit="1" customWidth="1"/>
    <col min="1736" max="1736" width="25.6640625" bestFit="1" customWidth="1"/>
    <col min="1737" max="1737" width="42.33203125" bestFit="1" customWidth="1"/>
    <col min="1738" max="1738" width="17.1640625" bestFit="1" customWidth="1"/>
    <col min="1739" max="1768" width="5" bestFit="1" customWidth="1"/>
    <col min="1769" max="1804" width="11.5" bestFit="1" customWidth="1"/>
    <col min="1805" max="1990" width="8.83203125" customWidth="1"/>
    <col min="1991" max="1991" width="60.1640625" bestFit="1" customWidth="1"/>
    <col min="1992" max="1992" width="25.6640625" bestFit="1" customWidth="1"/>
    <col min="1993" max="1993" width="42.33203125" bestFit="1" customWidth="1"/>
    <col min="1994" max="1994" width="17.1640625" bestFit="1" customWidth="1"/>
    <col min="1995" max="2024" width="5" bestFit="1" customWidth="1"/>
    <col min="2025" max="2060" width="11.5" bestFit="1" customWidth="1"/>
    <col min="2061" max="2246" width="8.83203125" customWidth="1"/>
    <col min="2247" max="2247" width="60.1640625" bestFit="1" customWidth="1"/>
    <col min="2248" max="2248" width="25.6640625" bestFit="1" customWidth="1"/>
    <col min="2249" max="2249" width="42.33203125" bestFit="1" customWidth="1"/>
    <col min="2250" max="2250" width="17.1640625" bestFit="1" customWidth="1"/>
    <col min="2251" max="2280" width="5" bestFit="1" customWidth="1"/>
    <col min="2281" max="2316" width="11.5" bestFit="1" customWidth="1"/>
    <col min="2317" max="2502" width="8.83203125" customWidth="1"/>
    <col min="2503" max="2503" width="60.1640625" bestFit="1" customWidth="1"/>
    <col min="2504" max="2504" width="25.6640625" bestFit="1" customWidth="1"/>
    <col min="2505" max="2505" width="42.33203125" bestFit="1" customWidth="1"/>
    <col min="2506" max="2506" width="17.1640625" bestFit="1" customWidth="1"/>
    <col min="2507" max="2536" width="5" bestFit="1" customWidth="1"/>
    <col min="2537" max="2572" width="11.5" bestFit="1" customWidth="1"/>
    <col min="2573" max="2758" width="8.83203125" customWidth="1"/>
    <col min="2759" max="2759" width="60.1640625" bestFit="1" customWidth="1"/>
    <col min="2760" max="2760" width="25.6640625" bestFit="1" customWidth="1"/>
    <col min="2761" max="2761" width="42.33203125" bestFit="1" customWidth="1"/>
    <col min="2762" max="2762" width="17.1640625" bestFit="1" customWidth="1"/>
    <col min="2763" max="2792" width="5" bestFit="1" customWidth="1"/>
    <col min="2793" max="2828" width="11.5" bestFit="1" customWidth="1"/>
    <col min="2829" max="3014" width="8.83203125" customWidth="1"/>
    <col min="3015" max="3015" width="60.1640625" bestFit="1" customWidth="1"/>
    <col min="3016" max="3016" width="25.6640625" bestFit="1" customWidth="1"/>
    <col min="3017" max="3017" width="42.33203125" bestFit="1" customWidth="1"/>
    <col min="3018" max="3018" width="17.1640625" bestFit="1" customWidth="1"/>
    <col min="3019" max="3048" width="5" bestFit="1" customWidth="1"/>
    <col min="3049" max="3084" width="11.5" bestFit="1" customWidth="1"/>
    <col min="3085" max="3270" width="8.83203125" customWidth="1"/>
    <col min="3271" max="3271" width="60.1640625" bestFit="1" customWidth="1"/>
    <col min="3272" max="3272" width="25.6640625" bestFit="1" customWidth="1"/>
    <col min="3273" max="3273" width="42.33203125" bestFit="1" customWidth="1"/>
    <col min="3274" max="3274" width="17.1640625" bestFit="1" customWidth="1"/>
    <col min="3275" max="3304" width="5" bestFit="1" customWidth="1"/>
    <col min="3305" max="3340" width="11.5" bestFit="1" customWidth="1"/>
    <col min="3341" max="3526" width="8.83203125" customWidth="1"/>
    <col min="3527" max="3527" width="60.1640625" bestFit="1" customWidth="1"/>
    <col min="3528" max="3528" width="25.6640625" bestFit="1" customWidth="1"/>
    <col min="3529" max="3529" width="42.33203125" bestFit="1" customWidth="1"/>
    <col min="3530" max="3530" width="17.1640625" bestFit="1" customWidth="1"/>
    <col min="3531" max="3560" width="5" bestFit="1" customWidth="1"/>
    <col min="3561" max="3596" width="11.5" bestFit="1" customWidth="1"/>
    <col min="3597" max="3782" width="8.83203125" customWidth="1"/>
    <col min="3783" max="3783" width="60.1640625" bestFit="1" customWidth="1"/>
    <col min="3784" max="3784" width="25.6640625" bestFit="1" customWidth="1"/>
    <col min="3785" max="3785" width="42.33203125" bestFit="1" customWidth="1"/>
    <col min="3786" max="3786" width="17.1640625" bestFit="1" customWidth="1"/>
    <col min="3787" max="3816" width="5" bestFit="1" customWidth="1"/>
    <col min="3817" max="3852" width="11.5" bestFit="1" customWidth="1"/>
    <col min="3853" max="4038" width="8.83203125" customWidth="1"/>
    <col min="4039" max="4039" width="60.1640625" bestFit="1" customWidth="1"/>
    <col min="4040" max="4040" width="25.6640625" bestFit="1" customWidth="1"/>
    <col min="4041" max="4041" width="42.33203125" bestFit="1" customWidth="1"/>
    <col min="4042" max="4042" width="17.1640625" bestFit="1" customWidth="1"/>
    <col min="4043" max="4072" width="5" bestFit="1" customWidth="1"/>
    <col min="4073" max="4108" width="11.5" bestFit="1" customWidth="1"/>
    <col min="4109" max="4294" width="8.83203125" customWidth="1"/>
    <col min="4295" max="4295" width="60.1640625" bestFit="1" customWidth="1"/>
    <col min="4296" max="4296" width="25.6640625" bestFit="1" customWidth="1"/>
    <col min="4297" max="4297" width="42.33203125" bestFit="1" customWidth="1"/>
    <col min="4298" max="4298" width="17.1640625" bestFit="1" customWidth="1"/>
    <col min="4299" max="4328" width="5" bestFit="1" customWidth="1"/>
    <col min="4329" max="4364" width="11.5" bestFit="1" customWidth="1"/>
    <col min="4365" max="4550" width="8.83203125" customWidth="1"/>
    <col min="4551" max="4551" width="60.1640625" bestFit="1" customWidth="1"/>
    <col min="4552" max="4552" width="25.6640625" bestFit="1" customWidth="1"/>
    <col min="4553" max="4553" width="42.33203125" bestFit="1" customWidth="1"/>
    <col min="4554" max="4554" width="17.1640625" bestFit="1" customWidth="1"/>
    <col min="4555" max="4584" width="5" bestFit="1" customWidth="1"/>
    <col min="4585" max="4620" width="11.5" bestFit="1" customWidth="1"/>
    <col min="4621" max="4806" width="8.83203125" customWidth="1"/>
    <col min="4807" max="4807" width="60.1640625" bestFit="1" customWidth="1"/>
    <col min="4808" max="4808" width="25.6640625" bestFit="1" customWidth="1"/>
    <col min="4809" max="4809" width="42.33203125" bestFit="1" customWidth="1"/>
    <col min="4810" max="4810" width="17.1640625" bestFit="1" customWidth="1"/>
    <col min="4811" max="4840" width="5" bestFit="1" customWidth="1"/>
    <col min="4841" max="4876" width="11.5" bestFit="1" customWidth="1"/>
    <col min="4877" max="5062" width="8.83203125" customWidth="1"/>
    <col min="5063" max="5063" width="60.1640625" bestFit="1" customWidth="1"/>
    <col min="5064" max="5064" width="25.6640625" bestFit="1" customWidth="1"/>
    <col min="5065" max="5065" width="42.33203125" bestFit="1" customWidth="1"/>
    <col min="5066" max="5066" width="17.1640625" bestFit="1" customWidth="1"/>
    <col min="5067" max="5096" width="5" bestFit="1" customWidth="1"/>
    <col min="5097" max="5132" width="11.5" bestFit="1" customWidth="1"/>
    <col min="5133" max="5318" width="8.83203125" customWidth="1"/>
    <col min="5319" max="5319" width="60.1640625" bestFit="1" customWidth="1"/>
    <col min="5320" max="5320" width="25.6640625" bestFit="1" customWidth="1"/>
    <col min="5321" max="5321" width="42.33203125" bestFit="1" customWidth="1"/>
    <col min="5322" max="5322" width="17.1640625" bestFit="1" customWidth="1"/>
    <col min="5323" max="5352" width="5" bestFit="1" customWidth="1"/>
    <col min="5353" max="5388" width="11.5" bestFit="1" customWidth="1"/>
    <col min="5389" max="5574" width="8.83203125" customWidth="1"/>
    <col min="5575" max="5575" width="60.1640625" bestFit="1" customWidth="1"/>
    <col min="5576" max="5576" width="25.6640625" bestFit="1" customWidth="1"/>
    <col min="5577" max="5577" width="42.33203125" bestFit="1" customWidth="1"/>
    <col min="5578" max="5578" width="17.1640625" bestFit="1" customWidth="1"/>
    <col min="5579" max="5608" width="5" bestFit="1" customWidth="1"/>
    <col min="5609" max="5644" width="11.5" bestFit="1" customWidth="1"/>
    <col min="5645" max="5830" width="8.83203125" customWidth="1"/>
    <col min="5831" max="5831" width="60.1640625" bestFit="1" customWidth="1"/>
    <col min="5832" max="5832" width="25.6640625" bestFit="1" customWidth="1"/>
    <col min="5833" max="5833" width="42.33203125" bestFit="1" customWidth="1"/>
    <col min="5834" max="5834" width="17.1640625" bestFit="1" customWidth="1"/>
    <col min="5835" max="5864" width="5" bestFit="1" customWidth="1"/>
    <col min="5865" max="5900" width="11.5" bestFit="1" customWidth="1"/>
    <col min="5901" max="6086" width="8.83203125" customWidth="1"/>
    <col min="6087" max="6087" width="60.1640625" bestFit="1" customWidth="1"/>
    <col min="6088" max="6088" width="25.6640625" bestFit="1" customWidth="1"/>
    <col min="6089" max="6089" width="42.33203125" bestFit="1" customWidth="1"/>
    <col min="6090" max="6090" width="17.1640625" bestFit="1" customWidth="1"/>
    <col min="6091" max="6120" width="5" bestFit="1" customWidth="1"/>
    <col min="6121" max="6156" width="11.5" bestFit="1" customWidth="1"/>
    <col min="6157" max="6342" width="8.83203125" customWidth="1"/>
    <col min="6343" max="6343" width="60.1640625" bestFit="1" customWidth="1"/>
    <col min="6344" max="6344" width="25.6640625" bestFit="1" customWidth="1"/>
    <col min="6345" max="6345" width="42.33203125" bestFit="1" customWidth="1"/>
    <col min="6346" max="6346" width="17.1640625" bestFit="1" customWidth="1"/>
    <col min="6347" max="6376" width="5" bestFit="1" customWidth="1"/>
    <col min="6377" max="6412" width="11.5" bestFit="1" customWidth="1"/>
    <col min="6413" max="6598" width="8.83203125" customWidth="1"/>
    <col min="6599" max="6599" width="60.1640625" bestFit="1" customWidth="1"/>
    <col min="6600" max="6600" width="25.6640625" bestFit="1" customWidth="1"/>
    <col min="6601" max="6601" width="42.33203125" bestFit="1" customWidth="1"/>
    <col min="6602" max="6602" width="17.1640625" bestFit="1" customWidth="1"/>
    <col min="6603" max="6632" width="5" bestFit="1" customWidth="1"/>
    <col min="6633" max="6668" width="11.5" bestFit="1" customWidth="1"/>
    <col min="6669" max="6854" width="8.83203125" customWidth="1"/>
    <col min="6855" max="6855" width="60.1640625" bestFit="1" customWidth="1"/>
    <col min="6856" max="6856" width="25.6640625" bestFit="1" customWidth="1"/>
    <col min="6857" max="6857" width="42.33203125" bestFit="1" customWidth="1"/>
    <col min="6858" max="6858" width="17.1640625" bestFit="1" customWidth="1"/>
    <col min="6859" max="6888" width="5" bestFit="1" customWidth="1"/>
    <col min="6889" max="6924" width="11.5" bestFit="1" customWidth="1"/>
    <col min="6925" max="7110" width="8.83203125" customWidth="1"/>
    <col min="7111" max="7111" width="60.1640625" bestFit="1" customWidth="1"/>
    <col min="7112" max="7112" width="25.6640625" bestFit="1" customWidth="1"/>
    <col min="7113" max="7113" width="42.33203125" bestFit="1" customWidth="1"/>
    <col min="7114" max="7114" width="17.1640625" bestFit="1" customWidth="1"/>
    <col min="7115" max="7144" width="5" bestFit="1" customWidth="1"/>
    <col min="7145" max="7180" width="11.5" bestFit="1" customWidth="1"/>
    <col min="7181" max="7366" width="8.83203125" customWidth="1"/>
    <col min="7367" max="7367" width="60.1640625" bestFit="1" customWidth="1"/>
    <col min="7368" max="7368" width="25.6640625" bestFit="1" customWidth="1"/>
    <col min="7369" max="7369" width="42.33203125" bestFit="1" customWidth="1"/>
    <col min="7370" max="7370" width="17.1640625" bestFit="1" customWidth="1"/>
    <col min="7371" max="7400" width="5" bestFit="1" customWidth="1"/>
    <col min="7401" max="7436" width="11.5" bestFit="1" customWidth="1"/>
    <col min="7437" max="7622" width="8.83203125" customWidth="1"/>
    <col min="7623" max="7623" width="60.1640625" bestFit="1" customWidth="1"/>
    <col min="7624" max="7624" width="25.6640625" bestFit="1" customWidth="1"/>
    <col min="7625" max="7625" width="42.33203125" bestFit="1" customWidth="1"/>
    <col min="7626" max="7626" width="17.1640625" bestFit="1" customWidth="1"/>
    <col min="7627" max="7656" width="5" bestFit="1" customWidth="1"/>
    <col min="7657" max="7692" width="11.5" bestFit="1" customWidth="1"/>
    <col min="7693" max="7878" width="8.83203125" customWidth="1"/>
    <col min="7879" max="7879" width="60.1640625" bestFit="1" customWidth="1"/>
    <col min="7880" max="7880" width="25.6640625" bestFit="1" customWidth="1"/>
    <col min="7881" max="7881" width="42.33203125" bestFit="1" customWidth="1"/>
    <col min="7882" max="7882" width="17.1640625" bestFit="1" customWidth="1"/>
    <col min="7883" max="7912" width="5" bestFit="1" customWidth="1"/>
    <col min="7913" max="7948" width="11.5" bestFit="1" customWidth="1"/>
    <col min="7949" max="8134" width="8.83203125" customWidth="1"/>
    <col min="8135" max="8135" width="60.1640625" bestFit="1" customWidth="1"/>
    <col min="8136" max="8136" width="25.6640625" bestFit="1" customWidth="1"/>
    <col min="8137" max="8137" width="42.33203125" bestFit="1" customWidth="1"/>
    <col min="8138" max="8138" width="17.1640625" bestFit="1" customWidth="1"/>
    <col min="8139" max="8168" width="5" bestFit="1" customWidth="1"/>
    <col min="8169" max="8204" width="11.5" bestFit="1" customWidth="1"/>
    <col min="8205" max="8390" width="8.83203125" customWidth="1"/>
    <col min="8391" max="8391" width="60.1640625" bestFit="1" customWidth="1"/>
    <col min="8392" max="8392" width="25.6640625" bestFit="1" customWidth="1"/>
    <col min="8393" max="8393" width="42.33203125" bestFit="1" customWidth="1"/>
    <col min="8394" max="8394" width="17.1640625" bestFit="1" customWidth="1"/>
    <col min="8395" max="8424" width="5" bestFit="1" customWidth="1"/>
    <col min="8425" max="8460" width="11.5" bestFit="1" customWidth="1"/>
    <col min="8461" max="8646" width="8.83203125" customWidth="1"/>
    <col min="8647" max="8647" width="60.1640625" bestFit="1" customWidth="1"/>
    <col min="8648" max="8648" width="25.6640625" bestFit="1" customWidth="1"/>
    <col min="8649" max="8649" width="42.33203125" bestFit="1" customWidth="1"/>
    <col min="8650" max="8650" width="17.1640625" bestFit="1" customWidth="1"/>
    <col min="8651" max="8680" width="5" bestFit="1" customWidth="1"/>
    <col min="8681" max="8716" width="11.5" bestFit="1" customWidth="1"/>
    <col min="8717" max="8902" width="8.83203125" customWidth="1"/>
    <col min="8903" max="8903" width="60.1640625" bestFit="1" customWidth="1"/>
    <col min="8904" max="8904" width="25.6640625" bestFit="1" customWidth="1"/>
    <col min="8905" max="8905" width="42.33203125" bestFit="1" customWidth="1"/>
    <col min="8906" max="8906" width="17.1640625" bestFit="1" customWidth="1"/>
    <col min="8907" max="8936" width="5" bestFit="1" customWidth="1"/>
    <col min="8937" max="8972" width="11.5" bestFit="1" customWidth="1"/>
    <col min="8973" max="9158" width="8.83203125" customWidth="1"/>
    <col min="9159" max="9159" width="60.1640625" bestFit="1" customWidth="1"/>
    <col min="9160" max="9160" width="25.6640625" bestFit="1" customWidth="1"/>
    <col min="9161" max="9161" width="42.33203125" bestFit="1" customWidth="1"/>
    <col min="9162" max="9162" width="17.1640625" bestFit="1" customWidth="1"/>
    <col min="9163" max="9192" width="5" bestFit="1" customWidth="1"/>
    <col min="9193" max="9228" width="11.5" bestFit="1" customWidth="1"/>
    <col min="9229" max="9414" width="8.83203125" customWidth="1"/>
    <col min="9415" max="9415" width="60.1640625" bestFit="1" customWidth="1"/>
    <col min="9416" max="9416" width="25.6640625" bestFit="1" customWidth="1"/>
    <col min="9417" max="9417" width="42.33203125" bestFit="1" customWidth="1"/>
    <col min="9418" max="9418" width="17.1640625" bestFit="1" customWidth="1"/>
    <col min="9419" max="9448" width="5" bestFit="1" customWidth="1"/>
    <col min="9449" max="9484" width="11.5" bestFit="1" customWidth="1"/>
    <col min="9485" max="9670" width="8.83203125" customWidth="1"/>
    <col min="9671" max="9671" width="60.1640625" bestFit="1" customWidth="1"/>
    <col min="9672" max="9672" width="25.6640625" bestFit="1" customWidth="1"/>
    <col min="9673" max="9673" width="42.33203125" bestFit="1" customWidth="1"/>
    <col min="9674" max="9674" width="17.1640625" bestFit="1" customWidth="1"/>
    <col min="9675" max="9704" width="5" bestFit="1" customWidth="1"/>
    <col min="9705" max="9740" width="11.5" bestFit="1" customWidth="1"/>
    <col min="9741" max="9926" width="8.83203125" customWidth="1"/>
    <col min="9927" max="9927" width="60.1640625" bestFit="1" customWidth="1"/>
    <col min="9928" max="9928" width="25.6640625" bestFit="1" customWidth="1"/>
    <col min="9929" max="9929" width="42.33203125" bestFit="1" customWidth="1"/>
    <col min="9930" max="9930" width="17.1640625" bestFit="1" customWidth="1"/>
    <col min="9931" max="9960" width="5" bestFit="1" customWidth="1"/>
    <col min="9961" max="9996" width="11.5" bestFit="1" customWidth="1"/>
    <col min="9997" max="10182" width="8.83203125" customWidth="1"/>
    <col min="10183" max="10183" width="60.1640625" bestFit="1" customWidth="1"/>
    <col min="10184" max="10184" width="25.6640625" bestFit="1" customWidth="1"/>
    <col min="10185" max="10185" width="42.33203125" bestFit="1" customWidth="1"/>
    <col min="10186" max="10186" width="17.1640625" bestFit="1" customWidth="1"/>
    <col min="10187" max="10216" width="5" bestFit="1" customWidth="1"/>
    <col min="10217" max="10252" width="11.5" bestFit="1" customWidth="1"/>
    <col min="10253" max="10438" width="8.83203125" customWidth="1"/>
    <col min="10439" max="10439" width="60.1640625" bestFit="1" customWidth="1"/>
    <col min="10440" max="10440" width="25.6640625" bestFit="1" customWidth="1"/>
    <col min="10441" max="10441" width="42.33203125" bestFit="1" customWidth="1"/>
    <col min="10442" max="10442" width="17.1640625" bestFit="1" customWidth="1"/>
    <col min="10443" max="10472" width="5" bestFit="1" customWidth="1"/>
    <col min="10473" max="10508" width="11.5" bestFit="1" customWidth="1"/>
    <col min="10509" max="10694" width="8.83203125" customWidth="1"/>
    <col min="10695" max="10695" width="60.1640625" bestFit="1" customWidth="1"/>
    <col min="10696" max="10696" width="25.6640625" bestFit="1" customWidth="1"/>
    <col min="10697" max="10697" width="42.33203125" bestFit="1" customWidth="1"/>
    <col min="10698" max="10698" width="17.1640625" bestFit="1" customWidth="1"/>
    <col min="10699" max="10728" width="5" bestFit="1" customWidth="1"/>
    <col min="10729" max="10764" width="11.5" bestFit="1" customWidth="1"/>
    <col min="10765" max="10950" width="8.83203125" customWidth="1"/>
    <col min="10951" max="10951" width="60.1640625" bestFit="1" customWidth="1"/>
    <col min="10952" max="10952" width="25.6640625" bestFit="1" customWidth="1"/>
    <col min="10953" max="10953" width="42.33203125" bestFit="1" customWidth="1"/>
    <col min="10954" max="10954" width="17.1640625" bestFit="1" customWidth="1"/>
    <col min="10955" max="10984" width="5" bestFit="1" customWidth="1"/>
    <col min="10985" max="11020" width="11.5" bestFit="1" customWidth="1"/>
    <col min="11021" max="11206" width="8.83203125" customWidth="1"/>
    <col min="11207" max="11207" width="60.1640625" bestFit="1" customWidth="1"/>
    <col min="11208" max="11208" width="25.6640625" bestFit="1" customWidth="1"/>
    <col min="11209" max="11209" width="42.33203125" bestFit="1" customWidth="1"/>
    <col min="11210" max="11210" width="17.1640625" bestFit="1" customWidth="1"/>
    <col min="11211" max="11240" width="5" bestFit="1" customWidth="1"/>
    <col min="11241" max="11276" width="11.5" bestFit="1" customWidth="1"/>
    <col min="11277" max="11462" width="8.83203125" customWidth="1"/>
    <col min="11463" max="11463" width="60.1640625" bestFit="1" customWidth="1"/>
    <col min="11464" max="11464" width="25.6640625" bestFit="1" customWidth="1"/>
    <col min="11465" max="11465" width="42.33203125" bestFit="1" customWidth="1"/>
    <col min="11466" max="11466" width="17.1640625" bestFit="1" customWidth="1"/>
    <col min="11467" max="11496" width="5" bestFit="1" customWidth="1"/>
    <col min="11497" max="11532" width="11.5" bestFit="1" customWidth="1"/>
    <col min="11533" max="11718" width="8.83203125" customWidth="1"/>
    <col min="11719" max="11719" width="60.1640625" bestFit="1" customWidth="1"/>
    <col min="11720" max="11720" width="25.6640625" bestFit="1" customWidth="1"/>
    <col min="11721" max="11721" width="42.33203125" bestFit="1" customWidth="1"/>
    <col min="11722" max="11722" width="17.1640625" bestFit="1" customWidth="1"/>
    <col min="11723" max="11752" width="5" bestFit="1" customWidth="1"/>
    <col min="11753" max="11788" width="11.5" bestFit="1" customWidth="1"/>
    <col min="11789" max="11974" width="8.83203125" customWidth="1"/>
    <col min="11975" max="11975" width="60.1640625" bestFit="1" customWidth="1"/>
    <col min="11976" max="11976" width="25.6640625" bestFit="1" customWidth="1"/>
    <col min="11977" max="11977" width="42.33203125" bestFit="1" customWidth="1"/>
    <col min="11978" max="11978" width="17.1640625" bestFit="1" customWidth="1"/>
    <col min="11979" max="12008" width="5" bestFit="1" customWidth="1"/>
    <col min="12009" max="12044" width="11.5" bestFit="1" customWidth="1"/>
    <col min="12045" max="12230" width="8.83203125" customWidth="1"/>
    <col min="12231" max="12231" width="60.1640625" bestFit="1" customWidth="1"/>
    <col min="12232" max="12232" width="25.6640625" bestFit="1" customWidth="1"/>
    <col min="12233" max="12233" width="42.33203125" bestFit="1" customWidth="1"/>
    <col min="12234" max="12234" width="17.1640625" bestFit="1" customWidth="1"/>
    <col min="12235" max="12264" width="5" bestFit="1" customWidth="1"/>
    <col min="12265" max="12300" width="11.5" bestFit="1" customWidth="1"/>
    <col min="12301" max="12486" width="8.83203125" customWidth="1"/>
    <col min="12487" max="12487" width="60.1640625" bestFit="1" customWidth="1"/>
    <col min="12488" max="12488" width="25.6640625" bestFit="1" customWidth="1"/>
    <col min="12489" max="12489" width="42.33203125" bestFit="1" customWidth="1"/>
    <col min="12490" max="12490" width="17.1640625" bestFit="1" customWidth="1"/>
    <col min="12491" max="12520" width="5" bestFit="1" customWidth="1"/>
    <col min="12521" max="12556" width="11.5" bestFit="1" customWidth="1"/>
    <col min="12557" max="12742" width="8.83203125" customWidth="1"/>
    <col min="12743" max="12743" width="60.1640625" bestFit="1" customWidth="1"/>
    <col min="12744" max="12744" width="25.6640625" bestFit="1" customWidth="1"/>
    <col min="12745" max="12745" width="42.33203125" bestFit="1" customWidth="1"/>
    <col min="12746" max="12746" width="17.1640625" bestFit="1" customWidth="1"/>
    <col min="12747" max="12776" width="5" bestFit="1" customWidth="1"/>
    <col min="12777" max="12812" width="11.5" bestFit="1" customWidth="1"/>
    <col min="12813" max="12998" width="8.83203125" customWidth="1"/>
    <col min="12999" max="12999" width="60.1640625" bestFit="1" customWidth="1"/>
    <col min="13000" max="13000" width="25.6640625" bestFit="1" customWidth="1"/>
    <col min="13001" max="13001" width="42.33203125" bestFit="1" customWidth="1"/>
    <col min="13002" max="13002" width="17.1640625" bestFit="1" customWidth="1"/>
    <col min="13003" max="13032" width="5" bestFit="1" customWidth="1"/>
    <col min="13033" max="13068" width="11.5" bestFit="1" customWidth="1"/>
    <col min="13069" max="13254" width="8.83203125" customWidth="1"/>
    <col min="13255" max="13255" width="60.1640625" bestFit="1" customWidth="1"/>
    <col min="13256" max="13256" width="25.6640625" bestFit="1" customWidth="1"/>
    <col min="13257" max="13257" width="42.33203125" bestFit="1" customWidth="1"/>
    <col min="13258" max="13258" width="17.1640625" bestFit="1" customWidth="1"/>
    <col min="13259" max="13288" width="5" bestFit="1" customWidth="1"/>
    <col min="13289" max="13324" width="11.5" bestFit="1" customWidth="1"/>
    <col min="13325" max="13510" width="8.83203125" customWidth="1"/>
    <col min="13511" max="13511" width="60.1640625" bestFit="1" customWidth="1"/>
    <col min="13512" max="13512" width="25.6640625" bestFit="1" customWidth="1"/>
    <col min="13513" max="13513" width="42.33203125" bestFit="1" customWidth="1"/>
    <col min="13514" max="13514" width="17.1640625" bestFit="1" customWidth="1"/>
    <col min="13515" max="13544" width="5" bestFit="1" customWidth="1"/>
    <col min="13545" max="13580" width="11.5" bestFit="1" customWidth="1"/>
    <col min="13581" max="13766" width="8.83203125" customWidth="1"/>
    <col min="13767" max="13767" width="60.1640625" bestFit="1" customWidth="1"/>
    <col min="13768" max="13768" width="25.6640625" bestFit="1" customWidth="1"/>
    <col min="13769" max="13769" width="42.33203125" bestFit="1" customWidth="1"/>
    <col min="13770" max="13770" width="17.1640625" bestFit="1" customWidth="1"/>
    <col min="13771" max="13800" width="5" bestFit="1" customWidth="1"/>
    <col min="13801" max="13836" width="11.5" bestFit="1" customWidth="1"/>
    <col min="13837" max="14022" width="8.83203125" customWidth="1"/>
    <col min="14023" max="14023" width="60.1640625" bestFit="1" customWidth="1"/>
    <col min="14024" max="14024" width="25.6640625" bestFit="1" customWidth="1"/>
    <col min="14025" max="14025" width="42.33203125" bestFit="1" customWidth="1"/>
    <col min="14026" max="14026" width="17.1640625" bestFit="1" customWidth="1"/>
    <col min="14027" max="14056" width="5" bestFit="1" customWidth="1"/>
    <col min="14057" max="14092" width="11.5" bestFit="1" customWidth="1"/>
    <col min="14093" max="14278" width="8.83203125" customWidth="1"/>
    <col min="14279" max="14279" width="60.1640625" bestFit="1" customWidth="1"/>
    <col min="14280" max="14280" width="25.6640625" bestFit="1" customWidth="1"/>
    <col min="14281" max="14281" width="42.33203125" bestFit="1" customWidth="1"/>
    <col min="14282" max="14282" width="17.1640625" bestFit="1" customWidth="1"/>
    <col min="14283" max="14312" width="5" bestFit="1" customWidth="1"/>
    <col min="14313" max="14348" width="11.5" bestFit="1" customWidth="1"/>
    <col min="14349" max="14534" width="8.83203125" customWidth="1"/>
    <col min="14535" max="14535" width="60.1640625" bestFit="1" customWidth="1"/>
    <col min="14536" max="14536" width="25.6640625" bestFit="1" customWidth="1"/>
    <col min="14537" max="14537" width="42.33203125" bestFit="1" customWidth="1"/>
    <col min="14538" max="14538" width="17.1640625" bestFit="1" customWidth="1"/>
    <col min="14539" max="14568" width="5" bestFit="1" customWidth="1"/>
    <col min="14569" max="14604" width="11.5" bestFit="1" customWidth="1"/>
    <col min="14605" max="14790" width="8.83203125" customWidth="1"/>
    <col min="14791" max="14791" width="60.1640625" bestFit="1" customWidth="1"/>
    <col min="14792" max="14792" width="25.6640625" bestFit="1" customWidth="1"/>
    <col min="14793" max="14793" width="42.33203125" bestFit="1" customWidth="1"/>
    <col min="14794" max="14794" width="17.1640625" bestFit="1" customWidth="1"/>
    <col min="14795" max="14824" width="5" bestFit="1" customWidth="1"/>
    <col min="14825" max="14860" width="11.5" bestFit="1" customWidth="1"/>
    <col min="14861" max="15046" width="8.83203125" customWidth="1"/>
    <col min="15047" max="15047" width="60.1640625" bestFit="1" customWidth="1"/>
    <col min="15048" max="15048" width="25.6640625" bestFit="1" customWidth="1"/>
    <col min="15049" max="15049" width="42.33203125" bestFit="1" customWidth="1"/>
    <col min="15050" max="15050" width="17.1640625" bestFit="1" customWidth="1"/>
    <col min="15051" max="15080" width="5" bestFit="1" customWidth="1"/>
    <col min="15081" max="15116" width="11.5" bestFit="1" customWidth="1"/>
    <col min="15117" max="15302" width="8.83203125" customWidth="1"/>
    <col min="15303" max="15303" width="60.1640625" bestFit="1" customWidth="1"/>
    <col min="15304" max="15304" width="25.6640625" bestFit="1" customWidth="1"/>
    <col min="15305" max="15305" width="42.33203125" bestFit="1" customWidth="1"/>
    <col min="15306" max="15306" width="17.1640625" bestFit="1" customWidth="1"/>
    <col min="15307" max="15336" width="5" bestFit="1" customWidth="1"/>
    <col min="15337" max="15372" width="11.5" bestFit="1" customWidth="1"/>
    <col min="15373" max="15558" width="8.83203125" customWidth="1"/>
    <col min="15559" max="15559" width="60.1640625" bestFit="1" customWidth="1"/>
    <col min="15560" max="15560" width="25.6640625" bestFit="1" customWidth="1"/>
    <col min="15561" max="15561" width="42.33203125" bestFit="1" customWidth="1"/>
    <col min="15562" max="15562" width="17.1640625" bestFit="1" customWidth="1"/>
    <col min="15563" max="15592" width="5" bestFit="1" customWidth="1"/>
    <col min="15593" max="15628" width="11.5" bestFit="1" customWidth="1"/>
    <col min="15629" max="15814" width="8.83203125" customWidth="1"/>
    <col min="15815" max="15815" width="60.1640625" bestFit="1" customWidth="1"/>
    <col min="15816" max="15816" width="25.6640625" bestFit="1" customWidth="1"/>
    <col min="15817" max="15817" width="42.33203125" bestFit="1" customWidth="1"/>
    <col min="15818" max="15818" width="17.1640625" bestFit="1" customWidth="1"/>
    <col min="15819" max="15848" width="5" bestFit="1" customWidth="1"/>
    <col min="15849" max="15884" width="11.5" bestFit="1" customWidth="1"/>
    <col min="15885" max="16070" width="8.83203125" customWidth="1"/>
    <col min="16071" max="16071" width="60.1640625" bestFit="1" customWidth="1"/>
    <col min="16072" max="16072" width="25.6640625" bestFit="1" customWidth="1"/>
    <col min="16073" max="16073" width="42.33203125" bestFit="1" customWidth="1"/>
    <col min="16074" max="16074" width="17.1640625" bestFit="1" customWidth="1"/>
    <col min="16075" max="16104" width="5" bestFit="1" customWidth="1"/>
    <col min="16105" max="16140" width="11.5" bestFit="1" customWidth="1"/>
    <col min="16141" max="16384" width="8.83203125" customWidth="1"/>
  </cols>
  <sheetData>
    <row r="1" spans="1:12" x14ac:dyDescent="0.2">
      <c r="A1" t="s">
        <v>414</v>
      </c>
      <c r="B1" t="s">
        <v>413</v>
      </c>
      <c r="C1" t="s">
        <v>416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</row>
    <row r="2" spans="1:12" x14ac:dyDescent="0.2">
      <c r="A2" t="s">
        <v>427</v>
      </c>
      <c r="B2" t="s">
        <v>426</v>
      </c>
      <c r="C2">
        <v>36926.113068572857</v>
      </c>
      <c r="D2">
        <v>38213.289238830905</v>
      </c>
      <c r="E2">
        <v>39378.228410904652</v>
      </c>
      <c r="F2">
        <v>39754.560072214947</v>
      </c>
      <c r="G2">
        <v>30408.827090198349</v>
      </c>
      <c r="H2">
        <v>35207.170908863925</v>
      </c>
      <c r="I2">
        <v>39083.461639850706</v>
      </c>
      <c r="J2">
        <v>42783.248907206718</v>
      </c>
      <c r="K2">
        <v>45428.002728351792</v>
      </c>
    </row>
    <row r="3" spans="1:12" x14ac:dyDescent="0.2">
      <c r="A3" t="s">
        <v>429</v>
      </c>
      <c r="B3" t="s">
        <v>428</v>
      </c>
      <c r="C3">
        <v>4210.9356950327692</v>
      </c>
      <c r="D3">
        <v>4223.1880503423963</v>
      </c>
      <c r="E3">
        <v>4229.839633744421</v>
      </c>
      <c r="F3">
        <v>4200.5310440009443</v>
      </c>
      <c r="G3">
        <v>3978.1335015188683</v>
      </c>
      <c r="H3">
        <v>4049.9695130399332</v>
      </c>
      <c r="I3">
        <v>4098.1261922156391</v>
      </c>
      <c r="J3">
        <v>4076.2248979662922</v>
      </c>
      <c r="K3">
        <v>4099.889812174928</v>
      </c>
      <c r="L3">
        <v>4164.6791772342467</v>
      </c>
    </row>
    <row r="4" spans="1:12" x14ac:dyDescent="0.2">
      <c r="A4" t="s">
        <v>431</v>
      </c>
      <c r="B4" t="s">
        <v>430</v>
      </c>
      <c r="C4">
        <v>2958.7853992307951</v>
      </c>
      <c r="D4">
        <v>2952.998915989087</v>
      </c>
      <c r="E4">
        <v>2902.3921128554607</v>
      </c>
      <c r="F4">
        <v>2927.2451435353018</v>
      </c>
      <c r="G4">
        <v>2769.68574507111</v>
      </c>
      <c r="H4">
        <v>2144.1665700281878</v>
      </c>
      <c r="I4">
        <v>1981.7101681056113</v>
      </c>
      <c r="J4">
        <v>1983.8126199290873</v>
      </c>
      <c r="K4">
        <v>1964.4522889545608</v>
      </c>
    </row>
    <row r="5" spans="1:12" x14ac:dyDescent="0.2">
      <c r="A5" t="s">
        <v>433</v>
      </c>
      <c r="B5" t="s">
        <v>432</v>
      </c>
      <c r="C5">
        <v>6034.8269888668583</v>
      </c>
      <c r="D5">
        <v>6009.5161136980078</v>
      </c>
      <c r="E5">
        <v>6026.5275717283566</v>
      </c>
      <c r="F5">
        <v>6070.28476944465</v>
      </c>
      <c r="G5">
        <v>5698.7667016172445</v>
      </c>
      <c r="H5">
        <v>5702.1348863047806</v>
      </c>
      <c r="I5">
        <v>5818.4832235783815</v>
      </c>
      <c r="J5">
        <v>5886.796635941254</v>
      </c>
      <c r="K5">
        <v>6009.0846624049536</v>
      </c>
      <c r="L5">
        <v>6139.5872937993454</v>
      </c>
    </row>
    <row r="6" spans="1:12" x14ac:dyDescent="0.2">
      <c r="A6" t="s">
        <v>435</v>
      </c>
      <c r="B6" t="s">
        <v>434</v>
      </c>
      <c r="C6">
        <v>10963.996788717306</v>
      </c>
      <c r="D6">
        <v>10565.167648360717</v>
      </c>
      <c r="E6">
        <v>10154.838922800502</v>
      </c>
      <c r="F6">
        <v>9712.9794492726905</v>
      </c>
      <c r="G6">
        <v>8904.9490058016781</v>
      </c>
      <c r="H6">
        <v>8720.1876874212339</v>
      </c>
      <c r="I6">
        <v>8750.9936303229897</v>
      </c>
      <c r="J6">
        <v>8597.5387878755373</v>
      </c>
      <c r="K6">
        <v>8752.7974709833034</v>
      </c>
      <c r="L6">
        <v>8760.1908196315071</v>
      </c>
    </row>
    <row r="7" spans="1:12" x14ac:dyDescent="0.2">
      <c r="A7" t="s">
        <v>437</v>
      </c>
      <c r="B7" t="s">
        <v>436</v>
      </c>
      <c r="C7">
        <v>14643.428561471615</v>
      </c>
      <c r="D7">
        <v>15359.397457702478</v>
      </c>
      <c r="E7">
        <v>16170.923432528702</v>
      </c>
      <c r="F7">
        <v>16761.123017868162</v>
      </c>
      <c r="G7">
        <v>16457.718974499061</v>
      </c>
      <c r="H7">
        <v>18212.794718287976</v>
      </c>
      <c r="I7">
        <v>19388.792727935066</v>
      </c>
      <c r="J7">
        <v>20501.64707267415</v>
      </c>
      <c r="K7">
        <v>21640.983577327141</v>
      </c>
      <c r="L7">
        <v>22724.293819494895</v>
      </c>
    </row>
    <row r="8" spans="1:12" x14ac:dyDescent="0.2">
      <c r="A8" t="s">
        <v>439</v>
      </c>
      <c r="B8" t="s">
        <v>438</v>
      </c>
      <c r="C8">
        <v>64402.809236946756</v>
      </c>
      <c r="D8">
        <v>63239.65777119108</v>
      </c>
      <c r="E8">
        <v>63048.598557283374</v>
      </c>
      <c r="F8">
        <v>63215.899791912983</v>
      </c>
      <c r="G8">
        <v>55488.490299109508</v>
      </c>
      <c r="H8">
        <v>59332.202910012718</v>
      </c>
      <c r="I8">
        <v>63913.38350791049</v>
      </c>
      <c r="J8">
        <v>64631.29639092712</v>
      </c>
      <c r="K8">
        <v>66232.744419559778</v>
      </c>
      <c r="L8">
        <v>67993.052417888248</v>
      </c>
    </row>
    <row r="9" spans="1:12" x14ac:dyDescent="0.2">
      <c r="A9" t="s">
        <v>441</v>
      </c>
      <c r="B9" t="s">
        <v>440</v>
      </c>
      <c r="C9">
        <v>16632.4297723251</v>
      </c>
      <c r="D9">
        <v>16568.802168470651</v>
      </c>
      <c r="E9">
        <v>16749.89776888891</v>
      </c>
      <c r="F9">
        <v>16808.651930358006</v>
      </c>
      <c r="G9">
        <v>15768.041051682809</v>
      </c>
      <c r="H9">
        <v>16194.23044016741</v>
      </c>
      <c r="I9">
        <v>16933.16859578418</v>
      </c>
      <c r="J9">
        <v>16830.75948546594</v>
      </c>
      <c r="K9">
        <v>16802.429296674687</v>
      </c>
      <c r="L9">
        <v>17050.849848889178</v>
      </c>
    </row>
    <row r="10" spans="1:12" x14ac:dyDescent="0.2">
      <c r="A10" t="s">
        <v>333</v>
      </c>
      <c r="B10" t="s">
        <v>332</v>
      </c>
      <c r="C10">
        <v>75671.036861385015</v>
      </c>
      <c r="D10">
        <v>72529.042351236494</v>
      </c>
      <c r="E10">
        <v>72671.07872887644</v>
      </c>
      <c r="F10">
        <v>72822.946643892152</v>
      </c>
      <c r="G10">
        <v>66808.620925602823</v>
      </c>
      <c r="H10">
        <v>68580.131291267637</v>
      </c>
      <c r="I10">
        <v>70075.638373949987</v>
      </c>
      <c r="J10">
        <v>70239.832833722845</v>
      </c>
      <c r="K10">
        <v>69701.785835525021</v>
      </c>
    </row>
    <row r="11" spans="1:12" x14ac:dyDescent="0.2">
      <c r="A11" t="s">
        <v>443</v>
      </c>
      <c r="B11" t="s">
        <v>442</v>
      </c>
      <c r="C11">
        <v>27802.105720149757</v>
      </c>
      <c r="D11">
        <v>28334.904184742005</v>
      </c>
      <c r="E11">
        <v>27367.115094107976</v>
      </c>
      <c r="F11">
        <v>26629.552941950053</v>
      </c>
      <c r="G11">
        <v>23877.093140485536</v>
      </c>
      <c r="H11">
        <v>26300.274261175044</v>
      </c>
      <c r="I11">
        <v>27825.027349256699</v>
      </c>
      <c r="J11">
        <v>27230.396849668192</v>
      </c>
      <c r="K11">
        <v>26771.965765057081</v>
      </c>
      <c r="L11">
        <v>27846.598459723915</v>
      </c>
    </row>
    <row r="12" spans="1:12" x14ac:dyDescent="0.2">
      <c r="A12" t="s">
        <v>445</v>
      </c>
      <c r="B12" t="s">
        <v>444</v>
      </c>
      <c r="C12">
        <v>13192.994073173128</v>
      </c>
      <c r="D12">
        <v>14243.874900379489</v>
      </c>
      <c r="E12">
        <v>15037.045242071204</v>
      </c>
      <c r="F12">
        <v>16215.360796509412</v>
      </c>
      <c r="G12">
        <v>15052.93597911361</v>
      </c>
      <c r="H12">
        <v>15921.705281964018</v>
      </c>
      <c r="I12">
        <v>17886.178387716784</v>
      </c>
      <c r="J12">
        <v>19402.751091557839</v>
      </c>
      <c r="K12">
        <v>20078.784898484384</v>
      </c>
      <c r="L12">
        <v>21153.478328571015</v>
      </c>
    </row>
    <row r="13" spans="1:12" x14ac:dyDescent="0.2">
      <c r="A13" t="s">
        <v>447</v>
      </c>
      <c r="B13" t="s">
        <v>446</v>
      </c>
    </row>
    <row r="14" spans="1:12" x14ac:dyDescent="0.2">
      <c r="A14" t="s">
        <v>449</v>
      </c>
      <c r="B14" t="s">
        <v>448</v>
      </c>
      <c r="C14">
        <v>26627.714538940043</v>
      </c>
      <c r="D14">
        <v>27199.195240226181</v>
      </c>
      <c r="E14">
        <v>28878.606767547084</v>
      </c>
      <c r="F14">
        <v>29651.864152670511</v>
      </c>
      <c r="G14">
        <v>23930.671499511478</v>
      </c>
      <c r="H14">
        <v>25745.495806774616</v>
      </c>
      <c r="I14">
        <v>27785.557231683841</v>
      </c>
      <c r="J14">
        <v>28712.397049219224</v>
      </c>
      <c r="K14">
        <v>29298.647416472661</v>
      </c>
      <c r="L14">
        <v>30620.307555385883</v>
      </c>
    </row>
    <row r="15" spans="1:12" s="5" customFormat="1" x14ac:dyDescent="0.2">
      <c r="A15" s="5" t="s">
        <v>359</v>
      </c>
      <c r="B15" s="5" t="s">
        <v>357</v>
      </c>
      <c r="C15" s="5">
        <v>56529.951824687028</v>
      </c>
      <c r="D15" s="5">
        <v>56881.856985910388</v>
      </c>
      <c r="E15" s="5">
        <v>57647.845506810496</v>
      </c>
      <c r="F15" s="5">
        <v>58048.618842083139</v>
      </c>
      <c r="G15" s="5">
        <v>57260.465053010841</v>
      </c>
      <c r="H15" s="5">
        <v>58327.414684232484</v>
      </c>
      <c r="I15" s="5">
        <v>60029.13291907325</v>
      </c>
      <c r="J15" s="5">
        <v>60684.959620488291</v>
      </c>
      <c r="K15" s="5">
        <v>60309.583177233944</v>
      </c>
      <c r="L15" s="5">
        <v>60194.063354796119</v>
      </c>
    </row>
    <row r="16" spans="1:12" s="4" customFormat="1" x14ac:dyDescent="0.2">
      <c r="A16" s="4" t="s">
        <v>26</v>
      </c>
      <c r="B16" s="4" t="s">
        <v>23</v>
      </c>
      <c r="C16" s="4">
        <v>61572.625740240415</v>
      </c>
      <c r="D16" s="4">
        <v>62535.810571134461</v>
      </c>
      <c r="E16" s="4">
        <v>63777.936215747599</v>
      </c>
      <c r="F16" s="4">
        <v>64609.283639689456</v>
      </c>
      <c r="G16" s="4">
        <v>60276.330769732624</v>
      </c>
      <c r="H16" s="4">
        <v>62968.853877018628</v>
      </c>
      <c r="I16" s="4">
        <v>65694.459150146766</v>
      </c>
      <c r="J16" s="4">
        <v>64536.207630754703</v>
      </c>
      <c r="K16" s="4">
        <v>63787.989174946197</v>
      </c>
      <c r="L16" s="4">
        <v>63970.400853485931</v>
      </c>
    </row>
    <row r="17" spans="1:12" x14ac:dyDescent="0.2">
      <c r="A17" t="s">
        <v>451</v>
      </c>
      <c r="B17" t="s">
        <v>450</v>
      </c>
      <c r="C17">
        <v>19822.410594394129</v>
      </c>
      <c r="D17">
        <v>19659.00485627677</v>
      </c>
      <c r="E17">
        <v>19781.850905843694</v>
      </c>
      <c r="F17">
        <v>20101.491875147043</v>
      </c>
      <c r="G17">
        <v>19126.096851125993</v>
      </c>
      <c r="H17">
        <v>20111.375695210878</v>
      </c>
      <c r="I17">
        <v>21051.24422916121</v>
      </c>
      <c r="J17">
        <v>21310.738691502233</v>
      </c>
      <c r="K17">
        <v>22090.529802692923</v>
      </c>
      <c r="L17">
        <v>22314.216895733265</v>
      </c>
    </row>
    <row r="18" spans="1:12" x14ac:dyDescent="0.2">
      <c r="A18" t="s">
        <v>453</v>
      </c>
      <c r="B18" t="s">
        <v>452</v>
      </c>
      <c r="C18">
        <v>1006.5590738599913</v>
      </c>
      <c r="D18">
        <v>1020.8498275718991</v>
      </c>
      <c r="E18">
        <v>1043.4055843403587</v>
      </c>
      <c r="F18">
        <v>1054.7259273489824</v>
      </c>
      <c r="G18">
        <v>1027.6289627674355</v>
      </c>
      <c r="H18">
        <v>1032.3827408199938</v>
      </c>
      <c r="I18">
        <v>1028.1113464017922</v>
      </c>
      <c r="J18">
        <v>1033.0093734177578</v>
      </c>
      <c r="K18">
        <v>1048.05557098193</v>
      </c>
      <c r="L18">
        <v>1066.5129924058615</v>
      </c>
    </row>
    <row r="19" spans="1:12" x14ac:dyDescent="0.2">
      <c r="A19" t="s">
        <v>37</v>
      </c>
      <c r="B19" t="s">
        <v>35</v>
      </c>
      <c r="C19">
        <v>57901.497690315045</v>
      </c>
      <c r="D19">
        <v>58529.330295753665</v>
      </c>
      <c r="E19">
        <v>59357.689688439612</v>
      </c>
      <c r="F19">
        <v>60479.976995546858</v>
      </c>
      <c r="G19">
        <v>57333.542413792406</v>
      </c>
      <c r="H19">
        <v>60669.213774653363</v>
      </c>
      <c r="I19">
        <v>62602.927046976532</v>
      </c>
      <c r="J19">
        <v>63042.009987630867</v>
      </c>
      <c r="K19">
        <v>63311.276691717831</v>
      </c>
      <c r="L19">
        <v>63488.421762252314</v>
      </c>
    </row>
    <row r="20" spans="1:12" x14ac:dyDescent="0.2">
      <c r="A20" t="s">
        <v>455</v>
      </c>
      <c r="B20" t="s">
        <v>454</v>
      </c>
      <c r="C20">
        <v>2962.6638157226457</v>
      </c>
      <c r="D20">
        <v>3041.7792998498926</v>
      </c>
      <c r="E20">
        <v>3155.4510650627021</v>
      </c>
      <c r="F20">
        <v>3281.1047005146465</v>
      </c>
      <c r="G20">
        <v>3317.8597222556973</v>
      </c>
      <c r="H20">
        <v>3464.2886286745002</v>
      </c>
      <c r="I20">
        <v>3588.3251993814706</v>
      </c>
      <c r="J20">
        <v>3721.2125481480793</v>
      </c>
      <c r="K20">
        <v>3901.3258849439226</v>
      </c>
      <c r="L20">
        <v>4116.2151559487957</v>
      </c>
    </row>
    <row r="21" spans="1:12" x14ac:dyDescent="0.2">
      <c r="A21" t="s">
        <v>457</v>
      </c>
      <c r="B21" t="s">
        <v>456</v>
      </c>
      <c r="C21">
        <v>2162.7257897781392</v>
      </c>
      <c r="D21">
        <v>2232.2878149094431</v>
      </c>
      <c r="E21">
        <v>2316.3943207904454</v>
      </c>
      <c r="F21">
        <v>2391.5362684448355</v>
      </c>
      <c r="G21">
        <v>2380.9317182657392</v>
      </c>
      <c r="H21">
        <v>2486.4309314776174</v>
      </c>
      <c r="I21">
        <v>2469.199569412594</v>
      </c>
      <c r="J21">
        <v>2486.2066981287094</v>
      </c>
      <c r="K21">
        <v>2548.5024770250375</v>
      </c>
      <c r="L21">
        <v>2624.8285827080326</v>
      </c>
    </row>
    <row r="22" spans="1:12" x14ac:dyDescent="0.2">
      <c r="A22" t="s">
        <v>459</v>
      </c>
      <c r="B22" t="s">
        <v>458</v>
      </c>
      <c r="C22">
        <v>5682.5355349430629</v>
      </c>
      <c r="D22">
        <v>6005.7071878104834</v>
      </c>
      <c r="E22">
        <v>6392.5933402409055</v>
      </c>
      <c r="F22">
        <v>6838.3261160824331</v>
      </c>
      <c r="G22">
        <v>7015.1979279705611</v>
      </c>
      <c r="H22">
        <v>7441.0691396125412</v>
      </c>
      <c r="I22">
        <v>7888.1638909830435</v>
      </c>
      <c r="J22">
        <v>8242.3979897724221</v>
      </c>
      <c r="K22">
        <v>8486.7849566051682</v>
      </c>
      <c r="L22">
        <v>8676.7557622508011</v>
      </c>
    </row>
    <row r="23" spans="1:12" x14ac:dyDescent="0.2">
      <c r="A23" t="s">
        <v>47</v>
      </c>
      <c r="B23" t="s">
        <v>45</v>
      </c>
      <c r="C23">
        <v>25636.744390347849</v>
      </c>
      <c r="D23">
        <v>26691.758001901977</v>
      </c>
      <c r="E23">
        <v>27690.893655004991</v>
      </c>
      <c r="F23">
        <v>29149.921509976022</v>
      </c>
      <c r="G23">
        <v>28521.206248259619</v>
      </c>
      <c r="H23">
        <v>30958.983023833225</v>
      </c>
      <c r="I23">
        <v>32433.658756962646</v>
      </c>
      <c r="J23">
        <v>33073.680309345327</v>
      </c>
      <c r="K23">
        <v>34221.38669403625</v>
      </c>
      <c r="L23">
        <v>35325.531788347434</v>
      </c>
    </row>
    <row r="24" spans="1:12" x14ac:dyDescent="0.2">
      <c r="A24" t="s">
        <v>461</v>
      </c>
      <c r="B24" t="s">
        <v>460</v>
      </c>
      <c r="C24">
        <v>54107.075223642321</v>
      </c>
      <c r="D24">
        <v>53859.774958960057</v>
      </c>
      <c r="E24">
        <v>54893.072441136785</v>
      </c>
      <c r="F24">
        <v>56749.962837061219</v>
      </c>
      <c r="G24">
        <v>53814.245259235817</v>
      </c>
      <c r="H24">
        <v>54954.675789553228</v>
      </c>
      <c r="I24">
        <v>57572.997981017965</v>
      </c>
      <c r="J24">
        <v>57819.905183124225</v>
      </c>
      <c r="K24">
        <v>59060.181836318312</v>
      </c>
      <c r="L24">
        <v>60669.630779577237</v>
      </c>
    </row>
    <row r="25" spans="1:12" x14ac:dyDescent="0.2">
      <c r="A25" t="s">
        <v>463</v>
      </c>
      <c r="B25" t="s">
        <v>462</v>
      </c>
      <c r="C25">
        <v>32172.336515297575</v>
      </c>
      <c r="D25">
        <v>33050.035012861117</v>
      </c>
      <c r="E25">
        <v>33650.216435093527</v>
      </c>
      <c r="F25">
        <v>33202.490210506847</v>
      </c>
      <c r="G25">
        <v>26452.695760929029</v>
      </c>
      <c r="H25">
        <v>31064.682216619418</v>
      </c>
      <c r="I25">
        <v>34342.928531656922</v>
      </c>
      <c r="J25">
        <v>35221.26969323129</v>
      </c>
      <c r="K25">
        <v>36244.050012324442</v>
      </c>
    </row>
    <row r="26" spans="1:12" x14ac:dyDescent="0.2">
      <c r="A26" t="s">
        <v>465</v>
      </c>
      <c r="B26" t="s">
        <v>464</v>
      </c>
      <c r="C26">
        <v>14873.641110787948</v>
      </c>
      <c r="D26">
        <v>15554.658743076558</v>
      </c>
      <c r="E26">
        <v>16348.999714535274</v>
      </c>
      <c r="F26">
        <v>17029.297198034339</v>
      </c>
      <c r="G26">
        <v>16747.035391869464</v>
      </c>
      <c r="H26">
        <v>18286.661497717454</v>
      </c>
      <c r="I26">
        <v>19298.117076437047</v>
      </c>
      <c r="J26">
        <v>19804.918146563479</v>
      </c>
      <c r="K26">
        <v>20578.499544681647</v>
      </c>
      <c r="L26">
        <v>21178.22600594972</v>
      </c>
    </row>
    <row r="27" spans="1:12" x14ac:dyDescent="0.2">
      <c r="A27" t="s">
        <v>467</v>
      </c>
      <c r="B27" t="s">
        <v>466</v>
      </c>
      <c r="C27">
        <v>24846.830152935861</v>
      </c>
      <c r="D27">
        <v>25503.980984520666</v>
      </c>
      <c r="E27">
        <v>26363.46297785364</v>
      </c>
      <c r="F27">
        <v>26798.820639807636</v>
      </c>
      <c r="G27">
        <v>26731.495386992214</v>
      </c>
      <c r="H27">
        <v>27611.180113515707</v>
      </c>
      <c r="I27">
        <v>26537.508308167438</v>
      </c>
      <c r="J27">
        <v>27782.438013996729</v>
      </c>
      <c r="K27">
        <v>29135.946513923205</v>
      </c>
      <c r="L27">
        <v>29666.211571911696</v>
      </c>
    </row>
    <row r="28" spans="1:12" x14ac:dyDescent="0.2">
      <c r="A28" t="s">
        <v>469</v>
      </c>
      <c r="B28" t="s">
        <v>468</v>
      </c>
      <c r="C28">
        <v>12063.060037409297</v>
      </c>
      <c r="D28">
        <v>11572.300793146118</v>
      </c>
      <c r="E28">
        <v>11451.897941387726</v>
      </c>
      <c r="F28">
        <v>11765.974866117622</v>
      </c>
      <c r="G28">
        <v>10045.140416374554</v>
      </c>
      <c r="H28">
        <v>11716.326781865551</v>
      </c>
      <c r="I28">
        <v>12565.364582957618</v>
      </c>
      <c r="J28">
        <v>12371.008654534773</v>
      </c>
      <c r="K28">
        <v>12621.408196189694</v>
      </c>
      <c r="L28">
        <v>12788.842371382603</v>
      </c>
    </row>
    <row r="29" spans="1:12" x14ac:dyDescent="0.2">
      <c r="A29" t="s">
        <v>471</v>
      </c>
      <c r="B29" t="s">
        <v>470</v>
      </c>
      <c r="C29">
        <v>93269.013755845299</v>
      </c>
      <c r="D29">
        <v>96441.271876725616</v>
      </c>
      <c r="E29">
        <v>95643.273405554253</v>
      </c>
      <c r="F29">
        <v>95523.962312602627</v>
      </c>
      <c r="G29">
        <v>88484.815599792142</v>
      </c>
      <c r="H29">
        <v>92319.671486122243</v>
      </c>
      <c r="I29">
        <v>97943.054897732218</v>
      </c>
      <c r="J29">
        <v>102268.9228032722</v>
      </c>
      <c r="K29">
        <v>104299.94435881494</v>
      </c>
    </row>
    <row r="30" spans="1:12" x14ac:dyDescent="0.2">
      <c r="A30" t="s">
        <v>473</v>
      </c>
      <c r="B30" t="s">
        <v>472</v>
      </c>
      <c r="C30">
        <v>11448.021803219963</v>
      </c>
      <c r="D30">
        <v>11755.255619588523</v>
      </c>
      <c r="E30">
        <v>11920.313507964513</v>
      </c>
      <c r="F30">
        <v>11930.915914591844</v>
      </c>
      <c r="G30">
        <v>10285.659075022226</v>
      </c>
      <c r="H30">
        <v>11202.440983670711</v>
      </c>
      <c r="I30">
        <v>11487.714879919436</v>
      </c>
      <c r="J30">
        <v>11616.157559515917</v>
      </c>
      <c r="K30">
        <v>11329.151806153595</v>
      </c>
      <c r="L30">
        <v>11000.534522072765</v>
      </c>
    </row>
    <row r="31" spans="1:12" x14ac:dyDescent="0.2">
      <c r="A31" t="s">
        <v>475</v>
      </c>
      <c r="B31" t="s">
        <v>474</v>
      </c>
      <c r="C31">
        <v>17620.927243413644</v>
      </c>
      <c r="D31">
        <v>17724.479957778422</v>
      </c>
      <c r="E31">
        <v>17917.749212335882</v>
      </c>
      <c r="F31">
        <v>18018.620915151791</v>
      </c>
      <c r="G31">
        <v>17327.515724946628</v>
      </c>
      <c r="H31">
        <v>18075.706004906784</v>
      </c>
      <c r="I31">
        <v>18554.046182856619</v>
      </c>
      <c r="J31">
        <v>19079.812213402769</v>
      </c>
      <c r="K31">
        <v>19652.365499171046</v>
      </c>
      <c r="L31">
        <v>20024.696825690251</v>
      </c>
    </row>
    <row r="32" spans="1:12" x14ac:dyDescent="0.2">
      <c r="A32" t="s">
        <v>477</v>
      </c>
      <c r="B32" t="s">
        <v>476</v>
      </c>
      <c r="C32">
        <v>19877.112008396831</v>
      </c>
      <c r="D32">
        <v>19966.320240515426</v>
      </c>
      <c r="E32">
        <v>19877.675956923464</v>
      </c>
      <c r="F32">
        <v>19890.455714094041</v>
      </c>
      <c r="G32">
        <v>16399.702011140482</v>
      </c>
      <c r="H32">
        <v>17686.746938628879</v>
      </c>
      <c r="I32">
        <v>20494.534383693612</v>
      </c>
      <c r="J32">
        <v>20865.015543714722</v>
      </c>
      <c r="K32">
        <v>21557.527635038492</v>
      </c>
      <c r="L32">
        <v>22127.36049797184</v>
      </c>
    </row>
    <row r="33" spans="1:12" x14ac:dyDescent="0.2">
      <c r="A33" t="s">
        <v>369</v>
      </c>
      <c r="B33" t="s">
        <v>367</v>
      </c>
      <c r="C33">
        <v>78880.622850176762</v>
      </c>
      <c r="D33">
        <v>78966.864314234583</v>
      </c>
      <c r="E33">
        <v>78099.05078025609</v>
      </c>
      <c r="F33">
        <v>80228.1598170527</v>
      </c>
      <c r="G33">
        <v>80280.898064067675</v>
      </c>
      <c r="H33">
        <v>78248.797127611004</v>
      </c>
      <c r="I33">
        <v>76357.829114996028</v>
      </c>
      <c r="J33">
        <v>76616.701488498089</v>
      </c>
      <c r="K33">
        <v>79071.733380144506</v>
      </c>
      <c r="L33">
        <v>78985.12202695095</v>
      </c>
    </row>
    <row r="34" spans="1:12" x14ac:dyDescent="0.2">
      <c r="A34" t="s">
        <v>479</v>
      </c>
      <c r="B34" t="s">
        <v>478</v>
      </c>
      <c r="C34">
        <v>13320.975903688246</v>
      </c>
      <c r="D34">
        <v>13482.342528035764</v>
      </c>
      <c r="E34">
        <v>13854.85439771577</v>
      </c>
      <c r="F34">
        <v>14555.188404584535</v>
      </c>
      <c r="G34">
        <v>12979.936948582394</v>
      </c>
      <c r="H34">
        <v>13458.812666742977</v>
      </c>
      <c r="I34">
        <v>14061.31202745876</v>
      </c>
      <c r="J34">
        <v>14610.295909783661</v>
      </c>
      <c r="K34">
        <v>15603.887129846908</v>
      </c>
      <c r="L34">
        <v>16743.870385457481</v>
      </c>
    </row>
    <row r="35" spans="1:12" x14ac:dyDescent="0.2">
      <c r="A35" t="s">
        <v>366</v>
      </c>
      <c r="B35" t="s">
        <v>365</v>
      </c>
      <c r="C35">
        <v>16905.588740873049</v>
      </c>
      <c r="D35">
        <v>17352.895845145355</v>
      </c>
      <c r="E35">
        <v>17825.018569213007</v>
      </c>
      <c r="F35">
        <v>18106.01054711243</v>
      </c>
      <c r="G35">
        <v>16289.391358264542</v>
      </c>
      <c r="H35">
        <v>17960.625444743728</v>
      </c>
      <c r="I35">
        <v>18647.373458883187</v>
      </c>
      <c r="J35">
        <v>18932.480271233406</v>
      </c>
      <c r="K35">
        <v>18107.614452913022</v>
      </c>
      <c r="L35">
        <v>17687.204240793395</v>
      </c>
    </row>
    <row r="36" spans="1:12" x14ac:dyDescent="0.2">
      <c r="A36" t="s">
        <v>481</v>
      </c>
      <c r="B36" t="s">
        <v>480</v>
      </c>
      <c r="C36">
        <v>1073.9447770373913</v>
      </c>
      <c r="D36">
        <v>1103.866093187238</v>
      </c>
      <c r="E36">
        <v>1125.7009174822797</v>
      </c>
      <c r="F36">
        <v>1145.0956365775189</v>
      </c>
      <c r="G36">
        <v>1136.5705299375754</v>
      </c>
      <c r="H36">
        <v>1128.5523799645857</v>
      </c>
      <c r="I36">
        <v>1136.8017110704461</v>
      </c>
      <c r="J36">
        <v>1132.6764336980382</v>
      </c>
      <c r="K36">
        <v>1111.2194163888284</v>
      </c>
      <c r="L36">
        <v>1122.7608334809663</v>
      </c>
    </row>
    <row r="37" spans="1:12" x14ac:dyDescent="0.2">
      <c r="A37" t="s">
        <v>483</v>
      </c>
      <c r="B37" t="s">
        <v>482</v>
      </c>
      <c r="C37">
        <v>55606.132994818443</v>
      </c>
      <c r="D37">
        <v>56612.306219177655</v>
      </c>
      <c r="E37">
        <v>57337.468287003321</v>
      </c>
      <c r="F37">
        <v>57583.82307392043</v>
      </c>
      <c r="G37">
        <v>54092.857689083598</v>
      </c>
      <c r="H37">
        <v>56995.095202071148</v>
      </c>
      <c r="I37">
        <v>58583.129986013795</v>
      </c>
      <c r="J37">
        <v>58088.37780779945</v>
      </c>
      <c r="K37">
        <v>57534.091518533511</v>
      </c>
      <c r="L37">
        <v>57989.578465355829</v>
      </c>
    </row>
    <row r="38" spans="1:12" x14ac:dyDescent="0.2">
      <c r="A38" t="s">
        <v>485</v>
      </c>
      <c r="B38" t="s">
        <v>484</v>
      </c>
      <c r="C38">
        <v>33063.129985390769</v>
      </c>
      <c r="D38">
        <v>34898.599325432857</v>
      </c>
      <c r="E38">
        <v>36731.096234434932</v>
      </c>
      <c r="F38">
        <v>38302.005751171018</v>
      </c>
      <c r="G38">
        <v>37280.020103722789</v>
      </c>
      <c r="H38">
        <v>40122.360960058839</v>
      </c>
      <c r="I38">
        <v>41833.705776527153</v>
      </c>
      <c r="J38">
        <v>42113.890527066302</v>
      </c>
      <c r="K38">
        <v>43043.894558014152</v>
      </c>
      <c r="L38">
        <v>44160.926404938415</v>
      </c>
    </row>
    <row r="39" spans="1:12" x14ac:dyDescent="0.2">
      <c r="A39" t="s">
        <v>315</v>
      </c>
      <c r="B39" t="s">
        <v>313</v>
      </c>
      <c r="C39">
        <v>78956.06673150415</v>
      </c>
      <c r="D39">
        <v>79333.743781088124</v>
      </c>
      <c r="E39">
        <v>81371.894412085501</v>
      </c>
      <c r="F39">
        <v>81694.63065231395</v>
      </c>
      <c r="G39">
        <v>79270.871368714099</v>
      </c>
      <c r="H39">
        <v>83524.983288019532</v>
      </c>
      <c r="I39">
        <v>85762.282917430377</v>
      </c>
      <c r="J39">
        <v>85383.35645040081</v>
      </c>
      <c r="K39">
        <v>85448.058557700715</v>
      </c>
      <c r="L39">
        <v>85732.109753523182</v>
      </c>
    </row>
    <row r="40" spans="1:12" x14ac:dyDescent="0.2">
      <c r="A40" t="s">
        <v>487</v>
      </c>
      <c r="B40" t="s">
        <v>486</v>
      </c>
    </row>
    <row r="41" spans="1:12" x14ac:dyDescent="0.2">
      <c r="A41" t="s">
        <v>489</v>
      </c>
      <c r="B41" t="s">
        <v>488</v>
      </c>
      <c r="C41">
        <v>27965.347352683086</v>
      </c>
      <c r="D41">
        <v>27899.59797770116</v>
      </c>
      <c r="E41">
        <v>28499.406400040625</v>
      </c>
      <c r="F41">
        <v>28227.979050759383</v>
      </c>
      <c r="G41">
        <v>26258.403855324152</v>
      </c>
      <c r="H41">
        <v>29106.635652205307</v>
      </c>
      <c r="I41">
        <v>29560.451380578521</v>
      </c>
      <c r="J41">
        <v>29600.418861316757</v>
      </c>
      <c r="K41">
        <v>30267.644091990747</v>
      </c>
      <c r="L41">
        <v>30863.422315516877</v>
      </c>
    </row>
    <row r="42" spans="1:12" x14ac:dyDescent="0.2">
      <c r="A42" t="s">
        <v>376</v>
      </c>
      <c r="B42" t="s">
        <v>374</v>
      </c>
      <c r="C42">
        <v>15772.837260750168</v>
      </c>
      <c r="D42">
        <v>16758.046397685786</v>
      </c>
      <c r="E42">
        <v>17807.049055224419</v>
      </c>
      <c r="F42">
        <v>18820.587164564455</v>
      </c>
      <c r="G42">
        <v>19215.101249101157</v>
      </c>
      <c r="H42">
        <v>20843.297834737652</v>
      </c>
      <c r="I42">
        <v>21499.312555975706</v>
      </c>
      <c r="J42">
        <v>22687.251953432795</v>
      </c>
      <c r="K42">
        <v>23841.476914181672</v>
      </c>
      <c r="L42">
        <v>25066.521529648599</v>
      </c>
    </row>
    <row r="43" spans="1:12" x14ac:dyDescent="0.2">
      <c r="A43" t="s">
        <v>491</v>
      </c>
      <c r="B43" t="s">
        <v>490</v>
      </c>
      <c r="C43">
        <v>5320.8858219918584</v>
      </c>
      <c r="D43">
        <v>5556.154763150902</v>
      </c>
      <c r="E43">
        <v>5670.2419974135291</v>
      </c>
      <c r="F43">
        <v>5894.9223525910338</v>
      </c>
      <c r="G43">
        <v>5787.8581469656119</v>
      </c>
      <c r="H43">
        <v>6045.2048049088089</v>
      </c>
      <c r="I43">
        <v>6272.2639576002884</v>
      </c>
      <c r="J43">
        <v>6520.8988645976515</v>
      </c>
      <c r="K43">
        <v>6747.0379677705969</v>
      </c>
      <c r="L43">
        <v>7014.845776930616</v>
      </c>
    </row>
    <row r="44" spans="1:12" x14ac:dyDescent="0.2">
      <c r="A44" t="s">
        <v>493</v>
      </c>
      <c r="B44" t="s">
        <v>492</v>
      </c>
      <c r="C44">
        <v>4767.1318614895335</v>
      </c>
      <c r="D44">
        <v>4797.9754418554367</v>
      </c>
      <c r="E44">
        <v>4851.4800394996064</v>
      </c>
      <c r="F44">
        <v>4882.3556002889618</v>
      </c>
      <c r="G44">
        <v>4763.4819438806553</v>
      </c>
      <c r="H44">
        <v>4793.5562820019559</v>
      </c>
      <c r="I44">
        <v>4843.6503820291655</v>
      </c>
      <c r="J44">
        <v>4875.2512076800485</v>
      </c>
      <c r="K44">
        <v>4916.9335401949365</v>
      </c>
      <c r="L44">
        <v>4945.9564096533431</v>
      </c>
    </row>
    <row r="45" spans="1:12" x14ac:dyDescent="0.2">
      <c r="A45" t="s">
        <v>495</v>
      </c>
      <c r="B45" t="s">
        <v>494</v>
      </c>
      <c r="C45">
        <v>1388.8016321163311</v>
      </c>
      <c r="D45">
        <v>1395.7196176171167</v>
      </c>
      <c r="E45">
        <v>1431.7285269692966</v>
      </c>
      <c r="F45">
        <v>1394.7646147289322</v>
      </c>
      <c r="G45">
        <v>1361.027910990083</v>
      </c>
      <c r="H45">
        <v>1402.3856029522096</v>
      </c>
      <c r="I45">
        <v>1484.3384188144919</v>
      </c>
      <c r="J45">
        <v>1559.3380647585918</v>
      </c>
      <c r="K45">
        <v>1601.7092664042243</v>
      </c>
      <c r="L45">
        <v>1640.5662182427818</v>
      </c>
    </row>
    <row r="46" spans="1:12" x14ac:dyDescent="0.2">
      <c r="A46" t="s">
        <v>497</v>
      </c>
      <c r="B46" t="s">
        <v>496</v>
      </c>
      <c r="C46">
        <v>8001.8255194505027</v>
      </c>
      <c r="D46">
        <v>7372.7704673759881</v>
      </c>
      <c r="E46">
        <v>7029.3365156625696</v>
      </c>
      <c r="F46">
        <v>6939.3691339746583</v>
      </c>
      <c r="G46">
        <v>6350.5091340972176</v>
      </c>
      <c r="H46">
        <v>6263.2116129263632</v>
      </c>
      <c r="I46">
        <v>6205.1050414034034</v>
      </c>
      <c r="J46">
        <v>6172.2877665068272</v>
      </c>
      <c r="K46">
        <v>6152.5650911844159</v>
      </c>
      <c r="L46">
        <v>6194.0898128775625</v>
      </c>
    </row>
    <row r="47" spans="1:12" x14ac:dyDescent="0.2">
      <c r="A47" t="s">
        <v>499</v>
      </c>
      <c r="B47" t="s">
        <v>498</v>
      </c>
      <c r="C47">
        <v>17003.244366485014</v>
      </c>
      <c r="D47">
        <v>16986.033418284223</v>
      </c>
      <c r="E47">
        <v>17104.131354567824</v>
      </c>
      <c r="F47">
        <v>17336.771603055058</v>
      </c>
      <c r="G47">
        <v>15861.499929129526</v>
      </c>
      <c r="H47">
        <v>17383.090172829532</v>
      </c>
      <c r="I47">
        <v>18458.720946070363</v>
      </c>
      <c r="J47">
        <v>18406.624233849125</v>
      </c>
      <c r="K47">
        <v>18481.837492936753</v>
      </c>
      <c r="L47">
        <v>18778.648263190116</v>
      </c>
    </row>
    <row r="48" spans="1:12" x14ac:dyDescent="0.2">
      <c r="A48" t="s">
        <v>501</v>
      </c>
      <c r="B48" t="s">
        <v>500</v>
      </c>
      <c r="C48">
        <v>3411.7712352358203</v>
      </c>
      <c r="D48">
        <v>3472.0785894236624</v>
      </c>
      <c r="E48">
        <v>3528.9586816787705</v>
      </c>
      <c r="F48">
        <v>3522.6686695264643</v>
      </c>
      <c r="G48">
        <v>3447.4727490477203</v>
      </c>
      <c r="H48">
        <v>3449.0435745318014</v>
      </c>
      <c r="I48">
        <v>3465.8402271704995</v>
      </c>
      <c r="J48">
        <v>3508.1586233154544</v>
      </c>
      <c r="K48">
        <v>3556.0384263801025</v>
      </c>
      <c r="L48">
        <v>3621.7662630434265</v>
      </c>
    </row>
    <row r="49" spans="1:12" x14ac:dyDescent="0.2">
      <c r="A49" t="s">
        <v>503</v>
      </c>
      <c r="B49" t="s">
        <v>502</v>
      </c>
      <c r="C49">
        <v>7881.303362277843</v>
      </c>
      <c r="D49">
        <v>8234.5600031245922</v>
      </c>
      <c r="E49">
        <v>8531.1296164654905</v>
      </c>
      <c r="F49">
        <v>9111.6299317326939</v>
      </c>
      <c r="G49">
        <v>7207.8685396204819</v>
      </c>
      <c r="H49">
        <v>7685.419213936686</v>
      </c>
      <c r="I49">
        <v>8850.1066918811957</v>
      </c>
      <c r="J49">
        <v>9228.4604533113961</v>
      </c>
      <c r="K49">
        <v>9825.5341009361928</v>
      </c>
      <c r="L49">
        <v>10395.741504401234</v>
      </c>
    </row>
    <row r="50" spans="1:12" x14ac:dyDescent="0.2">
      <c r="A50" t="s">
        <v>505</v>
      </c>
      <c r="B50" t="s">
        <v>504</v>
      </c>
      <c r="C50">
        <v>21936.466057536618</v>
      </c>
      <c r="D50">
        <v>22633.764866330228</v>
      </c>
      <c r="E50">
        <v>23069.862224126584</v>
      </c>
      <c r="F50">
        <v>23496.829462299509</v>
      </c>
      <c r="G50">
        <v>22368.137807263789</v>
      </c>
      <c r="H50">
        <v>24083.598818243729</v>
      </c>
      <c r="I50">
        <v>25290.008746697484</v>
      </c>
      <c r="J50">
        <v>26378.540994192583</v>
      </c>
      <c r="K50">
        <v>27325.047047650336</v>
      </c>
      <c r="L50">
        <v>28443.412767638772</v>
      </c>
    </row>
    <row r="51" spans="1:12" x14ac:dyDescent="0.2">
      <c r="A51" t="s">
        <v>507</v>
      </c>
      <c r="B51" t="s">
        <v>506</v>
      </c>
      <c r="C51">
        <v>24339.825663370051</v>
      </c>
      <c r="D51">
        <v>23920.589323712597</v>
      </c>
      <c r="E51">
        <v>24024.817829969637</v>
      </c>
      <c r="F51">
        <v>24095.626888439703</v>
      </c>
      <c r="G51">
        <v>22222.115107615951</v>
      </c>
      <c r="H51">
        <v>23495.159073502105</v>
      </c>
      <c r="I51">
        <v>27023.557462142839</v>
      </c>
      <c r="J51">
        <v>29600.953068707437</v>
      </c>
      <c r="K51">
        <v>33971.552501397731</v>
      </c>
      <c r="L51">
        <v>36714.315416931051</v>
      </c>
    </row>
    <row r="52" spans="1:12" x14ac:dyDescent="0.2">
      <c r="A52" t="s">
        <v>509</v>
      </c>
      <c r="B52" t="s">
        <v>508</v>
      </c>
    </row>
    <row r="53" spans="1:12" x14ac:dyDescent="0.2">
      <c r="A53" t="s">
        <v>511</v>
      </c>
      <c r="B53" t="s">
        <v>510</v>
      </c>
      <c r="C53">
        <v>30209.788255360887</v>
      </c>
      <c r="D53">
        <v>29729.101363949834</v>
      </c>
      <c r="E53">
        <v>29256.815786528594</v>
      </c>
      <c r="F53">
        <v>28659.65590140651</v>
      </c>
      <c r="G53">
        <v>23669.771151912824</v>
      </c>
      <c r="H53">
        <v>24905.768426697756</v>
      </c>
      <c r="I53">
        <v>26734.645899892141</v>
      </c>
      <c r="J53">
        <v>27617.920428363846</v>
      </c>
      <c r="K53">
        <v>28762.058156638908</v>
      </c>
    </row>
    <row r="54" spans="1:12" x14ac:dyDescent="0.2">
      <c r="A54" t="s">
        <v>513</v>
      </c>
      <c r="B54" t="s">
        <v>512</v>
      </c>
      <c r="C54">
        <v>73941.859241319165</v>
      </c>
      <c r="D54">
        <v>74599.679955935717</v>
      </c>
      <c r="E54">
        <v>76124.550597624897</v>
      </c>
      <c r="F54">
        <v>77476.840991360936</v>
      </c>
      <c r="G54">
        <v>72183.135904589479</v>
      </c>
      <c r="H54">
        <v>74160.491400019106</v>
      </c>
      <c r="I54">
        <v>76735.374433333796</v>
      </c>
      <c r="J54">
        <v>79580.887284565266</v>
      </c>
      <c r="K54">
        <v>80996.650664166562</v>
      </c>
    </row>
    <row r="55" spans="1:12" x14ac:dyDescent="0.2">
      <c r="A55" t="s">
        <v>248</v>
      </c>
      <c r="B55" t="s">
        <v>514</v>
      </c>
      <c r="C55">
        <v>39500.8515625</v>
      </c>
      <c r="D55">
        <v>41417.98828125</v>
      </c>
      <c r="E55">
        <v>43510.03125</v>
      </c>
      <c r="F55">
        <v>45454.17578125</v>
      </c>
      <c r="G55">
        <v>43402.359375</v>
      </c>
      <c r="H55">
        <v>47632.5703125</v>
      </c>
      <c r="I55">
        <v>50840.9140625</v>
      </c>
      <c r="J55">
        <v>51674.90234375</v>
      </c>
      <c r="K55">
        <v>52861.8359375</v>
      </c>
      <c r="L55">
        <v>54103.26171875</v>
      </c>
    </row>
    <row r="56" spans="1:12" x14ac:dyDescent="0.2">
      <c r="A56" t="s">
        <v>237</v>
      </c>
      <c r="B56" t="s">
        <v>515</v>
      </c>
      <c r="C56">
        <v>43069.465974472711</v>
      </c>
      <c r="D56">
        <v>45177.522605363367</v>
      </c>
      <c r="E56">
        <v>46301.082036028994</v>
      </c>
      <c r="F56">
        <v>47763.616552025429</v>
      </c>
      <c r="G56">
        <v>45119.93873091392</v>
      </c>
      <c r="H56">
        <v>47796.0337408466</v>
      </c>
      <c r="I56">
        <v>48390.661678674951</v>
      </c>
      <c r="J56">
        <v>47558.410676331405</v>
      </c>
      <c r="K56">
        <v>47972.531717920043</v>
      </c>
      <c r="L56">
        <v>49292.487871320838</v>
      </c>
    </row>
    <row r="57" spans="1:12" x14ac:dyDescent="0.2">
      <c r="A57" t="s">
        <v>88</v>
      </c>
      <c r="B57" t="s">
        <v>86</v>
      </c>
      <c r="C57">
        <v>60504.585741716095</v>
      </c>
      <c r="D57">
        <v>61965.434290496472</v>
      </c>
      <c r="E57">
        <v>62481.11839710451</v>
      </c>
      <c r="F57">
        <v>62949.893251185516</v>
      </c>
      <c r="G57">
        <v>60299.576771080945</v>
      </c>
      <c r="H57">
        <v>62630.7748127737</v>
      </c>
      <c r="I57">
        <v>63777.929102929935</v>
      </c>
      <c r="J57">
        <v>63140.194909966936</v>
      </c>
      <c r="K57">
        <v>62654.602264022993</v>
      </c>
      <c r="L57">
        <v>62823.77366488221</v>
      </c>
    </row>
    <row r="58" spans="1:12" x14ac:dyDescent="0.2">
      <c r="A58" t="s">
        <v>517</v>
      </c>
      <c r="B58" t="s">
        <v>516</v>
      </c>
      <c r="C58">
        <v>5226.5002610660658</v>
      </c>
      <c r="D58">
        <v>5421.9564914961311</v>
      </c>
      <c r="E58">
        <v>5590.5042660485278</v>
      </c>
      <c r="F58">
        <v>5809.3045504134116</v>
      </c>
      <c r="G58">
        <v>5791.4776767987732</v>
      </c>
      <c r="H58">
        <v>5960.1080739682457</v>
      </c>
      <c r="I58">
        <v>6180.6799859460643</v>
      </c>
      <c r="J58">
        <v>6510.6785906161904</v>
      </c>
      <c r="K58">
        <v>6871.1244045312887</v>
      </c>
      <c r="L58">
        <v>7222.5498918753037</v>
      </c>
    </row>
    <row r="59" spans="1:12" x14ac:dyDescent="0.2">
      <c r="A59" t="s">
        <v>519</v>
      </c>
      <c r="B59" t="s">
        <v>518</v>
      </c>
      <c r="C59">
        <v>17364.077304679293</v>
      </c>
      <c r="D59">
        <v>16314.229555889133</v>
      </c>
      <c r="E59">
        <v>16877.124488064168</v>
      </c>
      <c r="F59">
        <v>17619.43354167695</v>
      </c>
      <c r="G59">
        <v>14919.530768671857</v>
      </c>
      <c r="H59">
        <v>15808.974350394501</v>
      </c>
      <c r="I59">
        <v>17550.800994646645</v>
      </c>
      <c r="J59">
        <v>18278.225340198944</v>
      </c>
      <c r="K59">
        <v>18739.364040498604</v>
      </c>
      <c r="L59">
        <v>19409.290070019415</v>
      </c>
    </row>
    <row r="60" spans="1:12" x14ac:dyDescent="0.2">
      <c r="A60" t="s">
        <v>57</v>
      </c>
      <c r="B60" t="s">
        <v>55</v>
      </c>
      <c r="C60">
        <v>63468.988824681372</v>
      </c>
      <c r="D60">
        <v>64989.445987234663</v>
      </c>
      <c r="E60">
        <v>65870.830255434121</v>
      </c>
      <c r="F60">
        <v>66758.632334613067</v>
      </c>
      <c r="G60">
        <v>65379.306612099535</v>
      </c>
      <c r="H60">
        <v>69327.998216526961</v>
      </c>
      <c r="I60">
        <v>69089.469249228918</v>
      </c>
      <c r="J60">
        <v>68993.903110036161</v>
      </c>
      <c r="K60">
        <v>71034.578966713845</v>
      </c>
      <c r="L60">
        <v>72723.274786799215</v>
      </c>
    </row>
    <row r="61" spans="1:12" x14ac:dyDescent="0.2">
      <c r="A61" t="s">
        <v>521</v>
      </c>
      <c r="B61" t="s">
        <v>520</v>
      </c>
      <c r="C61">
        <v>18968.975238617928</v>
      </c>
      <c r="D61">
        <v>19501.874305407844</v>
      </c>
      <c r="E61">
        <v>20662.848586152973</v>
      </c>
      <c r="F61">
        <v>21451.286441994969</v>
      </c>
      <c r="G61">
        <v>19545.409955294315</v>
      </c>
      <c r="H61">
        <v>22053.458986995527</v>
      </c>
      <c r="I61">
        <v>22986.95808104995</v>
      </c>
      <c r="J61">
        <v>23282.489507105423</v>
      </c>
      <c r="K61">
        <v>24229.889487291515</v>
      </c>
      <c r="L61">
        <v>24543.342184341465</v>
      </c>
    </row>
    <row r="62" spans="1:12" x14ac:dyDescent="0.2">
      <c r="A62" t="s">
        <v>523</v>
      </c>
      <c r="B62" t="s">
        <v>522</v>
      </c>
      <c r="C62">
        <v>15511.685876809384</v>
      </c>
      <c r="D62">
        <v>15427.664189471308</v>
      </c>
      <c r="E62">
        <v>15343.426122243411</v>
      </c>
      <c r="F62">
        <v>15199.198996563926</v>
      </c>
      <c r="G62">
        <v>14194.155747961899</v>
      </c>
      <c r="H62">
        <v>14496.865469729873</v>
      </c>
      <c r="I62">
        <v>14782.200297024719</v>
      </c>
      <c r="J62">
        <v>15159.324237341518</v>
      </c>
      <c r="K62">
        <v>15501.919700396595</v>
      </c>
      <c r="L62">
        <v>15882.713883632765</v>
      </c>
    </row>
    <row r="63" spans="1:12" x14ac:dyDescent="0.2">
      <c r="A63" t="s">
        <v>525</v>
      </c>
      <c r="B63" t="s">
        <v>524</v>
      </c>
      <c r="C63">
        <v>14243.796425855797</v>
      </c>
      <c r="D63">
        <v>15060.223290632806</v>
      </c>
      <c r="E63">
        <v>15925.062376871832</v>
      </c>
      <c r="F63">
        <v>16754.143368620196</v>
      </c>
      <c r="G63">
        <v>16816.472182044192</v>
      </c>
      <c r="H63">
        <v>17966.100209993019</v>
      </c>
      <c r="I63">
        <v>18600.231979514934</v>
      </c>
      <c r="J63">
        <v>19523.674641797199</v>
      </c>
      <c r="K63">
        <v>20453.972347377934</v>
      </c>
      <c r="L63">
        <v>21435.108223809519</v>
      </c>
    </row>
    <row r="64" spans="1:12" x14ac:dyDescent="0.2">
      <c r="A64" t="s">
        <v>527</v>
      </c>
      <c r="B64" t="s">
        <v>526</v>
      </c>
      <c r="C64">
        <v>9809.6199201504078</v>
      </c>
      <c r="D64">
        <v>10168.994885281534</v>
      </c>
      <c r="E64">
        <v>10473.953452546497</v>
      </c>
      <c r="F64">
        <v>10646.461936358723</v>
      </c>
      <c r="G64">
        <v>10109.673775134277</v>
      </c>
      <c r="H64">
        <v>10742.10394962912</v>
      </c>
      <c r="I64">
        <v>11282.884392496251</v>
      </c>
      <c r="J64">
        <v>11661.591896262365</v>
      </c>
      <c r="K64">
        <v>12032.027562552415</v>
      </c>
      <c r="L64">
        <v>12466.162672463024</v>
      </c>
    </row>
    <row r="65" spans="1:12" x14ac:dyDescent="0.2">
      <c r="A65" t="s">
        <v>529</v>
      </c>
      <c r="B65" t="s">
        <v>528</v>
      </c>
      <c r="C65">
        <v>17975.468142301524</v>
      </c>
      <c r="D65">
        <v>18809.507489610718</v>
      </c>
      <c r="E65">
        <v>19664.417211801501</v>
      </c>
      <c r="F65">
        <v>20432.980427024937</v>
      </c>
      <c r="G65">
        <v>20334.225380351621</v>
      </c>
      <c r="H65">
        <v>21598.584759238376</v>
      </c>
      <c r="I65">
        <v>22275.387557342343</v>
      </c>
      <c r="J65">
        <v>23181.860293006721</v>
      </c>
      <c r="K65">
        <v>24094.159420998272</v>
      </c>
      <c r="L65">
        <v>25109.708802189991</v>
      </c>
    </row>
    <row r="66" spans="1:12" x14ac:dyDescent="0.2">
      <c r="A66" t="s">
        <v>531</v>
      </c>
      <c r="B66" t="s">
        <v>530</v>
      </c>
      <c r="C66">
        <v>19031.740932887507</v>
      </c>
      <c r="D66">
        <v>19877.840250678397</v>
      </c>
      <c r="E66">
        <v>20447.440250247466</v>
      </c>
      <c r="F66">
        <v>20830.979013780961</v>
      </c>
      <c r="G66">
        <v>20592.416057404957</v>
      </c>
      <c r="H66">
        <v>22179.17686259999</v>
      </c>
      <c r="I66">
        <v>22334.444336106153</v>
      </c>
      <c r="J66">
        <v>23625.923611650251</v>
      </c>
      <c r="K66">
        <v>24430.217520276867</v>
      </c>
      <c r="L66">
        <v>25132.830570688322</v>
      </c>
    </row>
    <row r="67" spans="1:12" x14ac:dyDescent="0.2">
      <c r="A67" t="s">
        <v>533</v>
      </c>
      <c r="B67" t="s">
        <v>532</v>
      </c>
      <c r="C67">
        <v>39278.917141554484</v>
      </c>
      <c r="D67">
        <v>40335.428857360836</v>
      </c>
      <c r="E67">
        <v>41177.733957441698</v>
      </c>
      <c r="F67">
        <v>41861.078184126294</v>
      </c>
      <c r="G67">
        <v>39782.372808992666</v>
      </c>
      <c r="H67">
        <v>42434.045480463268</v>
      </c>
      <c r="I67">
        <v>43537.488255781216</v>
      </c>
      <c r="J67">
        <v>44220.825118073451</v>
      </c>
      <c r="K67">
        <v>44981.319292624299</v>
      </c>
      <c r="L67">
        <v>45607.938773834496</v>
      </c>
    </row>
    <row r="68" spans="1:12" x14ac:dyDescent="0.2">
      <c r="A68" t="s">
        <v>535</v>
      </c>
      <c r="B68" t="s">
        <v>534</v>
      </c>
      <c r="C68">
        <v>13586.516077256823</v>
      </c>
      <c r="D68">
        <v>14179.15375033051</v>
      </c>
      <c r="E68">
        <v>14083.506998230425</v>
      </c>
      <c r="F68">
        <v>13870.489511806805</v>
      </c>
      <c r="G68">
        <v>12440.326374781402</v>
      </c>
      <c r="H68">
        <v>13507.444563837455</v>
      </c>
      <c r="I68">
        <v>14186.638854462459</v>
      </c>
      <c r="J68">
        <v>14321.164829561092</v>
      </c>
      <c r="K68">
        <v>13922.422278074395</v>
      </c>
      <c r="L68">
        <v>14319.240655829948</v>
      </c>
    </row>
    <row r="69" spans="1:12" x14ac:dyDescent="0.2">
      <c r="A69" t="s">
        <v>347</v>
      </c>
      <c r="B69" t="s">
        <v>536</v>
      </c>
      <c r="C69">
        <v>13727.320160081566</v>
      </c>
      <c r="D69">
        <v>14018.36059344113</v>
      </c>
      <c r="E69">
        <v>14488.209434026054</v>
      </c>
      <c r="F69">
        <v>15026.568243683027</v>
      </c>
      <c r="G69">
        <v>15309.235988183531</v>
      </c>
      <c r="H69">
        <v>15579.016086155119</v>
      </c>
      <c r="I69">
        <v>16360.390775011048</v>
      </c>
      <c r="J69">
        <v>16691.387399196188</v>
      </c>
      <c r="K69">
        <v>16798.151577837994</v>
      </c>
      <c r="L69">
        <v>17265.148860461682</v>
      </c>
    </row>
    <row r="70" spans="1:12" x14ac:dyDescent="0.2">
      <c r="A70" t="s">
        <v>538</v>
      </c>
      <c r="B70" t="s">
        <v>537</v>
      </c>
      <c r="C70">
        <v>51089.957079337022</v>
      </c>
      <c r="D70">
        <v>52337.913501836912</v>
      </c>
      <c r="E70">
        <v>53176.636887729801</v>
      </c>
      <c r="F70">
        <v>53928.468479785603</v>
      </c>
      <c r="G70">
        <v>50532.292766162122</v>
      </c>
      <c r="H70">
        <v>53780.959568798986</v>
      </c>
      <c r="I70">
        <v>55638.640790959747</v>
      </c>
      <c r="J70">
        <v>55706.281606090612</v>
      </c>
      <c r="K70">
        <v>56054.097730236761</v>
      </c>
      <c r="L70">
        <v>56676.726275211528</v>
      </c>
    </row>
    <row r="71" spans="1:12" x14ac:dyDescent="0.2">
      <c r="A71" t="s">
        <v>540</v>
      </c>
      <c r="B71" t="s">
        <v>539</v>
      </c>
    </row>
    <row r="72" spans="1:12" x14ac:dyDescent="0.2">
      <c r="A72" t="s">
        <v>181</v>
      </c>
      <c r="B72" t="s">
        <v>180</v>
      </c>
      <c r="C72">
        <v>44274.667614992191</v>
      </c>
      <c r="D72">
        <v>45446.250857569532</v>
      </c>
      <c r="E72">
        <v>46325.209944114082</v>
      </c>
      <c r="F72">
        <v>46896.41711414235</v>
      </c>
      <c r="G72">
        <v>41553.447794567459</v>
      </c>
      <c r="H72">
        <v>44251.665822262141</v>
      </c>
      <c r="I72">
        <v>46733.480978053587</v>
      </c>
      <c r="J72">
        <v>47322.593700450358</v>
      </c>
      <c r="K72">
        <v>48460.291406966113</v>
      </c>
      <c r="L72">
        <v>49318.105559036994</v>
      </c>
    </row>
    <row r="73" spans="1:12" x14ac:dyDescent="0.2">
      <c r="A73" t="s">
        <v>199</v>
      </c>
      <c r="B73" t="s">
        <v>197</v>
      </c>
      <c r="C73">
        <v>37466.556183931774</v>
      </c>
      <c r="D73">
        <v>39529.78597327898</v>
      </c>
      <c r="E73">
        <v>40849.847347556373</v>
      </c>
      <c r="F73">
        <v>42215.034383581064</v>
      </c>
      <c r="G73">
        <v>40916.719411332728</v>
      </c>
      <c r="H73">
        <v>44247.419897187276</v>
      </c>
      <c r="I73">
        <v>43124.619656377537</v>
      </c>
      <c r="J73">
        <v>41284.774687553152</v>
      </c>
      <c r="K73">
        <v>41185.834835610876</v>
      </c>
      <c r="L73">
        <v>41604.322661280559</v>
      </c>
    </row>
    <row r="74" spans="1:12" x14ac:dyDescent="0.2">
      <c r="A74" t="s">
        <v>542</v>
      </c>
      <c r="B74" t="s">
        <v>541</v>
      </c>
      <c r="C74">
        <v>2084.840556164705</v>
      </c>
      <c r="D74">
        <v>2222.8282447825945</v>
      </c>
      <c r="E74">
        <v>2311.1651165635853</v>
      </c>
      <c r="F74">
        <v>2437.9704604796666</v>
      </c>
      <c r="G74">
        <v>2516.5490763889852</v>
      </c>
      <c r="H74">
        <v>2588.4131021377825</v>
      </c>
      <c r="I74">
        <v>2655.5927674363893</v>
      </c>
      <c r="J74">
        <v>2757.9592362609947</v>
      </c>
      <c r="K74">
        <v>2892.2222016279538</v>
      </c>
      <c r="L74">
        <v>3094.8681186835156</v>
      </c>
    </row>
    <row r="75" spans="1:12" x14ac:dyDescent="0.2">
      <c r="A75" t="s">
        <v>544</v>
      </c>
      <c r="B75" t="s">
        <v>543</v>
      </c>
      <c r="C75">
        <v>48336.508288583929</v>
      </c>
      <c r="D75">
        <v>49704.254120696773</v>
      </c>
      <c r="E75">
        <v>50737.233162580218</v>
      </c>
      <c r="F75">
        <v>51662.07691736897</v>
      </c>
      <c r="G75">
        <v>48769.513547172683</v>
      </c>
      <c r="H75">
        <v>51968.438829272498</v>
      </c>
      <c r="I75">
        <v>53777.33336298124</v>
      </c>
      <c r="J75">
        <v>53861.795160976471</v>
      </c>
      <c r="K75">
        <v>54341.625716391158</v>
      </c>
      <c r="L75">
        <v>55086.986617022594</v>
      </c>
    </row>
    <row r="76" spans="1:12" x14ac:dyDescent="0.2">
      <c r="A76" t="s">
        <v>67</v>
      </c>
      <c r="B76" t="s">
        <v>65</v>
      </c>
      <c r="C76">
        <v>53984.631625471498</v>
      </c>
      <c r="D76">
        <v>55637.226278122303</v>
      </c>
      <c r="E76">
        <v>56226.337241342953</v>
      </c>
      <c r="F76">
        <v>56922.487316310311</v>
      </c>
      <c r="G76">
        <v>55424.857498920799</v>
      </c>
      <c r="H76">
        <v>56790.376617769165</v>
      </c>
      <c r="I76">
        <v>57068.305647807356</v>
      </c>
      <c r="J76">
        <v>56051.770112950064</v>
      </c>
      <c r="K76">
        <v>55901.320229658828</v>
      </c>
      <c r="L76">
        <v>55735.217492132579</v>
      </c>
    </row>
    <row r="77" spans="1:12" x14ac:dyDescent="0.2">
      <c r="A77" t="s">
        <v>546</v>
      </c>
      <c r="B77" t="s">
        <v>545</v>
      </c>
      <c r="C77">
        <v>11951.919673832706</v>
      </c>
      <c r="D77">
        <v>12597.327485488033</v>
      </c>
      <c r="E77">
        <v>13100.095939444009</v>
      </c>
      <c r="F77">
        <v>13056.331093708863</v>
      </c>
      <c r="G77">
        <v>10812.035501417831</v>
      </c>
      <c r="H77">
        <v>10322.427963885415</v>
      </c>
      <c r="I77">
        <v>12118.31827100818</v>
      </c>
      <c r="J77">
        <v>13194.804757040378</v>
      </c>
      <c r="K77">
        <v>13592.463593743454</v>
      </c>
      <c r="L77">
        <v>13961.118369354101</v>
      </c>
    </row>
    <row r="78" spans="1:12" x14ac:dyDescent="0.2">
      <c r="A78" t="s">
        <v>78</v>
      </c>
      <c r="B78" t="s">
        <v>76</v>
      </c>
      <c r="C78">
        <v>50984.075297831965</v>
      </c>
      <c r="D78">
        <v>51895.566298583777</v>
      </c>
      <c r="E78">
        <v>52560.953624384063</v>
      </c>
      <c r="F78">
        <v>53448.55488499433</v>
      </c>
      <c r="G78">
        <v>49311.333409639032</v>
      </c>
      <c r="H78">
        <v>52517.335490585516</v>
      </c>
      <c r="I78">
        <v>53673.813740642152</v>
      </c>
      <c r="J78">
        <v>54296.723089773055</v>
      </c>
      <c r="K78">
        <v>54799.348268938855</v>
      </c>
      <c r="L78">
        <v>55124.539256439464</v>
      </c>
    </row>
    <row r="79" spans="1:12" x14ac:dyDescent="0.2">
      <c r="A79" t="s">
        <v>548</v>
      </c>
      <c r="B79" t="s">
        <v>547</v>
      </c>
      <c r="C79">
        <v>64156.324157551608</v>
      </c>
      <c r="D79">
        <v>65461.911330107447</v>
      </c>
      <c r="E79">
        <v>66192.049437967144</v>
      </c>
      <c r="F79">
        <v>68136.661795711247</v>
      </c>
      <c r="G79">
        <v>66037.936150694455</v>
      </c>
      <c r="H79">
        <v>68433.214429818167</v>
      </c>
      <c r="I79">
        <v>70268.449719749158</v>
      </c>
      <c r="J79">
        <v>71828.434278184053</v>
      </c>
      <c r="K79">
        <v>72113.65138852685</v>
      </c>
    </row>
    <row r="80" spans="1:12" x14ac:dyDescent="0.2">
      <c r="A80" t="s">
        <v>550</v>
      </c>
      <c r="B80" t="s">
        <v>549</v>
      </c>
      <c r="C80">
        <v>3774.031933969482</v>
      </c>
      <c r="D80">
        <v>3838.0453428926107</v>
      </c>
      <c r="E80">
        <v>3838.640547932624</v>
      </c>
      <c r="F80">
        <v>3965.0537726939579</v>
      </c>
      <c r="G80">
        <v>3861.2931957030114</v>
      </c>
      <c r="H80">
        <v>3955.7314131797129</v>
      </c>
      <c r="I80">
        <v>3815.7946569967216</v>
      </c>
      <c r="J80">
        <v>3841.2711651081554</v>
      </c>
      <c r="K80">
        <v>3911.2663194040683</v>
      </c>
      <c r="L80">
        <v>3934.6426835411048</v>
      </c>
    </row>
    <row r="81" spans="1:12" x14ac:dyDescent="0.2">
      <c r="A81" t="s">
        <v>552</v>
      </c>
      <c r="B81" t="s">
        <v>551</v>
      </c>
      <c r="C81">
        <v>19988.175596318615</v>
      </c>
      <c r="D81">
        <v>19555.707882915998</v>
      </c>
      <c r="E81">
        <v>19225.598257467838</v>
      </c>
      <c r="F81">
        <v>19491.40676313957</v>
      </c>
      <c r="G81">
        <v>18681.484073854645</v>
      </c>
      <c r="H81">
        <v>18523.579803213495</v>
      </c>
      <c r="I81">
        <v>18662.049797047206</v>
      </c>
      <c r="J81">
        <v>18701.422776632266</v>
      </c>
      <c r="K81">
        <v>18923.661660977807</v>
      </c>
      <c r="L81">
        <v>18986.473876729342</v>
      </c>
    </row>
    <row r="82" spans="1:12" x14ac:dyDescent="0.2">
      <c r="A82" t="s">
        <v>554</v>
      </c>
      <c r="B82" t="s">
        <v>553</v>
      </c>
      <c r="C82">
        <v>51168.292579681351</v>
      </c>
      <c r="D82">
        <v>52429.127553898805</v>
      </c>
      <c r="E82">
        <v>52983.03954119698</v>
      </c>
      <c r="F82">
        <v>53374.092762848173</v>
      </c>
      <c r="G82">
        <v>47930.549037893099</v>
      </c>
      <c r="H82">
        <v>51840.442424551533</v>
      </c>
      <c r="I82">
        <v>53979.767911623363</v>
      </c>
      <c r="J82">
        <v>53423.422633829156</v>
      </c>
      <c r="K82">
        <v>53412.064716358909</v>
      </c>
      <c r="L82">
        <v>53993.117260788495</v>
      </c>
    </row>
    <row r="83" spans="1:12" x14ac:dyDescent="0.2">
      <c r="A83" t="s">
        <v>556</v>
      </c>
      <c r="B83" t="s">
        <v>555</v>
      </c>
      <c r="C83">
        <v>15442.956435805378</v>
      </c>
      <c r="D83">
        <v>16237.624223027518</v>
      </c>
      <c r="E83">
        <v>17228.679084750325</v>
      </c>
      <c r="F83">
        <v>18186.881646580699</v>
      </c>
      <c r="G83">
        <v>17031.144028342584</v>
      </c>
      <c r="H83">
        <v>18915.653400526273</v>
      </c>
      <c r="I83">
        <v>20966.528039113447</v>
      </c>
      <c r="J83">
        <v>22590.529364914593</v>
      </c>
      <c r="K83">
        <v>24146.623410864486</v>
      </c>
      <c r="L83">
        <v>25135.782245741197</v>
      </c>
    </row>
    <row r="84" spans="1:12" x14ac:dyDescent="0.2">
      <c r="A84" t="s">
        <v>558</v>
      </c>
      <c r="B84" t="s">
        <v>557</v>
      </c>
      <c r="C84">
        <v>5666.0779533459081</v>
      </c>
      <c r="D84">
        <v>5993.6308521107676</v>
      </c>
      <c r="E84">
        <v>6234.5120820148804</v>
      </c>
      <c r="F84">
        <v>6508.2465230590087</v>
      </c>
      <c r="G84">
        <v>6412.6854176246879</v>
      </c>
      <c r="H84">
        <v>6607.5029737832083</v>
      </c>
      <c r="I84">
        <v>6728.4541383247197</v>
      </c>
      <c r="J84">
        <v>6808.537750039638</v>
      </c>
      <c r="K84">
        <v>7072.7987959444472</v>
      </c>
      <c r="L84">
        <v>7357.8333299301412</v>
      </c>
    </row>
    <row r="85" spans="1:12" x14ac:dyDescent="0.2">
      <c r="A85" t="s">
        <v>560</v>
      </c>
      <c r="B85" t="s">
        <v>559</v>
      </c>
    </row>
    <row r="86" spans="1:12" x14ac:dyDescent="0.2">
      <c r="A86" t="s">
        <v>562</v>
      </c>
      <c r="B86" t="s">
        <v>561</v>
      </c>
      <c r="C86">
        <v>3099.7887418937162</v>
      </c>
      <c r="D86">
        <v>3332.7657615053149</v>
      </c>
      <c r="E86">
        <v>3455.6451263866188</v>
      </c>
      <c r="F86">
        <v>3557.462338831454</v>
      </c>
      <c r="G86">
        <v>3630.9933057767694</v>
      </c>
      <c r="H86">
        <v>3738.8051255133023</v>
      </c>
      <c r="I86">
        <v>3792.0106883627727</v>
      </c>
      <c r="J86">
        <v>3904.8239552799801</v>
      </c>
      <c r="K86">
        <v>4016.3419138597851</v>
      </c>
      <c r="L86">
        <v>4216.8597080454374</v>
      </c>
    </row>
    <row r="87" spans="1:12" x14ac:dyDescent="0.2">
      <c r="A87" t="s">
        <v>564</v>
      </c>
      <c r="B87" t="s">
        <v>563</v>
      </c>
      <c r="C87">
        <v>2478.4605575699925</v>
      </c>
      <c r="D87">
        <v>2533.1868371027649</v>
      </c>
      <c r="E87">
        <v>2651.4328145582635</v>
      </c>
      <c r="F87">
        <v>2750.8213217963403</v>
      </c>
      <c r="G87">
        <v>2702.3191947448158</v>
      </c>
      <c r="H87">
        <v>2777.7962097832401</v>
      </c>
      <c r="I87">
        <v>2863.1804982985946</v>
      </c>
      <c r="J87">
        <v>2963.5987346743614</v>
      </c>
      <c r="K87">
        <v>3057.684177863302</v>
      </c>
      <c r="L87">
        <v>3166.6212964444239</v>
      </c>
    </row>
    <row r="88" spans="1:12" x14ac:dyDescent="0.2">
      <c r="A88" t="s">
        <v>566</v>
      </c>
      <c r="B88" t="s">
        <v>565</v>
      </c>
      <c r="C88">
        <v>2293.3786136023759</v>
      </c>
      <c r="D88">
        <v>2342.5611053541593</v>
      </c>
      <c r="E88">
        <v>2373.6493565345545</v>
      </c>
      <c r="F88">
        <v>2442.2586837747613</v>
      </c>
      <c r="G88">
        <v>2456.0113905332446</v>
      </c>
      <c r="H88">
        <v>2522.1286924084097</v>
      </c>
      <c r="I88">
        <v>2600.8024744829982</v>
      </c>
      <c r="J88">
        <v>2660.8144465565633</v>
      </c>
      <c r="K88">
        <v>2717.5420697249892</v>
      </c>
      <c r="L88">
        <v>2814.0835594032746</v>
      </c>
    </row>
    <row r="89" spans="1:12" x14ac:dyDescent="0.2">
      <c r="A89" t="s">
        <v>568</v>
      </c>
      <c r="B89" t="s">
        <v>567</v>
      </c>
      <c r="C89">
        <v>24435.064556480145</v>
      </c>
      <c r="D89">
        <v>22250.438923026337</v>
      </c>
      <c r="E89">
        <v>20165.47955506073</v>
      </c>
      <c r="F89">
        <v>18446.591657968052</v>
      </c>
      <c r="G89">
        <v>17089.153726379038</v>
      </c>
      <c r="H89">
        <v>16821.448647041288</v>
      </c>
      <c r="I89">
        <v>16932.77068271548</v>
      </c>
      <c r="J89">
        <v>15302.151783514679</v>
      </c>
      <c r="K89">
        <v>14997.756439297591</v>
      </c>
      <c r="L89">
        <v>13786.393293408883</v>
      </c>
    </row>
    <row r="90" spans="1:12" x14ac:dyDescent="0.2">
      <c r="A90" t="s">
        <v>98</v>
      </c>
      <c r="B90" t="s">
        <v>96</v>
      </c>
      <c r="C90">
        <v>31468.619847109851</v>
      </c>
      <c r="D90">
        <v>31995.410883838642</v>
      </c>
      <c r="E90">
        <v>32722.331044402927</v>
      </c>
      <c r="F90">
        <v>33502.750648899673</v>
      </c>
      <c r="G90">
        <v>30487.112933104487</v>
      </c>
      <c r="H90">
        <v>33528.227120251475</v>
      </c>
      <c r="I90">
        <v>35828.175664177565</v>
      </c>
      <c r="J90">
        <v>36700.513463105548</v>
      </c>
      <c r="K90">
        <v>37474.279823994701</v>
      </c>
      <c r="L90">
        <v>38218.721628615996</v>
      </c>
    </row>
    <row r="91" spans="1:12" x14ac:dyDescent="0.2">
      <c r="A91" t="s">
        <v>570</v>
      </c>
      <c r="B91" t="s">
        <v>569</v>
      </c>
      <c r="C91">
        <v>15640.827450380471</v>
      </c>
      <c r="D91">
        <v>16291.489462597941</v>
      </c>
      <c r="E91">
        <v>16964.852001696047</v>
      </c>
      <c r="F91">
        <v>17036.915168971511</v>
      </c>
      <c r="G91">
        <v>14647.745138487629</v>
      </c>
      <c r="H91">
        <v>15290.250903138003</v>
      </c>
      <c r="I91">
        <v>16376.427309959447</v>
      </c>
      <c r="J91">
        <v>17093.156286744736</v>
      </c>
      <c r="K91">
        <v>17484.51539195564</v>
      </c>
      <c r="L91">
        <v>18240.993423792632</v>
      </c>
    </row>
    <row r="92" spans="1:12" x14ac:dyDescent="0.2">
      <c r="A92" t="s">
        <v>572</v>
      </c>
      <c r="B92" t="s">
        <v>571</v>
      </c>
      <c r="C92">
        <v>66245.729473069761</v>
      </c>
      <c r="D92">
        <v>66297.179069128091</v>
      </c>
      <c r="E92">
        <v>66887.677926892604</v>
      </c>
      <c r="F92">
        <v>68534.94190391335</v>
      </c>
      <c r="G92">
        <v>68533.733990296387</v>
      </c>
      <c r="H92">
        <v>69302.008878823704</v>
      </c>
      <c r="I92">
        <v>70681.225390215826</v>
      </c>
      <c r="J92">
        <v>71037.537223962325</v>
      </c>
    </row>
    <row r="93" spans="1:12" x14ac:dyDescent="0.2">
      <c r="A93" t="s">
        <v>574</v>
      </c>
      <c r="B93" t="s">
        <v>573</v>
      </c>
      <c r="C93">
        <v>10872.593890246915</v>
      </c>
      <c r="D93">
        <v>11005.459285171895</v>
      </c>
      <c r="E93">
        <v>11192.371919272495</v>
      </c>
      <c r="F93">
        <v>11466.376493219734</v>
      </c>
      <c r="G93">
        <v>11097.150390298593</v>
      </c>
      <c r="H93">
        <v>11825.141273764038</v>
      </c>
      <c r="I93">
        <v>12144.480046159735</v>
      </c>
      <c r="J93">
        <v>12380.371512199612</v>
      </c>
      <c r="K93">
        <v>12643.98412350041</v>
      </c>
      <c r="L93">
        <v>12986.524114463158</v>
      </c>
    </row>
    <row r="94" spans="1:12" x14ac:dyDescent="0.2">
      <c r="A94" t="s">
        <v>576</v>
      </c>
      <c r="B94" t="s">
        <v>575</v>
      </c>
    </row>
    <row r="95" spans="1:12" x14ac:dyDescent="0.2">
      <c r="A95" t="s">
        <v>578</v>
      </c>
      <c r="B95" t="s">
        <v>577</v>
      </c>
      <c r="C95">
        <v>12420.472472760266</v>
      </c>
      <c r="D95">
        <v>12801.640852934626</v>
      </c>
      <c r="E95">
        <v>12980.35760031769</v>
      </c>
      <c r="F95">
        <v>13402.42194727565</v>
      </c>
      <c r="G95">
        <v>19234.130197763687</v>
      </c>
      <c r="H95">
        <v>22865.927096888197</v>
      </c>
      <c r="I95">
        <v>37068.199382758845</v>
      </c>
      <c r="J95">
        <v>49312.360322544439</v>
      </c>
      <c r="K95">
        <v>70516.702794483645</v>
      </c>
      <c r="L95">
        <v>83658.677347599689</v>
      </c>
    </row>
    <row r="96" spans="1:12" x14ac:dyDescent="0.2">
      <c r="A96" t="s">
        <v>580</v>
      </c>
      <c r="B96" t="s">
        <v>579</v>
      </c>
      <c r="C96">
        <v>51760.632854011237</v>
      </c>
      <c r="D96">
        <v>52827.426561540356</v>
      </c>
      <c r="E96">
        <v>53954.485107033717</v>
      </c>
      <c r="F96">
        <v>54801.525941497493</v>
      </c>
      <c r="G96">
        <v>52507.016798463424</v>
      </c>
      <c r="H96">
        <v>55735.773426815445</v>
      </c>
      <c r="I96">
        <v>57194.671086324401</v>
      </c>
      <c r="J96">
        <v>57813.423503244441</v>
      </c>
      <c r="K96">
        <v>58645.041594768445</v>
      </c>
      <c r="L96">
        <v>59555.513082032303</v>
      </c>
    </row>
    <row r="97" spans="1:12" x14ac:dyDescent="0.2">
      <c r="A97" t="s">
        <v>582</v>
      </c>
      <c r="B97" t="s">
        <v>581</v>
      </c>
      <c r="C97">
        <v>63749.428501336908</v>
      </c>
      <c r="D97">
        <v>65662.854337957499</v>
      </c>
      <c r="E97">
        <v>66993.959260444099</v>
      </c>
      <c r="F97">
        <v>65388.336641821203</v>
      </c>
      <c r="G97">
        <v>61328.536701419282</v>
      </c>
      <c r="H97">
        <v>65884.937626060288</v>
      </c>
      <c r="I97">
        <v>64035.648494962945</v>
      </c>
      <c r="J97">
        <v>64387.665406605789</v>
      </c>
      <c r="K97">
        <v>66186.044863545583</v>
      </c>
      <c r="L97">
        <v>68724.556586575636</v>
      </c>
    </row>
    <row r="98" spans="1:12" x14ac:dyDescent="0.2">
      <c r="A98" t="s">
        <v>584</v>
      </c>
      <c r="B98" t="s">
        <v>583</v>
      </c>
      <c r="C98">
        <v>5926.4902553422799</v>
      </c>
      <c r="D98">
        <v>6099.6073491941352</v>
      </c>
      <c r="E98">
        <v>6219.2797377505949</v>
      </c>
      <c r="F98">
        <v>6264.0188427671455</v>
      </c>
      <c r="G98">
        <v>5603.2639837777742</v>
      </c>
      <c r="H98">
        <v>6202.9807881203687</v>
      </c>
      <c r="I98">
        <v>6352.5871017773179</v>
      </c>
      <c r="J98">
        <v>6467.8800352783046</v>
      </c>
      <c r="K98">
        <v>6590.8438430155284</v>
      </c>
      <c r="L98">
        <v>6726.1668506665819</v>
      </c>
    </row>
    <row r="99" spans="1:12" x14ac:dyDescent="0.2">
      <c r="A99" t="s">
        <v>586</v>
      </c>
      <c r="B99" t="s">
        <v>585</v>
      </c>
      <c r="C99">
        <v>2956.5908626314358</v>
      </c>
      <c r="D99">
        <v>3016.3837311598554</v>
      </c>
      <c r="E99">
        <v>3053.4094491571586</v>
      </c>
      <c r="F99">
        <v>3094.4103521151169</v>
      </c>
      <c r="G99">
        <v>3004.8950630500071</v>
      </c>
      <c r="H99">
        <v>3038.7181407219668</v>
      </c>
      <c r="I99">
        <v>3095.0404228137481</v>
      </c>
      <c r="J99">
        <v>3113.8814784251831</v>
      </c>
      <c r="K99">
        <v>3180.1938910520362</v>
      </c>
      <c r="L99">
        <v>3276.2142794024426</v>
      </c>
    </row>
    <row r="100" spans="1:12" x14ac:dyDescent="0.2">
      <c r="A100" t="s">
        <v>221</v>
      </c>
      <c r="B100" t="s">
        <v>219</v>
      </c>
      <c r="C100">
        <v>30820.805042135464</v>
      </c>
      <c r="D100">
        <v>32348.588855617378</v>
      </c>
      <c r="E100">
        <v>33729.545581194281</v>
      </c>
      <c r="F100">
        <v>35122.796623100847</v>
      </c>
      <c r="G100">
        <v>32493.401701005521</v>
      </c>
      <c r="H100">
        <v>36930.076102198997</v>
      </c>
      <c r="I100">
        <v>39863.910937764878</v>
      </c>
      <c r="J100">
        <v>41320.257995771972</v>
      </c>
      <c r="K100">
        <v>42828.799727356913</v>
      </c>
      <c r="L100">
        <v>44172.044228490631</v>
      </c>
    </row>
    <row r="101" spans="1:12" x14ac:dyDescent="0.2">
      <c r="A101" t="s">
        <v>588</v>
      </c>
      <c r="B101" t="s">
        <v>587</v>
      </c>
      <c r="C101">
        <v>3415.5821811230835</v>
      </c>
      <c r="D101">
        <v>3453.9714216465877</v>
      </c>
      <c r="E101">
        <v>3465.2548057360113</v>
      </c>
      <c r="F101">
        <v>3361.7532889411391</v>
      </c>
      <c r="G101">
        <v>3210.53609854862</v>
      </c>
      <c r="H101">
        <v>3116.5650539760368</v>
      </c>
      <c r="I101">
        <v>3029.778663817016</v>
      </c>
      <c r="J101">
        <v>2939.1237948199032</v>
      </c>
      <c r="K101">
        <v>2783.7914088278826</v>
      </c>
      <c r="L101">
        <v>2677.8938532554926</v>
      </c>
    </row>
    <row r="102" spans="1:12" x14ac:dyDescent="0.2">
      <c r="A102" t="s">
        <v>109</v>
      </c>
      <c r="B102" t="s">
        <v>107</v>
      </c>
      <c r="C102">
        <v>32378.967498307535</v>
      </c>
      <c r="D102">
        <v>33828.714942571045</v>
      </c>
      <c r="E102">
        <v>35798.041275402189</v>
      </c>
      <c r="F102">
        <v>37662.676810139972</v>
      </c>
      <c r="G102">
        <v>36119.521173565226</v>
      </c>
      <c r="H102">
        <v>38887.190952715355</v>
      </c>
      <c r="I102">
        <v>40610.971136823806</v>
      </c>
      <c r="J102">
        <v>40333.254688811779</v>
      </c>
      <c r="K102">
        <v>40747.198667966819</v>
      </c>
      <c r="L102">
        <v>41160.64191409832</v>
      </c>
    </row>
    <row r="103" spans="1:12" x14ac:dyDescent="0.2">
      <c r="A103" t="s">
        <v>590</v>
      </c>
      <c r="B103" t="s">
        <v>589</v>
      </c>
      <c r="C103">
        <v>14147.460796024556</v>
      </c>
      <c r="D103">
        <v>14720.506405130809</v>
      </c>
      <c r="E103">
        <v>15291.039809331802</v>
      </c>
      <c r="F103">
        <v>15754.986190974714</v>
      </c>
      <c r="G103">
        <v>15351.793172746002</v>
      </c>
      <c r="H103">
        <v>16390.994319250109</v>
      </c>
      <c r="I103">
        <v>16933.992818291255</v>
      </c>
      <c r="J103">
        <v>17639.886106805352</v>
      </c>
      <c r="K103">
        <v>18338.074391753562</v>
      </c>
      <c r="L103">
        <v>19028.607925646811</v>
      </c>
    </row>
    <row r="104" spans="1:12" x14ac:dyDescent="0.2">
      <c r="A104" t="s">
        <v>592</v>
      </c>
      <c r="B104" t="s">
        <v>591</v>
      </c>
      <c r="C104">
        <v>11696.98483396043</v>
      </c>
      <c r="D104">
        <v>12123.440327465223</v>
      </c>
      <c r="E104">
        <v>12547.606516932741</v>
      </c>
      <c r="F104">
        <v>12882.912139851498</v>
      </c>
      <c r="G104">
        <v>12504.901754141469</v>
      </c>
      <c r="H104">
        <v>13248.813812716917</v>
      </c>
      <c r="I104">
        <v>13635.916917548406</v>
      </c>
      <c r="J104">
        <v>14120.536464468285</v>
      </c>
      <c r="K104">
        <v>14612.99571165186</v>
      </c>
      <c r="L104">
        <v>15101.562801618658</v>
      </c>
    </row>
    <row r="105" spans="1:12" x14ac:dyDescent="0.2">
      <c r="A105" t="s">
        <v>594</v>
      </c>
      <c r="B105" t="s">
        <v>593</v>
      </c>
      <c r="C105">
        <v>4649.0617491014482</v>
      </c>
      <c r="D105">
        <v>4743.5567524006583</v>
      </c>
      <c r="E105">
        <v>4853.0622661007137</v>
      </c>
      <c r="F105">
        <v>4940.1516475418275</v>
      </c>
      <c r="G105">
        <v>4750.5758251409698</v>
      </c>
      <c r="H105">
        <v>4825.3016907105412</v>
      </c>
      <c r="I105">
        <v>4938.9497649335453</v>
      </c>
      <c r="J105">
        <v>4987.3110409225519</v>
      </c>
      <c r="K105">
        <v>5093.9176471144765</v>
      </c>
      <c r="L105">
        <v>5220.7589630782177</v>
      </c>
    </row>
    <row r="106" spans="1:12" x14ac:dyDescent="0.2">
      <c r="A106" t="s">
        <v>596</v>
      </c>
      <c r="B106" t="s">
        <v>595</v>
      </c>
      <c r="C106">
        <v>6379.7361994579278</v>
      </c>
      <c r="D106">
        <v>6424.0954778664927</v>
      </c>
      <c r="E106">
        <v>6540.0297742550392</v>
      </c>
      <c r="F106">
        <v>6597.2900742332467</v>
      </c>
      <c r="G106">
        <v>6248.1800898053816</v>
      </c>
      <c r="H106">
        <v>6382.9956658634619</v>
      </c>
      <c r="I106">
        <v>6554.673636732784</v>
      </c>
      <c r="J106">
        <v>6605.7341300660901</v>
      </c>
      <c r="K106">
        <v>6743.3962353081133</v>
      </c>
      <c r="L106">
        <v>6912.8824344846889</v>
      </c>
    </row>
    <row r="107" spans="1:12" x14ac:dyDescent="0.2">
      <c r="A107" t="s">
        <v>382</v>
      </c>
      <c r="B107" t="s">
        <v>380</v>
      </c>
      <c r="C107">
        <v>11319.663428773802</v>
      </c>
      <c r="D107">
        <v>11772.574329610683</v>
      </c>
      <c r="E107">
        <v>12262.231030077104</v>
      </c>
      <c r="F107">
        <v>12757.78508548416</v>
      </c>
      <c r="G107">
        <v>12388.544926813132</v>
      </c>
      <c r="H107">
        <v>12757.074644020369</v>
      </c>
      <c r="I107">
        <v>13334.265394763685</v>
      </c>
      <c r="J107">
        <v>13889.949501285811</v>
      </c>
      <c r="K107">
        <v>14470.717980657781</v>
      </c>
      <c r="L107">
        <v>15091.008860465159</v>
      </c>
    </row>
    <row r="108" spans="1:12" x14ac:dyDescent="0.2">
      <c r="A108" t="s">
        <v>598</v>
      </c>
      <c r="B108" t="s">
        <v>597</v>
      </c>
      <c r="C108">
        <v>3711.896061971881</v>
      </c>
      <c r="D108">
        <v>3838.7576646112097</v>
      </c>
      <c r="E108">
        <v>3948.5278721375735</v>
      </c>
      <c r="F108">
        <v>4056.8505057981693</v>
      </c>
      <c r="G108">
        <v>3958.3454303940466</v>
      </c>
      <c r="H108">
        <v>4002.2034457393111</v>
      </c>
      <c r="I108">
        <v>4086.6200282722971</v>
      </c>
      <c r="J108">
        <v>4137.4360250639911</v>
      </c>
      <c r="K108">
        <v>4231.5461961422106</v>
      </c>
      <c r="L108">
        <v>4339.6809017322876</v>
      </c>
    </row>
    <row r="109" spans="1:12" x14ac:dyDescent="0.2">
      <c r="A109" t="s">
        <v>600</v>
      </c>
      <c r="B109" t="s">
        <v>599</v>
      </c>
    </row>
    <row r="110" spans="1:12" x14ac:dyDescent="0.2">
      <c r="A110" t="s">
        <v>602</v>
      </c>
      <c r="B110" t="s">
        <v>601</v>
      </c>
      <c r="C110">
        <v>6741.1488318534693</v>
      </c>
      <c r="D110">
        <v>7116.0365918539592</v>
      </c>
      <c r="E110">
        <v>7492.6257675514535</v>
      </c>
      <c r="F110">
        <v>7702.176348119574</v>
      </c>
      <c r="G110">
        <v>7186.8644709967884</v>
      </c>
      <c r="H110">
        <v>7818.6570175750412</v>
      </c>
      <c r="I110">
        <v>8347.3847864708641</v>
      </c>
      <c r="J110">
        <v>8870.5502760934469</v>
      </c>
      <c r="K110">
        <v>9416.0513704473487</v>
      </c>
      <c r="L110">
        <v>10039.070891058707</v>
      </c>
    </row>
    <row r="111" spans="1:12" x14ac:dyDescent="0.2">
      <c r="A111" t="s">
        <v>604</v>
      </c>
      <c r="B111" t="s">
        <v>603</v>
      </c>
    </row>
    <row r="112" spans="1:12" x14ac:dyDescent="0.2">
      <c r="A112" t="s">
        <v>121</v>
      </c>
      <c r="B112" t="s">
        <v>117</v>
      </c>
      <c r="C112">
        <v>80760.097414568823</v>
      </c>
      <c r="D112">
        <v>87731.789704573355</v>
      </c>
      <c r="E112">
        <v>93115.83934983291</v>
      </c>
      <c r="F112">
        <v>96205.796155700504</v>
      </c>
      <c r="G112">
        <v>101793.44752587139</v>
      </c>
      <c r="H112">
        <v>116702.85817484997</v>
      </c>
      <c r="I112">
        <v>123007.4764865099</v>
      </c>
      <c r="J112">
        <v>117659.728593716</v>
      </c>
      <c r="K112">
        <v>118833.31207175138</v>
      </c>
      <c r="L112">
        <v>131338.44474504076</v>
      </c>
    </row>
    <row r="113" spans="1:12" x14ac:dyDescent="0.2">
      <c r="A113" t="s">
        <v>387</v>
      </c>
      <c r="B113" t="s">
        <v>605</v>
      </c>
      <c r="C113">
        <v>15920.371802120235</v>
      </c>
      <c r="D113">
        <v>16167.967722422654</v>
      </c>
      <c r="E113">
        <v>15364.804905261386</v>
      </c>
      <c r="F113">
        <v>14841.075151499766</v>
      </c>
      <c r="G113">
        <v>15381.584543726643</v>
      </c>
      <c r="H113">
        <v>15884.427677596332</v>
      </c>
      <c r="I113">
        <v>16377.961064536818</v>
      </c>
      <c r="J113">
        <v>17044.817344264055</v>
      </c>
      <c r="K113">
        <v>17484.132014046689</v>
      </c>
      <c r="L113">
        <v>16833.782167711706</v>
      </c>
    </row>
    <row r="114" spans="1:12" x14ac:dyDescent="0.2">
      <c r="A114" t="s">
        <v>607</v>
      </c>
      <c r="B114" t="s">
        <v>606</v>
      </c>
      <c r="C114">
        <v>15016.092064455735</v>
      </c>
      <c r="D114">
        <v>14417.630689645368</v>
      </c>
      <c r="E114">
        <v>14456.235705319052</v>
      </c>
      <c r="F114">
        <v>14910.22503238197</v>
      </c>
      <c r="G114">
        <v>12827.634539229313</v>
      </c>
      <c r="H114">
        <v>12731.753575512839</v>
      </c>
      <c r="I114">
        <v>13433.397716695561</v>
      </c>
      <c r="J114">
        <v>13202.322807385595</v>
      </c>
      <c r="K114">
        <v>12725.043126036386</v>
      </c>
      <c r="L114">
        <v>12191.556465830197</v>
      </c>
    </row>
    <row r="115" spans="1:12" x14ac:dyDescent="0.2">
      <c r="A115" t="s">
        <v>609</v>
      </c>
      <c r="B115" t="s">
        <v>608</v>
      </c>
      <c r="C115">
        <v>64759.227542322878</v>
      </c>
      <c r="D115">
        <v>65462.503330629886</v>
      </c>
      <c r="E115">
        <v>66703.021939800325</v>
      </c>
      <c r="F115">
        <v>65994.986003810307</v>
      </c>
      <c r="G115">
        <v>60617.143268850959</v>
      </c>
      <c r="H115">
        <v>62720.791683279662</v>
      </c>
      <c r="I115">
        <v>66581.244180100242</v>
      </c>
      <c r="J115">
        <v>69268.122140422376</v>
      </c>
      <c r="K115">
        <v>68230.356652817034</v>
      </c>
      <c r="L115">
        <v>68064.685455186598</v>
      </c>
    </row>
    <row r="116" spans="1:12" x14ac:dyDescent="0.2">
      <c r="A116" t="s">
        <v>392</v>
      </c>
      <c r="B116" t="s">
        <v>391</v>
      </c>
      <c r="C116">
        <v>41914.580297770583</v>
      </c>
      <c r="D116">
        <v>42895.585129847037</v>
      </c>
      <c r="E116">
        <v>43782.652649168944</v>
      </c>
      <c r="F116">
        <v>44492.122696708437</v>
      </c>
      <c r="G116">
        <v>42926.541541858438</v>
      </c>
      <c r="H116">
        <v>46151.10082040303</v>
      </c>
      <c r="I116">
        <v>48132.363720517707</v>
      </c>
      <c r="J116">
        <v>47671.247692608595</v>
      </c>
      <c r="K116">
        <v>47388.723668236402</v>
      </c>
      <c r="L116">
        <v>48196.634517656181</v>
      </c>
    </row>
    <row r="117" spans="1:12" x14ac:dyDescent="0.2">
      <c r="A117" t="s">
        <v>129</v>
      </c>
      <c r="B117" t="s">
        <v>128</v>
      </c>
      <c r="C117">
        <v>47987.837958101431</v>
      </c>
      <c r="D117">
        <v>48849.218353475568</v>
      </c>
      <c r="E117">
        <v>49355.875191350387</v>
      </c>
      <c r="F117">
        <v>49690.629850527352</v>
      </c>
      <c r="G117">
        <v>45505.068870895579</v>
      </c>
      <c r="H117">
        <v>49825.393411184821</v>
      </c>
      <c r="I117">
        <v>52333.327427060409</v>
      </c>
      <c r="J117">
        <v>52842.628883175763</v>
      </c>
      <c r="K117">
        <v>53284.8745049149</v>
      </c>
      <c r="L117">
        <v>53606.078957101119</v>
      </c>
    </row>
    <row r="118" spans="1:12" x14ac:dyDescent="0.2">
      <c r="A118" t="s">
        <v>611</v>
      </c>
      <c r="B118" t="s">
        <v>610</v>
      </c>
      <c r="C118">
        <v>10179.253648615817</v>
      </c>
      <c r="D118">
        <v>10391.037822467812</v>
      </c>
      <c r="E118">
        <v>10636.092978455081</v>
      </c>
      <c r="F118">
        <v>10816.37203911542</v>
      </c>
      <c r="G118">
        <v>9891.9693296154837</v>
      </c>
      <c r="H118">
        <v>10430.690977175882</v>
      </c>
      <c r="I118">
        <v>11096.637708532093</v>
      </c>
      <c r="J118">
        <v>11398.812039464106</v>
      </c>
      <c r="K118">
        <v>11340.263880045086</v>
      </c>
      <c r="L118">
        <v>11357.915592063042</v>
      </c>
    </row>
    <row r="119" spans="1:12" x14ac:dyDescent="0.2">
      <c r="A119" t="s">
        <v>613</v>
      </c>
      <c r="B119" t="s">
        <v>612</v>
      </c>
      <c r="C119">
        <v>10197.504499061683</v>
      </c>
      <c r="D119">
        <v>10220.49278119301</v>
      </c>
      <c r="E119">
        <v>10183.024836623525</v>
      </c>
      <c r="F119">
        <v>10168.358852353691</v>
      </c>
      <c r="G119">
        <v>9872.3094512324969</v>
      </c>
      <c r="H119">
        <v>10056.561126123857</v>
      </c>
      <c r="I119">
        <v>10158.473877152373</v>
      </c>
      <c r="J119">
        <v>10308.782198633686</v>
      </c>
      <c r="K119">
        <v>10468.265334283968</v>
      </c>
      <c r="L119">
        <v>10794.240268773185</v>
      </c>
    </row>
    <row r="120" spans="1:12" x14ac:dyDescent="0.2">
      <c r="A120" t="s">
        <v>615</v>
      </c>
      <c r="B120" t="s">
        <v>614</v>
      </c>
      <c r="C120">
        <v>44926.620290952516</v>
      </c>
      <c r="D120">
        <v>45693.377608098708</v>
      </c>
      <c r="E120">
        <v>46133.022597871779</v>
      </c>
      <c r="F120">
        <v>46055.349867248704</v>
      </c>
      <c r="G120">
        <v>44212.550341572372</v>
      </c>
      <c r="H120">
        <v>45999.461796689553</v>
      </c>
      <c r="I120">
        <v>46819.360613609024</v>
      </c>
      <c r="J120">
        <v>47387.217254252326</v>
      </c>
      <c r="K120">
        <v>47479.844854566749</v>
      </c>
      <c r="L120">
        <v>48283.372395946462</v>
      </c>
    </row>
    <row r="121" spans="1:12" x14ac:dyDescent="0.2">
      <c r="A121" t="s">
        <v>617</v>
      </c>
      <c r="B121" t="s">
        <v>616</v>
      </c>
      <c r="C121">
        <v>30758.322726059785</v>
      </c>
      <c r="D121">
        <v>31524.441633979397</v>
      </c>
      <c r="E121">
        <v>32330.22745465675</v>
      </c>
      <c r="F121">
        <v>33298.212369503453</v>
      </c>
      <c r="G121">
        <v>32011.549149900398</v>
      </c>
      <c r="H121">
        <v>32945.851572582309</v>
      </c>
      <c r="I121">
        <v>33506.261489323741</v>
      </c>
      <c r="J121">
        <v>34703.234928660357</v>
      </c>
      <c r="K121">
        <v>35973.963328701713</v>
      </c>
      <c r="L121">
        <v>37850.579104298376</v>
      </c>
    </row>
    <row r="122" spans="1:12" x14ac:dyDescent="0.2">
      <c r="A122" t="s">
        <v>619</v>
      </c>
      <c r="B122" t="s">
        <v>618</v>
      </c>
      <c r="C122">
        <v>4770.3104638808591</v>
      </c>
      <c r="D122">
        <v>4846.8621085193163</v>
      </c>
      <c r="E122">
        <v>5017.6678467466381</v>
      </c>
      <c r="F122">
        <v>5171.7126427925723</v>
      </c>
      <c r="G122">
        <v>5057.4011553742866</v>
      </c>
      <c r="H122">
        <v>5338.852433827813</v>
      </c>
      <c r="I122">
        <v>5491.6937828024566</v>
      </c>
      <c r="J122">
        <v>5691.8251347441656</v>
      </c>
      <c r="K122">
        <v>5841.5986600170563</v>
      </c>
      <c r="L122">
        <v>5995.4017789563186</v>
      </c>
    </row>
    <row r="123" spans="1:12" x14ac:dyDescent="0.2">
      <c r="A123" t="s">
        <v>621</v>
      </c>
      <c r="B123" t="s">
        <v>620</v>
      </c>
      <c r="C123">
        <v>5715.0104117900328</v>
      </c>
      <c r="D123">
        <v>5861.2220004050323</v>
      </c>
      <c r="E123">
        <v>5951.8287675860565</v>
      </c>
      <c r="F123">
        <v>6087.6019382692702</v>
      </c>
      <c r="G123">
        <v>5537.7954731937698</v>
      </c>
      <c r="H123">
        <v>5736.4788341515405</v>
      </c>
      <c r="I123">
        <v>6139.7778882500606</v>
      </c>
      <c r="J123">
        <v>6575.775412904989</v>
      </c>
      <c r="K123">
        <v>7210.576698304988</v>
      </c>
      <c r="L123">
        <v>7878.4491366965976</v>
      </c>
    </row>
    <row r="124" spans="1:12" x14ac:dyDescent="0.2">
      <c r="A124" t="s">
        <v>623</v>
      </c>
      <c r="B124" t="s">
        <v>622</v>
      </c>
      <c r="C124">
        <v>5283.7296494377852</v>
      </c>
      <c r="D124">
        <v>5632.0312562934223</v>
      </c>
      <c r="E124">
        <v>6050.590882622052</v>
      </c>
      <c r="F124">
        <v>6448.8845595280509</v>
      </c>
      <c r="G124">
        <v>6128.7824378333489</v>
      </c>
      <c r="H124">
        <v>6225.5326547474051</v>
      </c>
      <c r="I124">
        <v>6458.3681488083985</v>
      </c>
      <c r="J124">
        <v>6695.2919476372263</v>
      </c>
      <c r="K124">
        <v>7011.581469037028</v>
      </c>
      <c r="L124">
        <v>7300.080782506343</v>
      </c>
    </row>
    <row r="125" spans="1:12" x14ac:dyDescent="0.2">
      <c r="A125" t="s">
        <v>625</v>
      </c>
      <c r="B125" t="s">
        <v>624</v>
      </c>
      <c r="C125">
        <v>2762.2874103985368</v>
      </c>
      <c r="D125">
        <v>2822.0209229628358</v>
      </c>
      <c r="E125">
        <v>2875.4176634116629</v>
      </c>
      <c r="F125">
        <v>2926.5936647585463</v>
      </c>
      <c r="G125">
        <v>2839.1727462256326</v>
      </c>
      <c r="H125">
        <v>3024.210296656343</v>
      </c>
      <c r="I125">
        <v>3127.1774538155555</v>
      </c>
      <c r="J125">
        <v>3175.024757289033</v>
      </c>
      <c r="K125">
        <v>3275.0018663043302</v>
      </c>
      <c r="L125">
        <v>3363.995213267664</v>
      </c>
    </row>
    <row r="126" spans="1:12" x14ac:dyDescent="0.2">
      <c r="A126" t="s">
        <v>627</v>
      </c>
      <c r="B126" t="s">
        <v>626</v>
      </c>
      <c r="C126">
        <v>29867.026558979083</v>
      </c>
      <c r="D126">
        <v>29948.920006568227</v>
      </c>
      <c r="E126">
        <v>30576.248674924409</v>
      </c>
      <c r="F126">
        <v>31512.194310568411</v>
      </c>
      <c r="G126">
        <v>26736.928356377088</v>
      </c>
      <c r="H126">
        <v>26896.617706597837</v>
      </c>
      <c r="I126">
        <v>29749.870086482322</v>
      </c>
      <c r="J126">
        <v>30616.577281385988</v>
      </c>
      <c r="K126">
        <v>30656.441010936665</v>
      </c>
      <c r="L126">
        <v>31427.663082571715</v>
      </c>
    </row>
    <row r="127" spans="1:12" x14ac:dyDescent="0.2">
      <c r="A127" t="s">
        <v>396</v>
      </c>
      <c r="B127" t="s">
        <v>628</v>
      </c>
      <c r="C127">
        <v>46088.243078538326</v>
      </c>
      <c r="D127">
        <v>47536.789856885116</v>
      </c>
      <c r="E127">
        <v>48834.447115773335</v>
      </c>
      <c r="F127">
        <v>49790.867988482147</v>
      </c>
      <c r="G127">
        <v>49374.092614802532</v>
      </c>
      <c r="H127">
        <v>51718.251865663115</v>
      </c>
      <c r="I127">
        <v>53228.603565536541</v>
      </c>
      <c r="J127">
        <v>54029.343499078503</v>
      </c>
      <c r="K127">
        <v>55070.938619412125</v>
      </c>
      <c r="L127">
        <v>55697.08480863279</v>
      </c>
    </row>
    <row r="128" spans="1:12" x14ac:dyDescent="0.2">
      <c r="A128" t="s">
        <v>630</v>
      </c>
      <c r="B128" t="s">
        <v>629</v>
      </c>
      <c r="C128">
        <v>56936.620842725977</v>
      </c>
      <c r="D128">
        <v>52285.587117569565</v>
      </c>
      <c r="E128">
        <v>51623.807862205234</v>
      </c>
      <c r="F128">
        <v>51380.64553546314</v>
      </c>
      <c r="G128">
        <v>49372.818793855236</v>
      </c>
      <c r="H128">
        <v>50651.957533709123</v>
      </c>
      <c r="I128">
        <v>51379.883319411863</v>
      </c>
      <c r="J128">
        <v>47790.193323914384</v>
      </c>
      <c r="K128">
        <v>46664.219511605632</v>
      </c>
      <c r="L128">
        <v>48253.963885132005</v>
      </c>
    </row>
    <row r="129" spans="1:12" x14ac:dyDescent="0.2">
      <c r="A129" t="s">
        <v>632</v>
      </c>
      <c r="B129" t="s">
        <v>631</v>
      </c>
      <c r="C129">
        <v>17879.61609600416</v>
      </c>
      <c r="D129">
        <v>18078.295912422884</v>
      </c>
      <c r="E129">
        <v>18213.623266492668</v>
      </c>
      <c r="F129">
        <v>18195.667922018747</v>
      </c>
      <c r="G129">
        <v>16883.608310471773</v>
      </c>
      <c r="H129">
        <v>17991.128374997435</v>
      </c>
      <c r="I129">
        <v>18604.963126486258</v>
      </c>
      <c r="J129">
        <v>18872.998909663656</v>
      </c>
      <c r="K129">
        <v>19114.96365732839</v>
      </c>
      <c r="L129">
        <v>19409.306257619595</v>
      </c>
    </row>
    <row r="130" spans="1:12" x14ac:dyDescent="0.2">
      <c r="A130" t="s">
        <v>634</v>
      </c>
      <c r="B130" t="s">
        <v>633</v>
      </c>
      <c r="C130">
        <v>7063.2554534792616</v>
      </c>
      <c r="D130">
        <v>7432.4596330484956</v>
      </c>
      <c r="E130">
        <v>7775.0857445188303</v>
      </c>
      <c r="F130">
        <v>8075.2750237700275</v>
      </c>
      <c r="G130">
        <v>7995.5950252781777</v>
      </c>
      <c r="H130">
        <v>8080.4355324992312</v>
      </c>
      <c r="I130">
        <v>8183.032864726526</v>
      </c>
      <c r="J130">
        <v>8372.1559187440653</v>
      </c>
      <c r="K130">
        <v>8600.3245466568023</v>
      </c>
      <c r="L130">
        <v>8872.69396186433</v>
      </c>
    </row>
    <row r="131" spans="1:12" x14ac:dyDescent="0.2">
      <c r="A131" t="s">
        <v>400</v>
      </c>
      <c r="B131" t="s">
        <v>399</v>
      </c>
      <c r="C131">
        <v>15572.361173977366</v>
      </c>
      <c r="D131">
        <v>16128.58381960507</v>
      </c>
      <c r="E131">
        <v>16290.051647859174</v>
      </c>
      <c r="F131">
        <v>15659.566104001171</v>
      </c>
      <c r="G131">
        <v>12507.436636807848</v>
      </c>
      <c r="H131">
        <v>11599.775508376539</v>
      </c>
      <c r="I131">
        <v>11474.750584555837</v>
      </c>
      <c r="J131">
        <v>11330.268738742221</v>
      </c>
      <c r="K131">
        <v>10469.221096693158</v>
      </c>
    </row>
    <row r="132" spans="1:12" x14ac:dyDescent="0.2">
      <c r="A132" t="s">
        <v>636</v>
      </c>
      <c r="B132" t="s">
        <v>635</v>
      </c>
      <c r="C132">
        <v>1653.3105021123311</v>
      </c>
      <c r="D132">
        <v>1661.3029078217144</v>
      </c>
      <c r="E132">
        <v>1647.9744379384649</v>
      </c>
      <c r="F132">
        <v>1575.766650012378</v>
      </c>
      <c r="G132">
        <v>1497.3769243627232</v>
      </c>
      <c r="H132">
        <v>1539.20892304674</v>
      </c>
      <c r="I132">
        <v>1578.9983706917492</v>
      </c>
      <c r="J132">
        <v>1616.9237335669529</v>
      </c>
      <c r="K132">
        <v>1646.0586136660083</v>
      </c>
      <c r="L132">
        <v>1692.9259113547507</v>
      </c>
    </row>
    <row r="133" spans="1:12" x14ac:dyDescent="0.2">
      <c r="A133" t="s">
        <v>638</v>
      </c>
      <c r="B133" t="s">
        <v>637</v>
      </c>
      <c r="C133">
        <v>11831.82576695593</v>
      </c>
      <c r="D133">
        <v>15428.116441185352</v>
      </c>
      <c r="E133">
        <v>16385.164476126989</v>
      </c>
      <c r="F133">
        <v>14337.196298758206</v>
      </c>
      <c r="G133">
        <v>9978.6640011074269</v>
      </c>
      <c r="H133">
        <v>12641.509771407456</v>
      </c>
      <c r="I133">
        <v>11450.059855292844</v>
      </c>
      <c r="J133">
        <v>12476.597494408254</v>
      </c>
      <c r="K133">
        <v>12583.833872681609</v>
      </c>
      <c r="L133">
        <v>14118.206441856486</v>
      </c>
    </row>
    <row r="134" spans="1:12" x14ac:dyDescent="0.2">
      <c r="A134" t="s">
        <v>640</v>
      </c>
      <c r="B134" t="s">
        <v>639</v>
      </c>
      <c r="C134">
        <v>21566.305879957457</v>
      </c>
      <c r="D134">
        <v>22207.213104126306</v>
      </c>
      <c r="E134">
        <v>22761.16134614472</v>
      </c>
      <c r="F134">
        <v>22445.208050787398</v>
      </c>
      <c r="G134">
        <v>17247.957867475299</v>
      </c>
      <c r="H134">
        <v>19141.327225316796</v>
      </c>
      <c r="I134">
        <v>22811.252448038311</v>
      </c>
      <c r="J134">
        <v>23636.02659402529</v>
      </c>
      <c r="K134">
        <v>24699.969471158904</v>
      </c>
      <c r="L134">
        <v>24502.962864127647</v>
      </c>
    </row>
    <row r="135" spans="1:12" x14ac:dyDescent="0.2">
      <c r="A135" t="s">
        <v>642</v>
      </c>
      <c r="B135" t="s">
        <v>641</v>
      </c>
      <c r="C135">
        <v>18550.872917397846</v>
      </c>
      <c r="D135">
        <v>18744.624285512291</v>
      </c>
      <c r="E135">
        <v>18893.7989523752</v>
      </c>
      <c r="F135">
        <v>18883.186861830342</v>
      </c>
      <c r="G135">
        <v>17508.617335059724</v>
      </c>
      <c r="H135">
        <v>18696.321034168253</v>
      </c>
      <c r="I135">
        <v>19355.076686044391</v>
      </c>
      <c r="J135">
        <v>19651.733389066307</v>
      </c>
      <c r="K135">
        <v>19954.149659501894</v>
      </c>
      <c r="L135">
        <v>20286.728493650033</v>
      </c>
    </row>
    <row r="136" spans="1:12" x14ac:dyDescent="0.2">
      <c r="A136" t="s">
        <v>644</v>
      </c>
      <c r="B136" t="s">
        <v>643</v>
      </c>
      <c r="C136">
        <v>3530.4911881452713</v>
      </c>
      <c r="D136">
        <v>3628.8467447361986</v>
      </c>
      <c r="E136">
        <v>3726.778082671884</v>
      </c>
      <c r="F136">
        <v>3830.8885335041323</v>
      </c>
      <c r="G136">
        <v>3741.3997281722686</v>
      </c>
      <c r="H136">
        <v>3753.1278014193958</v>
      </c>
      <c r="I136">
        <v>3851.7539627312967</v>
      </c>
      <c r="J136">
        <v>3891.7364100467053</v>
      </c>
      <c r="K136">
        <v>3956.3966371603442</v>
      </c>
      <c r="L136">
        <v>4035.2417552816996</v>
      </c>
    </row>
    <row r="137" spans="1:12" x14ac:dyDescent="0.2">
      <c r="A137" t="s">
        <v>646</v>
      </c>
      <c r="B137" t="s">
        <v>645</v>
      </c>
      <c r="C137">
        <v>2367.1343558393164</v>
      </c>
      <c r="D137">
        <v>2398.9141846566799</v>
      </c>
      <c r="E137">
        <v>2422.6416156475116</v>
      </c>
      <c r="F137">
        <v>2449.5626965866559</v>
      </c>
      <c r="G137">
        <v>2399.2992246484105</v>
      </c>
      <c r="H137">
        <v>2374.7491326903837</v>
      </c>
      <c r="I137">
        <v>2395.9159963818702</v>
      </c>
      <c r="J137">
        <v>2365.0629930339928</v>
      </c>
      <c r="K137">
        <v>2395.9910985542815</v>
      </c>
      <c r="L137">
        <v>2481.0131559571937</v>
      </c>
    </row>
    <row r="138" spans="1:12" x14ac:dyDescent="0.2">
      <c r="A138" t="s">
        <v>648</v>
      </c>
      <c r="B138" t="s">
        <v>647</v>
      </c>
    </row>
    <row r="139" spans="1:12" x14ac:dyDescent="0.2">
      <c r="A139" t="s">
        <v>650</v>
      </c>
      <c r="B139" t="s">
        <v>649</v>
      </c>
      <c r="C139">
        <v>13845.614678221817</v>
      </c>
      <c r="D139">
        <v>14572.485821461642</v>
      </c>
      <c r="E139">
        <v>14759.824894522641</v>
      </c>
      <c r="F139">
        <v>14637.444291267593</v>
      </c>
      <c r="G139">
        <v>13886.651372868899</v>
      </c>
      <c r="H139">
        <v>14316.135222556668</v>
      </c>
      <c r="I139">
        <v>13249.065050520132</v>
      </c>
      <c r="J139">
        <v>13065.069830572234</v>
      </c>
      <c r="K139">
        <v>13793.066982767717</v>
      </c>
      <c r="L139">
        <v>14582.760374037367</v>
      </c>
    </row>
    <row r="140" spans="1:12" x14ac:dyDescent="0.2">
      <c r="A140" t="s">
        <v>652</v>
      </c>
      <c r="B140" t="s">
        <v>651</v>
      </c>
      <c r="C140">
        <v>7060.833225681019</v>
      </c>
      <c r="D140">
        <v>7336.6603371574402</v>
      </c>
      <c r="E140">
        <v>7634.7259868989877</v>
      </c>
      <c r="F140">
        <v>7828.8881656244257</v>
      </c>
      <c r="G140">
        <v>7421.0922949801015</v>
      </c>
      <c r="H140">
        <v>7838.3471845492595</v>
      </c>
      <c r="I140">
        <v>8239.0296316270615</v>
      </c>
      <c r="J140">
        <v>8575.8340682933922</v>
      </c>
      <c r="K140">
        <v>8930.7125064316479</v>
      </c>
      <c r="L140">
        <v>9350.3008507369705</v>
      </c>
    </row>
    <row r="141" spans="1:12" x14ac:dyDescent="0.2">
      <c r="A141" t="s">
        <v>654</v>
      </c>
      <c r="B141" t="s">
        <v>653</v>
      </c>
      <c r="C141">
        <v>10798.451828663199</v>
      </c>
      <c r="D141">
        <v>11215.78859815077</v>
      </c>
      <c r="E141">
        <v>11619.79598111001</v>
      </c>
      <c r="F141">
        <v>11942.571019999878</v>
      </c>
      <c r="G141">
        <v>11605.620781445174</v>
      </c>
      <c r="H141">
        <v>12294.689101358868</v>
      </c>
      <c r="I141">
        <v>12688.967029429668</v>
      </c>
      <c r="J141">
        <v>13155.162068137222</v>
      </c>
      <c r="K141">
        <v>13612.78799008072</v>
      </c>
      <c r="L141">
        <v>14102.091598811476</v>
      </c>
    </row>
    <row r="142" spans="1:12" x14ac:dyDescent="0.2">
      <c r="A142" t="s">
        <v>656</v>
      </c>
      <c r="B142" t="s">
        <v>655</v>
      </c>
      <c r="C142">
        <v>3057.2609156816206</v>
      </c>
      <c r="D142">
        <v>2924.6809619327246</v>
      </c>
      <c r="E142">
        <v>2846.4182812464937</v>
      </c>
      <c r="F142">
        <v>2773.2863988723579</v>
      </c>
      <c r="G142">
        <v>2517.1104448659321</v>
      </c>
      <c r="H142">
        <v>2544.7824955121414</v>
      </c>
      <c r="I142">
        <v>2577.5454412776908</v>
      </c>
      <c r="J142">
        <v>2592.4570129526005</v>
      </c>
      <c r="K142">
        <v>2697.6273843664721</v>
      </c>
      <c r="L142">
        <v>2720.9573765341211</v>
      </c>
    </row>
    <row r="143" spans="1:12" x14ac:dyDescent="0.2">
      <c r="A143" t="s">
        <v>658</v>
      </c>
      <c r="B143" t="s">
        <v>657</v>
      </c>
      <c r="C143">
        <v>18377.058423676364</v>
      </c>
      <c r="D143">
        <v>19161.683668369093</v>
      </c>
      <c r="E143">
        <v>20046.522367508565</v>
      </c>
      <c r="F143">
        <v>20852.882449056822</v>
      </c>
      <c r="G143">
        <v>20730.002998216241</v>
      </c>
      <c r="H143">
        <v>22189.762283747121</v>
      </c>
      <c r="I143">
        <v>22842.793052075667</v>
      </c>
      <c r="J143">
        <v>23803.152019217909</v>
      </c>
      <c r="K143">
        <v>24850.171660662512</v>
      </c>
      <c r="L143">
        <v>25875.731462257674</v>
      </c>
    </row>
    <row r="144" spans="1:12" x14ac:dyDescent="0.2">
      <c r="A144" t="s">
        <v>213</v>
      </c>
      <c r="B144" t="s">
        <v>211</v>
      </c>
      <c r="C144">
        <v>36632.083279843835</v>
      </c>
      <c r="D144">
        <v>38789.24631790354</v>
      </c>
      <c r="E144">
        <v>41035.401815273246</v>
      </c>
      <c r="F144">
        <v>43078.711858546114</v>
      </c>
      <c r="G144">
        <v>43108.197606028261</v>
      </c>
      <c r="H144">
        <v>45897.371502632741</v>
      </c>
      <c r="I144">
        <v>46642.594725108567</v>
      </c>
      <c r="J144">
        <v>46333.900696520606</v>
      </c>
      <c r="K144">
        <v>47462.003938697504</v>
      </c>
      <c r="L144">
        <v>48839.543645294776</v>
      </c>
    </row>
    <row r="145" spans="1:12" x14ac:dyDescent="0.2">
      <c r="A145" t="s">
        <v>137</v>
      </c>
      <c r="B145" t="s">
        <v>135</v>
      </c>
      <c r="C145">
        <v>133661.73454128104</v>
      </c>
      <c r="D145">
        <v>132169.82957617432</v>
      </c>
      <c r="E145">
        <v>131733.88447148932</v>
      </c>
      <c r="F145">
        <v>132724.75466830298</v>
      </c>
      <c r="G145">
        <v>129865.63187112365</v>
      </c>
      <c r="H145">
        <v>136772.44375329168</v>
      </c>
      <c r="I145">
        <v>132570.83227262617</v>
      </c>
      <c r="J145">
        <v>130048.92227314721</v>
      </c>
      <c r="K145">
        <v>128475.28354041478</v>
      </c>
      <c r="L145">
        <v>127420.60162516528</v>
      </c>
    </row>
    <row r="146" spans="1:12" x14ac:dyDescent="0.2">
      <c r="A146" t="s">
        <v>205</v>
      </c>
      <c r="B146" t="s">
        <v>203</v>
      </c>
      <c r="C146">
        <v>31668.51484426617</v>
      </c>
      <c r="D146">
        <v>33036.391594343688</v>
      </c>
      <c r="E146">
        <v>34729.706276305653</v>
      </c>
      <c r="F146">
        <v>35208.193459085865</v>
      </c>
      <c r="G146">
        <v>34225.897604405814</v>
      </c>
      <c r="H146">
        <v>36912.013060216064</v>
      </c>
      <c r="I146">
        <v>37718.709795836723</v>
      </c>
      <c r="J146">
        <v>37277.721722131726</v>
      </c>
      <c r="K146">
        <v>37615.076245074364</v>
      </c>
      <c r="L146">
        <v>38800.542528187209</v>
      </c>
    </row>
    <row r="147" spans="1:12" x14ac:dyDescent="0.2">
      <c r="A147" t="s">
        <v>660</v>
      </c>
      <c r="B147" t="s">
        <v>659</v>
      </c>
      <c r="C147">
        <v>120530.05285831416</v>
      </c>
      <c r="D147">
        <v>133322.6326777444</v>
      </c>
      <c r="E147">
        <v>139541.15724876916</v>
      </c>
      <c r="F147">
        <v>133453.89602603734</v>
      </c>
      <c r="G147">
        <v>59662.485586455063</v>
      </c>
      <c r="H147">
        <v>73374.448682958886</v>
      </c>
      <c r="I147">
        <v>59921.441691873006</v>
      </c>
      <c r="J147">
        <v>104815.20003062004</v>
      </c>
      <c r="K147">
        <v>111693.50283143437</v>
      </c>
      <c r="L147">
        <v>117098.27484551806</v>
      </c>
    </row>
    <row r="148" spans="1:12" x14ac:dyDescent="0.2">
      <c r="A148" t="s">
        <v>662</v>
      </c>
      <c r="B148" t="s">
        <v>661</v>
      </c>
    </row>
    <row r="149" spans="1:12" x14ac:dyDescent="0.2">
      <c r="A149" t="s">
        <v>664</v>
      </c>
      <c r="B149" t="s">
        <v>663</v>
      </c>
      <c r="C149">
        <v>8141.9404296875</v>
      </c>
      <c r="D149">
        <v>8450.0087890625</v>
      </c>
      <c r="E149">
        <v>8611.75</v>
      </c>
      <c r="F149">
        <v>8768.17578125</v>
      </c>
      <c r="G149">
        <v>8054.56298828125</v>
      </c>
      <c r="H149">
        <v>8623.265625</v>
      </c>
      <c r="I149">
        <v>8690.4482421875</v>
      </c>
      <c r="J149">
        <v>8915.3515625</v>
      </c>
      <c r="K149">
        <v>9162.7470703125</v>
      </c>
      <c r="L149">
        <v>9495.4052734375</v>
      </c>
    </row>
    <row r="150" spans="1:12" x14ac:dyDescent="0.2">
      <c r="A150" t="s">
        <v>666</v>
      </c>
      <c r="B150" t="s">
        <v>665</v>
      </c>
    </row>
    <row r="151" spans="1:12" x14ac:dyDescent="0.2">
      <c r="A151" t="s">
        <v>668</v>
      </c>
      <c r="B151" t="s">
        <v>667</v>
      </c>
      <c r="C151">
        <v>12377.366678394035</v>
      </c>
      <c r="D151">
        <v>13118.821936960536</v>
      </c>
      <c r="E151">
        <v>13895.504365569192</v>
      </c>
      <c r="F151">
        <v>14621.240136228585</v>
      </c>
      <c r="G151">
        <v>13559.260021748289</v>
      </c>
      <c r="H151">
        <v>15682.070328465348</v>
      </c>
      <c r="I151">
        <v>15350.312040839119</v>
      </c>
      <c r="J151">
        <v>15980.566888985557</v>
      </c>
      <c r="K151">
        <v>16393.863325718376</v>
      </c>
      <c r="L151">
        <v>17087.187404481923</v>
      </c>
    </row>
    <row r="152" spans="1:12" x14ac:dyDescent="0.2">
      <c r="A152" t="s">
        <v>670</v>
      </c>
      <c r="B152" t="s">
        <v>669</v>
      </c>
      <c r="C152">
        <v>1648.9122697929581</v>
      </c>
      <c r="D152">
        <v>1669.7276426727785</v>
      </c>
      <c r="E152">
        <v>1678.7862326949119</v>
      </c>
      <c r="F152">
        <v>1707.8315383003903</v>
      </c>
      <c r="G152">
        <v>1545.7271437920392</v>
      </c>
      <c r="H152">
        <v>1577.432460565288</v>
      </c>
      <c r="I152">
        <v>1602.4280519752881</v>
      </c>
      <c r="J152">
        <v>1629.6055225488976</v>
      </c>
      <c r="K152">
        <v>1659.1503077019427</v>
      </c>
      <c r="L152">
        <v>1668.4770233085421</v>
      </c>
    </row>
    <row r="153" spans="1:12" x14ac:dyDescent="0.2">
      <c r="A153" t="s">
        <v>672</v>
      </c>
      <c r="B153" t="s">
        <v>671</v>
      </c>
      <c r="C153">
        <v>19345.179234354095</v>
      </c>
      <c r="D153">
        <v>20036.71653549491</v>
      </c>
      <c r="E153">
        <v>21072.580524969424</v>
      </c>
      <c r="F153">
        <v>21855.501224578969</v>
      </c>
      <c r="G153">
        <v>14242.975070116228</v>
      </c>
      <c r="H153">
        <v>19052.622490431062</v>
      </c>
      <c r="I153">
        <v>21357.811251115312</v>
      </c>
      <c r="J153">
        <v>22333.047713817457</v>
      </c>
      <c r="K153">
        <v>23034.40984048391</v>
      </c>
      <c r="L153">
        <v>24401.315925363524</v>
      </c>
    </row>
    <row r="154" spans="1:12" x14ac:dyDescent="0.2">
      <c r="A154" t="s">
        <v>674</v>
      </c>
      <c r="B154" t="s">
        <v>673</v>
      </c>
      <c r="C154">
        <v>13660.664726164658</v>
      </c>
      <c r="D154">
        <v>13738.711278925372</v>
      </c>
      <c r="E154">
        <v>13857.697716632794</v>
      </c>
      <c r="F154">
        <v>13875.43548188055</v>
      </c>
      <c r="G154">
        <v>13261.545106780251</v>
      </c>
      <c r="H154">
        <v>13667.961894094184</v>
      </c>
      <c r="I154">
        <v>14260.88182557624</v>
      </c>
      <c r="J154">
        <v>14315.205822318154</v>
      </c>
      <c r="K154">
        <v>14391.405949632979</v>
      </c>
      <c r="L154">
        <v>14512.002897051419</v>
      </c>
    </row>
    <row r="155" spans="1:12" x14ac:dyDescent="0.2">
      <c r="A155" t="s">
        <v>273</v>
      </c>
      <c r="B155" t="s">
        <v>271</v>
      </c>
      <c r="C155">
        <v>21578.263354125986</v>
      </c>
      <c r="D155">
        <v>21777.522512727523</v>
      </c>
      <c r="E155">
        <v>21997.773021949441</v>
      </c>
      <c r="F155">
        <v>21704.185952747954</v>
      </c>
      <c r="G155">
        <v>19728.481782745519</v>
      </c>
      <c r="H155">
        <v>20782.587744090539</v>
      </c>
      <c r="I155">
        <v>21391.857369884536</v>
      </c>
      <c r="J155">
        <v>21864.923610414531</v>
      </c>
      <c r="K155">
        <v>21970.352041292626</v>
      </c>
      <c r="L155">
        <v>21911.92928427468</v>
      </c>
    </row>
    <row r="156" spans="1:12" x14ac:dyDescent="0.2">
      <c r="A156" t="s">
        <v>676</v>
      </c>
      <c r="B156" t="s">
        <v>675</v>
      </c>
      <c r="C156">
        <v>4897.1493400203772</v>
      </c>
      <c r="D156">
        <v>5200.0106653248513</v>
      </c>
      <c r="E156">
        <v>5636.0295493767208</v>
      </c>
      <c r="F156">
        <v>6405.8963238710485</v>
      </c>
      <c r="G156">
        <v>6418.006638224163</v>
      </c>
      <c r="H156">
        <v>6768.8257912962399</v>
      </c>
      <c r="I156">
        <v>6937.7535705051368</v>
      </c>
      <c r="J156">
        <v>6774.7826557837834</v>
      </c>
      <c r="K156">
        <v>7236.867937664897</v>
      </c>
      <c r="L156">
        <v>7660.3769559116836</v>
      </c>
    </row>
    <row r="157" spans="1:12" x14ac:dyDescent="0.2">
      <c r="A157" t="s">
        <v>678</v>
      </c>
      <c r="B157" t="s">
        <v>677</v>
      </c>
      <c r="C157">
        <v>11720.822257972783</v>
      </c>
      <c r="D157">
        <v>12195.063218113221</v>
      </c>
      <c r="E157">
        <v>12658.324499624563</v>
      </c>
      <c r="F157">
        <v>13034.151333300808</v>
      </c>
      <c r="G157">
        <v>12685.095021379218</v>
      </c>
      <c r="H157">
        <v>13477.148028888616</v>
      </c>
      <c r="I157">
        <v>13938.71550771</v>
      </c>
      <c r="J157">
        <v>14488.645336707459</v>
      </c>
      <c r="K157">
        <v>15025.133735113634</v>
      </c>
      <c r="L157">
        <v>15594.238603847765</v>
      </c>
    </row>
    <row r="158" spans="1:12" x14ac:dyDescent="0.2">
      <c r="A158" t="s">
        <v>680</v>
      </c>
      <c r="B158" t="s">
        <v>679</v>
      </c>
      <c r="C158">
        <v>19825.772468505718</v>
      </c>
      <c r="D158">
        <v>20121.051018072605</v>
      </c>
      <c r="E158">
        <v>20805.922119255498</v>
      </c>
      <c r="F158">
        <v>21766.884206248658</v>
      </c>
      <c r="G158">
        <v>20971.442103359346</v>
      </c>
      <c r="H158">
        <v>22144.192425273224</v>
      </c>
      <c r="I158">
        <v>22822.233399425928</v>
      </c>
      <c r="J158">
        <v>23455.222131817642</v>
      </c>
      <c r="K158">
        <v>24203.185580018853</v>
      </c>
      <c r="L158">
        <v>25094.622500718498</v>
      </c>
    </row>
    <row r="159" spans="1:12" x14ac:dyDescent="0.2">
      <c r="A159" t="s">
        <v>682</v>
      </c>
      <c r="B159" t="s">
        <v>681</v>
      </c>
      <c r="C159">
        <v>2759.1105129334119</v>
      </c>
      <c r="D159">
        <v>2816.1942390158729</v>
      </c>
      <c r="E159">
        <v>2862.4072898747559</v>
      </c>
      <c r="F159">
        <v>2916.1716779108428</v>
      </c>
      <c r="G159">
        <v>2796.4103844438582</v>
      </c>
      <c r="H159">
        <v>2796.2279379543061</v>
      </c>
      <c r="I159">
        <v>2813.8109596256463</v>
      </c>
      <c r="J159">
        <v>2861.4805806331437</v>
      </c>
      <c r="K159">
        <v>2917.9324588367126</v>
      </c>
      <c r="L159">
        <v>2993.251663592569</v>
      </c>
    </row>
    <row r="160" spans="1:12" x14ac:dyDescent="0.2">
      <c r="A160" t="s">
        <v>146</v>
      </c>
      <c r="B160" t="s">
        <v>144</v>
      </c>
      <c r="C160">
        <v>46967.348629121159</v>
      </c>
      <c r="D160">
        <v>51628.26774003647</v>
      </c>
      <c r="E160">
        <v>53419.002270832199</v>
      </c>
      <c r="F160">
        <v>53393.423164246284</v>
      </c>
      <c r="G160">
        <v>50389.696330928899</v>
      </c>
      <c r="H160">
        <v>56823.995852502201</v>
      </c>
      <c r="I160">
        <v>56874.433932736771</v>
      </c>
      <c r="J160">
        <v>60459.765518264387</v>
      </c>
      <c r="K160">
        <v>62398.489238894668</v>
      </c>
      <c r="L160">
        <v>63655.516065966483</v>
      </c>
    </row>
    <row r="161" spans="1:12" x14ac:dyDescent="0.2">
      <c r="A161" t="s">
        <v>684</v>
      </c>
      <c r="B161" t="s">
        <v>683</v>
      </c>
      <c r="C161">
        <v>5580.9897727323159</v>
      </c>
      <c r="D161">
        <v>5877.8746555817534</v>
      </c>
      <c r="E161">
        <v>6201.2634142980305</v>
      </c>
      <c r="F161">
        <v>6562.9889847862514</v>
      </c>
      <c r="G161">
        <v>5926.8345020668103</v>
      </c>
      <c r="H161">
        <v>5178.4471821716361</v>
      </c>
      <c r="I161">
        <v>5350.4766689993139</v>
      </c>
      <c r="J161">
        <v>5364.1379703442917</v>
      </c>
      <c r="K161">
        <v>5276.2943398785274</v>
      </c>
      <c r="L161">
        <v>5137.1004882561519</v>
      </c>
    </row>
    <row r="162" spans="1:12" x14ac:dyDescent="0.2">
      <c r="A162" t="s">
        <v>686</v>
      </c>
      <c r="B162" t="s">
        <v>685</v>
      </c>
      <c r="C162">
        <v>9412.5084550992997</v>
      </c>
      <c r="D162">
        <v>9558.3431674966905</v>
      </c>
      <c r="E162">
        <v>9610.5359055489153</v>
      </c>
      <c r="F162">
        <v>9622.7074284285682</v>
      </c>
      <c r="G162">
        <v>9308.5806849771234</v>
      </c>
      <c r="H162">
        <v>9516.646687171391</v>
      </c>
      <c r="I162">
        <v>9789.5738205645339</v>
      </c>
      <c r="J162">
        <v>9902.1762060261553</v>
      </c>
      <c r="K162">
        <v>9972.9361484970759</v>
      </c>
      <c r="L162">
        <v>10013.610023799056</v>
      </c>
    </row>
    <row r="163" spans="1:12" x14ac:dyDescent="0.2">
      <c r="A163" t="s">
        <v>688</v>
      </c>
      <c r="B163" t="s">
        <v>687</v>
      </c>
      <c r="C163">
        <v>21834.091874192436</v>
      </c>
      <c r="D163">
        <v>22513.780763717055</v>
      </c>
      <c r="E163">
        <v>23562.176255895694</v>
      </c>
      <c r="F163">
        <v>24585.115952915752</v>
      </c>
      <c r="G163">
        <v>20904.599931451266</v>
      </c>
      <c r="H163">
        <v>23689.979109065131</v>
      </c>
      <c r="I163">
        <v>25583.315569061866</v>
      </c>
      <c r="J163">
        <v>27243.404228981002</v>
      </c>
      <c r="K163">
        <v>28105.592772662356</v>
      </c>
      <c r="L163">
        <v>28895.317197007138</v>
      </c>
    </row>
    <row r="164" spans="1:12" x14ac:dyDescent="0.2">
      <c r="A164" t="s">
        <v>690</v>
      </c>
      <c r="B164" t="s">
        <v>689</v>
      </c>
      <c r="C164">
        <v>13898.145695358526</v>
      </c>
      <c r="D164">
        <v>14401.537506756224</v>
      </c>
      <c r="E164">
        <v>15230.240882884682</v>
      </c>
      <c r="F164">
        <v>15790.696112644131</v>
      </c>
      <c r="G164">
        <v>14801.342082918465</v>
      </c>
      <c r="H164">
        <v>14792.250908642214</v>
      </c>
      <c r="I164">
        <v>15310.434946916346</v>
      </c>
      <c r="J164">
        <v>16222.86388985287</v>
      </c>
      <c r="K164">
        <v>16842.650587379678</v>
      </c>
      <c r="L164">
        <v>17772.534221255864</v>
      </c>
    </row>
    <row r="165" spans="1:12" x14ac:dyDescent="0.2">
      <c r="A165" t="s">
        <v>692</v>
      </c>
      <c r="B165" t="s">
        <v>691</v>
      </c>
    </row>
    <row r="166" spans="1:12" x14ac:dyDescent="0.2">
      <c r="A166" t="s">
        <v>694</v>
      </c>
      <c r="B166" t="s">
        <v>693</v>
      </c>
      <c r="C166">
        <v>1537.9085327121647</v>
      </c>
      <c r="D166">
        <v>1532.0073576114</v>
      </c>
      <c r="E166">
        <v>1538.8351212702223</v>
      </c>
      <c r="F166">
        <v>1528.8898835437337</v>
      </c>
      <c r="G166">
        <v>1466.1247647447606</v>
      </c>
      <c r="H166">
        <v>1457.2354093092151</v>
      </c>
      <c r="I166">
        <v>1476.7343291702634</v>
      </c>
      <c r="J166">
        <v>1512.667296096708</v>
      </c>
      <c r="K166">
        <v>1500.7075850485594</v>
      </c>
      <c r="L166">
        <v>1450.9595524885801</v>
      </c>
    </row>
    <row r="167" spans="1:12" x14ac:dyDescent="0.2">
      <c r="A167" t="s">
        <v>696</v>
      </c>
      <c r="B167" t="s">
        <v>695</v>
      </c>
      <c r="C167">
        <v>5866.2814467412882</v>
      </c>
      <c r="D167">
        <v>6050.6218032529941</v>
      </c>
      <c r="E167">
        <v>6153.6379024170446</v>
      </c>
      <c r="F167">
        <v>6162.2104445596897</v>
      </c>
      <c r="G167">
        <v>5963.2354972498752</v>
      </c>
      <c r="H167">
        <v>5836.5658082189693</v>
      </c>
      <c r="I167">
        <v>6053.261781247681</v>
      </c>
      <c r="J167">
        <v>6276.4752107565282</v>
      </c>
      <c r="K167">
        <v>6482.6901663593608</v>
      </c>
      <c r="L167">
        <v>6559.0432196056563</v>
      </c>
    </row>
    <row r="168" spans="1:12" x14ac:dyDescent="0.2">
      <c r="A168" t="s">
        <v>266</v>
      </c>
      <c r="B168" t="s">
        <v>265</v>
      </c>
      <c r="C168">
        <v>23357.230006620994</v>
      </c>
      <c r="D168">
        <v>24258.988821567043</v>
      </c>
      <c r="E168">
        <v>25243.886462030987</v>
      </c>
      <c r="F168">
        <v>25958.490028146538</v>
      </c>
      <c r="G168">
        <v>22272.539869667697</v>
      </c>
      <c r="H168">
        <v>23010.201382690571</v>
      </c>
      <c r="I168">
        <v>25005.06661457229</v>
      </c>
      <c r="J168">
        <v>26471.035142289216</v>
      </c>
      <c r="K168">
        <v>27844.89561148312</v>
      </c>
      <c r="L168">
        <v>28769.512830770869</v>
      </c>
    </row>
    <row r="169" spans="1:12" x14ac:dyDescent="0.2">
      <c r="A169" t="s">
        <v>698</v>
      </c>
      <c r="B169" t="s">
        <v>697</v>
      </c>
      <c r="C169">
        <v>1593.5954926480813</v>
      </c>
      <c r="D169">
        <v>1613.0593571461959</v>
      </c>
      <c r="E169">
        <v>1638.9166576107648</v>
      </c>
      <c r="F169">
        <v>1687.2894491789152</v>
      </c>
      <c r="G169">
        <v>1656.4398519253257</v>
      </c>
      <c r="H169">
        <v>1687.5935817965067</v>
      </c>
      <c r="I169">
        <v>1659.9593382516805</v>
      </c>
      <c r="J169">
        <v>1649.2987323455052</v>
      </c>
      <c r="K169">
        <v>1634.2466026659699</v>
      </c>
      <c r="L169">
        <v>1623.0217852928226</v>
      </c>
    </row>
    <row r="170" spans="1:12" x14ac:dyDescent="0.2">
      <c r="A170" t="s">
        <v>405</v>
      </c>
      <c r="B170" t="s">
        <v>404</v>
      </c>
      <c r="C170">
        <v>28425.370760941158</v>
      </c>
      <c r="D170">
        <v>29551.545759719724</v>
      </c>
      <c r="E170">
        <v>30459.965533806091</v>
      </c>
      <c r="F170">
        <v>31300.508655484915</v>
      </c>
      <c r="G170">
        <v>29200.452632127035</v>
      </c>
      <c r="H170">
        <v>29822.849183161834</v>
      </c>
      <c r="I170">
        <v>32129.221782011253</v>
      </c>
      <c r="J170">
        <v>32857.66766007743</v>
      </c>
      <c r="K170">
        <v>34116.231784888529</v>
      </c>
      <c r="L170">
        <v>35461.446580587181</v>
      </c>
    </row>
    <row r="171" spans="1:12" x14ac:dyDescent="0.2">
      <c r="A171" t="s">
        <v>700</v>
      </c>
      <c r="B171" t="s">
        <v>699</v>
      </c>
      <c r="C171">
        <v>64087.454242183652</v>
      </c>
      <c r="D171">
        <v>65208.285661556423</v>
      </c>
      <c r="E171">
        <v>66679.838637211578</v>
      </c>
      <c r="F171">
        <v>67946.341118307129</v>
      </c>
      <c r="G171">
        <v>66040.873120565811</v>
      </c>
      <c r="H171">
        <v>69953.484689295932</v>
      </c>
      <c r="I171">
        <v>71345.564015876967</v>
      </c>
      <c r="J171">
        <v>72628.197132376823</v>
      </c>
      <c r="K171">
        <v>73737.559793810011</v>
      </c>
      <c r="L171">
        <v>74879.071544946186</v>
      </c>
    </row>
    <row r="172" spans="1:12" x14ac:dyDescent="0.2">
      <c r="A172" t="s">
        <v>702</v>
      </c>
      <c r="B172" t="s">
        <v>701</v>
      </c>
      <c r="C172">
        <v>11846.788083275675</v>
      </c>
      <c r="D172">
        <v>11408.725309996667</v>
      </c>
      <c r="E172">
        <v>11214.386043059969</v>
      </c>
      <c r="F172">
        <v>10813.304468194407</v>
      </c>
      <c r="G172">
        <v>9652.2482721946253</v>
      </c>
      <c r="H172">
        <v>9709.0993064677059</v>
      </c>
      <c r="I172">
        <v>9953.0975240349089</v>
      </c>
      <c r="J172">
        <v>10126.235955561075</v>
      </c>
      <c r="K172">
        <v>10276.368642638572</v>
      </c>
      <c r="L172">
        <v>10242.284047121855</v>
      </c>
    </row>
    <row r="173" spans="1:12" x14ac:dyDescent="0.2">
      <c r="A173" t="s">
        <v>704</v>
      </c>
      <c r="B173" t="s">
        <v>703</v>
      </c>
    </row>
    <row r="174" spans="1:12" x14ac:dyDescent="0.2">
      <c r="A174" t="s">
        <v>706</v>
      </c>
      <c r="B174" t="s">
        <v>705</v>
      </c>
      <c r="C174">
        <v>1488.086480746553</v>
      </c>
      <c r="D174">
        <v>1515.4830731761783</v>
      </c>
      <c r="E174">
        <v>1565.0197000514152</v>
      </c>
      <c r="F174">
        <v>1605.1947656902919</v>
      </c>
      <c r="G174">
        <v>1622.278736029109</v>
      </c>
      <c r="H174">
        <v>1587.8478490732912</v>
      </c>
      <c r="I174">
        <v>1724.8969942521517</v>
      </c>
      <c r="J174">
        <v>1712.9703172652089</v>
      </c>
      <c r="K174">
        <v>1795.6526688802176</v>
      </c>
      <c r="L174">
        <v>1860.5485827260761</v>
      </c>
    </row>
    <row r="175" spans="1:12" x14ac:dyDescent="0.2">
      <c r="A175" t="s">
        <v>708</v>
      </c>
      <c r="B175" t="s">
        <v>707</v>
      </c>
      <c r="C175">
        <v>8534.692814823753</v>
      </c>
      <c r="D175">
        <v>8396.7845224322718</v>
      </c>
      <c r="E175">
        <v>8362.623308602957</v>
      </c>
      <c r="F175">
        <v>8361.786648360001</v>
      </c>
      <c r="G175">
        <v>7664.2109957516786</v>
      </c>
      <c r="H175">
        <v>7588.478855870022</v>
      </c>
      <c r="I175">
        <v>7752.2620649524724</v>
      </c>
      <c r="J175">
        <v>7843.0039900767524</v>
      </c>
      <c r="K175">
        <v>7994.0375447082351</v>
      </c>
      <c r="L175">
        <v>8145.1480838746947</v>
      </c>
    </row>
    <row r="176" spans="1:12" x14ac:dyDescent="0.2">
      <c r="A176" t="s">
        <v>710</v>
      </c>
      <c r="B176" t="s">
        <v>709</v>
      </c>
      <c r="C176">
        <v>7158.7575546750149</v>
      </c>
      <c r="D176">
        <v>7391.1963821526524</v>
      </c>
      <c r="E176">
        <v>7049.0270982840284</v>
      </c>
      <c r="F176">
        <v>6756.59334024487</v>
      </c>
      <c r="G176">
        <v>6523.3694466119541</v>
      </c>
      <c r="H176">
        <v>7119.1687478260083</v>
      </c>
      <c r="I176">
        <v>7277.8204165258394</v>
      </c>
      <c r="J176">
        <v>7496.5305655750481</v>
      </c>
      <c r="K176">
        <v>7661.0941011320156</v>
      </c>
      <c r="L176">
        <v>7933.4888800641183</v>
      </c>
    </row>
    <row r="177" spans="1:12" x14ac:dyDescent="0.2">
      <c r="A177" t="s">
        <v>151</v>
      </c>
      <c r="B177" t="s">
        <v>150</v>
      </c>
      <c r="C177">
        <v>64267.747655362262</v>
      </c>
      <c r="D177">
        <v>65665.991022957765</v>
      </c>
      <c r="E177">
        <v>66758.245428331691</v>
      </c>
      <c r="F177">
        <v>67847.881846109507</v>
      </c>
      <c r="G177">
        <v>64862.18903534743</v>
      </c>
      <c r="H177">
        <v>68573.564878644713</v>
      </c>
      <c r="I177">
        <v>71324.036022942513</v>
      </c>
      <c r="J177">
        <v>70198.954602236088</v>
      </c>
      <c r="K177">
        <v>70493.905121926728</v>
      </c>
      <c r="L177">
        <v>71378.485633101227</v>
      </c>
    </row>
    <row r="178" spans="1:12" x14ac:dyDescent="0.2">
      <c r="A178" t="s">
        <v>291</v>
      </c>
      <c r="B178" t="s">
        <v>290</v>
      </c>
      <c r="C178">
        <v>88041.641480895618</v>
      </c>
      <c r="D178">
        <v>89664.908641582937</v>
      </c>
      <c r="E178">
        <v>90064.06879743583</v>
      </c>
      <c r="F178">
        <v>90772.901704186545</v>
      </c>
      <c r="G178">
        <v>89012.272380450362</v>
      </c>
      <c r="H178">
        <v>92205.769863604888</v>
      </c>
      <c r="I178">
        <v>95109.820160572897</v>
      </c>
      <c r="J178">
        <v>94364.964175433561</v>
      </c>
      <c r="K178">
        <v>94803.670493164129</v>
      </c>
      <c r="L178">
        <v>95173.430822436683</v>
      </c>
    </row>
    <row r="179" spans="1:12" x14ac:dyDescent="0.2">
      <c r="A179" t="s">
        <v>712</v>
      </c>
      <c r="B179" t="s">
        <v>711</v>
      </c>
      <c r="C179">
        <v>3743.7445783577969</v>
      </c>
      <c r="D179">
        <v>4071.7043175579788</v>
      </c>
      <c r="E179">
        <v>4371.3857177189666</v>
      </c>
      <c r="F179">
        <v>4607.5245471711241</v>
      </c>
      <c r="G179">
        <v>4412.5420439395002</v>
      </c>
      <c r="H179">
        <v>4546.2297000628923</v>
      </c>
      <c r="I179">
        <v>4763.387510739456</v>
      </c>
      <c r="J179">
        <v>4861.2303037970023</v>
      </c>
      <c r="K179">
        <v>5047.424490227022</v>
      </c>
      <c r="L179">
        <v>5276.9238772553817</v>
      </c>
    </row>
    <row r="180" spans="1:12" x14ac:dyDescent="0.2">
      <c r="A180" t="s">
        <v>714</v>
      </c>
      <c r="B180" t="s">
        <v>713</v>
      </c>
      <c r="C180">
        <v>11531.363007866528</v>
      </c>
      <c r="D180">
        <v>10633.276640601807</v>
      </c>
      <c r="E180">
        <v>10402.613101919718</v>
      </c>
      <c r="F180">
        <v>11184.528492720638</v>
      </c>
      <c r="G180">
        <v>11306.020772999866</v>
      </c>
      <c r="H180">
        <v>12113.787764493978</v>
      </c>
      <c r="I180">
        <v>12019.349286879076</v>
      </c>
      <c r="J180">
        <v>11858.518469643597</v>
      </c>
      <c r="K180">
        <v>11957.878550422887</v>
      </c>
      <c r="L180">
        <v>12134.892088501278</v>
      </c>
    </row>
    <row r="181" spans="1:12" x14ac:dyDescent="0.2">
      <c r="A181" t="s">
        <v>283</v>
      </c>
      <c r="B181" t="s">
        <v>281</v>
      </c>
      <c r="C181">
        <v>45746.135981068983</v>
      </c>
      <c r="D181">
        <v>46285.981098064221</v>
      </c>
      <c r="E181">
        <v>46974.681840048186</v>
      </c>
      <c r="F181">
        <v>47392.193313517208</v>
      </c>
      <c r="G181">
        <v>46326.380467297589</v>
      </c>
      <c r="H181">
        <v>48202.091336823345</v>
      </c>
      <c r="I181">
        <v>49842.984533416151</v>
      </c>
      <c r="J181">
        <v>49592.587551209806</v>
      </c>
      <c r="K181">
        <v>48325.365098568436</v>
      </c>
      <c r="L181">
        <v>48232.665199469586</v>
      </c>
    </row>
    <row r="182" spans="1:12" x14ac:dyDescent="0.2">
      <c r="A182" t="s">
        <v>716</v>
      </c>
      <c r="B182" t="s">
        <v>715</v>
      </c>
      <c r="C182">
        <v>47990.22031584564</v>
      </c>
      <c r="D182">
        <v>49000.245034125728</v>
      </c>
      <c r="E182">
        <v>49885.22968156034</v>
      </c>
      <c r="F182">
        <v>50499.182863403832</v>
      </c>
      <c r="G182">
        <v>48279.857874301641</v>
      </c>
      <c r="H182">
        <v>51208.833643048572</v>
      </c>
      <c r="I182">
        <v>52633.51585729183</v>
      </c>
      <c r="J182">
        <v>53203.820353313742</v>
      </c>
      <c r="K182">
        <v>53798.059944381937</v>
      </c>
      <c r="L182">
        <v>54545.763525864531</v>
      </c>
    </row>
    <row r="183" spans="1:12" x14ac:dyDescent="0.2">
      <c r="A183" t="s">
        <v>718</v>
      </c>
      <c r="B183" t="s">
        <v>717</v>
      </c>
      <c r="C183">
        <v>39860.98939096884</v>
      </c>
      <c r="D183">
        <v>38691.107710509663</v>
      </c>
      <c r="E183">
        <v>38673.604536085651</v>
      </c>
      <c r="F183">
        <v>38292.385968275223</v>
      </c>
      <c r="G183">
        <v>37560.599871495324</v>
      </c>
      <c r="H183">
        <v>38719.45876820488</v>
      </c>
      <c r="I183">
        <v>39780.212277498496</v>
      </c>
      <c r="J183">
        <v>37793.616395751538</v>
      </c>
      <c r="K183">
        <v>36721.080454837371</v>
      </c>
      <c r="L183">
        <v>36142.943979719385</v>
      </c>
    </row>
    <row r="184" spans="1:12" x14ac:dyDescent="0.2">
      <c r="A184" t="s">
        <v>720</v>
      </c>
      <c r="B184" t="s">
        <v>719</v>
      </c>
      <c r="C184">
        <v>21627.686162106947</v>
      </c>
      <c r="D184">
        <v>22394.789988950797</v>
      </c>
      <c r="E184">
        <v>23016.122559373132</v>
      </c>
      <c r="F184">
        <v>23776.977392969631</v>
      </c>
      <c r="G184">
        <v>22204.358146968047</v>
      </c>
      <c r="H184">
        <v>23632.40525695719</v>
      </c>
      <c r="I184">
        <v>24168.787671214584</v>
      </c>
      <c r="J184">
        <v>24612.887028686237</v>
      </c>
      <c r="K184">
        <v>25138.856335008513</v>
      </c>
      <c r="L184">
        <v>25689.433845600946</v>
      </c>
    </row>
    <row r="185" spans="1:12" x14ac:dyDescent="0.2">
      <c r="A185" t="s">
        <v>722</v>
      </c>
      <c r="B185" t="s">
        <v>721</v>
      </c>
      <c r="C185">
        <v>4886.6121211537811</v>
      </c>
      <c r="D185">
        <v>5031.5606073843346</v>
      </c>
      <c r="E185">
        <v>5255.0635068127203</v>
      </c>
      <c r="F185">
        <v>5295.9529513820344</v>
      </c>
      <c r="G185">
        <v>5135.014592888394</v>
      </c>
      <c r="H185">
        <v>5367.273647147621</v>
      </c>
      <c r="I185">
        <v>5526.2792831021306</v>
      </c>
      <c r="J185">
        <v>5418.7693189297042</v>
      </c>
      <c r="K185">
        <v>5502.0736120185993</v>
      </c>
      <c r="L185">
        <v>5617.2507802845803</v>
      </c>
    </row>
    <row r="186" spans="1:12" x14ac:dyDescent="0.2">
      <c r="A186" t="s">
        <v>724</v>
      </c>
      <c r="B186" t="s">
        <v>723</v>
      </c>
      <c r="C186">
        <v>30765.249065350625</v>
      </c>
      <c r="D186">
        <v>31979.824643774842</v>
      </c>
      <c r="E186">
        <v>32681.472988633072</v>
      </c>
      <c r="F186">
        <v>33163.717281485697</v>
      </c>
      <c r="G186">
        <v>26881.827722168939</v>
      </c>
      <c r="H186">
        <v>30932.762778051412</v>
      </c>
      <c r="I186">
        <v>33915.169330630932</v>
      </c>
      <c r="J186">
        <v>35872.971920006879</v>
      </c>
      <c r="K186">
        <v>36394.923536631642</v>
      </c>
      <c r="L186">
        <v>37516.179642854848</v>
      </c>
    </row>
    <row r="187" spans="1:12" x14ac:dyDescent="0.2">
      <c r="A187" t="s">
        <v>726</v>
      </c>
      <c r="B187" t="s">
        <v>725</v>
      </c>
      <c r="C187">
        <v>14915.436632445362</v>
      </c>
      <c r="D187">
        <v>15067.489279382038</v>
      </c>
      <c r="E187">
        <v>15384.184608242304</v>
      </c>
      <c r="F187">
        <v>15461.457258546636</v>
      </c>
      <c r="G187">
        <v>13607.764070582782</v>
      </c>
      <c r="H187">
        <v>15285.770685239548</v>
      </c>
      <c r="I187">
        <v>15566.524261256262</v>
      </c>
      <c r="J187">
        <v>15342.274135964233</v>
      </c>
      <c r="K187">
        <v>15708.83294409633</v>
      </c>
      <c r="L187">
        <v>16079.124739484347</v>
      </c>
    </row>
    <row r="188" spans="1:12" x14ac:dyDescent="0.2">
      <c r="A188" t="s">
        <v>728</v>
      </c>
      <c r="B188" t="s">
        <v>727</v>
      </c>
      <c r="C188">
        <v>8131.825379486535</v>
      </c>
      <c r="D188">
        <v>8584.1362270969948</v>
      </c>
      <c r="E188">
        <v>9016.2865963760833</v>
      </c>
      <c r="F188">
        <v>9452.2939715980956</v>
      </c>
      <c r="G188">
        <v>8455.1845713410639</v>
      </c>
      <c r="H188">
        <v>8857.7899511551386</v>
      </c>
      <c r="I188">
        <v>9457.1039540288311</v>
      </c>
      <c r="J188">
        <v>9898.5329458810647</v>
      </c>
      <c r="K188">
        <v>10378.171770353518</v>
      </c>
      <c r="L188">
        <v>10747.545440860074</v>
      </c>
    </row>
    <row r="189" spans="1:12" x14ac:dyDescent="0.2">
      <c r="A189" t="s">
        <v>730</v>
      </c>
      <c r="B189" t="s">
        <v>729</v>
      </c>
      <c r="C189">
        <v>20408.261326972304</v>
      </c>
      <c r="D189">
        <v>19693.408237938227</v>
      </c>
      <c r="E189">
        <v>19608.961702782159</v>
      </c>
      <c r="F189">
        <v>19685.603798927266</v>
      </c>
      <c r="G189">
        <v>18509.249185591321</v>
      </c>
      <c r="H189">
        <v>16312.19022001299</v>
      </c>
      <c r="I189">
        <v>16258.627129291161</v>
      </c>
      <c r="J189">
        <v>16487.153754269973</v>
      </c>
      <c r="K189">
        <v>18499.992192128095</v>
      </c>
      <c r="L189">
        <v>19698.594703221272</v>
      </c>
    </row>
    <row r="190" spans="1:12" x14ac:dyDescent="0.2">
      <c r="A190" t="s">
        <v>732</v>
      </c>
      <c r="B190" t="s">
        <v>731</v>
      </c>
      <c r="C190">
        <v>4276.2964326316433</v>
      </c>
      <c r="D190">
        <v>4322.7766220099829</v>
      </c>
      <c r="E190">
        <v>4211.685043103269</v>
      </c>
      <c r="F190">
        <v>4302.1625523000212</v>
      </c>
      <c r="G190">
        <v>4078.1537835856552</v>
      </c>
      <c r="H190">
        <v>3977.4429736074858</v>
      </c>
      <c r="I190">
        <v>4126.0303214540318</v>
      </c>
      <c r="J190">
        <v>4206.3783469136679</v>
      </c>
      <c r="K190">
        <v>4292.7120543001283</v>
      </c>
      <c r="L190">
        <v>4456.231059621181</v>
      </c>
    </row>
    <row r="191" spans="1:12" x14ac:dyDescent="0.2">
      <c r="A191" t="s">
        <v>158</v>
      </c>
      <c r="B191" t="s">
        <v>156</v>
      </c>
      <c r="C191">
        <v>32675.305225995377</v>
      </c>
      <c r="D191">
        <v>34354.59876163194</v>
      </c>
      <c r="E191">
        <v>36500.411428258412</v>
      </c>
      <c r="F191">
        <v>38181.623033468873</v>
      </c>
      <c r="G191">
        <v>37852.802131363875</v>
      </c>
      <c r="H191">
        <v>41059.584782968202</v>
      </c>
      <c r="I191">
        <v>43405.021579744105</v>
      </c>
      <c r="J191">
        <v>43672.766801494647</v>
      </c>
      <c r="K191">
        <v>45153.04397732806</v>
      </c>
      <c r="L191">
        <v>46924.58878974773</v>
      </c>
    </row>
    <row r="192" spans="1:12" x14ac:dyDescent="0.2">
      <c r="A192" t="s">
        <v>734</v>
      </c>
      <c r="B192" t="s">
        <v>733</v>
      </c>
      <c r="C192">
        <v>4937.9868786651259</v>
      </c>
      <c r="D192">
        <v>4883.5188820216881</v>
      </c>
      <c r="E192">
        <v>4877.525261988224</v>
      </c>
      <c r="F192">
        <v>4894.8691066517895</v>
      </c>
      <c r="G192">
        <v>4560.447746667629</v>
      </c>
      <c r="H192">
        <v>4534.6781725559413</v>
      </c>
      <c r="I192">
        <v>4622.8466215436174</v>
      </c>
      <c r="J192">
        <v>4616.904500890907</v>
      </c>
      <c r="K192">
        <v>4654.296447064823</v>
      </c>
      <c r="L192">
        <v>4703.9090540438556</v>
      </c>
    </row>
    <row r="193" spans="1:12" x14ac:dyDescent="0.2">
      <c r="A193" t="s">
        <v>736</v>
      </c>
      <c r="B193" t="s">
        <v>735</v>
      </c>
      <c r="C193">
        <v>41858.262669846219</v>
      </c>
      <c r="D193">
        <v>41479.99777320338</v>
      </c>
      <c r="E193">
        <v>41119.308805164816</v>
      </c>
      <c r="F193">
        <v>41656.329158136941</v>
      </c>
      <c r="G193">
        <v>40171.374446173839</v>
      </c>
      <c r="H193">
        <v>40559.226188956985</v>
      </c>
      <c r="I193">
        <v>42310.81397257185</v>
      </c>
      <c r="J193">
        <v>42837.872737144957</v>
      </c>
      <c r="K193">
        <v>44216.433336713315</v>
      </c>
      <c r="L193">
        <v>44603.218055883022</v>
      </c>
    </row>
    <row r="194" spans="1:12" x14ac:dyDescent="0.2">
      <c r="A194" t="s">
        <v>738</v>
      </c>
      <c r="B194" t="s">
        <v>737</v>
      </c>
    </row>
    <row r="195" spans="1:12" x14ac:dyDescent="0.2">
      <c r="A195" t="s">
        <v>166</v>
      </c>
      <c r="B195" t="s">
        <v>164</v>
      </c>
      <c r="C195">
        <v>36636.297844163644</v>
      </c>
      <c r="D195">
        <v>37943.115050567692</v>
      </c>
      <c r="E195">
        <v>39123.615128257487</v>
      </c>
      <c r="F195">
        <v>40188.286879922307</v>
      </c>
      <c r="G195">
        <v>36852.228733810305</v>
      </c>
      <c r="H195">
        <v>38657.667722342863</v>
      </c>
      <c r="I195">
        <v>41070.861152974401</v>
      </c>
      <c r="J195">
        <v>41768.258309687371</v>
      </c>
      <c r="K195">
        <v>42228.158044650212</v>
      </c>
      <c r="L195">
        <v>42576.81396735445</v>
      </c>
    </row>
    <row r="196" spans="1:12" x14ac:dyDescent="0.2">
      <c r="A196" t="s">
        <v>740</v>
      </c>
      <c r="B196" t="s">
        <v>739</v>
      </c>
      <c r="C196">
        <v>14824.790628081171</v>
      </c>
      <c r="D196">
        <v>15318.401218727573</v>
      </c>
      <c r="E196">
        <v>15591.014266308453</v>
      </c>
      <c r="F196">
        <v>15319.388999122124</v>
      </c>
      <c r="G196">
        <v>14989.766713016181</v>
      </c>
      <c r="H196">
        <v>15400.944633242812</v>
      </c>
      <c r="I196">
        <v>15222.892022859845</v>
      </c>
      <c r="J196">
        <v>15831.584983130846</v>
      </c>
      <c r="K196">
        <v>16367.494016648136</v>
      </c>
      <c r="L196">
        <v>17245.845842311832</v>
      </c>
    </row>
    <row r="197" spans="1:12" x14ac:dyDescent="0.2">
      <c r="A197" t="s">
        <v>742</v>
      </c>
      <c r="B197" t="s">
        <v>741</v>
      </c>
      <c r="C197">
        <v>6464.1335253737134</v>
      </c>
      <c r="D197">
        <v>6426.7952161533458</v>
      </c>
      <c r="E197">
        <v>6342.937480085202</v>
      </c>
      <c r="F197">
        <v>6269.8913452798488</v>
      </c>
      <c r="G197">
        <v>5423.6825465312568</v>
      </c>
      <c r="H197">
        <v>5663.1216074358426</v>
      </c>
      <c r="I197">
        <v>5753.0839589930729</v>
      </c>
      <c r="J197">
        <v>5562.4244256395305</v>
      </c>
      <c r="K197">
        <v>4190.9091133362617</v>
      </c>
      <c r="L197">
        <v>4272.4576207701939</v>
      </c>
    </row>
    <row r="198" spans="1:12" x14ac:dyDescent="0.2">
      <c r="A198" t="s">
        <v>744</v>
      </c>
      <c r="B198" t="s">
        <v>743</v>
      </c>
      <c r="C198">
        <v>7044.7106447416845</v>
      </c>
      <c r="D198">
        <v>7249.2025255911576</v>
      </c>
      <c r="E198">
        <v>7370.2616389089108</v>
      </c>
      <c r="F198">
        <v>7345.5819620599304</v>
      </c>
      <c r="G198">
        <v>6398.889803787888</v>
      </c>
      <c r="H198">
        <v>6133.2733766287811</v>
      </c>
      <c r="I198">
        <v>6703.9905422277061</v>
      </c>
      <c r="J198">
        <v>7145.2041962383119</v>
      </c>
      <c r="K198">
        <v>7314.4164717834756</v>
      </c>
      <c r="L198">
        <v>7464.7579044564209</v>
      </c>
    </row>
    <row r="199" spans="1:12" x14ac:dyDescent="0.2">
      <c r="A199" t="s">
        <v>746</v>
      </c>
      <c r="B199" t="s">
        <v>745</v>
      </c>
      <c r="C199">
        <v>52980.667169255707</v>
      </c>
      <c r="D199">
        <v>54108.24078671779</v>
      </c>
      <c r="E199">
        <v>55143.3332401636</v>
      </c>
      <c r="F199">
        <v>55954.605696472623</v>
      </c>
      <c r="G199">
        <v>53484.386473394996</v>
      </c>
      <c r="H199">
        <v>56629.442865439865</v>
      </c>
      <c r="I199">
        <v>58044.495390355063</v>
      </c>
      <c r="J199">
        <v>58864.507314358605</v>
      </c>
      <c r="K199">
        <v>59533.894561119727</v>
      </c>
      <c r="L199">
        <v>60280.289255030075</v>
      </c>
    </row>
    <row r="200" spans="1:12" x14ac:dyDescent="0.2">
      <c r="A200" t="s">
        <v>748</v>
      </c>
      <c r="B200" t="s">
        <v>747</v>
      </c>
    </row>
    <row r="201" spans="1:12" x14ac:dyDescent="0.2">
      <c r="A201" t="s">
        <v>299</v>
      </c>
      <c r="B201" t="s">
        <v>297</v>
      </c>
      <c r="C201">
        <v>120054.40873651773</v>
      </c>
      <c r="D201">
        <v>115064.94366285289</v>
      </c>
      <c r="E201">
        <v>114909.94548512687</v>
      </c>
      <c r="F201">
        <v>113160.97377933396</v>
      </c>
      <c r="G201">
        <v>103061.91342250239</v>
      </c>
      <c r="H201">
        <v>116832.57029409787</v>
      </c>
      <c r="I201">
        <v>114740.12361423005</v>
      </c>
      <c r="J201">
        <v>116159.14256408774</v>
      </c>
      <c r="K201">
        <v>111314.25035589114</v>
      </c>
      <c r="L201">
        <v>110135.69629769235</v>
      </c>
    </row>
    <row r="202" spans="1:12" x14ac:dyDescent="0.2">
      <c r="A202" t="s">
        <v>174</v>
      </c>
      <c r="B202" t="s">
        <v>172</v>
      </c>
      <c r="C202">
        <v>30189.147723023973</v>
      </c>
      <c r="D202">
        <v>32852.635567225465</v>
      </c>
      <c r="E202">
        <v>34828.895863788384</v>
      </c>
      <c r="F202">
        <v>36399.474608079297</v>
      </c>
      <c r="G202">
        <v>35283.606035824057</v>
      </c>
      <c r="H202">
        <v>37534.000264354872</v>
      </c>
      <c r="I202">
        <v>39256.826085497712</v>
      </c>
      <c r="J202">
        <v>40116.689141690411</v>
      </c>
      <c r="K202">
        <v>40503.832325378884</v>
      </c>
      <c r="L202">
        <v>40845.984344011318</v>
      </c>
    </row>
    <row r="203" spans="1:12" x14ac:dyDescent="0.2">
      <c r="A203" t="s">
        <v>257</v>
      </c>
      <c r="B203" t="s">
        <v>255</v>
      </c>
      <c r="C203">
        <v>35005.4453125</v>
      </c>
      <c r="D203">
        <v>35570.703125</v>
      </c>
      <c r="E203">
        <v>36536.6953125</v>
      </c>
      <c r="F203">
        <v>37319.3203125</v>
      </c>
      <c r="G203">
        <v>36376.3359375</v>
      </c>
      <c r="H203">
        <v>38638.4296875</v>
      </c>
      <c r="I203">
        <v>38214.69140625</v>
      </c>
      <c r="J203">
        <v>39881.44921875</v>
      </c>
      <c r="K203">
        <v>41891.171875</v>
      </c>
      <c r="L203">
        <v>42357.98828125</v>
      </c>
    </row>
    <row r="204" spans="1:12" x14ac:dyDescent="0.2">
      <c r="A204" t="s">
        <v>750</v>
      </c>
      <c r="B204" t="s">
        <v>749</v>
      </c>
      <c r="C204">
        <v>2386.7484100282554</v>
      </c>
      <c r="D204">
        <v>2441.0854081650859</v>
      </c>
      <c r="E204">
        <v>2577.6973036607501</v>
      </c>
      <c r="F204">
        <v>2753.539598108564</v>
      </c>
      <c r="G204">
        <v>2617.7070603436364</v>
      </c>
      <c r="H204">
        <v>2776.3927638792316</v>
      </c>
      <c r="I204">
        <v>2983.1077400730433</v>
      </c>
      <c r="J204">
        <v>3168.0307528151538</v>
      </c>
      <c r="K204">
        <v>3325.0076968381459</v>
      </c>
      <c r="L204">
        <v>3558.6800375380835</v>
      </c>
    </row>
    <row r="205" spans="1:12" x14ac:dyDescent="0.2">
      <c r="A205" t="s">
        <v>752</v>
      </c>
      <c r="B205" t="s">
        <v>751</v>
      </c>
      <c r="C205">
        <v>6681.4460157568355</v>
      </c>
      <c r="D205">
        <v>7055.8346951219846</v>
      </c>
      <c r="E205">
        <v>7430.4638428757116</v>
      </c>
      <c r="F205">
        <v>7660.4189901130558</v>
      </c>
      <c r="G205">
        <v>7215.2073619188805</v>
      </c>
      <c r="H205">
        <v>7815.2127844287061</v>
      </c>
      <c r="I205">
        <v>8308.3801418184557</v>
      </c>
      <c r="J205">
        <v>8796.7294206367587</v>
      </c>
      <c r="K205">
        <v>9307.0675250841268</v>
      </c>
      <c r="L205">
        <v>9880.3562481906411</v>
      </c>
    </row>
    <row r="206" spans="1:12" x14ac:dyDescent="0.2">
      <c r="A206" t="s">
        <v>754</v>
      </c>
      <c r="B206" t="s">
        <v>753</v>
      </c>
      <c r="C206">
        <v>57308.448412749705</v>
      </c>
      <c r="D206">
        <v>57942.548498304415</v>
      </c>
      <c r="E206">
        <v>61359.465374038773</v>
      </c>
      <c r="F206">
        <v>62647.729948784225</v>
      </c>
      <c r="G206">
        <v>57420.733573642363</v>
      </c>
      <c r="H206">
        <v>62690.496664592858</v>
      </c>
      <c r="I206">
        <v>67178.590227490626</v>
      </c>
      <c r="J206">
        <v>64481.844192728786</v>
      </c>
      <c r="K206">
        <v>63194.433252883231</v>
      </c>
      <c r="L206">
        <v>63051.046725798646</v>
      </c>
    </row>
    <row r="207" spans="1:12" x14ac:dyDescent="0.2">
      <c r="A207" t="s">
        <v>756</v>
      </c>
      <c r="B207" t="s">
        <v>755</v>
      </c>
      <c r="C207">
        <v>4174.56103515625</v>
      </c>
      <c r="D207">
        <v>4061.01831054688</v>
      </c>
      <c r="E207">
        <v>3816.65991210938</v>
      </c>
      <c r="F207">
        <v>3625.52319335938</v>
      </c>
      <c r="G207">
        <v>3401.24975585938</v>
      </c>
      <c r="H207">
        <v>3248.9755859375</v>
      </c>
      <c r="I207">
        <v>3132.0771484375</v>
      </c>
      <c r="J207">
        <v>2181.0791015625</v>
      </c>
      <c r="K207">
        <v>1861.39794921875</v>
      </c>
      <c r="L207">
        <v>1873.38562011719</v>
      </c>
    </row>
    <row r="208" spans="1:12" x14ac:dyDescent="0.2">
      <c r="A208" t="s">
        <v>758</v>
      </c>
      <c r="B208" t="s">
        <v>757</v>
      </c>
      <c r="C208">
        <v>3710.0553159155884</v>
      </c>
      <c r="D208">
        <v>3871.4514678637402</v>
      </c>
      <c r="E208">
        <v>3998.2863530386721</v>
      </c>
      <c r="F208">
        <v>4070.6122705955004</v>
      </c>
      <c r="G208">
        <v>4018.0412927904413</v>
      </c>
      <c r="H208">
        <v>4173.6774139961663</v>
      </c>
      <c r="I208">
        <v>4228.733826436619</v>
      </c>
      <c r="J208">
        <v>4304.7614872177328</v>
      </c>
      <c r="K208">
        <v>4477.8173683625846</v>
      </c>
      <c r="L208">
        <v>4668.5416765872587</v>
      </c>
    </row>
    <row r="209" spans="1:12" x14ac:dyDescent="0.2">
      <c r="A209" t="s">
        <v>760</v>
      </c>
      <c r="B209" t="s">
        <v>759</v>
      </c>
      <c r="C209">
        <v>112719.94795111142</v>
      </c>
      <c r="D209">
        <v>117492.9679945258</v>
      </c>
      <c r="E209">
        <v>120668.88872615836</v>
      </c>
      <c r="F209">
        <v>120678.34197855699</v>
      </c>
      <c r="G209">
        <v>116684.21359657156</v>
      </c>
      <c r="H209">
        <v>133990.18678210382</v>
      </c>
      <c r="I209">
        <v>134828.00139261369</v>
      </c>
      <c r="J209">
        <v>130296.84378926073</v>
      </c>
      <c r="K209">
        <v>134548.76413848196</v>
      </c>
      <c r="L209">
        <v>139592.61221076077</v>
      </c>
    </row>
    <row r="210" spans="1:12" x14ac:dyDescent="0.2">
      <c r="A210" t="s">
        <v>762</v>
      </c>
      <c r="B210" t="s">
        <v>761</v>
      </c>
      <c r="C210">
        <v>2715.5815225265887</v>
      </c>
      <c r="D210">
        <v>2704.0098801555459</v>
      </c>
      <c r="E210">
        <v>2686.4631702798383</v>
      </c>
      <c r="F210">
        <v>2661.9577089358763</v>
      </c>
      <c r="G210">
        <v>2515.4636941330541</v>
      </c>
      <c r="H210">
        <v>2450.1839970955325</v>
      </c>
      <c r="I210">
        <v>2330.4016452340084</v>
      </c>
      <c r="J210">
        <v>2339.8746999234722</v>
      </c>
      <c r="K210">
        <v>2353.5496011118639</v>
      </c>
      <c r="L210">
        <v>2382.1314520674023</v>
      </c>
    </row>
    <row r="211" spans="1:12" x14ac:dyDescent="0.2">
      <c r="A211" t="s">
        <v>764</v>
      </c>
      <c r="B211" t="s">
        <v>763</v>
      </c>
      <c r="C211">
        <v>2732.2609391321498</v>
      </c>
      <c r="D211">
        <v>2753.4271976222167</v>
      </c>
      <c r="E211">
        <v>2767.3800329668766</v>
      </c>
      <c r="F211">
        <v>2852.662698299674</v>
      </c>
      <c r="G211">
        <v>2752.6261535566341</v>
      </c>
      <c r="H211">
        <v>2849.3886583900926</v>
      </c>
      <c r="I211">
        <v>2934.7332634038976</v>
      </c>
      <c r="J211">
        <v>3034.9460819250471</v>
      </c>
      <c r="K211">
        <v>3098.7629044667633</v>
      </c>
      <c r="L211">
        <v>3176.2368129299612</v>
      </c>
    </row>
    <row r="212" spans="1:12" x14ac:dyDescent="0.2">
      <c r="A212" t="s">
        <v>766</v>
      </c>
      <c r="B212" t="s">
        <v>765</v>
      </c>
      <c r="C212">
        <v>9863.7612121445309</v>
      </c>
      <c r="D212">
        <v>10064.793494260062</v>
      </c>
      <c r="E212">
        <v>10297.203612692012</v>
      </c>
      <c r="F212">
        <v>10543.938329131672</v>
      </c>
      <c r="G212">
        <v>9692.4493160579877</v>
      </c>
      <c r="H212">
        <v>10809.713399517961</v>
      </c>
      <c r="I212">
        <v>11085.616616955323</v>
      </c>
      <c r="J212">
        <v>11404.334226268531</v>
      </c>
      <c r="K212">
        <v>11647.023448012687</v>
      </c>
      <c r="L212">
        <v>12050.02826570204</v>
      </c>
    </row>
    <row r="213" spans="1:12" x14ac:dyDescent="0.2">
      <c r="A213" t="s">
        <v>768</v>
      </c>
      <c r="B213" t="s">
        <v>767</v>
      </c>
      <c r="C213">
        <v>60669.822894796642</v>
      </c>
      <c r="D213">
        <v>59524.56068272017</v>
      </c>
      <c r="E213">
        <v>59194.044407940033</v>
      </c>
      <c r="F213">
        <v>60171.050603392803</v>
      </c>
      <c r="G213">
        <v>55998.073462527827</v>
      </c>
      <c r="H213">
        <v>64745.132279590107</v>
      </c>
      <c r="I213">
        <v>70887.578056598169</v>
      </c>
      <c r="J213">
        <v>70951.791969071492</v>
      </c>
    </row>
    <row r="214" spans="1:12" x14ac:dyDescent="0.2">
      <c r="A214" t="s">
        <v>770</v>
      </c>
      <c r="B214" t="s">
        <v>769</v>
      </c>
      <c r="C214">
        <v>1384.1551741012354</v>
      </c>
      <c r="D214">
        <v>1527.6602907164763</v>
      </c>
      <c r="E214">
        <v>1504.979082034806</v>
      </c>
      <c r="F214">
        <v>1491.2949391840541</v>
      </c>
      <c r="G214">
        <v>1396.0554467497757</v>
      </c>
      <c r="H214">
        <v>1392.3178205337053</v>
      </c>
      <c r="I214">
        <v>1387.5475373219112</v>
      </c>
      <c r="J214">
        <v>1401.6473522845545</v>
      </c>
      <c r="K214">
        <v>1409.3349223328275</v>
      </c>
      <c r="L214">
        <v>1403.8138906446641</v>
      </c>
    </row>
    <row r="215" spans="1:12" x14ac:dyDescent="0.2">
      <c r="A215" t="s">
        <v>772</v>
      </c>
      <c r="B215" t="s">
        <v>771</v>
      </c>
      <c r="C215">
        <v>18889.381641554832</v>
      </c>
      <c r="D215">
        <v>19438.991712977626</v>
      </c>
      <c r="E215">
        <v>20454.225884367035</v>
      </c>
      <c r="F215">
        <v>21541.126403718445</v>
      </c>
      <c r="G215">
        <v>21479.078855334676</v>
      </c>
      <c r="H215">
        <v>23406.306565711737</v>
      </c>
      <c r="I215">
        <v>24651.847818352915</v>
      </c>
      <c r="J215">
        <v>25735.133477419517</v>
      </c>
      <c r="K215">
        <v>26900.741534064633</v>
      </c>
      <c r="L215">
        <v>27603.391630928716</v>
      </c>
    </row>
    <row r="216" spans="1:12" x14ac:dyDescent="0.2">
      <c r="A216" t="s">
        <v>774</v>
      </c>
      <c r="B216" t="s">
        <v>773</v>
      </c>
      <c r="C216">
        <v>4954.3486184636886</v>
      </c>
      <c r="D216">
        <v>4950.9087329326976</v>
      </c>
      <c r="E216">
        <v>4960.7841592740142</v>
      </c>
      <c r="F216">
        <v>4960.0399122174267</v>
      </c>
      <c r="G216">
        <v>4675.7913272743072</v>
      </c>
      <c r="H216">
        <v>4718.4003193993549</v>
      </c>
      <c r="I216">
        <v>4793.0608556033339</v>
      </c>
      <c r="J216">
        <v>4807.2172371309152</v>
      </c>
      <c r="K216">
        <v>4870.6262991830426</v>
      </c>
      <c r="L216">
        <v>4960.9992554411301</v>
      </c>
    </row>
    <row r="217" spans="1:12" x14ac:dyDescent="0.2">
      <c r="A217" t="s">
        <v>776</v>
      </c>
      <c r="B217" t="s">
        <v>775</v>
      </c>
    </row>
    <row r="218" spans="1:12" x14ac:dyDescent="0.2">
      <c r="A218" t="s">
        <v>778</v>
      </c>
      <c r="B218" t="s">
        <v>777</v>
      </c>
      <c r="C218">
        <v>4956.5848680732588</v>
      </c>
      <c r="D218">
        <v>4953.2648572016014</v>
      </c>
      <c r="E218">
        <v>4963.2088249255094</v>
      </c>
      <c r="F218">
        <v>4962.5529068223659</v>
      </c>
      <c r="G218">
        <v>4677.9221976892768</v>
      </c>
      <c r="H218">
        <v>4720.4840780867517</v>
      </c>
      <c r="I218">
        <v>4795.2471562459887</v>
      </c>
      <c r="J218">
        <v>4809.4842282472464</v>
      </c>
      <c r="K218">
        <v>4872.91556737875</v>
      </c>
      <c r="L218">
        <v>4963.3760177896029</v>
      </c>
    </row>
    <row r="219" spans="1:12" x14ac:dyDescent="0.2">
      <c r="A219" t="s">
        <v>780</v>
      </c>
      <c r="B219" t="s">
        <v>779</v>
      </c>
      <c r="C219">
        <v>20323.029217536496</v>
      </c>
      <c r="D219">
        <v>20732.838495046079</v>
      </c>
      <c r="E219">
        <v>21165.137091277651</v>
      </c>
      <c r="F219">
        <v>21662.77397956614</v>
      </c>
      <c r="G219">
        <v>20101.650308545402</v>
      </c>
      <c r="H219">
        <v>21262.594821868206</v>
      </c>
      <c r="I219">
        <v>22478.884533169716</v>
      </c>
      <c r="J219">
        <v>23393.346679663246</v>
      </c>
      <c r="K219">
        <v>24725.389582177613</v>
      </c>
      <c r="L219">
        <v>25668.705411756699</v>
      </c>
    </row>
    <row r="220" spans="1:12" x14ac:dyDescent="0.2">
      <c r="A220" t="s">
        <v>782</v>
      </c>
      <c r="B220" t="s">
        <v>781</v>
      </c>
      <c r="C220">
        <v>5388.5091334890976</v>
      </c>
      <c r="D220">
        <v>5521.2024959741284</v>
      </c>
      <c r="E220">
        <v>5674.7237909401128</v>
      </c>
      <c r="F220">
        <v>5702.0834707123613</v>
      </c>
      <c r="G220">
        <v>5742.9472485882607</v>
      </c>
      <c r="H220">
        <v>5732.6945606153558</v>
      </c>
      <c r="I220">
        <v>5632.1389071504727</v>
      </c>
      <c r="J220">
        <v>5541.3016760534974</v>
      </c>
      <c r="K220">
        <v>5511.8778546975163</v>
      </c>
      <c r="L220">
        <v>5459.2131176633466</v>
      </c>
    </row>
    <row r="221" spans="1:12" x14ac:dyDescent="0.2">
      <c r="A221" t="s">
        <v>784</v>
      </c>
      <c r="B221" t="s">
        <v>783</v>
      </c>
      <c r="C221">
        <v>21950.412214862521</v>
      </c>
      <c r="D221">
        <v>22070.513757083536</v>
      </c>
      <c r="E221">
        <v>22938.535371554521</v>
      </c>
      <c r="F221">
        <v>22966.740599912449</v>
      </c>
      <c r="G221">
        <v>19091.361718422617</v>
      </c>
      <c r="H221">
        <v>18458.234999681041</v>
      </c>
      <c r="I221">
        <v>18742.587376036852</v>
      </c>
      <c r="J221">
        <v>19020.866375100912</v>
      </c>
      <c r="K221">
        <v>19179.101839105962</v>
      </c>
      <c r="L221">
        <v>19357.390796931806</v>
      </c>
    </row>
    <row r="222" spans="1:12" x14ac:dyDescent="0.2">
      <c r="A222" t="s">
        <v>241</v>
      </c>
      <c r="B222" t="s">
        <v>785</v>
      </c>
      <c r="C222">
        <v>34116.450203927299</v>
      </c>
      <c r="D222">
        <v>35042.785892561842</v>
      </c>
      <c r="E222">
        <v>36415.792052950746</v>
      </c>
      <c r="F222">
        <v>37194.210454869797</v>
      </c>
      <c r="G222">
        <v>36201.486380553295</v>
      </c>
      <c r="H222">
        <v>38330.302743446962</v>
      </c>
      <c r="I222">
        <v>38648.985574691884</v>
      </c>
      <c r="J222">
        <v>39501.947423196158</v>
      </c>
      <c r="K222">
        <v>40302.451428842447</v>
      </c>
      <c r="L222">
        <v>40689.817955742656</v>
      </c>
    </row>
    <row r="223" spans="1:12" x14ac:dyDescent="0.2">
      <c r="A223" t="s">
        <v>229</v>
      </c>
      <c r="B223" t="s">
        <v>227</v>
      </c>
      <c r="C223">
        <v>39674.893156196777</v>
      </c>
      <c r="D223">
        <v>41700.651085028039</v>
      </c>
      <c r="E223">
        <v>43369.221946980986</v>
      </c>
      <c r="F223">
        <v>44577.941858306949</v>
      </c>
      <c r="G223">
        <v>42471.522803127664</v>
      </c>
      <c r="H223">
        <v>45922.663260013418</v>
      </c>
      <c r="I223">
        <v>47058.886596002812</v>
      </c>
      <c r="J223">
        <v>47986.419585582138</v>
      </c>
      <c r="K223">
        <v>48658.026518026731</v>
      </c>
      <c r="L223">
        <v>49091.01844059016</v>
      </c>
    </row>
    <row r="224" spans="1:12" x14ac:dyDescent="0.2">
      <c r="A224" t="s">
        <v>190</v>
      </c>
      <c r="B224" t="s">
        <v>189</v>
      </c>
      <c r="C224">
        <v>59460.287272268928</v>
      </c>
      <c r="D224">
        <v>59769.013623699961</v>
      </c>
      <c r="E224">
        <v>60124.571199417893</v>
      </c>
      <c r="F224">
        <v>61070.524344583799</v>
      </c>
      <c r="G224">
        <v>59458.280529196934</v>
      </c>
      <c r="H224">
        <v>62190.852698382521</v>
      </c>
      <c r="I224">
        <v>62544.500224864409</v>
      </c>
      <c r="J224">
        <v>62122.5116950792</v>
      </c>
      <c r="K224">
        <v>62558.406587604055</v>
      </c>
      <c r="L224">
        <v>63362.461280807896</v>
      </c>
    </row>
    <row r="225" spans="1:12" x14ac:dyDescent="0.2">
      <c r="A225" t="s">
        <v>787</v>
      </c>
      <c r="B225" t="s">
        <v>786</v>
      </c>
      <c r="C225">
        <v>9402.5083410368061</v>
      </c>
      <c r="D225">
        <v>9660.5516153808567</v>
      </c>
      <c r="E225">
        <v>9578.1006108980491</v>
      </c>
      <c r="F225">
        <v>10099.586311840596</v>
      </c>
      <c r="G225">
        <v>9695.824980587553</v>
      </c>
      <c r="H225">
        <v>9990.4349195120467</v>
      </c>
      <c r="I225">
        <v>9927.6056700813933</v>
      </c>
      <c r="J225">
        <v>10181.504073039659</v>
      </c>
      <c r="K225">
        <v>10386.214571757178</v>
      </c>
      <c r="L225">
        <v>10706.777804946763</v>
      </c>
    </row>
    <row r="226" spans="1:12" x14ac:dyDescent="0.2">
      <c r="A226" t="s">
        <v>789</v>
      </c>
      <c r="B226" t="s">
        <v>788</v>
      </c>
      <c r="C226">
        <v>50817.681494268072</v>
      </c>
      <c r="D226">
        <v>46088.358383915227</v>
      </c>
      <c r="E226">
        <v>42154.102026750421</v>
      </c>
      <c r="F226">
        <v>45996.791234692158</v>
      </c>
      <c r="G226">
        <v>39265.761679056828</v>
      </c>
      <c r="H226">
        <v>40507.067241171724</v>
      </c>
      <c r="I226">
        <v>45515.652843002586</v>
      </c>
      <c r="J226">
        <v>46571.08813424001</v>
      </c>
      <c r="K226">
        <v>47303.19464532772</v>
      </c>
      <c r="L226">
        <v>48273.425459615806</v>
      </c>
    </row>
    <row r="227" spans="1:12" x14ac:dyDescent="0.2">
      <c r="A227" t="s">
        <v>791</v>
      </c>
      <c r="B227" t="s">
        <v>790</v>
      </c>
      <c r="C227">
        <v>29905.134738995184</v>
      </c>
      <c r="D227">
        <v>31595.668057050523</v>
      </c>
      <c r="E227">
        <v>32841.424246738126</v>
      </c>
      <c r="F227">
        <v>34346.070892348289</v>
      </c>
      <c r="G227">
        <v>30056.199430096807</v>
      </c>
      <c r="H227">
        <v>29979.827268609057</v>
      </c>
      <c r="I227">
        <v>27275.688381980275</v>
      </c>
      <c r="J227">
        <v>28713.66723530876</v>
      </c>
      <c r="K227">
        <v>29288.019181519008</v>
      </c>
      <c r="L227">
        <v>30638.72171945226</v>
      </c>
    </row>
    <row r="228" spans="1:12" x14ac:dyDescent="0.2">
      <c r="A228" t="s">
        <v>793</v>
      </c>
      <c r="B228" t="s">
        <v>792</v>
      </c>
      <c r="C228">
        <v>5128.9182286229552</v>
      </c>
      <c r="D228">
        <v>5083.6517388842158</v>
      </c>
      <c r="E228">
        <v>5061.4939942456194</v>
      </c>
      <c r="F228">
        <v>4928.0288541202817</v>
      </c>
      <c r="G228">
        <v>4810.6107263259846</v>
      </c>
      <c r="H228">
        <v>4765.5291135770249</v>
      </c>
      <c r="I228">
        <v>4579.4397363334092</v>
      </c>
    </row>
    <row r="229" spans="1:12" x14ac:dyDescent="0.2">
      <c r="A229" t="s">
        <v>795</v>
      </c>
      <c r="B229" t="s">
        <v>794</v>
      </c>
      <c r="C229">
        <v>17625.720284351461</v>
      </c>
      <c r="D229">
        <v>29540.353747315083</v>
      </c>
      <c r="E229">
        <v>30286.119611215126</v>
      </c>
      <c r="F229">
        <v>30611.21302373811</v>
      </c>
      <c r="G229">
        <v>19702.536819685523</v>
      </c>
      <c r="H229">
        <v>25056.488051556884</v>
      </c>
      <c r="I229">
        <v>28209.624253607893</v>
      </c>
      <c r="J229">
        <v>31839.370538196948</v>
      </c>
      <c r="K229">
        <v>33390.526714805885</v>
      </c>
    </row>
    <row r="230" spans="1:12" x14ac:dyDescent="0.2">
      <c r="A230" t="s">
        <v>797</v>
      </c>
      <c r="B230" t="s">
        <v>796</v>
      </c>
      <c r="C230">
        <v>2622.5978084450098</v>
      </c>
      <c r="D230">
        <v>2496.2621364315787</v>
      </c>
      <c r="E230">
        <v>2552.3703638770698</v>
      </c>
      <c r="F230">
        <v>2604.5315366178907</v>
      </c>
      <c r="G230">
        <v>2513.0292272930474</v>
      </c>
      <c r="H230">
        <v>2435.0727465109867</v>
      </c>
      <c r="I230">
        <v>2449.4825105229634</v>
      </c>
      <c r="J230">
        <v>2433.5333096270738</v>
      </c>
      <c r="K230">
        <v>2430.7329835527089</v>
      </c>
      <c r="L230">
        <v>2480.5096250092388</v>
      </c>
    </row>
    <row r="231" spans="1:12" x14ac:dyDescent="0.2">
      <c r="A231" t="s">
        <v>799</v>
      </c>
      <c r="B231" t="s">
        <v>798</v>
      </c>
      <c r="C231">
        <v>14404.656964797974</v>
      </c>
      <c r="D231">
        <v>15229.716921393629</v>
      </c>
      <c r="E231">
        <v>16103.861891420416</v>
      </c>
      <c r="F231">
        <v>16941.947193789234</v>
      </c>
      <c r="G231">
        <v>17004.807253871331</v>
      </c>
      <c r="H231">
        <v>18167.400916146551</v>
      </c>
      <c r="I231">
        <v>18808.938341167119</v>
      </c>
      <c r="J231">
        <v>19743.111215111941</v>
      </c>
      <c r="K231">
        <v>20684.226565532652</v>
      </c>
      <c r="L231">
        <v>21676.793677297599</v>
      </c>
    </row>
    <row r="232" spans="1:12" x14ac:dyDescent="0.2">
      <c r="A232" t="s">
        <v>801</v>
      </c>
      <c r="B232" t="s">
        <v>800</v>
      </c>
      <c r="C232">
        <v>26118.777373652189</v>
      </c>
      <c r="D232">
        <v>27008.550654417872</v>
      </c>
      <c r="E232">
        <v>27881.026251033309</v>
      </c>
      <c r="F232">
        <v>28540.738704799573</v>
      </c>
      <c r="G232">
        <v>27962.523776320904</v>
      </c>
      <c r="H232">
        <v>29918.465071814302</v>
      </c>
      <c r="I232">
        <v>30179.78709024423</v>
      </c>
      <c r="J232">
        <v>31509.906105556805</v>
      </c>
      <c r="K232">
        <v>32713.015269870666</v>
      </c>
      <c r="L232">
        <v>33366.189068553402</v>
      </c>
    </row>
    <row r="233" spans="1:12" x14ac:dyDescent="0.2">
      <c r="A233" t="s">
        <v>803</v>
      </c>
      <c r="B233" t="s">
        <v>802</v>
      </c>
      <c r="C233">
        <v>2648.9008483507628</v>
      </c>
      <c r="D233">
        <v>2708.6112239684639</v>
      </c>
      <c r="E233">
        <v>2787.5639840975896</v>
      </c>
      <c r="F233">
        <v>2862.6266116033139</v>
      </c>
      <c r="G233">
        <v>2861.2979624051295</v>
      </c>
      <c r="H233">
        <v>2952.0973006698491</v>
      </c>
      <c r="I233">
        <v>3086.4087874233428</v>
      </c>
      <c r="J233">
        <v>3215.8230002248797</v>
      </c>
      <c r="K233">
        <v>3351.2499311193878</v>
      </c>
      <c r="L233">
        <v>3485.9818451207384</v>
      </c>
    </row>
    <row r="234" spans="1:12" x14ac:dyDescent="0.2">
      <c r="A234" t="s">
        <v>805</v>
      </c>
      <c r="B234" t="s">
        <v>804</v>
      </c>
      <c r="C234">
        <v>19372.712802410726</v>
      </c>
      <c r="D234">
        <v>20096.860545516436</v>
      </c>
      <c r="E234">
        <v>20882.170741957634</v>
      </c>
      <c r="F234">
        <v>21280.150451860092</v>
      </c>
      <c r="G234">
        <v>19950.284406314742</v>
      </c>
      <c r="H234">
        <v>20236.976040878446</v>
      </c>
      <c r="I234">
        <v>20768.480009357656</v>
      </c>
      <c r="J234">
        <v>21245.270677187928</v>
      </c>
      <c r="K234">
        <v>21882.214247483254</v>
      </c>
      <c r="L234">
        <v>22431.751838084761</v>
      </c>
    </row>
    <row r="235" spans="1:12" x14ac:dyDescent="0.2">
      <c r="A235" t="s">
        <v>807</v>
      </c>
      <c r="B235" t="s">
        <v>806</v>
      </c>
      <c r="C235">
        <v>3169.9667820523964</v>
      </c>
      <c r="D235">
        <v>3312.7120224350565</v>
      </c>
      <c r="E235">
        <v>3479.6923596604056</v>
      </c>
      <c r="F235">
        <v>3649.8837551864631</v>
      </c>
      <c r="G235">
        <v>3724.7489591465974</v>
      </c>
      <c r="H235">
        <v>3985.9124761121852</v>
      </c>
      <c r="I235">
        <v>4213.7561836268687</v>
      </c>
      <c r="J235">
        <v>4472.3241378777047</v>
      </c>
      <c r="K235">
        <v>4755.932967047187</v>
      </c>
      <c r="L235">
        <v>5061.8470062364886</v>
      </c>
    </row>
    <row r="236" spans="1:12" x14ac:dyDescent="0.2">
      <c r="A236" t="s">
        <v>809</v>
      </c>
      <c r="B236" t="s">
        <v>808</v>
      </c>
      <c r="C236">
        <v>13420.384971747111</v>
      </c>
      <c r="D236">
        <v>13963.404587729548</v>
      </c>
      <c r="E236">
        <v>14499.168437760627</v>
      </c>
      <c r="F236">
        <v>15080.903400769335</v>
      </c>
      <c r="G236">
        <v>15630.914519252932</v>
      </c>
      <c r="H236">
        <v>16259.870005188437</v>
      </c>
      <c r="I236">
        <v>16943.604603714073</v>
      </c>
      <c r="J236">
        <v>17685.858592928169</v>
      </c>
      <c r="K236">
        <v>18470.743845074405</v>
      </c>
      <c r="L236">
        <v>19313.943026202469</v>
      </c>
    </row>
    <row r="237" spans="1:12" x14ac:dyDescent="0.2">
      <c r="A237" t="s">
        <v>811</v>
      </c>
      <c r="B237" t="s">
        <v>810</v>
      </c>
      <c r="C237">
        <v>18455.880143313258</v>
      </c>
      <c r="D237">
        <v>18653.343310603581</v>
      </c>
      <c r="E237">
        <v>18808.060400197275</v>
      </c>
      <c r="F237">
        <v>18791.171482265665</v>
      </c>
      <c r="G237">
        <v>17418.680012511049</v>
      </c>
      <c r="H237">
        <v>18609.119031764487</v>
      </c>
      <c r="I237">
        <v>19259.412041102034</v>
      </c>
      <c r="J237">
        <v>19551.741198181069</v>
      </c>
      <c r="K237">
        <v>19845.125463095897</v>
      </c>
      <c r="L237">
        <v>20175.598289832276</v>
      </c>
    </row>
    <row r="238" spans="1:12" x14ac:dyDescent="0.2">
      <c r="A238" t="s">
        <v>813</v>
      </c>
      <c r="B238" t="s">
        <v>812</v>
      </c>
      <c r="C238">
        <v>4515.4224598939963</v>
      </c>
      <c r="D238">
        <v>4290.0270929656181</v>
      </c>
      <c r="E238">
        <v>4188.8409919133746</v>
      </c>
      <c r="F238">
        <v>5103.1496429220742</v>
      </c>
      <c r="G238">
        <v>6594.8817078451966</v>
      </c>
      <c r="H238">
        <v>6825.0458085995033</v>
      </c>
      <c r="I238">
        <v>5348.4918270135304</v>
      </c>
      <c r="J238">
        <v>4331.077925603865</v>
      </c>
      <c r="K238">
        <v>3890.9575465345279</v>
      </c>
      <c r="L238">
        <v>4109.9044785289034</v>
      </c>
    </row>
    <row r="239" spans="1:12" x14ac:dyDescent="0.2">
      <c r="A239" t="s">
        <v>815</v>
      </c>
      <c r="B239" t="s">
        <v>814</v>
      </c>
      <c r="C239">
        <v>9433.3733163681845</v>
      </c>
      <c r="D239">
        <v>9580.5492222166504</v>
      </c>
      <c r="E239">
        <v>9633.8583587412231</v>
      </c>
      <c r="F239">
        <v>9646.7914099601221</v>
      </c>
      <c r="G239">
        <v>9336.6044087131577</v>
      </c>
      <c r="H239">
        <v>9544.6539342502219</v>
      </c>
      <c r="I239">
        <v>9819.1076523976117</v>
      </c>
      <c r="J239">
        <v>9934.1276302063307</v>
      </c>
      <c r="K239">
        <v>10015.7953971077</v>
      </c>
      <c r="L239">
        <v>10056.432019496837</v>
      </c>
    </row>
    <row r="240" spans="1:12" x14ac:dyDescent="0.2">
      <c r="A240" t="s">
        <v>817</v>
      </c>
      <c r="B240" t="s">
        <v>816</v>
      </c>
      <c r="C240">
        <v>6639.9871969956057</v>
      </c>
      <c r="D240">
        <v>6863.5479643008657</v>
      </c>
      <c r="E240">
        <v>6885.984904697184</v>
      </c>
      <c r="F240">
        <v>6859.7173985178642</v>
      </c>
      <c r="G240">
        <v>6981.3043645362914</v>
      </c>
      <c r="H240">
        <v>6930.0648251866332</v>
      </c>
      <c r="I240">
        <v>6811.4823464152296</v>
      </c>
      <c r="J240">
        <v>7031.3202170468812</v>
      </c>
      <c r="K240">
        <v>7180.9874333287798</v>
      </c>
      <c r="L240">
        <v>7412.8664196882855</v>
      </c>
    </row>
    <row r="241" spans="1:12" x14ac:dyDescent="0.2">
      <c r="A241" t="s">
        <v>819</v>
      </c>
      <c r="B241" t="s">
        <v>818</v>
      </c>
      <c r="C241">
        <v>6681.4460157568355</v>
      </c>
      <c r="D241">
        <v>7055.8346951219846</v>
      </c>
      <c r="E241">
        <v>7430.4638428757116</v>
      </c>
      <c r="F241">
        <v>7660.4189901130558</v>
      </c>
      <c r="G241">
        <v>7215.2073619188814</v>
      </c>
      <c r="H241">
        <v>7815.2127844287079</v>
      </c>
      <c r="I241">
        <v>8308.3801418184576</v>
      </c>
      <c r="J241">
        <v>8796.7294206367606</v>
      </c>
      <c r="K241">
        <v>9307.0675250841286</v>
      </c>
      <c r="L241">
        <v>9880.3562481906429</v>
      </c>
    </row>
    <row r="242" spans="1:12" x14ac:dyDescent="0.2">
      <c r="A242" t="s">
        <v>821</v>
      </c>
      <c r="B242" t="s">
        <v>820</v>
      </c>
      <c r="C242">
        <v>4956.5848680732597</v>
      </c>
      <c r="D242">
        <v>4953.2648572016014</v>
      </c>
      <c r="E242">
        <v>4963.2088249255094</v>
      </c>
      <c r="F242">
        <v>4962.5529068223677</v>
      </c>
      <c r="G242">
        <v>4677.9221976892759</v>
      </c>
      <c r="H242">
        <v>4720.4840780867526</v>
      </c>
      <c r="I242">
        <v>4795.2471562459896</v>
      </c>
      <c r="J242">
        <v>4809.4842282472464</v>
      </c>
      <c r="K242">
        <v>4872.9155673787518</v>
      </c>
      <c r="L242">
        <v>4963.3760177896038</v>
      </c>
    </row>
    <row r="243" spans="1:12" x14ac:dyDescent="0.2">
      <c r="A243" t="s">
        <v>327</v>
      </c>
      <c r="B243" t="s">
        <v>326</v>
      </c>
      <c r="C243">
        <v>35914.990197098305</v>
      </c>
      <c r="D243">
        <v>34095.989925615169</v>
      </c>
      <c r="E243">
        <v>33710.017854000784</v>
      </c>
      <c r="F243">
        <v>33748.706084992446</v>
      </c>
      <c r="G243">
        <v>30720.887693604225</v>
      </c>
      <c r="H243">
        <v>30482.120179863054</v>
      </c>
      <c r="I243">
        <v>30784.111258035569</v>
      </c>
      <c r="J243">
        <v>31196.603554717982</v>
      </c>
      <c r="K243">
        <v>31960.156888898287</v>
      </c>
      <c r="L243">
        <v>31721.575741123605</v>
      </c>
    </row>
    <row r="244" spans="1:12" x14ac:dyDescent="0.2">
      <c r="A244" t="s">
        <v>823</v>
      </c>
      <c r="B244" t="s">
        <v>822</v>
      </c>
      <c r="C244">
        <v>12803.879737154333</v>
      </c>
      <c r="D244">
        <v>12955.401481424073</v>
      </c>
      <c r="E244">
        <v>13163.195223035675</v>
      </c>
      <c r="F244">
        <v>13243.902423324596</v>
      </c>
      <c r="G244">
        <v>11955.59836984789</v>
      </c>
      <c r="H244">
        <v>12444.326402688701</v>
      </c>
      <c r="I244">
        <v>12712.223454530023</v>
      </c>
      <c r="J244">
        <v>12650.961515816594</v>
      </c>
      <c r="K244">
        <v>12774.915856802114</v>
      </c>
      <c r="L244">
        <v>13017.634042297692</v>
      </c>
    </row>
    <row r="245" spans="1:12" x14ac:dyDescent="0.2">
      <c r="A245" t="s">
        <v>338</v>
      </c>
      <c r="B245" t="s">
        <v>824</v>
      </c>
      <c r="C245">
        <v>26489.643681604568</v>
      </c>
      <c r="D245">
        <v>28194.688309381043</v>
      </c>
      <c r="E245">
        <v>28780.30364581514</v>
      </c>
      <c r="F245">
        <v>28741.05350827015</v>
      </c>
      <c r="G245">
        <v>28976.717916161066</v>
      </c>
      <c r="H245">
        <v>32105.547440050563</v>
      </c>
      <c r="I245">
        <v>33520.811138420824</v>
      </c>
      <c r="J245">
        <v>35069.170171468468</v>
      </c>
      <c r="K245">
        <v>36154.490436557004</v>
      </c>
      <c r="L245">
        <v>37300.748573935431</v>
      </c>
    </row>
    <row r="246" spans="1:12" x14ac:dyDescent="0.2">
      <c r="A246" t="s">
        <v>826</v>
      </c>
      <c r="B246" t="s">
        <v>825</v>
      </c>
      <c r="C246">
        <v>4495.5721569248562</v>
      </c>
      <c r="D246">
        <v>4668.5437668472723</v>
      </c>
      <c r="E246">
        <v>4785.2328996507749</v>
      </c>
      <c r="F246">
        <v>5515.8995372079353</v>
      </c>
      <c r="G246">
        <v>5442.3632112129344</v>
      </c>
      <c r="H246">
        <v>5551.808419992477</v>
      </c>
      <c r="I246">
        <v>5044.5398457891133</v>
      </c>
      <c r="J246">
        <v>5315.1630102810386</v>
      </c>
      <c r="K246">
        <v>5592.1872360265943</v>
      </c>
      <c r="L246">
        <v>5776.0784938484458</v>
      </c>
    </row>
    <row r="247" spans="1:12" x14ac:dyDescent="0.2">
      <c r="A247" t="s">
        <v>323</v>
      </c>
      <c r="B247" t="s">
        <v>827</v>
      </c>
      <c r="C247">
        <v>3214.24682617188</v>
      </c>
      <c r="D247">
        <v>3318.28833007813</v>
      </c>
      <c r="E247">
        <v>3392.68872070313</v>
      </c>
      <c r="F247">
        <v>3484.63256835938</v>
      </c>
      <c r="G247">
        <v>3449.82153320313</v>
      </c>
      <c r="H247">
        <v>3493.0830078125</v>
      </c>
      <c r="I247">
        <v>3546.98095703125</v>
      </c>
      <c r="J247">
        <v>3620.79345703125</v>
      </c>
      <c r="K247">
        <v>3713.26293945313</v>
      </c>
      <c r="L247">
        <v>3820.61181640625</v>
      </c>
    </row>
    <row r="248" spans="1:12" x14ac:dyDescent="0.2">
      <c r="A248" t="s">
        <v>343</v>
      </c>
      <c r="B248" t="s">
        <v>342</v>
      </c>
      <c r="C248">
        <v>2554.2276906207285</v>
      </c>
      <c r="D248">
        <v>2543.8475439495646</v>
      </c>
      <c r="E248">
        <v>2613.8797641396313</v>
      </c>
      <c r="F248">
        <v>2689.4100914491924</v>
      </c>
      <c r="G248">
        <v>2678.0090720229268</v>
      </c>
      <c r="H248">
        <v>2684.9203593974353</v>
      </c>
      <c r="I248">
        <v>2724.9060956840863</v>
      </c>
      <c r="J248">
        <v>2791.0557688586127</v>
      </c>
      <c r="K248">
        <v>2879.6700929037611</v>
      </c>
      <c r="L248">
        <v>2980.3794213550145</v>
      </c>
    </row>
    <row r="249" spans="1:12" x14ac:dyDescent="0.2">
      <c r="A249" t="s">
        <v>829</v>
      </c>
      <c r="B249" t="s">
        <v>828</v>
      </c>
      <c r="C249">
        <v>15856.8125</v>
      </c>
      <c r="D249">
        <v>16310.3603515625</v>
      </c>
      <c r="E249">
        <v>16978.984375</v>
      </c>
      <c r="F249">
        <v>17636.5546875</v>
      </c>
      <c r="G249">
        <v>17092.5390625</v>
      </c>
      <c r="H249">
        <v>17846.408203125</v>
      </c>
      <c r="I249">
        <v>13787.12109375</v>
      </c>
      <c r="J249">
        <v>15916.9580078125</v>
      </c>
      <c r="K249">
        <v>16371.44140625</v>
      </c>
      <c r="L249">
        <v>16155.0732421875</v>
      </c>
    </row>
    <row r="250" spans="1:12" x14ac:dyDescent="0.2">
      <c r="A250" t="s">
        <v>831</v>
      </c>
      <c r="B250" t="s">
        <v>830</v>
      </c>
      <c r="C250">
        <v>15979.553621269999</v>
      </c>
      <c r="D250">
        <v>16662.428438736806</v>
      </c>
      <c r="E250">
        <v>17308.085021770163</v>
      </c>
      <c r="F250">
        <v>17882.204845781391</v>
      </c>
      <c r="G250">
        <v>17611.743445507633</v>
      </c>
      <c r="H250">
        <v>18796.441497947977</v>
      </c>
      <c r="I250">
        <v>19378.709559405674</v>
      </c>
      <c r="J250">
        <v>20194.443719540137</v>
      </c>
      <c r="K250">
        <v>20967.358945974807</v>
      </c>
      <c r="L250">
        <v>21748.878185746355</v>
      </c>
    </row>
    <row r="251" spans="1:12" x14ac:dyDescent="0.2">
      <c r="A251" t="s">
        <v>833</v>
      </c>
      <c r="B251" t="s">
        <v>832</v>
      </c>
      <c r="C251">
        <v>29332.556156881485</v>
      </c>
      <c r="D251">
        <v>29762.422066660503</v>
      </c>
      <c r="E251">
        <v>29757.927605541459</v>
      </c>
      <c r="F251">
        <v>30010.562883429426</v>
      </c>
      <c r="G251">
        <v>27788.174960019605</v>
      </c>
      <c r="H251">
        <v>29431.873883336113</v>
      </c>
      <c r="I251">
        <v>30840.07098276756</v>
      </c>
      <c r="J251">
        <v>31100.969688988171</v>
      </c>
      <c r="K251">
        <v>32149.480073985993</v>
      </c>
      <c r="L251">
        <v>32741.624687790783</v>
      </c>
    </row>
    <row r="252" spans="1:12" x14ac:dyDescent="0.2">
      <c r="A252" t="s">
        <v>352</v>
      </c>
      <c r="B252" t="s">
        <v>834</v>
      </c>
      <c r="C252">
        <v>65025.985598061583</v>
      </c>
      <c r="D252">
        <v>66164.032001428932</v>
      </c>
      <c r="E252">
        <v>67728.44249210236</v>
      </c>
      <c r="F252">
        <v>69121.45800167408</v>
      </c>
      <c r="G252">
        <v>67406.831132550695</v>
      </c>
      <c r="H252">
        <v>71441.231980594981</v>
      </c>
      <c r="I252">
        <v>72828.743090718926</v>
      </c>
      <c r="J252">
        <v>74351.6718197429</v>
      </c>
      <c r="K252">
        <v>75698.177335462897</v>
      </c>
      <c r="L252">
        <v>76931.310699040827</v>
      </c>
    </row>
    <row r="253" spans="1:12" x14ac:dyDescent="0.2">
      <c r="A253" t="s">
        <v>836</v>
      </c>
      <c r="B253" t="s">
        <v>835</v>
      </c>
      <c r="C253">
        <v>8172.9216949615002</v>
      </c>
      <c r="D253">
        <v>8413.2997529949444</v>
      </c>
      <c r="E253">
        <v>8742.5491991216022</v>
      </c>
      <c r="F253">
        <v>9169.011475083511</v>
      </c>
      <c r="G253">
        <v>9145.2311984423905</v>
      </c>
      <c r="H253">
        <v>9705.6005456569237</v>
      </c>
      <c r="I253">
        <v>10091.387786999891</v>
      </c>
      <c r="J253">
        <v>10514.09557214471</v>
      </c>
      <c r="K253">
        <v>10997.170729164414</v>
      </c>
      <c r="L253">
        <v>11622.855624353117</v>
      </c>
    </row>
    <row r="254" spans="1:12" x14ac:dyDescent="0.2">
      <c r="A254" t="s">
        <v>838</v>
      </c>
      <c r="B254" t="s">
        <v>837</v>
      </c>
      <c r="C254">
        <v>15197.748251335168</v>
      </c>
      <c r="D254">
        <v>15533.221282154393</v>
      </c>
      <c r="E254">
        <v>16139.066108496465</v>
      </c>
      <c r="F254">
        <v>16365.325578512407</v>
      </c>
      <c r="G254">
        <v>15763.705438253877</v>
      </c>
      <c r="H254">
        <v>16200.899459784525</v>
      </c>
      <c r="I254">
        <v>16835.023514540953</v>
      </c>
      <c r="J254">
        <v>17858.244646870233</v>
      </c>
      <c r="K254">
        <v>18714.198849352968</v>
      </c>
      <c r="L254">
        <v>19483.012763899369</v>
      </c>
    </row>
    <row r="255" spans="1:12" x14ac:dyDescent="0.2">
      <c r="A255" t="s">
        <v>840</v>
      </c>
      <c r="B255" t="s">
        <v>839</v>
      </c>
    </row>
    <row r="256" spans="1:12" x14ac:dyDescent="0.2">
      <c r="A256" t="s">
        <v>842</v>
      </c>
      <c r="B256" t="s">
        <v>841</v>
      </c>
    </row>
    <row r="257" spans="1:12" x14ac:dyDescent="0.2">
      <c r="A257" t="s">
        <v>844</v>
      </c>
      <c r="B257" t="s">
        <v>843</v>
      </c>
      <c r="C257">
        <v>43502.43369415636</v>
      </c>
      <c r="D257">
        <v>43277.154652352197</v>
      </c>
      <c r="E257">
        <v>44205.407132439388</v>
      </c>
      <c r="F257">
        <v>45632.636471569254</v>
      </c>
      <c r="G257">
        <v>45055.782930352332</v>
      </c>
      <c r="H257">
        <v>46893.549698874143</v>
      </c>
      <c r="I257">
        <v>46479.299668532636</v>
      </c>
    </row>
    <row r="258" spans="1:12" x14ac:dyDescent="0.2">
      <c r="A258" t="s">
        <v>846</v>
      </c>
      <c r="B258" t="s">
        <v>845</v>
      </c>
      <c r="C258">
        <v>9743.1882231455038</v>
      </c>
      <c r="D258">
        <v>10290.54871422442</v>
      </c>
      <c r="E258">
        <v>10936.893785955768</v>
      </c>
      <c r="F258">
        <v>11628.613914745056</v>
      </c>
      <c r="G258">
        <v>11851.396568564898</v>
      </c>
      <c r="H258">
        <v>12048.901993553598</v>
      </c>
      <c r="I258">
        <v>12979.763898371073</v>
      </c>
      <c r="J258">
        <v>13534.799784301644</v>
      </c>
      <c r="K258">
        <v>14396.421736947304</v>
      </c>
      <c r="L258">
        <v>15457.349940354665</v>
      </c>
    </row>
    <row r="259" spans="1:12" x14ac:dyDescent="0.2">
      <c r="A259" t="s">
        <v>848</v>
      </c>
      <c r="B259" t="s">
        <v>847</v>
      </c>
      <c r="C259">
        <v>3877.0835464354845</v>
      </c>
      <c r="D259">
        <v>3947.6782419320293</v>
      </c>
      <c r="E259">
        <v>3951.1845312259202</v>
      </c>
      <c r="F259">
        <v>3986.6562002147189</v>
      </c>
      <c r="G259">
        <v>3671.9739056530307</v>
      </c>
      <c r="H259">
        <v>3546.080218968717</v>
      </c>
      <c r="I259">
        <v>3658.5187118204631</v>
      </c>
      <c r="J259">
        <v>3782.8264902941787</v>
      </c>
      <c r="K259">
        <v>3837.0393744604821</v>
      </c>
      <c r="L259">
        <v>3866.9981490167361</v>
      </c>
    </row>
    <row r="260" spans="1:12" x14ac:dyDescent="0.2">
      <c r="A260" t="s">
        <v>850</v>
      </c>
      <c r="B260" t="s">
        <v>849</v>
      </c>
      <c r="C260">
        <v>18234.018766830097</v>
      </c>
      <c r="D260">
        <v>18714.573677774322</v>
      </c>
      <c r="E260">
        <v>19189.492226344624</v>
      </c>
      <c r="F260">
        <v>19551.085372005204</v>
      </c>
      <c r="G260">
        <v>18812.492184635095</v>
      </c>
      <c r="H260">
        <v>19875.56691606087</v>
      </c>
      <c r="I260">
        <v>20421.733679962017</v>
      </c>
      <c r="J260">
        <v>20894.866374764926</v>
      </c>
      <c r="K260">
        <v>21393.184359422608</v>
      </c>
      <c r="L260">
        <v>21913.509493453068</v>
      </c>
    </row>
    <row r="261" spans="1:12" x14ac:dyDescent="0.2">
      <c r="A261" t="s">
        <v>852</v>
      </c>
      <c r="B261" t="s">
        <v>851</v>
      </c>
      <c r="C261">
        <v>6888.1876975100131</v>
      </c>
      <c r="D261">
        <v>6919.9022536691446</v>
      </c>
      <c r="E261">
        <v>6805.9170939279738</v>
      </c>
      <c r="F261">
        <v>7034.4223303681474</v>
      </c>
      <c r="G261">
        <v>6746.1566796310917</v>
      </c>
      <c r="H261">
        <v>6350.9278703371128</v>
      </c>
      <c r="I261">
        <v>6450.1915167784191</v>
      </c>
      <c r="J261">
        <v>7384.6916368861293</v>
      </c>
      <c r="K261">
        <v>7687.2342555248506</v>
      </c>
      <c r="L261">
        <v>7963.4274905215261</v>
      </c>
    </row>
    <row r="262" spans="1:12" x14ac:dyDescent="0.2">
      <c r="A262" t="s">
        <v>854</v>
      </c>
      <c r="B262" t="s">
        <v>853</v>
      </c>
      <c r="C262">
        <v>10434.888825926791</v>
      </c>
      <c r="D262">
        <v>10856.290207423901</v>
      </c>
      <c r="E262">
        <v>11188.224462796632</v>
      </c>
      <c r="F262">
        <v>11774.117851090836</v>
      </c>
      <c r="G262">
        <v>11137.502856040395</v>
      </c>
      <c r="H262">
        <v>12362.421018121306</v>
      </c>
      <c r="I262">
        <v>13022.462744150202</v>
      </c>
      <c r="J262">
        <v>14240.203032036463</v>
      </c>
      <c r="K262">
        <v>15716.292556458633</v>
      </c>
      <c r="L262">
        <v>16461.294363118843</v>
      </c>
    </row>
    <row r="263" spans="1:12" x14ac:dyDescent="0.2">
      <c r="A263" t="s">
        <v>856</v>
      </c>
      <c r="B263" t="s">
        <v>855</v>
      </c>
    </row>
    <row r="264" spans="1:12" x14ac:dyDescent="0.2">
      <c r="A264" t="s">
        <v>858</v>
      </c>
      <c r="B264" t="s">
        <v>857</v>
      </c>
      <c r="C264">
        <v>14501.280782340202</v>
      </c>
      <c r="D264">
        <v>14573.598084000421</v>
      </c>
      <c r="E264">
        <v>14553.561566895734</v>
      </c>
      <c r="F264">
        <v>14352.669870987076</v>
      </c>
      <c r="G264">
        <v>13250.566659445636</v>
      </c>
      <c r="H264">
        <v>13681.954814481312</v>
      </c>
      <c r="I264">
        <v>13767.496758993606</v>
      </c>
      <c r="J264">
        <v>13695.375569407595</v>
      </c>
      <c r="K264">
        <v>13597.653849599776</v>
      </c>
      <c r="L264">
        <v>13592.048402092945</v>
      </c>
    </row>
    <row r="265" spans="1:12" x14ac:dyDescent="0.2">
      <c r="A265" t="s">
        <v>860</v>
      </c>
      <c r="B265" t="s">
        <v>859</v>
      </c>
      <c r="C265">
        <v>3598.1716602338947</v>
      </c>
      <c r="D265">
        <v>3612.5059766459258</v>
      </c>
      <c r="E265">
        <v>3646.9596648165461</v>
      </c>
      <c r="F265">
        <v>3591.5641888310797</v>
      </c>
      <c r="G265">
        <v>3391.5954115609516</v>
      </c>
      <c r="H265">
        <v>3503.034914183715</v>
      </c>
      <c r="I265">
        <v>3585.1237908434655</v>
      </c>
      <c r="J265">
        <v>3673.4841969922013</v>
      </c>
      <c r="K265">
        <v>3708.0690429564679</v>
      </c>
      <c r="L265">
        <v>3742.2564631649175</v>
      </c>
    </row>
    <row r="266" spans="1:12" x14ac:dyDescent="0.2">
      <c r="A266" t="s">
        <v>309</v>
      </c>
      <c r="B266" t="s">
        <v>307</v>
      </c>
      <c r="C266">
        <v>5070.4241320998126</v>
      </c>
      <c r="D266">
        <v>5234.4065377843999</v>
      </c>
      <c r="E266">
        <v>5415.4932202819264</v>
      </c>
      <c r="F266">
        <v>4993.8654692820764</v>
      </c>
      <c r="G266">
        <v>4527.7394921925425</v>
      </c>
      <c r="H266">
        <v>4827.1096016599413</v>
      </c>
      <c r="I266">
        <v>5036.7831773223925</v>
      </c>
      <c r="J266">
        <v>5218.0452659639795</v>
      </c>
      <c r="K266">
        <v>5211.8975558795419</v>
      </c>
      <c r="L266">
        <v>5529.2331001615375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1E4D-5319-4346-8111-57C1585922B2}">
  <dimension ref="A1:M266"/>
  <sheetViews>
    <sheetView tabSelected="1" workbookViewId="0">
      <selection activeCell="C5" sqref="C5"/>
    </sheetView>
  </sheetViews>
  <sheetFormatPr baseColWidth="10" defaultRowHeight="15" x14ac:dyDescent="0.2"/>
  <cols>
    <col min="1" max="1" width="60.1640625" bestFit="1" customWidth="1"/>
    <col min="2" max="2" width="25.6640625" bestFit="1" customWidth="1"/>
    <col min="3" max="3" width="70.33203125" bestFit="1" customWidth="1"/>
    <col min="4" max="13" width="11.5" bestFit="1" customWidth="1"/>
    <col min="14" max="199" width="8.83203125" customWidth="1"/>
    <col min="200" max="200" width="60.1640625" bestFit="1" customWidth="1"/>
    <col min="201" max="201" width="25.6640625" bestFit="1" customWidth="1"/>
    <col min="202" max="202" width="70.33203125" bestFit="1" customWidth="1"/>
    <col min="203" max="203" width="14" bestFit="1" customWidth="1"/>
    <col min="204" max="234" width="5" bestFit="1" customWidth="1"/>
    <col min="235" max="269" width="11.5" bestFit="1" customWidth="1"/>
    <col min="270" max="455" width="8.83203125" customWidth="1"/>
    <col min="456" max="456" width="60.1640625" bestFit="1" customWidth="1"/>
    <col min="457" max="457" width="25.6640625" bestFit="1" customWidth="1"/>
    <col min="458" max="458" width="70.33203125" bestFit="1" customWidth="1"/>
    <col min="459" max="459" width="14" bestFit="1" customWidth="1"/>
    <col min="460" max="490" width="5" bestFit="1" customWidth="1"/>
    <col min="491" max="525" width="11.5" bestFit="1" customWidth="1"/>
    <col min="526" max="711" width="8.83203125" customWidth="1"/>
    <col min="712" max="712" width="60.1640625" bestFit="1" customWidth="1"/>
    <col min="713" max="713" width="25.6640625" bestFit="1" customWidth="1"/>
    <col min="714" max="714" width="70.33203125" bestFit="1" customWidth="1"/>
    <col min="715" max="715" width="14" bestFit="1" customWidth="1"/>
    <col min="716" max="746" width="5" bestFit="1" customWidth="1"/>
    <col min="747" max="781" width="11.5" bestFit="1" customWidth="1"/>
    <col min="782" max="967" width="8.83203125" customWidth="1"/>
    <col min="968" max="968" width="60.1640625" bestFit="1" customWidth="1"/>
    <col min="969" max="969" width="25.6640625" bestFit="1" customWidth="1"/>
    <col min="970" max="970" width="70.33203125" bestFit="1" customWidth="1"/>
    <col min="971" max="971" width="14" bestFit="1" customWidth="1"/>
    <col min="972" max="1002" width="5" bestFit="1" customWidth="1"/>
    <col min="1003" max="1037" width="11.5" bestFit="1" customWidth="1"/>
    <col min="1038" max="1223" width="8.83203125" customWidth="1"/>
    <col min="1224" max="1224" width="60.1640625" bestFit="1" customWidth="1"/>
    <col min="1225" max="1225" width="25.6640625" bestFit="1" customWidth="1"/>
    <col min="1226" max="1226" width="70.33203125" bestFit="1" customWidth="1"/>
    <col min="1227" max="1227" width="14" bestFit="1" customWidth="1"/>
    <col min="1228" max="1258" width="5" bestFit="1" customWidth="1"/>
    <col min="1259" max="1293" width="11.5" bestFit="1" customWidth="1"/>
    <col min="1294" max="1479" width="8.83203125" customWidth="1"/>
    <col min="1480" max="1480" width="60.1640625" bestFit="1" customWidth="1"/>
    <col min="1481" max="1481" width="25.6640625" bestFit="1" customWidth="1"/>
    <col min="1482" max="1482" width="70.33203125" bestFit="1" customWidth="1"/>
    <col min="1483" max="1483" width="14" bestFit="1" customWidth="1"/>
    <col min="1484" max="1514" width="5" bestFit="1" customWidth="1"/>
    <col min="1515" max="1549" width="11.5" bestFit="1" customWidth="1"/>
    <col min="1550" max="1735" width="8.83203125" customWidth="1"/>
    <col min="1736" max="1736" width="60.1640625" bestFit="1" customWidth="1"/>
    <col min="1737" max="1737" width="25.6640625" bestFit="1" customWidth="1"/>
    <col min="1738" max="1738" width="70.33203125" bestFit="1" customWidth="1"/>
    <col min="1739" max="1739" width="14" bestFit="1" customWidth="1"/>
    <col min="1740" max="1770" width="5" bestFit="1" customWidth="1"/>
    <col min="1771" max="1805" width="11.5" bestFit="1" customWidth="1"/>
    <col min="1806" max="1991" width="8.83203125" customWidth="1"/>
    <col min="1992" max="1992" width="60.1640625" bestFit="1" customWidth="1"/>
    <col min="1993" max="1993" width="25.6640625" bestFit="1" customWidth="1"/>
    <col min="1994" max="1994" width="70.33203125" bestFit="1" customWidth="1"/>
    <col min="1995" max="1995" width="14" bestFit="1" customWidth="1"/>
    <col min="1996" max="2026" width="5" bestFit="1" customWidth="1"/>
    <col min="2027" max="2061" width="11.5" bestFit="1" customWidth="1"/>
    <col min="2062" max="2247" width="8.83203125" customWidth="1"/>
    <col min="2248" max="2248" width="60.1640625" bestFit="1" customWidth="1"/>
    <col min="2249" max="2249" width="25.6640625" bestFit="1" customWidth="1"/>
    <col min="2250" max="2250" width="70.33203125" bestFit="1" customWidth="1"/>
    <col min="2251" max="2251" width="14" bestFit="1" customWidth="1"/>
    <col min="2252" max="2282" width="5" bestFit="1" customWidth="1"/>
    <col min="2283" max="2317" width="11.5" bestFit="1" customWidth="1"/>
    <col min="2318" max="2503" width="8.83203125" customWidth="1"/>
    <col min="2504" max="2504" width="60.1640625" bestFit="1" customWidth="1"/>
    <col min="2505" max="2505" width="25.6640625" bestFit="1" customWidth="1"/>
    <col min="2506" max="2506" width="70.33203125" bestFit="1" customWidth="1"/>
    <col min="2507" max="2507" width="14" bestFit="1" customWidth="1"/>
    <col min="2508" max="2538" width="5" bestFit="1" customWidth="1"/>
    <col min="2539" max="2573" width="11.5" bestFit="1" customWidth="1"/>
    <col min="2574" max="2759" width="8.83203125" customWidth="1"/>
    <col min="2760" max="2760" width="60.1640625" bestFit="1" customWidth="1"/>
    <col min="2761" max="2761" width="25.6640625" bestFit="1" customWidth="1"/>
    <col min="2762" max="2762" width="70.33203125" bestFit="1" customWidth="1"/>
    <col min="2763" max="2763" width="14" bestFit="1" customWidth="1"/>
    <col min="2764" max="2794" width="5" bestFit="1" customWidth="1"/>
    <col min="2795" max="2829" width="11.5" bestFit="1" customWidth="1"/>
    <col min="2830" max="3015" width="8.83203125" customWidth="1"/>
    <col min="3016" max="3016" width="60.1640625" bestFit="1" customWidth="1"/>
    <col min="3017" max="3017" width="25.6640625" bestFit="1" customWidth="1"/>
    <col min="3018" max="3018" width="70.33203125" bestFit="1" customWidth="1"/>
    <col min="3019" max="3019" width="14" bestFit="1" customWidth="1"/>
    <col min="3020" max="3050" width="5" bestFit="1" customWidth="1"/>
    <col min="3051" max="3085" width="11.5" bestFit="1" customWidth="1"/>
    <col min="3086" max="3271" width="8.83203125" customWidth="1"/>
    <col min="3272" max="3272" width="60.1640625" bestFit="1" customWidth="1"/>
    <col min="3273" max="3273" width="25.6640625" bestFit="1" customWidth="1"/>
    <col min="3274" max="3274" width="70.33203125" bestFit="1" customWidth="1"/>
    <col min="3275" max="3275" width="14" bestFit="1" customWidth="1"/>
    <col min="3276" max="3306" width="5" bestFit="1" customWidth="1"/>
    <col min="3307" max="3341" width="11.5" bestFit="1" customWidth="1"/>
    <col min="3342" max="3527" width="8.83203125" customWidth="1"/>
    <col min="3528" max="3528" width="60.1640625" bestFit="1" customWidth="1"/>
    <col min="3529" max="3529" width="25.6640625" bestFit="1" customWidth="1"/>
    <col min="3530" max="3530" width="70.33203125" bestFit="1" customWidth="1"/>
    <col min="3531" max="3531" width="14" bestFit="1" customWidth="1"/>
    <col min="3532" max="3562" width="5" bestFit="1" customWidth="1"/>
    <col min="3563" max="3597" width="11.5" bestFit="1" customWidth="1"/>
    <col min="3598" max="3783" width="8.83203125" customWidth="1"/>
    <col min="3784" max="3784" width="60.1640625" bestFit="1" customWidth="1"/>
    <col min="3785" max="3785" width="25.6640625" bestFit="1" customWidth="1"/>
    <col min="3786" max="3786" width="70.33203125" bestFit="1" customWidth="1"/>
    <col min="3787" max="3787" width="14" bestFit="1" customWidth="1"/>
    <col min="3788" max="3818" width="5" bestFit="1" customWidth="1"/>
    <col min="3819" max="3853" width="11.5" bestFit="1" customWidth="1"/>
    <col min="3854" max="4039" width="8.83203125" customWidth="1"/>
    <col min="4040" max="4040" width="60.1640625" bestFit="1" customWidth="1"/>
    <col min="4041" max="4041" width="25.6640625" bestFit="1" customWidth="1"/>
    <col min="4042" max="4042" width="70.33203125" bestFit="1" customWidth="1"/>
    <col min="4043" max="4043" width="14" bestFit="1" customWidth="1"/>
    <col min="4044" max="4074" width="5" bestFit="1" customWidth="1"/>
    <col min="4075" max="4109" width="11.5" bestFit="1" customWidth="1"/>
    <col min="4110" max="4295" width="8.83203125" customWidth="1"/>
    <col min="4296" max="4296" width="60.1640625" bestFit="1" customWidth="1"/>
    <col min="4297" max="4297" width="25.6640625" bestFit="1" customWidth="1"/>
    <col min="4298" max="4298" width="70.33203125" bestFit="1" customWidth="1"/>
    <col min="4299" max="4299" width="14" bestFit="1" customWidth="1"/>
    <col min="4300" max="4330" width="5" bestFit="1" customWidth="1"/>
    <col min="4331" max="4365" width="11.5" bestFit="1" customWidth="1"/>
    <col min="4366" max="4551" width="8.83203125" customWidth="1"/>
    <col min="4552" max="4552" width="60.1640625" bestFit="1" customWidth="1"/>
    <col min="4553" max="4553" width="25.6640625" bestFit="1" customWidth="1"/>
    <col min="4554" max="4554" width="70.33203125" bestFit="1" customWidth="1"/>
    <col min="4555" max="4555" width="14" bestFit="1" customWidth="1"/>
    <col min="4556" max="4586" width="5" bestFit="1" customWidth="1"/>
    <col min="4587" max="4621" width="11.5" bestFit="1" customWidth="1"/>
    <col min="4622" max="4807" width="8.83203125" customWidth="1"/>
    <col min="4808" max="4808" width="60.1640625" bestFit="1" customWidth="1"/>
    <col min="4809" max="4809" width="25.6640625" bestFit="1" customWidth="1"/>
    <col min="4810" max="4810" width="70.33203125" bestFit="1" customWidth="1"/>
    <col min="4811" max="4811" width="14" bestFit="1" customWidth="1"/>
    <col min="4812" max="4842" width="5" bestFit="1" customWidth="1"/>
    <col min="4843" max="4877" width="11.5" bestFit="1" customWidth="1"/>
    <col min="4878" max="5063" width="8.83203125" customWidth="1"/>
    <col min="5064" max="5064" width="60.1640625" bestFit="1" customWidth="1"/>
    <col min="5065" max="5065" width="25.6640625" bestFit="1" customWidth="1"/>
    <col min="5066" max="5066" width="70.33203125" bestFit="1" customWidth="1"/>
    <col min="5067" max="5067" width="14" bestFit="1" customWidth="1"/>
    <col min="5068" max="5098" width="5" bestFit="1" customWidth="1"/>
    <col min="5099" max="5133" width="11.5" bestFit="1" customWidth="1"/>
    <col min="5134" max="5319" width="8.83203125" customWidth="1"/>
    <col min="5320" max="5320" width="60.1640625" bestFit="1" customWidth="1"/>
    <col min="5321" max="5321" width="25.6640625" bestFit="1" customWidth="1"/>
    <col min="5322" max="5322" width="70.33203125" bestFit="1" customWidth="1"/>
    <col min="5323" max="5323" width="14" bestFit="1" customWidth="1"/>
    <col min="5324" max="5354" width="5" bestFit="1" customWidth="1"/>
    <col min="5355" max="5389" width="11.5" bestFit="1" customWidth="1"/>
    <col min="5390" max="5575" width="8.83203125" customWidth="1"/>
    <col min="5576" max="5576" width="60.1640625" bestFit="1" customWidth="1"/>
    <col min="5577" max="5577" width="25.6640625" bestFit="1" customWidth="1"/>
    <col min="5578" max="5578" width="70.33203125" bestFit="1" customWidth="1"/>
    <col min="5579" max="5579" width="14" bestFit="1" customWidth="1"/>
    <col min="5580" max="5610" width="5" bestFit="1" customWidth="1"/>
    <col min="5611" max="5645" width="11.5" bestFit="1" customWidth="1"/>
    <col min="5646" max="5831" width="8.83203125" customWidth="1"/>
    <col min="5832" max="5832" width="60.1640625" bestFit="1" customWidth="1"/>
    <col min="5833" max="5833" width="25.6640625" bestFit="1" customWidth="1"/>
    <col min="5834" max="5834" width="70.33203125" bestFit="1" customWidth="1"/>
    <col min="5835" max="5835" width="14" bestFit="1" customWidth="1"/>
    <col min="5836" max="5866" width="5" bestFit="1" customWidth="1"/>
    <col min="5867" max="5901" width="11.5" bestFit="1" customWidth="1"/>
    <col min="5902" max="6087" width="8.83203125" customWidth="1"/>
    <col min="6088" max="6088" width="60.1640625" bestFit="1" customWidth="1"/>
    <col min="6089" max="6089" width="25.6640625" bestFit="1" customWidth="1"/>
    <col min="6090" max="6090" width="70.33203125" bestFit="1" customWidth="1"/>
    <col min="6091" max="6091" width="14" bestFit="1" customWidth="1"/>
    <col min="6092" max="6122" width="5" bestFit="1" customWidth="1"/>
    <col min="6123" max="6157" width="11.5" bestFit="1" customWidth="1"/>
    <col min="6158" max="6343" width="8.83203125" customWidth="1"/>
    <col min="6344" max="6344" width="60.1640625" bestFit="1" customWidth="1"/>
    <col min="6345" max="6345" width="25.6640625" bestFit="1" customWidth="1"/>
    <col min="6346" max="6346" width="70.33203125" bestFit="1" customWidth="1"/>
    <col min="6347" max="6347" width="14" bestFit="1" customWidth="1"/>
    <col min="6348" max="6378" width="5" bestFit="1" customWidth="1"/>
    <col min="6379" max="6413" width="11.5" bestFit="1" customWidth="1"/>
    <col min="6414" max="6599" width="8.83203125" customWidth="1"/>
    <col min="6600" max="6600" width="60.1640625" bestFit="1" customWidth="1"/>
    <col min="6601" max="6601" width="25.6640625" bestFit="1" customWidth="1"/>
    <col min="6602" max="6602" width="70.33203125" bestFit="1" customWidth="1"/>
    <col min="6603" max="6603" width="14" bestFit="1" customWidth="1"/>
    <col min="6604" max="6634" width="5" bestFit="1" customWidth="1"/>
    <col min="6635" max="6669" width="11.5" bestFit="1" customWidth="1"/>
    <col min="6670" max="6855" width="8.83203125" customWidth="1"/>
    <col min="6856" max="6856" width="60.1640625" bestFit="1" customWidth="1"/>
    <col min="6857" max="6857" width="25.6640625" bestFit="1" customWidth="1"/>
    <col min="6858" max="6858" width="70.33203125" bestFit="1" customWidth="1"/>
    <col min="6859" max="6859" width="14" bestFit="1" customWidth="1"/>
    <col min="6860" max="6890" width="5" bestFit="1" customWidth="1"/>
    <col min="6891" max="6925" width="11.5" bestFit="1" customWidth="1"/>
    <col min="6926" max="7111" width="8.83203125" customWidth="1"/>
    <col min="7112" max="7112" width="60.1640625" bestFit="1" customWidth="1"/>
    <col min="7113" max="7113" width="25.6640625" bestFit="1" customWidth="1"/>
    <col min="7114" max="7114" width="70.33203125" bestFit="1" customWidth="1"/>
    <col min="7115" max="7115" width="14" bestFit="1" customWidth="1"/>
    <col min="7116" max="7146" width="5" bestFit="1" customWidth="1"/>
    <col min="7147" max="7181" width="11.5" bestFit="1" customWidth="1"/>
    <col min="7182" max="7367" width="8.83203125" customWidth="1"/>
    <col min="7368" max="7368" width="60.1640625" bestFit="1" customWidth="1"/>
    <col min="7369" max="7369" width="25.6640625" bestFit="1" customWidth="1"/>
    <col min="7370" max="7370" width="70.33203125" bestFit="1" customWidth="1"/>
    <col min="7371" max="7371" width="14" bestFit="1" customWidth="1"/>
    <col min="7372" max="7402" width="5" bestFit="1" customWidth="1"/>
    <col min="7403" max="7437" width="11.5" bestFit="1" customWidth="1"/>
    <col min="7438" max="7623" width="8.83203125" customWidth="1"/>
    <col min="7624" max="7624" width="60.1640625" bestFit="1" customWidth="1"/>
    <col min="7625" max="7625" width="25.6640625" bestFit="1" customWidth="1"/>
    <col min="7626" max="7626" width="70.33203125" bestFit="1" customWidth="1"/>
    <col min="7627" max="7627" width="14" bestFit="1" customWidth="1"/>
    <col min="7628" max="7658" width="5" bestFit="1" customWidth="1"/>
    <col min="7659" max="7693" width="11.5" bestFit="1" customWidth="1"/>
    <col min="7694" max="7879" width="8.83203125" customWidth="1"/>
    <col min="7880" max="7880" width="60.1640625" bestFit="1" customWidth="1"/>
    <col min="7881" max="7881" width="25.6640625" bestFit="1" customWidth="1"/>
    <col min="7882" max="7882" width="70.33203125" bestFit="1" customWidth="1"/>
    <col min="7883" max="7883" width="14" bestFit="1" customWidth="1"/>
    <col min="7884" max="7914" width="5" bestFit="1" customWidth="1"/>
    <col min="7915" max="7949" width="11.5" bestFit="1" customWidth="1"/>
    <col min="7950" max="8135" width="8.83203125" customWidth="1"/>
    <col min="8136" max="8136" width="60.1640625" bestFit="1" customWidth="1"/>
    <col min="8137" max="8137" width="25.6640625" bestFit="1" customWidth="1"/>
    <col min="8138" max="8138" width="70.33203125" bestFit="1" customWidth="1"/>
    <col min="8139" max="8139" width="14" bestFit="1" customWidth="1"/>
    <col min="8140" max="8170" width="5" bestFit="1" customWidth="1"/>
    <col min="8171" max="8205" width="11.5" bestFit="1" customWidth="1"/>
    <col min="8206" max="8391" width="8.83203125" customWidth="1"/>
    <col min="8392" max="8392" width="60.1640625" bestFit="1" customWidth="1"/>
    <col min="8393" max="8393" width="25.6640625" bestFit="1" customWidth="1"/>
    <col min="8394" max="8394" width="70.33203125" bestFit="1" customWidth="1"/>
    <col min="8395" max="8395" width="14" bestFit="1" customWidth="1"/>
    <col min="8396" max="8426" width="5" bestFit="1" customWidth="1"/>
    <col min="8427" max="8461" width="11.5" bestFit="1" customWidth="1"/>
    <col min="8462" max="8647" width="8.83203125" customWidth="1"/>
    <col min="8648" max="8648" width="60.1640625" bestFit="1" customWidth="1"/>
    <col min="8649" max="8649" width="25.6640625" bestFit="1" customWidth="1"/>
    <col min="8650" max="8650" width="70.33203125" bestFit="1" customWidth="1"/>
    <col min="8651" max="8651" width="14" bestFit="1" customWidth="1"/>
    <col min="8652" max="8682" width="5" bestFit="1" customWidth="1"/>
    <col min="8683" max="8717" width="11.5" bestFit="1" customWidth="1"/>
    <col min="8718" max="8903" width="8.83203125" customWidth="1"/>
    <col min="8904" max="8904" width="60.1640625" bestFit="1" customWidth="1"/>
    <col min="8905" max="8905" width="25.6640625" bestFit="1" customWidth="1"/>
    <col min="8906" max="8906" width="70.33203125" bestFit="1" customWidth="1"/>
    <col min="8907" max="8907" width="14" bestFit="1" customWidth="1"/>
    <col min="8908" max="8938" width="5" bestFit="1" customWidth="1"/>
    <col min="8939" max="8973" width="11.5" bestFit="1" customWidth="1"/>
    <col min="8974" max="9159" width="8.83203125" customWidth="1"/>
    <col min="9160" max="9160" width="60.1640625" bestFit="1" customWidth="1"/>
    <col min="9161" max="9161" width="25.6640625" bestFit="1" customWidth="1"/>
    <col min="9162" max="9162" width="70.33203125" bestFit="1" customWidth="1"/>
    <col min="9163" max="9163" width="14" bestFit="1" customWidth="1"/>
    <col min="9164" max="9194" width="5" bestFit="1" customWidth="1"/>
    <col min="9195" max="9229" width="11.5" bestFit="1" customWidth="1"/>
    <col min="9230" max="9415" width="8.83203125" customWidth="1"/>
    <col min="9416" max="9416" width="60.1640625" bestFit="1" customWidth="1"/>
    <col min="9417" max="9417" width="25.6640625" bestFit="1" customWidth="1"/>
    <col min="9418" max="9418" width="70.33203125" bestFit="1" customWidth="1"/>
    <col min="9419" max="9419" width="14" bestFit="1" customWidth="1"/>
    <col min="9420" max="9450" width="5" bestFit="1" customWidth="1"/>
    <col min="9451" max="9485" width="11.5" bestFit="1" customWidth="1"/>
    <col min="9486" max="9671" width="8.83203125" customWidth="1"/>
    <col min="9672" max="9672" width="60.1640625" bestFit="1" customWidth="1"/>
    <col min="9673" max="9673" width="25.6640625" bestFit="1" customWidth="1"/>
    <col min="9674" max="9674" width="70.33203125" bestFit="1" customWidth="1"/>
    <col min="9675" max="9675" width="14" bestFit="1" customWidth="1"/>
    <col min="9676" max="9706" width="5" bestFit="1" customWidth="1"/>
    <col min="9707" max="9741" width="11.5" bestFit="1" customWidth="1"/>
    <col min="9742" max="9927" width="8.83203125" customWidth="1"/>
    <col min="9928" max="9928" width="60.1640625" bestFit="1" customWidth="1"/>
    <col min="9929" max="9929" width="25.6640625" bestFit="1" customWidth="1"/>
    <col min="9930" max="9930" width="70.33203125" bestFit="1" customWidth="1"/>
    <col min="9931" max="9931" width="14" bestFit="1" customWidth="1"/>
    <col min="9932" max="9962" width="5" bestFit="1" customWidth="1"/>
    <col min="9963" max="9997" width="11.5" bestFit="1" customWidth="1"/>
    <col min="9998" max="10183" width="8.83203125" customWidth="1"/>
    <col min="10184" max="10184" width="60.1640625" bestFit="1" customWidth="1"/>
    <col min="10185" max="10185" width="25.6640625" bestFit="1" customWidth="1"/>
    <col min="10186" max="10186" width="70.33203125" bestFit="1" customWidth="1"/>
    <col min="10187" max="10187" width="14" bestFit="1" customWidth="1"/>
    <col min="10188" max="10218" width="5" bestFit="1" customWidth="1"/>
    <col min="10219" max="10253" width="11.5" bestFit="1" customWidth="1"/>
    <col min="10254" max="10439" width="8.83203125" customWidth="1"/>
    <col min="10440" max="10440" width="60.1640625" bestFit="1" customWidth="1"/>
    <col min="10441" max="10441" width="25.6640625" bestFit="1" customWidth="1"/>
    <col min="10442" max="10442" width="70.33203125" bestFit="1" customWidth="1"/>
    <col min="10443" max="10443" width="14" bestFit="1" customWidth="1"/>
    <col min="10444" max="10474" width="5" bestFit="1" customWidth="1"/>
    <col min="10475" max="10509" width="11.5" bestFit="1" customWidth="1"/>
    <col min="10510" max="10695" width="8.83203125" customWidth="1"/>
    <col min="10696" max="10696" width="60.1640625" bestFit="1" customWidth="1"/>
    <col min="10697" max="10697" width="25.6640625" bestFit="1" customWidth="1"/>
    <col min="10698" max="10698" width="70.33203125" bestFit="1" customWidth="1"/>
    <col min="10699" max="10699" width="14" bestFit="1" customWidth="1"/>
    <col min="10700" max="10730" width="5" bestFit="1" customWidth="1"/>
    <col min="10731" max="10765" width="11.5" bestFit="1" customWidth="1"/>
    <col min="10766" max="10951" width="8.83203125" customWidth="1"/>
    <col min="10952" max="10952" width="60.1640625" bestFit="1" customWidth="1"/>
    <col min="10953" max="10953" width="25.6640625" bestFit="1" customWidth="1"/>
    <col min="10954" max="10954" width="70.33203125" bestFit="1" customWidth="1"/>
    <col min="10955" max="10955" width="14" bestFit="1" customWidth="1"/>
    <col min="10956" max="10986" width="5" bestFit="1" customWidth="1"/>
    <col min="10987" max="11021" width="11.5" bestFit="1" customWidth="1"/>
    <col min="11022" max="11207" width="8.83203125" customWidth="1"/>
    <col min="11208" max="11208" width="60.1640625" bestFit="1" customWidth="1"/>
    <col min="11209" max="11209" width="25.6640625" bestFit="1" customWidth="1"/>
    <col min="11210" max="11210" width="70.33203125" bestFit="1" customWidth="1"/>
    <col min="11211" max="11211" width="14" bestFit="1" customWidth="1"/>
    <col min="11212" max="11242" width="5" bestFit="1" customWidth="1"/>
    <col min="11243" max="11277" width="11.5" bestFit="1" customWidth="1"/>
    <col min="11278" max="11463" width="8.83203125" customWidth="1"/>
    <col min="11464" max="11464" width="60.1640625" bestFit="1" customWidth="1"/>
    <col min="11465" max="11465" width="25.6640625" bestFit="1" customWidth="1"/>
    <col min="11466" max="11466" width="70.33203125" bestFit="1" customWidth="1"/>
    <col min="11467" max="11467" width="14" bestFit="1" customWidth="1"/>
    <col min="11468" max="11498" width="5" bestFit="1" customWidth="1"/>
    <col min="11499" max="11533" width="11.5" bestFit="1" customWidth="1"/>
    <col min="11534" max="11719" width="8.83203125" customWidth="1"/>
    <col min="11720" max="11720" width="60.1640625" bestFit="1" customWidth="1"/>
    <col min="11721" max="11721" width="25.6640625" bestFit="1" customWidth="1"/>
    <col min="11722" max="11722" width="70.33203125" bestFit="1" customWidth="1"/>
    <col min="11723" max="11723" width="14" bestFit="1" customWidth="1"/>
    <col min="11724" max="11754" width="5" bestFit="1" customWidth="1"/>
    <col min="11755" max="11789" width="11.5" bestFit="1" customWidth="1"/>
    <col min="11790" max="11975" width="8.83203125" customWidth="1"/>
    <col min="11976" max="11976" width="60.1640625" bestFit="1" customWidth="1"/>
    <col min="11977" max="11977" width="25.6640625" bestFit="1" customWidth="1"/>
    <col min="11978" max="11978" width="70.33203125" bestFit="1" customWidth="1"/>
    <col min="11979" max="11979" width="14" bestFit="1" customWidth="1"/>
    <col min="11980" max="12010" width="5" bestFit="1" customWidth="1"/>
    <col min="12011" max="12045" width="11.5" bestFit="1" customWidth="1"/>
    <col min="12046" max="12231" width="8.83203125" customWidth="1"/>
    <col min="12232" max="12232" width="60.1640625" bestFit="1" customWidth="1"/>
    <col min="12233" max="12233" width="25.6640625" bestFit="1" customWidth="1"/>
    <col min="12234" max="12234" width="70.33203125" bestFit="1" customWidth="1"/>
    <col min="12235" max="12235" width="14" bestFit="1" customWidth="1"/>
    <col min="12236" max="12266" width="5" bestFit="1" customWidth="1"/>
    <col min="12267" max="12301" width="11.5" bestFit="1" customWidth="1"/>
    <col min="12302" max="12487" width="8.83203125" customWidth="1"/>
    <col min="12488" max="12488" width="60.1640625" bestFit="1" customWidth="1"/>
    <col min="12489" max="12489" width="25.6640625" bestFit="1" customWidth="1"/>
    <col min="12490" max="12490" width="70.33203125" bestFit="1" customWidth="1"/>
    <col min="12491" max="12491" width="14" bestFit="1" customWidth="1"/>
    <col min="12492" max="12522" width="5" bestFit="1" customWidth="1"/>
    <col min="12523" max="12557" width="11.5" bestFit="1" customWidth="1"/>
    <col min="12558" max="12743" width="8.83203125" customWidth="1"/>
    <col min="12744" max="12744" width="60.1640625" bestFit="1" customWidth="1"/>
    <col min="12745" max="12745" width="25.6640625" bestFit="1" customWidth="1"/>
    <col min="12746" max="12746" width="70.33203125" bestFit="1" customWidth="1"/>
    <col min="12747" max="12747" width="14" bestFit="1" customWidth="1"/>
    <col min="12748" max="12778" width="5" bestFit="1" customWidth="1"/>
    <col min="12779" max="12813" width="11.5" bestFit="1" customWidth="1"/>
    <col min="12814" max="12999" width="8.83203125" customWidth="1"/>
    <col min="13000" max="13000" width="60.1640625" bestFit="1" customWidth="1"/>
    <col min="13001" max="13001" width="25.6640625" bestFit="1" customWidth="1"/>
    <col min="13002" max="13002" width="70.33203125" bestFit="1" customWidth="1"/>
    <col min="13003" max="13003" width="14" bestFit="1" customWidth="1"/>
    <col min="13004" max="13034" width="5" bestFit="1" customWidth="1"/>
    <col min="13035" max="13069" width="11.5" bestFit="1" customWidth="1"/>
    <col min="13070" max="13255" width="8.83203125" customWidth="1"/>
    <col min="13256" max="13256" width="60.1640625" bestFit="1" customWidth="1"/>
    <col min="13257" max="13257" width="25.6640625" bestFit="1" customWidth="1"/>
    <col min="13258" max="13258" width="70.33203125" bestFit="1" customWidth="1"/>
    <col min="13259" max="13259" width="14" bestFit="1" customWidth="1"/>
    <col min="13260" max="13290" width="5" bestFit="1" customWidth="1"/>
    <col min="13291" max="13325" width="11.5" bestFit="1" customWidth="1"/>
    <col min="13326" max="13511" width="8.83203125" customWidth="1"/>
    <col min="13512" max="13512" width="60.1640625" bestFit="1" customWidth="1"/>
    <col min="13513" max="13513" width="25.6640625" bestFit="1" customWidth="1"/>
    <col min="13514" max="13514" width="70.33203125" bestFit="1" customWidth="1"/>
    <col min="13515" max="13515" width="14" bestFit="1" customWidth="1"/>
    <col min="13516" max="13546" width="5" bestFit="1" customWidth="1"/>
    <col min="13547" max="13581" width="11.5" bestFit="1" customWidth="1"/>
    <col min="13582" max="13767" width="8.83203125" customWidth="1"/>
    <col min="13768" max="13768" width="60.1640625" bestFit="1" customWidth="1"/>
    <col min="13769" max="13769" width="25.6640625" bestFit="1" customWidth="1"/>
    <col min="13770" max="13770" width="70.33203125" bestFit="1" customWidth="1"/>
    <col min="13771" max="13771" width="14" bestFit="1" customWidth="1"/>
    <col min="13772" max="13802" width="5" bestFit="1" customWidth="1"/>
    <col min="13803" max="13837" width="11.5" bestFit="1" customWidth="1"/>
    <col min="13838" max="14023" width="8.83203125" customWidth="1"/>
    <col min="14024" max="14024" width="60.1640625" bestFit="1" customWidth="1"/>
    <col min="14025" max="14025" width="25.6640625" bestFit="1" customWidth="1"/>
    <col min="14026" max="14026" width="70.33203125" bestFit="1" customWidth="1"/>
    <col min="14027" max="14027" width="14" bestFit="1" customWidth="1"/>
    <col min="14028" max="14058" width="5" bestFit="1" customWidth="1"/>
    <col min="14059" max="14093" width="11.5" bestFit="1" customWidth="1"/>
    <col min="14094" max="14279" width="8.83203125" customWidth="1"/>
    <col min="14280" max="14280" width="60.1640625" bestFit="1" customWidth="1"/>
    <col min="14281" max="14281" width="25.6640625" bestFit="1" customWidth="1"/>
    <col min="14282" max="14282" width="70.33203125" bestFit="1" customWidth="1"/>
    <col min="14283" max="14283" width="14" bestFit="1" customWidth="1"/>
    <col min="14284" max="14314" width="5" bestFit="1" customWidth="1"/>
    <col min="14315" max="14349" width="11.5" bestFit="1" customWidth="1"/>
    <col min="14350" max="14535" width="8.83203125" customWidth="1"/>
    <col min="14536" max="14536" width="60.1640625" bestFit="1" customWidth="1"/>
    <col min="14537" max="14537" width="25.6640625" bestFit="1" customWidth="1"/>
    <col min="14538" max="14538" width="70.33203125" bestFit="1" customWidth="1"/>
    <col min="14539" max="14539" width="14" bestFit="1" customWidth="1"/>
    <col min="14540" max="14570" width="5" bestFit="1" customWidth="1"/>
    <col min="14571" max="14605" width="11.5" bestFit="1" customWidth="1"/>
    <col min="14606" max="14791" width="8.83203125" customWidth="1"/>
    <col min="14792" max="14792" width="60.1640625" bestFit="1" customWidth="1"/>
    <col min="14793" max="14793" width="25.6640625" bestFit="1" customWidth="1"/>
    <col min="14794" max="14794" width="70.33203125" bestFit="1" customWidth="1"/>
    <col min="14795" max="14795" width="14" bestFit="1" customWidth="1"/>
    <col min="14796" max="14826" width="5" bestFit="1" customWidth="1"/>
    <col min="14827" max="14861" width="11.5" bestFit="1" customWidth="1"/>
    <col min="14862" max="15047" width="8.83203125" customWidth="1"/>
    <col min="15048" max="15048" width="60.1640625" bestFit="1" customWidth="1"/>
    <col min="15049" max="15049" width="25.6640625" bestFit="1" customWidth="1"/>
    <col min="15050" max="15050" width="70.33203125" bestFit="1" customWidth="1"/>
    <col min="15051" max="15051" width="14" bestFit="1" customWidth="1"/>
    <col min="15052" max="15082" width="5" bestFit="1" customWidth="1"/>
    <col min="15083" max="15117" width="11.5" bestFit="1" customWidth="1"/>
    <col min="15118" max="15303" width="8.83203125" customWidth="1"/>
    <col min="15304" max="15304" width="60.1640625" bestFit="1" customWidth="1"/>
    <col min="15305" max="15305" width="25.6640625" bestFit="1" customWidth="1"/>
    <col min="15306" max="15306" width="70.33203125" bestFit="1" customWidth="1"/>
    <col min="15307" max="15307" width="14" bestFit="1" customWidth="1"/>
    <col min="15308" max="15338" width="5" bestFit="1" customWidth="1"/>
    <col min="15339" max="15373" width="11.5" bestFit="1" customWidth="1"/>
    <col min="15374" max="15559" width="8.83203125" customWidth="1"/>
    <col min="15560" max="15560" width="60.1640625" bestFit="1" customWidth="1"/>
    <col min="15561" max="15561" width="25.6640625" bestFit="1" customWidth="1"/>
    <col min="15562" max="15562" width="70.33203125" bestFit="1" customWidth="1"/>
    <col min="15563" max="15563" width="14" bestFit="1" customWidth="1"/>
    <col min="15564" max="15594" width="5" bestFit="1" customWidth="1"/>
    <col min="15595" max="15629" width="11.5" bestFit="1" customWidth="1"/>
    <col min="15630" max="15815" width="8.83203125" customWidth="1"/>
    <col min="15816" max="15816" width="60.1640625" bestFit="1" customWidth="1"/>
    <col min="15817" max="15817" width="25.6640625" bestFit="1" customWidth="1"/>
    <col min="15818" max="15818" width="70.33203125" bestFit="1" customWidth="1"/>
    <col min="15819" max="15819" width="14" bestFit="1" customWidth="1"/>
    <col min="15820" max="15850" width="5" bestFit="1" customWidth="1"/>
    <col min="15851" max="15885" width="11.5" bestFit="1" customWidth="1"/>
    <col min="15886" max="16071" width="8.83203125" customWidth="1"/>
    <col min="16072" max="16072" width="60.1640625" bestFit="1" customWidth="1"/>
    <col min="16073" max="16073" width="25.6640625" bestFit="1" customWidth="1"/>
    <col min="16074" max="16074" width="70.33203125" bestFit="1" customWidth="1"/>
    <col min="16075" max="16075" width="14" bestFit="1" customWidth="1"/>
    <col min="16076" max="16106" width="5" bestFit="1" customWidth="1"/>
    <col min="16107" max="16141" width="11.5" bestFit="1" customWidth="1"/>
    <col min="16142" max="16384" width="8.83203125" customWidth="1"/>
  </cols>
  <sheetData>
    <row r="1" spans="1:13" x14ac:dyDescent="0.2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</row>
    <row r="2" spans="1:13" x14ac:dyDescent="0.2">
      <c r="A2" t="s">
        <v>426</v>
      </c>
      <c r="B2" t="s">
        <v>427</v>
      </c>
      <c r="C2" t="s">
        <v>864</v>
      </c>
    </row>
    <row r="3" spans="1:13" x14ac:dyDescent="0.2">
      <c r="A3" t="s">
        <v>428</v>
      </c>
      <c r="B3" t="s">
        <v>429</v>
      </c>
      <c r="C3" t="s">
        <v>864</v>
      </c>
      <c r="D3">
        <v>13.725491547710629</v>
      </c>
      <c r="E3">
        <v>13.594787282342784</v>
      </c>
      <c r="F3">
        <v>13.565833831709554</v>
      </c>
      <c r="G3">
        <v>13.839376476385585</v>
      </c>
      <c r="H3">
        <v>15.018714114080186</v>
      </c>
      <c r="I3">
        <v>14.929678920720002</v>
      </c>
      <c r="J3">
        <v>13.938983785228325</v>
      </c>
      <c r="K3">
        <v>13.68815051829611</v>
      </c>
      <c r="L3">
        <v>13.52593043250403</v>
      </c>
      <c r="M3">
        <v>13.440297862043694</v>
      </c>
    </row>
    <row r="4" spans="1:13" x14ac:dyDescent="0.2">
      <c r="A4" t="s">
        <v>430</v>
      </c>
      <c r="B4" t="s">
        <v>431</v>
      </c>
      <c r="C4" t="s">
        <v>864</v>
      </c>
      <c r="D4">
        <v>14.932</v>
      </c>
      <c r="E4">
        <v>17.309999999999999</v>
      </c>
      <c r="F4">
        <v>16.402000000000001</v>
      </c>
      <c r="G4">
        <v>15.52</v>
      </c>
      <c r="H4">
        <v>16.053000000000001</v>
      </c>
      <c r="I4">
        <v>16.013000000000002</v>
      </c>
      <c r="J4">
        <v>17.539000000000001</v>
      </c>
      <c r="K4">
        <v>17.494</v>
      </c>
      <c r="L4">
        <v>17.234999999999999</v>
      </c>
      <c r="M4">
        <v>16.785</v>
      </c>
    </row>
    <row r="5" spans="1:13" x14ac:dyDescent="0.2">
      <c r="A5" t="s">
        <v>432</v>
      </c>
      <c r="B5" t="s">
        <v>433</v>
      </c>
      <c r="C5" t="s">
        <v>864</v>
      </c>
      <c r="D5">
        <v>7.7047649521993229</v>
      </c>
      <c r="E5">
        <v>7.8917311297305375</v>
      </c>
      <c r="F5">
        <v>7.9256759858925809</v>
      </c>
      <c r="G5">
        <v>8.0132673877767626</v>
      </c>
      <c r="H5">
        <v>8.6873194074026632</v>
      </c>
      <c r="I5">
        <v>7.6464533269567188</v>
      </c>
      <c r="J5">
        <v>5.9107512029892471</v>
      </c>
      <c r="K5">
        <v>5.5005115300371381</v>
      </c>
      <c r="L5">
        <v>5.4743629359735655</v>
      </c>
      <c r="M5">
        <v>5.5965984682030747</v>
      </c>
    </row>
    <row r="6" spans="1:13" x14ac:dyDescent="0.2">
      <c r="A6" t="s">
        <v>434</v>
      </c>
      <c r="B6" t="s">
        <v>435</v>
      </c>
      <c r="C6" t="s">
        <v>864</v>
      </c>
      <c r="D6">
        <v>34.482999999999997</v>
      </c>
      <c r="E6">
        <v>33.725000000000001</v>
      </c>
      <c r="F6">
        <v>32.854999999999997</v>
      </c>
      <c r="G6">
        <v>31.832000000000001</v>
      </c>
      <c r="H6">
        <v>33.076000000000001</v>
      </c>
      <c r="I6">
        <v>30.170999999999999</v>
      </c>
      <c r="J6">
        <v>27.143000000000001</v>
      </c>
      <c r="K6">
        <v>26.834</v>
      </c>
      <c r="L6">
        <v>26.74</v>
      </c>
      <c r="M6">
        <v>27.228999999999999</v>
      </c>
    </row>
    <row r="7" spans="1:13" x14ac:dyDescent="0.2">
      <c r="A7" t="s">
        <v>436</v>
      </c>
      <c r="B7" t="s">
        <v>437</v>
      </c>
      <c r="C7" t="s">
        <v>864</v>
      </c>
      <c r="D7">
        <v>35.917999999999999</v>
      </c>
      <c r="E7">
        <v>31.184000000000001</v>
      </c>
      <c r="F7">
        <v>28.109000000000002</v>
      </c>
      <c r="G7">
        <v>26.942</v>
      </c>
      <c r="H7">
        <v>26.422000000000001</v>
      </c>
      <c r="I7">
        <v>27.088999999999999</v>
      </c>
      <c r="J7">
        <v>24.542999999999999</v>
      </c>
      <c r="K7">
        <v>25.41</v>
      </c>
      <c r="L7">
        <v>25.582000000000001</v>
      </c>
      <c r="M7">
        <v>25.567</v>
      </c>
    </row>
    <row r="8" spans="1:13" x14ac:dyDescent="0.2">
      <c r="A8" t="s">
        <v>438</v>
      </c>
      <c r="B8" t="s">
        <v>439</v>
      </c>
      <c r="C8" t="s">
        <v>864</v>
      </c>
    </row>
    <row r="9" spans="1:13" x14ac:dyDescent="0.2">
      <c r="A9" t="s">
        <v>440</v>
      </c>
      <c r="B9" t="s">
        <v>441</v>
      </c>
      <c r="C9" t="s">
        <v>864</v>
      </c>
      <c r="D9">
        <v>28.387388864967772</v>
      </c>
      <c r="E9">
        <v>29.117009641933102</v>
      </c>
      <c r="F9">
        <v>27.567655741636219</v>
      </c>
      <c r="G9">
        <v>26.102281306591866</v>
      </c>
      <c r="H9">
        <v>28.096561722329671</v>
      </c>
      <c r="I9">
        <v>26.729901348486216</v>
      </c>
      <c r="J9">
        <v>24.100073941844737</v>
      </c>
      <c r="K9">
        <v>25.313550933638165</v>
      </c>
      <c r="L9">
        <v>25.368668283921046</v>
      </c>
      <c r="M9">
        <v>25.487899617835382</v>
      </c>
    </row>
    <row r="10" spans="1:13" x14ac:dyDescent="0.2">
      <c r="A10" t="s">
        <v>332</v>
      </c>
      <c r="B10" t="s">
        <v>333</v>
      </c>
      <c r="C10" t="s">
        <v>864</v>
      </c>
      <c r="D10">
        <v>5.1070000000000002</v>
      </c>
      <c r="E10">
        <v>7.4740000000000002</v>
      </c>
      <c r="F10">
        <v>6.7469999999999999</v>
      </c>
      <c r="G10">
        <v>7.3250000000000002</v>
      </c>
      <c r="H10">
        <v>13.481999999999999</v>
      </c>
      <c r="I10">
        <v>9.7370000000000001</v>
      </c>
      <c r="J10">
        <v>9.9920000000000009</v>
      </c>
      <c r="K10">
        <v>6.351</v>
      </c>
      <c r="L10">
        <v>6.4249999999999998</v>
      </c>
      <c r="M10">
        <v>6.4509999999999996</v>
      </c>
    </row>
    <row r="11" spans="1:13" x14ac:dyDescent="0.2">
      <c r="A11" t="s">
        <v>442</v>
      </c>
      <c r="B11" t="s">
        <v>443</v>
      </c>
      <c r="C11" t="s">
        <v>864</v>
      </c>
      <c r="D11">
        <v>21.798999999999999</v>
      </c>
      <c r="E11">
        <v>22.843</v>
      </c>
      <c r="F11">
        <v>23.844999999999999</v>
      </c>
      <c r="G11">
        <v>25.841999999999999</v>
      </c>
      <c r="H11">
        <v>30.428999999999998</v>
      </c>
      <c r="I11">
        <v>23.373000000000001</v>
      </c>
      <c r="J11">
        <v>19.004000000000001</v>
      </c>
      <c r="K11">
        <v>17.946000000000002</v>
      </c>
      <c r="L11">
        <v>19.228000000000002</v>
      </c>
      <c r="M11">
        <v>19.187999999999999</v>
      </c>
    </row>
    <row r="12" spans="1:13" x14ac:dyDescent="0.2">
      <c r="A12" t="s">
        <v>444</v>
      </c>
      <c r="B12" t="s">
        <v>445</v>
      </c>
      <c r="C12" t="s">
        <v>864</v>
      </c>
      <c r="D12">
        <v>35.656999999999996</v>
      </c>
      <c r="E12">
        <v>37.728000000000002</v>
      </c>
      <c r="F12">
        <v>33.619999999999997</v>
      </c>
      <c r="G12">
        <v>32.613</v>
      </c>
      <c r="H12">
        <v>32.079000000000001</v>
      </c>
      <c r="I12">
        <v>30.094999999999999</v>
      </c>
      <c r="J12">
        <v>26.690999999999999</v>
      </c>
      <c r="K12">
        <v>26.736000000000001</v>
      </c>
      <c r="L12">
        <v>26.658999999999999</v>
      </c>
      <c r="M12">
        <v>26.244</v>
      </c>
    </row>
    <row r="13" spans="1:13" x14ac:dyDescent="0.2">
      <c r="A13" t="s">
        <v>446</v>
      </c>
      <c r="B13" t="s">
        <v>447</v>
      </c>
      <c r="C13" t="s">
        <v>864</v>
      </c>
    </row>
    <row r="14" spans="1:13" x14ac:dyDescent="0.2">
      <c r="A14" t="s">
        <v>448</v>
      </c>
      <c r="B14" t="s">
        <v>449</v>
      </c>
      <c r="C14" t="s">
        <v>864</v>
      </c>
    </row>
    <row r="15" spans="1:13" x14ac:dyDescent="0.2">
      <c r="A15" t="s">
        <v>357</v>
      </c>
      <c r="B15" t="s">
        <v>359</v>
      </c>
      <c r="C15" t="s">
        <v>864</v>
      </c>
      <c r="D15">
        <v>12.641999999999999</v>
      </c>
      <c r="E15">
        <v>12.592000000000001</v>
      </c>
      <c r="F15">
        <v>11.935</v>
      </c>
      <c r="G15">
        <v>11.452</v>
      </c>
      <c r="H15">
        <v>14.141999999999999</v>
      </c>
      <c r="I15">
        <v>11.134</v>
      </c>
      <c r="J15">
        <v>8.468</v>
      </c>
      <c r="K15">
        <v>8.3879999999999999</v>
      </c>
      <c r="L15">
        <v>9.4079999999999995</v>
      </c>
      <c r="M15">
        <v>9.61</v>
      </c>
    </row>
    <row r="16" spans="1:13" x14ac:dyDescent="0.2">
      <c r="A16" t="s">
        <v>23</v>
      </c>
      <c r="B16" t="s">
        <v>26</v>
      </c>
      <c r="C16" t="s">
        <v>864</v>
      </c>
      <c r="D16">
        <v>11.423999999999999</v>
      </c>
      <c r="E16">
        <v>9.9710000000000001</v>
      </c>
      <c r="F16">
        <v>9.5719999999999992</v>
      </c>
      <c r="G16">
        <v>8.7669999999999995</v>
      </c>
      <c r="H16">
        <v>10.324999999999999</v>
      </c>
      <c r="I16">
        <v>12.023</v>
      </c>
      <c r="J16">
        <v>10.327</v>
      </c>
      <c r="K16">
        <v>10.98</v>
      </c>
      <c r="L16">
        <v>10.428000000000001</v>
      </c>
      <c r="M16">
        <v>10.997999999999999</v>
      </c>
    </row>
    <row r="17" spans="1:13" x14ac:dyDescent="0.2">
      <c r="A17" t="s">
        <v>450</v>
      </c>
      <c r="B17" t="s">
        <v>451</v>
      </c>
      <c r="C17" t="s">
        <v>864</v>
      </c>
      <c r="D17">
        <v>12.925000000000001</v>
      </c>
      <c r="E17">
        <v>12.388999999999999</v>
      </c>
      <c r="F17">
        <v>11.637</v>
      </c>
      <c r="G17">
        <v>11.475</v>
      </c>
      <c r="H17">
        <v>15.129</v>
      </c>
      <c r="I17">
        <v>14.675000000000001</v>
      </c>
      <c r="J17">
        <v>13.616</v>
      </c>
      <c r="K17">
        <v>13.581</v>
      </c>
      <c r="L17">
        <v>13.544</v>
      </c>
      <c r="M17">
        <v>13.090999999999999</v>
      </c>
    </row>
    <row r="18" spans="1:13" x14ac:dyDescent="0.2">
      <c r="A18" t="s">
        <v>452</v>
      </c>
      <c r="B18" t="s">
        <v>453</v>
      </c>
      <c r="C18" t="s">
        <v>864</v>
      </c>
      <c r="D18">
        <v>2.456</v>
      </c>
      <c r="E18">
        <v>2.2250000000000001</v>
      </c>
      <c r="F18">
        <v>1.9930000000000001</v>
      </c>
      <c r="G18">
        <v>1.754</v>
      </c>
      <c r="H18">
        <v>1.69</v>
      </c>
      <c r="I18">
        <v>1.772</v>
      </c>
      <c r="J18">
        <v>1.7050000000000001</v>
      </c>
      <c r="K18">
        <v>1.7</v>
      </c>
      <c r="L18">
        <v>1.6950000000000001</v>
      </c>
      <c r="M18">
        <v>1.6779999999999999</v>
      </c>
    </row>
    <row r="19" spans="1:13" x14ac:dyDescent="0.2">
      <c r="A19" t="s">
        <v>35</v>
      </c>
      <c r="B19" t="s">
        <v>37</v>
      </c>
      <c r="C19" t="s">
        <v>864</v>
      </c>
      <c r="D19">
        <v>20.108000000000001</v>
      </c>
      <c r="E19">
        <v>19.236000000000001</v>
      </c>
      <c r="F19">
        <v>15.747999999999999</v>
      </c>
      <c r="G19">
        <v>14.236000000000001</v>
      </c>
      <c r="H19">
        <v>15.326000000000001</v>
      </c>
      <c r="I19">
        <v>18.206</v>
      </c>
      <c r="J19">
        <v>16.41</v>
      </c>
      <c r="K19">
        <v>16.119</v>
      </c>
      <c r="L19">
        <v>17.343</v>
      </c>
      <c r="M19">
        <v>17.777000000000001</v>
      </c>
    </row>
    <row r="20" spans="1:13" x14ac:dyDescent="0.2">
      <c r="A20" t="s">
        <v>454</v>
      </c>
      <c r="B20" t="s">
        <v>455</v>
      </c>
      <c r="C20" t="s">
        <v>864</v>
      </c>
      <c r="D20">
        <v>3.2370000000000001</v>
      </c>
      <c r="E20">
        <v>2.9809999999999999</v>
      </c>
      <c r="F20">
        <v>2.621</v>
      </c>
      <c r="G20">
        <v>2.302</v>
      </c>
      <c r="H20">
        <v>2.96</v>
      </c>
      <c r="I20">
        <v>3.242</v>
      </c>
      <c r="J20">
        <v>3.13</v>
      </c>
      <c r="K20">
        <v>3.09</v>
      </c>
      <c r="L20">
        <v>3.089</v>
      </c>
      <c r="M20">
        <v>2.887</v>
      </c>
    </row>
    <row r="21" spans="1:13" x14ac:dyDescent="0.2">
      <c r="A21" t="s">
        <v>456</v>
      </c>
      <c r="B21" t="s">
        <v>457</v>
      </c>
      <c r="C21" t="s">
        <v>864</v>
      </c>
      <c r="D21">
        <v>7.383</v>
      </c>
      <c r="E21">
        <v>7.53</v>
      </c>
      <c r="F21">
        <v>7.6379999999999999</v>
      </c>
      <c r="G21">
        <v>7.4320000000000004</v>
      </c>
      <c r="H21">
        <v>7.9779999999999998</v>
      </c>
      <c r="I21">
        <v>7.6420000000000003</v>
      </c>
      <c r="J21">
        <v>6.7220000000000004</v>
      </c>
      <c r="K21">
        <v>6.569</v>
      </c>
      <c r="L21">
        <v>6.5250000000000004</v>
      </c>
      <c r="M21">
        <v>6.4379999999999997</v>
      </c>
    </row>
    <row r="22" spans="1:13" x14ac:dyDescent="0.2">
      <c r="A22" t="s">
        <v>458</v>
      </c>
      <c r="B22" t="s">
        <v>459</v>
      </c>
      <c r="C22" t="s">
        <v>864</v>
      </c>
      <c r="D22">
        <v>10.956</v>
      </c>
      <c r="E22">
        <v>12.101000000000001</v>
      </c>
      <c r="F22">
        <v>11.907</v>
      </c>
      <c r="G22">
        <v>11.742000000000001</v>
      </c>
      <c r="H22">
        <v>13.473000000000001</v>
      </c>
      <c r="I22">
        <v>12.72</v>
      </c>
      <c r="J22">
        <v>10.984999999999999</v>
      </c>
      <c r="K22">
        <v>7.9050000000000002</v>
      </c>
      <c r="L22">
        <v>9.0969999999999995</v>
      </c>
      <c r="M22">
        <v>9.3849999999999998</v>
      </c>
    </row>
    <row r="23" spans="1:13" x14ac:dyDescent="0.2">
      <c r="A23" t="s">
        <v>45</v>
      </c>
      <c r="B23" t="s">
        <v>47</v>
      </c>
      <c r="C23" t="s">
        <v>864</v>
      </c>
      <c r="D23">
        <v>17.224</v>
      </c>
      <c r="E23">
        <v>12.927</v>
      </c>
      <c r="F23">
        <v>12.676</v>
      </c>
      <c r="G23">
        <v>8.7769999999999992</v>
      </c>
      <c r="H23">
        <v>14.143000000000001</v>
      </c>
      <c r="I23">
        <v>15.701000000000001</v>
      </c>
      <c r="J23">
        <v>10.582000000000001</v>
      </c>
      <c r="K23">
        <v>12.048999999999999</v>
      </c>
      <c r="L23">
        <v>12.493</v>
      </c>
      <c r="M23">
        <v>10.151999999999999</v>
      </c>
    </row>
    <row r="24" spans="1:13" x14ac:dyDescent="0.2">
      <c r="A24" t="s">
        <v>460</v>
      </c>
      <c r="B24" t="s">
        <v>461</v>
      </c>
      <c r="C24" t="s">
        <v>864</v>
      </c>
      <c r="D24">
        <v>5.5270000000000001</v>
      </c>
      <c r="E24">
        <v>5.593</v>
      </c>
      <c r="F24">
        <v>5.633</v>
      </c>
      <c r="G24">
        <v>5.657</v>
      </c>
      <c r="H24">
        <v>6.3890000000000002</v>
      </c>
      <c r="I24">
        <v>6.0430000000000001</v>
      </c>
      <c r="J24">
        <v>5.33</v>
      </c>
      <c r="K24">
        <v>5.3810000000000002</v>
      </c>
      <c r="L24">
        <v>5.4690000000000003</v>
      </c>
      <c r="M24">
        <v>5.4160000000000004</v>
      </c>
    </row>
    <row r="25" spans="1:13" x14ac:dyDescent="0.2">
      <c r="A25" t="s">
        <v>462</v>
      </c>
      <c r="B25" t="s">
        <v>463</v>
      </c>
      <c r="C25" t="s">
        <v>864</v>
      </c>
      <c r="D25">
        <v>25.844000000000001</v>
      </c>
      <c r="E25">
        <v>21.547000000000001</v>
      </c>
      <c r="F25">
        <v>24.16</v>
      </c>
      <c r="G25">
        <v>19.234999999999999</v>
      </c>
      <c r="H25">
        <v>23.943000000000001</v>
      </c>
      <c r="I25">
        <v>21.768000000000001</v>
      </c>
      <c r="J25">
        <v>18.693999999999999</v>
      </c>
      <c r="K25">
        <v>17.696000000000002</v>
      </c>
      <c r="L25">
        <v>18.291</v>
      </c>
      <c r="M25">
        <v>19.248000000000001</v>
      </c>
    </row>
    <row r="26" spans="1:13" x14ac:dyDescent="0.2">
      <c r="A26" t="s">
        <v>464</v>
      </c>
      <c r="B26" t="s">
        <v>465</v>
      </c>
      <c r="C26" t="s">
        <v>864</v>
      </c>
      <c r="D26">
        <v>56.261000000000003</v>
      </c>
      <c r="E26">
        <v>47.924999999999997</v>
      </c>
      <c r="F26">
        <v>40.534999999999997</v>
      </c>
      <c r="G26">
        <v>35.262999999999998</v>
      </c>
      <c r="H26">
        <v>37.923999999999999</v>
      </c>
      <c r="I26">
        <v>35.816000000000003</v>
      </c>
      <c r="J26">
        <v>31.728000000000002</v>
      </c>
      <c r="K26">
        <v>27.27</v>
      </c>
      <c r="L26">
        <v>27.334</v>
      </c>
      <c r="M26">
        <v>28.201000000000001</v>
      </c>
    </row>
    <row r="27" spans="1:13" x14ac:dyDescent="0.2">
      <c r="A27" t="s">
        <v>466</v>
      </c>
      <c r="B27" t="s">
        <v>467</v>
      </c>
      <c r="C27" t="s">
        <v>864</v>
      </c>
      <c r="D27">
        <v>10.728999999999999</v>
      </c>
      <c r="E27">
        <v>9.3480000000000008</v>
      </c>
      <c r="F27">
        <v>10.651</v>
      </c>
      <c r="G27">
        <v>10.207000000000001</v>
      </c>
      <c r="H27">
        <v>12.045999999999999</v>
      </c>
      <c r="I27">
        <v>10.493</v>
      </c>
      <c r="J27">
        <v>10.282999999999999</v>
      </c>
      <c r="K27">
        <v>10.596</v>
      </c>
      <c r="L27">
        <v>10.538</v>
      </c>
      <c r="M27">
        <v>9.1829999999999998</v>
      </c>
    </row>
    <row r="28" spans="1:13" x14ac:dyDescent="0.2">
      <c r="A28" t="s">
        <v>468</v>
      </c>
      <c r="B28" t="s">
        <v>469</v>
      </c>
      <c r="C28" t="s">
        <v>864</v>
      </c>
      <c r="D28">
        <v>16.547000000000001</v>
      </c>
      <c r="E28">
        <v>15.686</v>
      </c>
      <c r="F28">
        <v>22.006</v>
      </c>
      <c r="G28">
        <v>19.934000000000001</v>
      </c>
      <c r="H28">
        <v>22.367000000000001</v>
      </c>
      <c r="I28">
        <v>21.818999999999999</v>
      </c>
      <c r="J28">
        <v>18.422000000000001</v>
      </c>
      <c r="K28">
        <v>17.832999999999998</v>
      </c>
      <c r="L28">
        <v>18.553000000000001</v>
      </c>
      <c r="M28">
        <v>19.321000000000002</v>
      </c>
    </row>
    <row r="29" spans="1:13" x14ac:dyDescent="0.2">
      <c r="A29" t="s">
        <v>470</v>
      </c>
      <c r="B29" t="s">
        <v>471</v>
      </c>
      <c r="C29" t="s">
        <v>864</v>
      </c>
    </row>
    <row r="30" spans="1:13" x14ac:dyDescent="0.2">
      <c r="A30" t="s">
        <v>472</v>
      </c>
      <c r="B30" t="s">
        <v>473</v>
      </c>
      <c r="C30" t="s">
        <v>864</v>
      </c>
      <c r="D30">
        <v>6.7720000000000002</v>
      </c>
      <c r="E30">
        <v>6.6539999999999999</v>
      </c>
      <c r="F30">
        <v>6.78</v>
      </c>
      <c r="G30">
        <v>6.9269999999999996</v>
      </c>
      <c r="H30">
        <v>15.241</v>
      </c>
      <c r="I30">
        <v>8.1989999999999998</v>
      </c>
      <c r="J30">
        <v>6.0439999999999996</v>
      </c>
      <c r="K30">
        <v>4.968</v>
      </c>
      <c r="L30">
        <v>5.17</v>
      </c>
      <c r="M30">
        <v>5.0129999999999999</v>
      </c>
    </row>
    <row r="31" spans="1:13" x14ac:dyDescent="0.2">
      <c r="A31" t="s">
        <v>474</v>
      </c>
      <c r="B31" t="s">
        <v>475</v>
      </c>
      <c r="C31" t="s">
        <v>864</v>
      </c>
      <c r="D31">
        <v>26.596</v>
      </c>
      <c r="E31">
        <v>28.593</v>
      </c>
      <c r="F31">
        <v>27.957999999999998</v>
      </c>
      <c r="G31">
        <v>27.097999999999999</v>
      </c>
      <c r="H31">
        <v>30.266999999999999</v>
      </c>
      <c r="I31">
        <v>28.311</v>
      </c>
      <c r="J31">
        <v>20.731999999999999</v>
      </c>
      <c r="K31">
        <v>17.937999999999999</v>
      </c>
      <c r="L31">
        <v>15.673999999999999</v>
      </c>
      <c r="M31">
        <v>13.981</v>
      </c>
    </row>
    <row r="32" spans="1:13" x14ac:dyDescent="0.2">
      <c r="A32" t="s">
        <v>476</v>
      </c>
      <c r="B32" t="s">
        <v>477</v>
      </c>
      <c r="C32" t="s">
        <v>864</v>
      </c>
      <c r="D32">
        <v>26.183</v>
      </c>
      <c r="E32">
        <v>26.206</v>
      </c>
      <c r="F32">
        <v>24.207000000000001</v>
      </c>
      <c r="G32">
        <v>25.785</v>
      </c>
      <c r="H32">
        <v>30.030999999999999</v>
      </c>
      <c r="I32">
        <v>28.25</v>
      </c>
      <c r="J32">
        <v>21.026</v>
      </c>
      <c r="K32">
        <v>18.263999999999999</v>
      </c>
      <c r="L32">
        <v>18.048999999999999</v>
      </c>
      <c r="M32">
        <v>18.478999999999999</v>
      </c>
    </row>
    <row r="33" spans="1:13" x14ac:dyDescent="0.2">
      <c r="A33" t="s">
        <v>367</v>
      </c>
      <c r="B33" t="s">
        <v>369</v>
      </c>
      <c r="C33" t="s">
        <v>864</v>
      </c>
      <c r="D33">
        <v>27.629000000000001</v>
      </c>
      <c r="E33">
        <v>29.254999999999999</v>
      </c>
      <c r="F33">
        <v>30.809000000000001</v>
      </c>
      <c r="G33">
        <v>20.140999999999998</v>
      </c>
      <c r="H33">
        <v>26.852</v>
      </c>
      <c r="I33">
        <v>16.238</v>
      </c>
      <c r="J33">
        <v>18.298999999999999</v>
      </c>
      <c r="K33">
        <v>17.954999999999998</v>
      </c>
      <c r="L33">
        <v>17.872</v>
      </c>
      <c r="M33">
        <v>18.23</v>
      </c>
    </row>
    <row r="34" spans="1:13" x14ac:dyDescent="0.2">
      <c r="A34" t="s">
        <v>478</v>
      </c>
      <c r="B34" t="s">
        <v>479</v>
      </c>
      <c r="C34" t="s">
        <v>864</v>
      </c>
      <c r="D34">
        <v>11.614000000000001</v>
      </c>
      <c r="E34">
        <v>13.355</v>
      </c>
      <c r="F34">
        <v>15.199</v>
      </c>
      <c r="G34">
        <v>11.56</v>
      </c>
      <c r="H34">
        <v>21.989000000000001</v>
      </c>
      <c r="I34">
        <v>20.609000000000002</v>
      </c>
      <c r="J34">
        <v>27.177</v>
      </c>
      <c r="K34">
        <v>14.939</v>
      </c>
      <c r="L34">
        <v>17.934000000000001</v>
      </c>
      <c r="M34">
        <v>17.052</v>
      </c>
    </row>
    <row r="35" spans="1:13" x14ac:dyDescent="0.2">
      <c r="A35" t="s">
        <v>365</v>
      </c>
      <c r="B35" t="s">
        <v>366</v>
      </c>
      <c r="C35" t="s">
        <v>864</v>
      </c>
      <c r="D35">
        <v>34.850999999999999</v>
      </c>
      <c r="E35">
        <v>34.872</v>
      </c>
      <c r="F35">
        <v>34.404000000000003</v>
      </c>
      <c r="G35">
        <v>34.588000000000001</v>
      </c>
      <c r="H35">
        <v>40.436</v>
      </c>
      <c r="I35">
        <v>43.354999999999997</v>
      </c>
      <c r="J35">
        <v>42.610999999999997</v>
      </c>
      <c r="K35">
        <v>44.360999999999997</v>
      </c>
      <c r="L35">
        <v>45.295999999999999</v>
      </c>
      <c r="M35">
        <v>46.003999999999998</v>
      </c>
    </row>
    <row r="36" spans="1:13" x14ac:dyDescent="0.2">
      <c r="A36" t="s">
        <v>480</v>
      </c>
      <c r="B36" t="s">
        <v>481</v>
      </c>
      <c r="C36" t="s">
        <v>864</v>
      </c>
      <c r="D36">
        <v>9.7460000000000004</v>
      </c>
      <c r="E36">
        <v>9.7260000000000009</v>
      </c>
      <c r="F36">
        <v>9.5739999999999998</v>
      </c>
      <c r="G36">
        <v>9.6370000000000005</v>
      </c>
      <c r="H36">
        <v>10.863</v>
      </c>
      <c r="I36">
        <v>10.831</v>
      </c>
      <c r="J36">
        <v>10.077999999999999</v>
      </c>
      <c r="K36">
        <v>9.8610000000000007</v>
      </c>
      <c r="L36">
        <v>9.9909999999999997</v>
      </c>
      <c r="M36">
        <v>10.086</v>
      </c>
    </row>
    <row r="37" spans="1:13" x14ac:dyDescent="0.2">
      <c r="A37" t="s">
        <v>482</v>
      </c>
      <c r="B37" t="s">
        <v>483</v>
      </c>
      <c r="C37" t="s">
        <v>864</v>
      </c>
      <c r="D37">
        <v>12.597</v>
      </c>
      <c r="E37">
        <v>11.236000000000001</v>
      </c>
      <c r="F37">
        <v>10.709</v>
      </c>
      <c r="G37">
        <v>10.744</v>
      </c>
      <c r="H37">
        <v>20.125</v>
      </c>
      <c r="I37">
        <v>13.557</v>
      </c>
      <c r="J37">
        <v>10.082000000000001</v>
      </c>
      <c r="K37">
        <v>10.805999999999999</v>
      </c>
      <c r="L37">
        <v>13.276</v>
      </c>
      <c r="M37">
        <v>13.8</v>
      </c>
    </row>
    <row r="38" spans="1:13" x14ac:dyDescent="0.2">
      <c r="A38" t="s">
        <v>484</v>
      </c>
      <c r="B38" t="s">
        <v>485</v>
      </c>
      <c r="C38" t="s">
        <v>864</v>
      </c>
      <c r="D38">
        <v>17.7113840761956</v>
      </c>
      <c r="E38">
        <v>15.009177773908821</v>
      </c>
      <c r="F38">
        <v>12.66390868672114</v>
      </c>
      <c r="G38">
        <v>11.677463919988202</v>
      </c>
      <c r="H38">
        <v>13.636386948423178</v>
      </c>
      <c r="I38">
        <v>14.859425686096067</v>
      </c>
      <c r="J38">
        <v>13.676816062426179</v>
      </c>
      <c r="K38">
        <v>14.160108039270302</v>
      </c>
      <c r="L38">
        <v>14.631737507294769</v>
      </c>
      <c r="M38">
        <v>14.539468563519886</v>
      </c>
    </row>
    <row r="39" spans="1:13" x14ac:dyDescent="0.2">
      <c r="A39" t="s">
        <v>313</v>
      </c>
      <c r="B39" t="s">
        <v>315</v>
      </c>
      <c r="C39" t="s">
        <v>864</v>
      </c>
      <c r="D39">
        <v>8.5790000000000006</v>
      </c>
      <c r="E39">
        <v>8.0589999999999993</v>
      </c>
      <c r="F39">
        <v>7.9370000000000003</v>
      </c>
      <c r="G39">
        <v>7.9930000000000003</v>
      </c>
      <c r="H39">
        <v>8.6029999999999998</v>
      </c>
      <c r="I39">
        <v>8.3149999999999995</v>
      </c>
      <c r="J39">
        <v>6.835</v>
      </c>
      <c r="K39">
        <v>7.8650000000000002</v>
      </c>
      <c r="L39">
        <v>8.2379999999999995</v>
      </c>
      <c r="M39">
        <v>9.0410000000000004</v>
      </c>
    </row>
    <row r="40" spans="1:13" x14ac:dyDescent="0.2">
      <c r="A40" t="s">
        <v>486</v>
      </c>
      <c r="B40" t="s">
        <v>487</v>
      </c>
      <c r="C40" t="s">
        <v>864</v>
      </c>
      <c r="D40">
        <v>17.623999999999999</v>
      </c>
      <c r="E40">
        <v>15.811</v>
      </c>
      <c r="F40">
        <v>14.013</v>
      </c>
      <c r="G40">
        <v>13.75</v>
      </c>
      <c r="H40">
        <v>15.856999999999999</v>
      </c>
      <c r="I40">
        <v>15.619</v>
      </c>
      <c r="J40">
        <v>13.183</v>
      </c>
      <c r="K40">
        <v>13.382</v>
      </c>
      <c r="L40">
        <v>13.699</v>
      </c>
      <c r="M40">
        <v>14.125999999999999</v>
      </c>
    </row>
    <row r="41" spans="1:13" x14ac:dyDescent="0.2">
      <c r="A41" t="s">
        <v>488</v>
      </c>
      <c r="B41" t="s">
        <v>489</v>
      </c>
      <c r="C41" t="s">
        <v>864</v>
      </c>
      <c r="D41">
        <v>15.798999999999999</v>
      </c>
      <c r="E41">
        <v>17.731999999999999</v>
      </c>
      <c r="F41">
        <v>18.138000000000002</v>
      </c>
      <c r="G41">
        <v>18.952999999999999</v>
      </c>
      <c r="H41">
        <v>24.376999999999999</v>
      </c>
      <c r="I41">
        <v>20.477</v>
      </c>
      <c r="J41">
        <v>18.286999999999999</v>
      </c>
      <c r="K41">
        <v>21.972999999999999</v>
      </c>
      <c r="L41">
        <v>20.988</v>
      </c>
      <c r="M41">
        <v>21.635000000000002</v>
      </c>
    </row>
    <row r="42" spans="1:13" x14ac:dyDescent="0.2">
      <c r="A42" t="s">
        <v>374</v>
      </c>
      <c r="B42" t="s">
        <v>376</v>
      </c>
      <c r="C42" t="s">
        <v>864</v>
      </c>
      <c r="D42">
        <v>10.574</v>
      </c>
      <c r="E42">
        <v>10.430999999999999</v>
      </c>
      <c r="F42">
        <v>9.6739999999999995</v>
      </c>
      <c r="G42">
        <v>10.680999999999999</v>
      </c>
      <c r="H42">
        <v>12.65</v>
      </c>
      <c r="I42">
        <v>12.404</v>
      </c>
      <c r="J42">
        <v>14.673</v>
      </c>
      <c r="K42">
        <v>15.561999999999999</v>
      </c>
      <c r="L42">
        <v>15.044</v>
      </c>
      <c r="M42">
        <v>15.795</v>
      </c>
    </row>
    <row r="43" spans="1:13" x14ac:dyDescent="0.2">
      <c r="A43" t="s">
        <v>490</v>
      </c>
      <c r="B43" t="s">
        <v>491</v>
      </c>
      <c r="C43" t="s">
        <v>864</v>
      </c>
      <c r="D43">
        <v>2.04</v>
      </c>
      <c r="E43">
        <v>5.2569999999999997</v>
      </c>
      <c r="F43">
        <v>4.6669999999999998</v>
      </c>
      <c r="G43">
        <v>4.0430000000000001</v>
      </c>
      <c r="H43">
        <v>4.6870000000000003</v>
      </c>
      <c r="I43">
        <v>4.7530000000000001</v>
      </c>
      <c r="J43">
        <v>4.3040000000000003</v>
      </c>
      <c r="K43">
        <v>4.2430000000000003</v>
      </c>
      <c r="L43">
        <v>4.2489999999999997</v>
      </c>
      <c r="M43">
        <v>4.0110000000000001</v>
      </c>
    </row>
    <row r="44" spans="1:13" x14ac:dyDescent="0.2">
      <c r="A44" t="s">
        <v>492</v>
      </c>
      <c r="B44" t="s">
        <v>493</v>
      </c>
      <c r="C44" t="s">
        <v>864</v>
      </c>
      <c r="D44">
        <v>6.3010000000000002</v>
      </c>
      <c r="E44">
        <v>6.407</v>
      </c>
      <c r="F44">
        <v>6.5030000000000001</v>
      </c>
      <c r="G44">
        <v>6.585</v>
      </c>
      <c r="H44">
        <v>7.3710000000000004</v>
      </c>
      <c r="I44">
        <v>7.2249999999999996</v>
      </c>
      <c r="J44">
        <v>6.6669999999999998</v>
      </c>
      <c r="K44">
        <v>6.6210000000000004</v>
      </c>
      <c r="L44">
        <v>6.6180000000000003</v>
      </c>
      <c r="M44">
        <v>6.548</v>
      </c>
    </row>
    <row r="45" spans="1:13" x14ac:dyDescent="0.2">
      <c r="A45" t="s">
        <v>494</v>
      </c>
      <c r="B45" t="s">
        <v>495</v>
      </c>
      <c r="C45" t="s">
        <v>864</v>
      </c>
      <c r="D45">
        <v>8.2769999999999992</v>
      </c>
      <c r="E45">
        <v>8.3339999999999996</v>
      </c>
      <c r="F45">
        <v>8.3010000000000002</v>
      </c>
      <c r="G45">
        <v>8.2080000000000002</v>
      </c>
      <c r="H45">
        <v>9.5950000000000006</v>
      </c>
      <c r="I45">
        <v>9.1790000000000003</v>
      </c>
      <c r="J45">
        <v>8.1</v>
      </c>
      <c r="K45">
        <v>8.0109999999999992</v>
      </c>
      <c r="L45">
        <v>7.9509999999999996</v>
      </c>
      <c r="M45">
        <v>7.8479999999999999</v>
      </c>
    </row>
    <row r="46" spans="1:13" x14ac:dyDescent="0.2">
      <c r="A46" t="s">
        <v>496</v>
      </c>
      <c r="B46" t="s">
        <v>497</v>
      </c>
      <c r="C46" t="s">
        <v>864</v>
      </c>
      <c r="D46">
        <v>41.704999999999998</v>
      </c>
      <c r="E46">
        <v>42.478000000000002</v>
      </c>
      <c r="F46">
        <v>42.656999999999996</v>
      </c>
      <c r="G46">
        <v>42.045000000000002</v>
      </c>
      <c r="H46">
        <v>46.704999999999998</v>
      </c>
      <c r="I46">
        <v>44.676000000000002</v>
      </c>
      <c r="J46">
        <v>41.174999999999997</v>
      </c>
      <c r="K46">
        <v>40.716999999999999</v>
      </c>
      <c r="L46">
        <v>40.581000000000003</v>
      </c>
      <c r="M46">
        <v>40.500999999999998</v>
      </c>
    </row>
    <row r="47" spans="1:13" x14ac:dyDescent="0.2">
      <c r="A47" t="s">
        <v>498</v>
      </c>
      <c r="B47" t="s">
        <v>499</v>
      </c>
      <c r="C47" t="s">
        <v>864</v>
      </c>
      <c r="D47">
        <v>18.274000000000001</v>
      </c>
      <c r="E47">
        <v>18.466999999999999</v>
      </c>
      <c r="F47">
        <v>19.45</v>
      </c>
      <c r="G47">
        <v>20.658000000000001</v>
      </c>
      <c r="H47">
        <v>27.248000000000001</v>
      </c>
      <c r="I47">
        <v>24.757000000000001</v>
      </c>
      <c r="J47">
        <v>20.972000000000001</v>
      </c>
      <c r="K47">
        <v>19.364999999999998</v>
      </c>
      <c r="L47">
        <v>19.411000000000001</v>
      </c>
      <c r="M47">
        <v>17.652999999999999</v>
      </c>
    </row>
    <row r="48" spans="1:13" x14ac:dyDescent="0.2">
      <c r="A48" t="s">
        <v>500</v>
      </c>
      <c r="B48" t="s">
        <v>501</v>
      </c>
      <c r="C48" t="s">
        <v>864</v>
      </c>
      <c r="D48">
        <v>9.4969999999999999</v>
      </c>
      <c r="E48">
        <v>9.3569999999999993</v>
      </c>
      <c r="F48">
        <v>9.2040000000000006</v>
      </c>
      <c r="G48">
        <v>9.093</v>
      </c>
      <c r="H48">
        <v>10.484999999999999</v>
      </c>
      <c r="I48">
        <v>9.798</v>
      </c>
      <c r="J48">
        <v>8.8840000000000003</v>
      </c>
      <c r="K48">
        <v>8.8290000000000006</v>
      </c>
      <c r="L48">
        <v>8.8140000000000001</v>
      </c>
      <c r="M48">
        <v>8.7530000000000001</v>
      </c>
    </row>
    <row r="49" spans="1:13" x14ac:dyDescent="0.2">
      <c r="A49" t="s">
        <v>502</v>
      </c>
      <c r="B49" t="s">
        <v>503</v>
      </c>
      <c r="C49" t="s">
        <v>864</v>
      </c>
      <c r="D49">
        <v>30.181999999999999</v>
      </c>
      <c r="E49">
        <v>31.887</v>
      </c>
      <c r="F49">
        <v>27.574999999999999</v>
      </c>
      <c r="G49">
        <v>28.106999999999999</v>
      </c>
      <c r="H49">
        <v>34.473999999999997</v>
      </c>
      <c r="I49">
        <v>31.655999999999999</v>
      </c>
      <c r="J49">
        <v>28.651</v>
      </c>
      <c r="K49">
        <v>28.045000000000002</v>
      </c>
      <c r="L49">
        <v>28.1</v>
      </c>
      <c r="M49">
        <v>28.414999999999999</v>
      </c>
    </row>
    <row r="50" spans="1:13" x14ac:dyDescent="0.2">
      <c r="A50" t="s">
        <v>504</v>
      </c>
      <c r="B50" t="s">
        <v>505</v>
      </c>
      <c r="C50" t="s">
        <v>864</v>
      </c>
      <c r="D50">
        <v>21.65</v>
      </c>
      <c r="E50">
        <v>20.736000000000001</v>
      </c>
      <c r="F50">
        <v>25.071000000000002</v>
      </c>
      <c r="G50">
        <v>31.193999999999999</v>
      </c>
      <c r="H50">
        <v>40.11</v>
      </c>
      <c r="I50">
        <v>39.201000000000001</v>
      </c>
      <c r="J50">
        <v>30.718</v>
      </c>
      <c r="K50">
        <v>24.308</v>
      </c>
      <c r="L50">
        <v>20.481000000000002</v>
      </c>
      <c r="M50">
        <v>19.949000000000002</v>
      </c>
    </row>
    <row r="51" spans="1:13" x14ac:dyDescent="0.2">
      <c r="A51" t="s">
        <v>506</v>
      </c>
      <c r="B51" t="s">
        <v>507</v>
      </c>
      <c r="C51" t="s">
        <v>864</v>
      </c>
      <c r="D51">
        <v>21.026226491717416</v>
      </c>
      <c r="E51">
        <v>20.682694089156954</v>
      </c>
      <c r="F51">
        <v>21.480731067997084</v>
      </c>
      <c r="G51">
        <v>20.8771876220754</v>
      </c>
      <c r="H51">
        <v>25.129205084751138</v>
      </c>
      <c r="I51">
        <v>24.093776004910584</v>
      </c>
      <c r="J51">
        <v>20.247364542001286</v>
      </c>
      <c r="K51">
        <v>19.081070504493052</v>
      </c>
      <c r="L51">
        <v>18.794901794022184</v>
      </c>
      <c r="M51">
        <v>19.134137271589587</v>
      </c>
    </row>
    <row r="52" spans="1:13" x14ac:dyDescent="0.2">
      <c r="A52" t="s">
        <v>508</v>
      </c>
      <c r="B52" t="s">
        <v>509</v>
      </c>
      <c r="C52" t="s">
        <v>864</v>
      </c>
      <c r="D52">
        <v>4.9640000000000004</v>
      </c>
      <c r="E52">
        <v>4.29</v>
      </c>
      <c r="F52">
        <v>4.2370000000000001</v>
      </c>
      <c r="G52">
        <v>4.2489999999999997</v>
      </c>
      <c r="H52">
        <v>5.1719999999999997</v>
      </c>
      <c r="I52">
        <v>4.91</v>
      </c>
      <c r="J52">
        <v>4.3360000000000003</v>
      </c>
      <c r="K52">
        <v>4.2469999999999999</v>
      </c>
      <c r="L52">
        <v>4.2830000000000004</v>
      </c>
      <c r="M52">
        <v>4.2770000000000001</v>
      </c>
    </row>
    <row r="53" spans="1:13" x14ac:dyDescent="0.2">
      <c r="A53" t="s">
        <v>510</v>
      </c>
      <c r="B53" t="s">
        <v>511</v>
      </c>
      <c r="C53" t="s">
        <v>864</v>
      </c>
    </row>
    <row r="54" spans="1:13" x14ac:dyDescent="0.2">
      <c r="A54" t="s">
        <v>512</v>
      </c>
      <c r="B54" t="s">
        <v>513</v>
      </c>
      <c r="C54" t="s">
        <v>864</v>
      </c>
    </row>
    <row r="55" spans="1:13" x14ac:dyDescent="0.2">
      <c r="A55" t="s">
        <v>514</v>
      </c>
      <c r="B55" t="s">
        <v>248</v>
      </c>
      <c r="C55" t="s">
        <v>864</v>
      </c>
      <c r="D55">
        <v>28.902000000000001</v>
      </c>
      <c r="E55">
        <v>25.013000000000002</v>
      </c>
      <c r="F55">
        <v>20.654</v>
      </c>
      <c r="G55">
        <v>16.856000000000002</v>
      </c>
      <c r="H55">
        <v>18.491</v>
      </c>
      <c r="I55">
        <v>17.172999999999998</v>
      </c>
      <c r="J55">
        <v>18.707000000000001</v>
      </c>
      <c r="K55">
        <v>16.22</v>
      </c>
      <c r="L55">
        <v>12.856999999999999</v>
      </c>
      <c r="M55">
        <v>12.709</v>
      </c>
    </row>
    <row r="56" spans="1:13" x14ac:dyDescent="0.2">
      <c r="A56" t="s">
        <v>515</v>
      </c>
      <c r="B56" t="s">
        <v>237</v>
      </c>
      <c r="C56" t="s">
        <v>864</v>
      </c>
      <c r="D56">
        <v>10.488</v>
      </c>
      <c r="E56">
        <v>7.9359999999999999</v>
      </c>
      <c r="F56">
        <v>6.7140000000000004</v>
      </c>
      <c r="G56">
        <v>5.6150000000000002</v>
      </c>
      <c r="H56">
        <v>7.9359999999999999</v>
      </c>
      <c r="I56">
        <v>8.1340000000000003</v>
      </c>
      <c r="J56">
        <v>6.72</v>
      </c>
      <c r="K56">
        <v>8.5069999999999997</v>
      </c>
      <c r="L56">
        <v>9.1999999999999993</v>
      </c>
      <c r="M56">
        <v>9.2189999999999994</v>
      </c>
    </row>
    <row r="57" spans="1:13" x14ac:dyDescent="0.2">
      <c r="A57" t="s">
        <v>86</v>
      </c>
      <c r="B57" t="s">
        <v>88</v>
      </c>
      <c r="C57" t="s">
        <v>864</v>
      </c>
      <c r="D57">
        <v>7.0789999999999997</v>
      </c>
      <c r="E57">
        <v>6.77</v>
      </c>
      <c r="F57">
        <v>6.22</v>
      </c>
      <c r="G57">
        <v>5.859</v>
      </c>
      <c r="H57">
        <v>7.8620000000000001</v>
      </c>
      <c r="I57">
        <v>6.665</v>
      </c>
      <c r="J57">
        <v>6.0490000000000004</v>
      </c>
      <c r="K57">
        <v>6.02</v>
      </c>
      <c r="L57">
        <v>6.6040000000000001</v>
      </c>
      <c r="M57">
        <v>6.8620000000000001</v>
      </c>
    </row>
    <row r="58" spans="1:13" x14ac:dyDescent="0.2">
      <c r="A58" t="s">
        <v>516</v>
      </c>
      <c r="B58" t="s">
        <v>517</v>
      </c>
      <c r="C58" t="s">
        <v>864</v>
      </c>
      <c r="D58">
        <v>73.013999999999996</v>
      </c>
      <c r="E58">
        <v>73.950999999999993</v>
      </c>
      <c r="F58">
        <v>74.98</v>
      </c>
      <c r="G58">
        <v>75.906000000000006</v>
      </c>
      <c r="H58">
        <v>81.882000000000005</v>
      </c>
      <c r="I58">
        <v>79.376999999999995</v>
      </c>
      <c r="J58">
        <v>76.608999999999995</v>
      </c>
      <c r="K58">
        <v>76.393000000000001</v>
      </c>
      <c r="L58">
        <v>76.494</v>
      </c>
      <c r="M58">
        <v>76.766000000000005</v>
      </c>
    </row>
    <row r="59" spans="1:13" x14ac:dyDescent="0.2">
      <c r="A59" t="s">
        <v>518</v>
      </c>
      <c r="B59" t="s">
        <v>519</v>
      </c>
      <c r="C59" t="s">
        <v>864</v>
      </c>
    </row>
    <row r="60" spans="1:13" x14ac:dyDescent="0.2">
      <c r="A60" t="s">
        <v>55</v>
      </c>
      <c r="B60" t="s">
        <v>57</v>
      </c>
      <c r="C60" t="s">
        <v>864</v>
      </c>
      <c r="D60">
        <v>12.147</v>
      </c>
      <c r="E60">
        <v>12.384</v>
      </c>
      <c r="F60">
        <v>10.52</v>
      </c>
      <c r="G60">
        <v>10.041</v>
      </c>
      <c r="H60">
        <v>11.634</v>
      </c>
      <c r="I60">
        <v>10.8</v>
      </c>
      <c r="J60">
        <v>10.532999999999999</v>
      </c>
      <c r="K60">
        <v>11.499000000000001</v>
      </c>
      <c r="L60">
        <v>11.786</v>
      </c>
      <c r="M60">
        <v>11.737</v>
      </c>
    </row>
    <row r="61" spans="1:13" x14ac:dyDescent="0.2">
      <c r="A61" t="s">
        <v>520</v>
      </c>
      <c r="B61" t="s">
        <v>521</v>
      </c>
      <c r="C61" t="s">
        <v>864</v>
      </c>
      <c r="D61">
        <v>16.738</v>
      </c>
      <c r="E61">
        <v>13.441000000000001</v>
      </c>
      <c r="F61">
        <v>14.847</v>
      </c>
      <c r="G61">
        <v>15.835000000000001</v>
      </c>
      <c r="H61">
        <v>14.766</v>
      </c>
      <c r="I61">
        <v>16.873999999999999</v>
      </c>
      <c r="J61">
        <v>12.852</v>
      </c>
      <c r="K61">
        <v>11.558999999999999</v>
      </c>
      <c r="L61">
        <v>12.872</v>
      </c>
      <c r="M61">
        <v>12.311999999999999</v>
      </c>
    </row>
    <row r="62" spans="1:13" x14ac:dyDescent="0.2">
      <c r="A62" t="s">
        <v>522</v>
      </c>
      <c r="B62" t="s">
        <v>523</v>
      </c>
      <c r="C62" t="s">
        <v>864</v>
      </c>
      <c r="D62">
        <v>26.228000000000002</v>
      </c>
      <c r="E62">
        <v>30.295000000000002</v>
      </c>
      <c r="F62">
        <v>30.709</v>
      </c>
      <c r="G62">
        <v>31.202000000000002</v>
      </c>
      <c r="H62">
        <v>35.767000000000003</v>
      </c>
      <c r="I62">
        <v>33.828000000000003</v>
      </c>
      <c r="J62">
        <v>31.359000000000002</v>
      </c>
      <c r="K62">
        <v>29.995000000000001</v>
      </c>
      <c r="L62">
        <v>29.884</v>
      </c>
      <c r="M62">
        <v>29.443999999999999</v>
      </c>
    </row>
    <row r="63" spans="1:13" x14ac:dyDescent="0.2">
      <c r="A63" t="s">
        <v>524</v>
      </c>
      <c r="B63" t="s">
        <v>525</v>
      </c>
      <c r="C63" t="s">
        <v>864</v>
      </c>
      <c r="D63">
        <v>10.321470153399039</v>
      </c>
      <c r="E63">
        <v>10.075557493935444</v>
      </c>
      <c r="F63">
        <v>9.6659117347735553</v>
      </c>
      <c r="G63">
        <v>9.8618515504040989</v>
      </c>
      <c r="H63">
        <v>11.454240913562593</v>
      </c>
      <c r="I63">
        <v>11.537268441889944</v>
      </c>
      <c r="J63">
        <v>12.605181292823168</v>
      </c>
      <c r="K63">
        <v>12.949755609012252</v>
      </c>
      <c r="L63">
        <v>12.666797520951777</v>
      </c>
      <c r="M63">
        <v>13.074427813773614</v>
      </c>
    </row>
    <row r="64" spans="1:13" x14ac:dyDescent="0.2">
      <c r="A64" t="s">
        <v>526</v>
      </c>
      <c r="B64" t="s">
        <v>527</v>
      </c>
      <c r="C64" t="s">
        <v>864</v>
      </c>
      <c r="D64">
        <v>19.394394684726858</v>
      </c>
      <c r="E64">
        <v>19.602310629474847</v>
      </c>
      <c r="F64">
        <v>19.718098535384517</v>
      </c>
      <c r="G64">
        <v>18.302351987396065</v>
      </c>
      <c r="H64">
        <v>19.8542945949055</v>
      </c>
      <c r="I64">
        <v>18.046673734748175</v>
      </c>
      <c r="J64">
        <v>15.894462454394295</v>
      </c>
      <c r="K64">
        <v>14.525278634429327</v>
      </c>
      <c r="L64">
        <v>14.667969897527755</v>
      </c>
      <c r="M64">
        <v>14.821230954416524</v>
      </c>
    </row>
    <row r="65" spans="1:13" x14ac:dyDescent="0.2">
      <c r="A65" t="s">
        <v>528</v>
      </c>
      <c r="B65" t="s">
        <v>529</v>
      </c>
      <c r="C65" t="s">
        <v>864</v>
      </c>
      <c r="D65">
        <v>10.172370571403562</v>
      </c>
      <c r="E65">
        <v>9.9138632929296566</v>
      </c>
      <c r="F65">
        <v>9.492598301645458</v>
      </c>
      <c r="G65">
        <v>9.6649438771194447</v>
      </c>
      <c r="H65">
        <v>11.211119340787128</v>
      </c>
      <c r="I65">
        <v>11.201581559831297</v>
      </c>
      <c r="J65">
        <v>12.107877363725754</v>
      </c>
      <c r="K65">
        <v>12.395559391209567</v>
      </c>
      <c r="L65">
        <v>12.166610076600833</v>
      </c>
      <c r="M65">
        <v>12.54919575939185</v>
      </c>
    </row>
    <row r="66" spans="1:13" x14ac:dyDescent="0.2">
      <c r="A66" t="s">
        <v>530</v>
      </c>
      <c r="B66" t="s">
        <v>531</v>
      </c>
      <c r="C66" t="s">
        <v>864</v>
      </c>
      <c r="D66">
        <v>17.437078152650791</v>
      </c>
      <c r="E66">
        <v>17.186848721329451</v>
      </c>
      <c r="F66">
        <v>16.56251733239959</v>
      </c>
      <c r="G66">
        <v>17.960194459567283</v>
      </c>
      <c r="H66">
        <v>18.980380242052757</v>
      </c>
      <c r="I66">
        <v>17.833080986532895</v>
      </c>
      <c r="J66">
        <v>15.492553199339067</v>
      </c>
      <c r="K66">
        <v>14.400433630978341</v>
      </c>
      <c r="L66">
        <v>13.837665808070051</v>
      </c>
      <c r="M66">
        <v>13.715745568340191</v>
      </c>
    </row>
    <row r="67" spans="1:13" x14ac:dyDescent="0.2">
      <c r="A67" t="s">
        <v>532</v>
      </c>
      <c r="B67" t="s">
        <v>533</v>
      </c>
      <c r="C67" t="s">
        <v>864</v>
      </c>
      <c r="D67">
        <v>19.112659095746871</v>
      </c>
      <c r="E67">
        <v>17.901505757641772</v>
      </c>
      <c r="F67">
        <v>16.83099859614337</v>
      </c>
      <c r="G67">
        <v>16.468509609324322</v>
      </c>
      <c r="H67">
        <v>18.167366209036146</v>
      </c>
      <c r="I67">
        <v>17.526941778245252</v>
      </c>
      <c r="J67">
        <v>15.245263354902521</v>
      </c>
      <c r="K67">
        <v>14.514869802063151</v>
      </c>
      <c r="L67">
        <v>14.115946211716144</v>
      </c>
      <c r="M67">
        <v>13.988075305970568</v>
      </c>
    </row>
    <row r="68" spans="1:13" x14ac:dyDescent="0.2">
      <c r="A68" t="s">
        <v>534</v>
      </c>
      <c r="B68" t="s">
        <v>535</v>
      </c>
      <c r="C68" t="s">
        <v>864</v>
      </c>
      <c r="D68">
        <v>10.349</v>
      </c>
      <c r="E68">
        <v>8.4649999999999999</v>
      </c>
      <c r="F68">
        <v>7.9560000000000004</v>
      </c>
      <c r="G68">
        <v>8.7330000000000005</v>
      </c>
      <c r="H68">
        <v>11.068</v>
      </c>
      <c r="I68">
        <v>9.1359999999999992</v>
      </c>
      <c r="J68">
        <v>8.298</v>
      </c>
      <c r="K68">
        <v>7.782</v>
      </c>
      <c r="L68">
        <v>8.5739999999999998</v>
      </c>
      <c r="M68">
        <v>8.16</v>
      </c>
    </row>
    <row r="69" spans="1:13" x14ac:dyDescent="0.2">
      <c r="A69" t="s">
        <v>536</v>
      </c>
      <c r="B69" t="s">
        <v>347</v>
      </c>
      <c r="C69" t="s">
        <v>864</v>
      </c>
      <c r="D69">
        <v>33.655000000000001</v>
      </c>
      <c r="E69">
        <v>32.643999999999998</v>
      </c>
      <c r="F69">
        <v>26.251999999999999</v>
      </c>
      <c r="G69">
        <v>20.631</v>
      </c>
      <c r="H69">
        <v>18.463000000000001</v>
      </c>
      <c r="I69">
        <v>18.21</v>
      </c>
      <c r="J69">
        <v>16.341999999999999</v>
      </c>
      <c r="K69">
        <v>17.152999999999999</v>
      </c>
      <c r="L69">
        <v>17.291</v>
      </c>
      <c r="M69">
        <v>18.292999999999999</v>
      </c>
    </row>
    <row r="70" spans="1:13" x14ac:dyDescent="0.2">
      <c r="A70" t="s">
        <v>537</v>
      </c>
      <c r="B70" t="s">
        <v>538</v>
      </c>
      <c r="C70" t="s">
        <v>864</v>
      </c>
      <c r="D70">
        <v>23.955888887582642</v>
      </c>
      <c r="E70">
        <v>21.57218595344499</v>
      </c>
      <c r="F70">
        <v>19.577222776890832</v>
      </c>
      <c r="G70">
        <v>18.19373527056673</v>
      </c>
      <c r="H70">
        <v>20.352019091464214</v>
      </c>
      <c r="I70">
        <v>19.664218042124357</v>
      </c>
      <c r="J70">
        <v>16.936748757394032</v>
      </c>
      <c r="K70">
        <v>16.642223507280555</v>
      </c>
      <c r="L70">
        <v>16.428576424468929</v>
      </c>
      <c r="M70">
        <v>16.342032634021798</v>
      </c>
    </row>
    <row r="71" spans="1:13" x14ac:dyDescent="0.2">
      <c r="A71" t="s">
        <v>539</v>
      </c>
      <c r="B71" t="s">
        <v>540</v>
      </c>
      <c r="C71" t="s">
        <v>864</v>
      </c>
      <c r="D71">
        <v>9.9979999999999993</v>
      </c>
      <c r="E71">
        <v>9.9890000000000008</v>
      </c>
      <c r="F71">
        <v>9.8019999999999996</v>
      </c>
      <c r="G71">
        <v>9.8450000000000006</v>
      </c>
      <c r="H71">
        <v>11.1</v>
      </c>
      <c r="I71">
        <v>10.976000000000001</v>
      </c>
      <c r="J71">
        <v>10.186</v>
      </c>
      <c r="K71">
        <v>9.9649999999999999</v>
      </c>
      <c r="L71">
        <v>10.055999999999999</v>
      </c>
      <c r="M71">
        <v>10.241</v>
      </c>
    </row>
    <row r="72" spans="1:13" x14ac:dyDescent="0.2">
      <c r="A72" t="s">
        <v>180</v>
      </c>
      <c r="B72" t="s">
        <v>181</v>
      </c>
      <c r="C72" t="s">
        <v>864</v>
      </c>
      <c r="D72">
        <v>44.445</v>
      </c>
      <c r="E72">
        <v>38.594000000000001</v>
      </c>
      <c r="F72">
        <v>34.362000000000002</v>
      </c>
      <c r="G72">
        <v>32.555</v>
      </c>
      <c r="H72">
        <v>38.311999999999998</v>
      </c>
      <c r="I72">
        <v>34.999000000000002</v>
      </c>
      <c r="J72">
        <v>29.713000000000001</v>
      </c>
      <c r="K72">
        <v>28.747</v>
      </c>
      <c r="L72">
        <v>26.631</v>
      </c>
      <c r="M72">
        <v>24.745000000000001</v>
      </c>
    </row>
    <row r="73" spans="1:13" x14ac:dyDescent="0.2">
      <c r="A73" t="s">
        <v>197</v>
      </c>
      <c r="B73" t="s">
        <v>199</v>
      </c>
      <c r="C73" t="s">
        <v>864</v>
      </c>
      <c r="D73">
        <v>14.125</v>
      </c>
      <c r="E73">
        <v>12.176</v>
      </c>
      <c r="F73">
        <v>12.076000000000001</v>
      </c>
      <c r="G73">
        <v>11.622999999999999</v>
      </c>
      <c r="H73">
        <v>18.417000000000002</v>
      </c>
      <c r="I73">
        <v>16.622</v>
      </c>
      <c r="J73">
        <v>18.391999999999999</v>
      </c>
      <c r="K73">
        <v>17.207000000000001</v>
      </c>
      <c r="L73">
        <v>19.256</v>
      </c>
      <c r="M73">
        <v>19.695</v>
      </c>
    </row>
    <row r="74" spans="1:13" x14ac:dyDescent="0.2">
      <c r="A74" t="s">
        <v>541</v>
      </c>
      <c r="B74" t="s">
        <v>542</v>
      </c>
      <c r="C74" t="s">
        <v>864</v>
      </c>
      <c r="D74">
        <v>4.0309999999999997</v>
      </c>
      <c r="E74">
        <v>4.25</v>
      </c>
      <c r="F74">
        <v>4.5149999999999997</v>
      </c>
      <c r="G74">
        <v>4.7519999999999998</v>
      </c>
      <c r="H74">
        <v>6.3559999999999999</v>
      </c>
      <c r="I74">
        <v>6.2460000000000004</v>
      </c>
      <c r="J74">
        <v>5.45</v>
      </c>
      <c r="K74">
        <v>5.4550000000000001</v>
      </c>
      <c r="L74">
        <v>5.4489999999999998</v>
      </c>
      <c r="M74">
        <v>5.3529999999999998</v>
      </c>
    </row>
    <row r="75" spans="1:13" x14ac:dyDescent="0.2">
      <c r="A75" t="s">
        <v>543</v>
      </c>
      <c r="B75" t="s">
        <v>544</v>
      </c>
      <c r="C75" t="s">
        <v>864</v>
      </c>
      <c r="D75">
        <v>22.411049848641365</v>
      </c>
      <c r="E75">
        <v>20.092817454556382</v>
      </c>
      <c r="F75">
        <v>18.1130222214078</v>
      </c>
      <c r="G75">
        <v>16.977518916084652</v>
      </c>
      <c r="H75">
        <v>19.014315303068837</v>
      </c>
      <c r="I75">
        <v>18.737740136943543</v>
      </c>
      <c r="J75">
        <v>16.364845096556706</v>
      </c>
      <c r="K75">
        <v>16.231917872557997</v>
      </c>
      <c r="L75">
        <v>16.239186233440844</v>
      </c>
      <c r="M75">
        <v>16.198576943375986</v>
      </c>
    </row>
    <row r="76" spans="1:13" x14ac:dyDescent="0.2">
      <c r="A76" t="s">
        <v>65</v>
      </c>
      <c r="B76" t="s">
        <v>67</v>
      </c>
      <c r="C76" t="s">
        <v>864</v>
      </c>
      <c r="D76">
        <v>20.056999999999999</v>
      </c>
      <c r="E76">
        <v>20.041</v>
      </c>
      <c r="F76">
        <v>16.957999999999998</v>
      </c>
      <c r="G76">
        <v>17.128</v>
      </c>
      <c r="H76">
        <v>21.193000000000001</v>
      </c>
      <c r="I76">
        <v>17.058</v>
      </c>
      <c r="J76">
        <v>14.138</v>
      </c>
      <c r="K76">
        <v>16.106000000000002</v>
      </c>
      <c r="L76">
        <v>18.68</v>
      </c>
      <c r="M76">
        <v>21.478999999999999</v>
      </c>
    </row>
    <row r="77" spans="1:13" x14ac:dyDescent="0.2">
      <c r="A77" t="s">
        <v>545</v>
      </c>
      <c r="B77" t="s">
        <v>546</v>
      </c>
      <c r="C77" t="s">
        <v>864</v>
      </c>
      <c r="D77">
        <v>14.992000000000001</v>
      </c>
      <c r="E77">
        <v>15.117000000000001</v>
      </c>
      <c r="F77">
        <v>15.207000000000001</v>
      </c>
      <c r="G77">
        <v>15.28</v>
      </c>
      <c r="H77">
        <v>16.748999999999999</v>
      </c>
      <c r="I77">
        <v>16.146000000000001</v>
      </c>
      <c r="J77">
        <v>15.728999999999999</v>
      </c>
      <c r="K77">
        <v>15.295999999999999</v>
      </c>
      <c r="L77">
        <v>15.132999999999999</v>
      </c>
      <c r="M77">
        <v>15.208</v>
      </c>
    </row>
    <row r="78" spans="1:13" x14ac:dyDescent="0.2">
      <c r="A78" t="s">
        <v>76</v>
      </c>
      <c r="B78" t="s">
        <v>78</v>
      </c>
      <c r="C78" t="s">
        <v>864</v>
      </c>
      <c r="D78">
        <v>24.937999999999999</v>
      </c>
      <c r="E78">
        <v>22.571999999999999</v>
      </c>
      <c r="F78">
        <v>20.952999999999999</v>
      </c>
      <c r="G78">
        <v>19.928999999999998</v>
      </c>
      <c r="H78">
        <v>20.398</v>
      </c>
      <c r="I78">
        <v>19.251999999999999</v>
      </c>
      <c r="J78">
        <v>17.856000000000002</v>
      </c>
      <c r="K78">
        <v>17.419</v>
      </c>
      <c r="L78">
        <v>18.603000000000002</v>
      </c>
      <c r="M78">
        <v>18.89</v>
      </c>
    </row>
    <row r="79" spans="1:13" x14ac:dyDescent="0.2">
      <c r="A79" t="s">
        <v>547</v>
      </c>
      <c r="B79" t="s">
        <v>548</v>
      </c>
      <c r="C79" t="s">
        <v>864</v>
      </c>
    </row>
    <row r="80" spans="1:13" x14ac:dyDescent="0.2">
      <c r="A80" t="s">
        <v>549</v>
      </c>
      <c r="B80" t="s">
        <v>550</v>
      </c>
      <c r="C80" t="s">
        <v>864</v>
      </c>
    </row>
    <row r="81" spans="1:13" x14ac:dyDescent="0.2">
      <c r="A81" t="s">
        <v>551</v>
      </c>
      <c r="B81" t="s">
        <v>552</v>
      </c>
      <c r="C81" t="s">
        <v>864</v>
      </c>
      <c r="D81">
        <v>36.191000000000003</v>
      </c>
      <c r="E81">
        <v>36.531999999999996</v>
      </c>
      <c r="F81">
        <v>36.804000000000002</v>
      </c>
      <c r="G81">
        <v>36.710999999999999</v>
      </c>
      <c r="H81">
        <v>39.701999999999998</v>
      </c>
      <c r="I81">
        <v>38.244</v>
      </c>
      <c r="J81">
        <v>36.64</v>
      </c>
      <c r="K81">
        <v>36.406999999999996</v>
      </c>
      <c r="L81">
        <v>36.283000000000001</v>
      </c>
      <c r="M81">
        <v>36.280999999999999</v>
      </c>
    </row>
    <row r="82" spans="1:13" x14ac:dyDescent="0.2">
      <c r="A82" t="s">
        <v>553</v>
      </c>
      <c r="B82" t="s">
        <v>554</v>
      </c>
      <c r="C82" t="s">
        <v>864</v>
      </c>
      <c r="D82">
        <v>13.205</v>
      </c>
      <c r="E82">
        <v>12.519</v>
      </c>
      <c r="F82">
        <v>11.647</v>
      </c>
      <c r="G82">
        <v>10.688000000000001</v>
      </c>
      <c r="H82">
        <v>13.365</v>
      </c>
      <c r="I82">
        <v>12.891</v>
      </c>
      <c r="J82">
        <v>10.589</v>
      </c>
      <c r="K82">
        <v>11.944000000000001</v>
      </c>
      <c r="L82">
        <v>14.316000000000001</v>
      </c>
      <c r="M82">
        <v>14.647</v>
      </c>
    </row>
    <row r="83" spans="1:13" x14ac:dyDescent="0.2">
      <c r="A83" t="s">
        <v>555</v>
      </c>
      <c r="B83" t="s">
        <v>556</v>
      </c>
      <c r="C83" t="s">
        <v>864</v>
      </c>
      <c r="D83">
        <v>35.018999999999998</v>
      </c>
      <c r="E83">
        <v>28.687000000000001</v>
      </c>
      <c r="F83">
        <v>29.690999999999999</v>
      </c>
      <c r="G83">
        <v>30.059000000000001</v>
      </c>
      <c r="H83">
        <v>30.850999999999999</v>
      </c>
      <c r="I83">
        <v>30.603000000000002</v>
      </c>
      <c r="J83">
        <v>30.135999999999999</v>
      </c>
      <c r="K83">
        <v>29.931000000000001</v>
      </c>
      <c r="L83">
        <v>29.863</v>
      </c>
      <c r="M83">
        <v>30.257999999999999</v>
      </c>
    </row>
    <row r="84" spans="1:13" x14ac:dyDescent="0.2">
      <c r="A84" t="s">
        <v>557</v>
      </c>
      <c r="B84" t="s">
        <v>558</v>
      </c>
      <c r="C84" t="s">
        <v>864</v>
      </c>
      <c r="D84">
        <v>10.616</v>
      </c>
      <c r="E84">
        <v>6.375</v>
      </c>
      <c r="F84">
        <v>6.1070000000000002</v>
      </c>
      <c r="G84">
        <v>5.875</v>
      </c>
      <c r="H84">
        <v>6.319</v>
      </c>
      <c r="I84">
        <v>5.9850000000000003</v>
      </c>
      <c r="J84">
        <v>5.4020000000000001</v>
      </c>
      <c r="K84">
        <v>5.3520000000000003</v>
      </c>
      <c r="L84">
        <v>5.3470000000000004</v>
      </c>
      <c r="M84">
        <v>5.8259999999999996</v>
      </c>
    </row>
    <row r="85" spans="1:13" x14ac:dyDescent="0.2">
      <c r="A85" t="s">
        <v>559</v>
      </c>
      <c r="B85" t="s">
        <v>560</v>
      </c>
      <c r="C85" t="s">
        <v>864</v>
      </c>
    </row>
    <row r="86" spans="1:13" x14ac:dyDescent="0.2">
      <c r="A86" t="s">
        <v>561</v>
      </c>
      <c r="B86" t="s">
        <v>562</v>
      </c>
      <c r="C86" t="s">
        <v>864</v>
      </c>
      <c r="D86">
        <v>6.35</v>
      </c>
      <c r="E86">
        <v>6.4359999999999999</v>
      </c>
      <c r="F86">
        <v>6.6159999999999997</v>
      </c>
      <c r="G86">
        <v>6.9880000000000004</v>
      </c>
      <c r="H86">
        <v>8.4139999999999997</v>
      </c>
      <c r="I86">
        <v>7.976</v>
      </c>
      <c r="J86">
        <v>7.0949999999999998</v>
      </c>
      <c r="K86">
        <v>7.0709999999999997</v>
      </c>
      <c r="L86">
        <v>7.0679999999999996</v>
      </c>
      <c r="M86">
        <v>7.0170000000000003</v>
      </c>
    </row>
    <row r="87" spans="1:13" x14ac:dyDescent="0.2">
      <c r="A87" t="s">
        <v>563</v>
      </c>
      <c r="B87" t="s">
        <v>564</v>
      </c>
      <c r="C87" t="s">
        <v>864</v>
      </c>
      <c r="D87">
        <v>9.8149999999999995</v>
      </c>
      <c r="E87">
        <v>8.4149999999999991</v>
      </c>
      <c r="F87">
        <v>7.15</v>
      </c>
      <c r="G87">
        <v>7.8090000000000002</v>
      </c>
      <c r="H87">
        <v>10.14</v>
      </c>
      <c r="I87">
        <v>10.444000000000001</v>
      </c>
      <c r="J87">
        <v>10.163</v>
      </c>
      <c r="K87">
        <v>10.811</v>
      </c>
      <c r="L87">
        <v>10.83</v>
      </c>
      <c r="M87">
        <v>10.863</v>
      </c>
    </row>
    <row r="88" spans="1:13" x14ac:dyDescent="0.2">
      <c r="A88" t="s">
        <v>565</v>
      </c>
      <c r="B88" t="s">
        <v>566</v>
      </c>
      <c r="C88" t="s">
        <v>864</v>
      </c>
      <c r="D88">
        <v>3.867</v>
      </c>
      <c r="E88">
        <v>3.835</v>
      </c>
      <c r="F88">
        <v>3.8679999999999999</v>
      </c>
      <c r="G88">
        <v>2.0630000000000002</v>
      </c>
      <c r="H88">
        <v>2.7330000000000001</v>
      </c>
      <c r="I88">
        <v>2.9409999999999998</v>
      </c>
      <c r="J88">
        <v>2.835</v>
      </c>
      <c r="K88">
        <v>2.8170000000000002</v>
      </c>
      <c r="L88">
        <v>2.8260000000000001</v>
      </c>
      <c r="M88">
        <v>2.8439999999999999</v>
      </c>
    </row>
    <row r="89" spans="1:13" x14ac:dyDescent="0.2">
      <c r="A89" t="s">
        <v>567</v>
      </c>
      <c r="B89" t="s">
        <v>568</v>
      </c>
      <c r="C89" t="s">
        <v>864</v>
      </c>
      <c r="D89">
        <v>15.377000000000001</v>
      </c>
      <c r="E89">
        <v>15.388999999999999</v>
      </c>
      <c r="F89">
        <v>15.14</v>
      </c>
      <c r="G89">
        <v>15.221</v>
      </c>
      <c r="H89">
        <v>17.393000000000001</v>
      </c>
      <c r="I89">
        <v>16.975999999999999</v>
      </c>
      <c r="J89">
        <v>15.81</v>
      </c>
      <c r="K89">
        <v>15.457000000000001</v>
      </c>
      <c r="L89">
        <v>15.555999999999999</v>
      </c>
      <c r="M89">
        <v>15.736000000000001</v>
      </c>
    </row>
    <row r="90" spans="1:13" x14ac:dyDescent="0.2">
      <c r="A90" t="s">
        <v>96</v>
      </c>
      <c r="B90" t="s">
        <v>98</v>
      </c>
      <c r="C90" t="s">
        <v>864</v>
      </c>
      <c r="D90">
        <v>47.222999999999999</v>
      </c>
      <c r="E90">
        <v>43.392000000000003</v>
      </c>
      <c r="F90">
        <v>40.011000000000003</v>
      </c>
      <c r="G90">
        <v>34.753999999999998</v>
      </c>
      <c r="H90">
        <v>33.74</v>
      </c>
      <c r="I90">
        <v>35.39</v>
      </c>
      <c r="J90">
        <v>31.29</v>
      </c>
      <c r="K90">
        <v>26.542999999999999</v>
      </c>
      <c r="L90">
        <v>22.375</v>
      </c>
      <c r="M90">
        <v>21.388999999999999</v>
      </c>
    </row>
    <row r="91" spans="1:13" x14ac:dyDescent="0.2">
      <c r="A91" t="s">
        <v>569</v>
      </c>
      <c r="B91" t="s">
        <v>570</v>
      </c>
      <c r="C91" t="s">
        <v>864</v>
      </c>
    </row>
    <row r="92" spans="1:13" x14ac:dyDescent="0.2">
      <c r="A92" t="s">
        <v>571</v>
      </c>
      <c r="B92" t="s">
        <v>572</v>
      </c>
      <c r="C92" t="s">
        <v>864</v>
      </c>
    </row>
    <row r="93" spans="1:13" x14ac:dyDescent="0.2">
      <c r="A93" t="s">
        <v>573</v>
      </c>
      <c r="B93" t="s">
        <v>574</v>
      </c>
      <c r="C93" t="s">
        <v>864</v>
      </c>
      <c r="D93">
        <v>5.5819999999999999</v>
      </c>
      <c r="E93">
        <v>4.9390000000000001</v>
      </c>
      <c r="F93">
        <v>4.6790000000000003</v>
      </c>
      <c r="G93">
        <v>4.4610000000000003</v>
      </c>
      <c r="H93">
        <v>5.157</v>
      </c>
      <c r="I93">
        <v>3.7890000000000001</v>
      </c>
      <c r="J93">
        <v>6.274</v>
      </c>
      <c r="K93">
        <v>4.3259999999999996</v>
      </c>
      <c r="L93">
        <v>4.6239999999999997</v>
      </c>
      <c r="M93">
        <v>4.7640000000000002</v>
      </c>
    </row>
    <row r="94" spans="1:13" x14ac:dyDescent="0.2">
      <c r="A94" t="s">
        <v>575</v>
      </c>
      <c r="B94" t="s">
        <v>576</v>
      </c>
      <c r="C94" t="s">
        <v>864</v>
      </c>
      <c r="D94">
        <v>12.888999999999999</v>
      </c>
      <c r="E94">
        <v>12.999000000000001</v>
      </c>
      <c r="F94">
        <v>13.125</v>
      </c>
      <c r="G94">
        <v>13.131</v>
      </c>
      <c r="H94">
        <v>15.401</v>
      </c>
      <c r="I94">
        <v>14.353</v>
      </c>
      <c r="J94">
        <v>13.032</v>
      </c>
      <c r="K94">
        <v>12.852</v>
      </c>
      <c r="L94">
        <v>12.875999999999999</v>
      </c>
      <c r="M94">
        <v>13.813000000000001</v>
      </c>
    </row>
    <row r="95" spans="1:13" x14ac:dyDescent="0.2">
      <c r="A95" t="s">
        <v>577</v>
      </c>
      <c r="B95" t="s">
        <v>578</v>
      </c>
      <c r="C95" t="s">
        <v>864</v>
      </c>
      <c r="D95">
        <v>24.597999999999999</v>
      </c>
      <c r="E95">
        <v>24.956</v>
      </c>
      <c r="F95">
        <v>25.254000000000001</v>
      </c>
      <c r="G95">
        <v>26.303999999999998</v>
      </c>
      <c r="H95">
        <v>30.998000000000001</v>
      </c>
      <c r="I95">
        <v>29.122</v>
      </c>
      <c r="J95">
        <v>24.565999999999999</v>
      </c>
      <c r="K95">
        <v>24.704999999999998</v>
      </c>
      <c r="L95">
        <v>24.742000000000001</v>
      </c>
      <c r="M95">
        <v>24.896000000000001</v>
      </c>
    </row>
    <row r="96" spans="1:13" x14ac:dyDescent="0.2">
      <c r="A96" t="s">
        <v>579</v>
      </c>
      <c r="B96" t="s">
        <v>580</v>
      </c>
      <c r="C96" t="s">
        <v>864</v>
      </c>
      <c r="D96">
        <v>15.059752376574105</v>
      </c>
      <c r="E96">
        <v>14.092446338468989</v>
      </c>
      <c r="F96">
        <v>13.173241318154158</v>
      </c>
      <c r="G96">
        <v>12.489378919555097</v>
      </c>
      <c r="H96">
        <v>16.074962420047648</v>
      </c>
      <c r="I96">
        <v>13.670371770263282</v>
      </c>
      <c r="J96">
        <v>11.766504715443045</v>
      </c>
      <c r="K96">
        <v>11.330669464787935</v>
      </c>
      <c r="L96">
        <v>11.497862877403694</v>
      </c>
      <c r="M96">
        <v>11.54135912154733</v>
      </c>
    </row>
    <row r="97" spans="1:13" x14ac:dyDescent="0.2">
      <c r="A97" t="s">
        <v>581</v>
      </c>
      <c r="B97" t="s">
        <v>582</v>
      </c>
      <c r="C97" t="s">
        <v>864</v>
      </c>
      <c r="D97">
        <v>9.7279999999999998</v>
      </c>
      <c r="E97">
        <v>8.5310000000000006</v>
      </c>
      <c r="F97">
        <v>8.7309999999999999</v>
      </c>
      <c r="G97">
        <v>8.5269999999999992</v>
      </c>
      <c r="H97">
        <v>15.532999999999999</v>
      </c>
      <c r="I97">
        <v>12.79</v>
      </c>
      <c r="J97">
        <v>11.03</v>
      </c>
      <c r="K97">
        <v>8.9730000000000008</v>
      </c>
      <c r="L97">
        <v>9.5069999999999997</v>
      </c>
      <c r="M97">
        <v>8.9580000000000002</v>
      </c>
    </row>
    <row r="98" spans="1:13" x14ac:dyDescent="0.2">
      <c r="A98" t="s">
        <v>583</v>
      </c>
      <c r="B98" t="s">
        <v>584</v>
      </c>
      <c r="C98" t="s">
        <v>864</v>
      </c>
      <c r="D98">
        <v>12.58</v>
      </c>
      <c r="E98">
        <v>10.746</v>
      </c>
      <c r="F98">
        <v>10.49</v>
      </c>
      <c r="G98">
        <v>10.773999999999999</v>
      </c>
      <c r="H98">
        <v>17.065000000000001</v>
      </c>
      <c r="I98">
        <v>14.269</v>
      </c>
      <c r="J98">
        <v>13.571</v>
      </c>
      <c r="K98">
        <v>10.478</v>
      </c>
      <c r="L98">
        <v>8.3010000000000002</v>
      </c>
      <c r="M98">
        <v>8.5259999999999998</v>
      </c>
    </row>
    <row r="99" spans="1:13" x14ac:dyDescent="0.2">
      <c r="A99" t="s">
        <v>585</v>
      </c>
      <c r="B99" t="s">
        <v>586</v>
      </c>
      <c r="C99" t="s">
        <v>864</v>
      </c>
      <c r="D99">
        <v>8.4148509331111381</v>
      </c>
      <c r="E99">
        <v>8.4146385197167621</v>
      </c>
      <c r="F99">
        <v>8.2752914949745158</v>
      </c>
      <c r="G99">
        <v>8.1923990043175223</v>
      </c>
      <c r="H99">
        <v>9.3611318597215991</v>
      </c>
      <c r="I99">
        <v>8.9253201706146026</v>
      </c>
      <c r="J99">
        <v>8.0978137970100565</v>
      </c>
      <c r="K99">
        <v>7.6964954885954837</v>
      </c>
      <c r="L99">
        <v>7.6235234183362195</v>
      </c>
      <c r="M99">
        <v>7.5819535363585713</v>
      </c>
    </row>
    <row r="100" spans="1:13" x14ac:dyDescent="0.2">
      <c r="A100" t="s">
        <v>219</v>
      </c>
      <c r="B100" t="s">
        <v>221</v>
      </c>
      <c r="C100" t="s">
        <v>864</v>
      </c>
      <c r="D100">
        <v>30.949000000000002</v>
      </c>
      <c r="E100">
        <v>27.425000000000001</v>
      </c>
      <c r="F100">
        <v>23.509</v>
      </c>
      <c r="G100">
        <v>16.71</v>
      </c>
      <c r="H100">
        <v>20.672999999999998</v>
      </c>
      <c r="I100">
        <v>21.542000000000002</v>
      </c>
      <c r="J100">
        <v>17.744</v>
      </c>
      <c r="K100">
        <v>18.91</v>
      </c>
      <c r="L100">
        <v>16.478999999999999</v>
      </c>
      <c r="M100">
        <v>16.474</v>
      </c>
    </row>
    <row r="101" spans="1:13" x14ac:dyDescent="0.2">
      <c r="A101" t="s">
        <v>587</v>
      </c>
      <c r="B101" t="s">
        <v>588</v>
      </c>
      <c r="C101" t="s">
        <v>864</v>
      </c>
      <c r="D101">
        <v>34.536000000000001</v>
      </c>
      <c r="E101">
        <v>34.752000000000002</v>
      </c>
      <c r="F101">
        <v>34.896000000000001</v>
      </c>
      <c r="G101">
        <v>35.247</v>
      </c>
      <c r="H101">
        <v>39.533999999999999</v>
      </c>
      <c r="I101">
        <v>37.805999999999997</v>
      </c>
      <c r="J101">
        <v>36.326000000000001</v>
      </c>
      <c r="K101">
        <v>36.326000000000001</v>
      </c>
      <c r="L101">
        <v>36.758000000000003</v>
      </c>
      <c r="M101">
        <v>37.518000000000001</v>
      </c>
    </row>
    <row r="102" spans="1:13" x14ac:dyDescent="0.2">
      <c r="A102" t="s">
        <v>107</v>
      </c>
      <c r="B102" t="s">
        <v>109</v>
      </c>
      <c r="C102" t="s">
        <v>864</v>
      </c>
      <c r="D102">
        <v>12.923</v>
      </c>
      <c r="E102">
        <v>10.699</v>
      </c>
      <c r="F102">
        <v>10.115</v>
      </c>
      <c r="G102">
        <v>11.472</v>
      </c>
      <c r="H102">
        <v>12.882</v>
      </c>
      <c r="I102">
        <v>13.548999999999999</v>
      </c>
      <c r="J102">
        <v>10.541</v>
      </c>
      <c r="K102">
        <v>12.779</v>
      </c>
      <c r="L102">
        <v>15.087999999999999</v>
      </c>
      <c r="M102">
        <v>14.205</v>
      </c>
    </row>
    <row r="103" spans="1:13" x14ac:dyDescent="0.2">
      <c r="A103" t="s">
        <v>589</v>
      </c>
      <c r="B103" t="s">
        <v>590</v>
      </c>
      <c r="C103" t="s">
        <v>864</v>
      </c>
      <c r="D103">
        <v>19.216678912840635</v>
      </c>
      <c r="E103">
        <v>19.332786162493164</v>
      </c>
      <c r="F103">
        <v>19.228221010760514</v>
      </c>
      <c r="G103">
        <v>18.242682612251681</v>
      </c>
      <c r="H103">
        <v>20.057383862245196</v>
      </c>
      <c r="I103">
        <v>18.359353948746076</v>
      </c>
      <c r="J103">
        <v>16.830586688037172</v>
      </c>
      <c r="K103">
        <v>15.880761767428746</v>
      </c>
      <c r="L103">
        <v>15.689200307464938</v>
      </c>
      <c r="M103">
        <v>15.870615552977192</v>
      </c>
    </row>
    <row r="104" spans="1:13" x14ac:dyDescent="0.2">
      <c r="A104" t="s">
        <v>591</v>
      </c>
      <c r="B104" t="s">
        <v>592</v>
      </c>
      <c r="C104" t="s">
        <v>864</v>
      </c>
      <c r="D104">
        <v>16.254900799314068</v>
      </c>
      <c r="E104">
        <v>16.415507756886168</v>
      </c>
      <c r="F104">
        <v>16.335040724274783</v>
      </c>
      <c r="G104">
        <v>15.692174176725425</v>
      </c>
      <c r="H104">
        <v>17.30353259326559</v>
      </c>
      <c r="I104">
        <v>16.012689600816525</v>
      </c>
      <c r="J104">
        <v>14.52801589352539</v>
      </c>
      <c r="K104">
        <v>13.708988398192886</v>
      </c>
      <c r="L104">
        <v>13.567558357377862</v>
      </c>
      <c r="M104">
        <v>13.67286165422788</v>
      </c>
    </row>
    <row r="105" spans="1:13" x14ac:dyDescent="0.2">
      <c r="A105" t="s">
        <v>593</v>
      </c>
      <c r="B105" t="s">
        <v>594</v>
      </c>
      <c r="C105" t="s">
        <v>864</v>
      </c>
      <c r="D105">
        <v>9.4109620223113239</v>
      </c>
      <c r="E105">
        <v>9.8627597725712999</v>
      </c>
      <c r="F105">
        <v>10.009035248085704</v>
      </c>
      <c r="G105">
        <v>10.255321435049046</v>
      </c>
      <c r="H105">
        <v>11.571611882019971</v>
      </c>
      <c r="I105">
        <v>11.237660062209846</v>
      </c>
      <c r="J105">
        <v>9.9664738626205356</v>
      </c>
      <c r="K105">
        <v>9.374210038719367</v>
      </c>
      <c r="L105">
        <v>9.3886773136828747</v>
      </c>
      <c r="M105">
        <v>9.4248020440050233</v>
      </c>
    </row>
    <row r="106" spans="1:13" x14ac:dyDescent="0.2">
      <c r="A106" t="s">
        <v>595</v>
      </c>
      <c r="B106" t="s">
        <v>596</v>
      </c>
      <c r="C106" t="s">
        <v>864</v>
      </c>
      <c r="D106">
        <v>7.4472285131132185</v>
      </c>
      <c r="E106">
        <v>8.5736889230127922</v>
      </c>
      <c r="F106">
        <v>9.3506303660312682</v>
      </c>
      <c r="G106">
        <v>10.220656761070289</v>
      </c>
      <c r="H106">
        <v>11.162072897851791</v>
      </c>
      <c r="I106">
        <v>10.505512784156897</v>
      </c>
      <c r="J106">
        <v>9.0086901575127953</v>
      </c>
      <c r="K106">
        <v>8.5824786427385931</v>
      </c>
      <c r="L106">
        <v>8.6209634581160142</v>
      </c>
      <c r="M106">
        <v>8.7159022884774497</v>
      </c>
    </row>
    <row r="107" spans="1:13" x14ac:dyDescent="0.2">
      <c r="A107" t="s">
        <v>380</v>
      </c>
      <c r="B107" t="s">
        <v>382</v>
      </c>
      <c r="C107" t="s">
        <v>864</v>
      </c>
      <c r="D107">
        <v>15.997</v>
      </c>
      <c r="E107">
        <v>14.553000000000001</v>
      </c>
      <c r="F107">
        <v>16.369</v>
      </c>
      <c r="G107">
        <v>13.577</v>
      </c>
      <c r="H107">
        <v>14.773</v>
      </c>
      <c r="I107">
        <v>13.8</v>
      </c>
      <c r="J107">
        <v>14.054</v>
      </c>
      <c r="K107">
        <v>13.015000000000001</v>
      </c>
      <c r="L107">
        <v>13.074999999999999</v>
      </c>
      <c r="M107">
        <v>12.977</v>
      </c>
    </row>
    <row r="108" spans="1:13" x14ac:dyDescent="0.2">
      <c r="A108" t="s">
        <v>597</v>
      </c>
      <c r="B108" t="s">
        <v>598</v>
      </c>
      <c r="C108" t="s">
        <v>864</v>
      </c>
      <c r="D108">
        <v>10.461291846147887</v>
      </c>
      <c r="E108">
        <v>10.548150190671894</v>
      </c>
      <c r="F108">
        <v>10.357817614140433</v>
      </c>
      <c r="G108">
        <v>10.273648119037967</v>
      </c>
      <c r="H108">
        <v>11.788240705392202</v>
      </c>
      <c r="I108">
        <v>11.625936052520881</v>
      </c>
      <c r="J108">
        <v>10.476055096356243</v>
      </c>
      <c r="K108">
        <v>9.8151302826151703</v>
      </c>
      <c r="L108">
        <v>9.8232521734692035</v>
      </c>
      <c r="M108">
        <v>9.8293836611283769</v>
      </c>
    </row>
    <row r="109" spans="1:13" x14ac:dyDescent="0.2">
      <c r="A109" t="s">
        <v>599</v>
      </c>
      <c r="B109" t="s">
        <v>600</v>
      </c>
      <c r="C109" t="s">
        <v>864</v>
      </c>
    </row>
    <row r="110" spans="1:13" x14ac:dyDescent="0.2">
      <c r="A110" t="s">
        <v>601</v>
      </c>
      <c r="B110" t="s">
        <v>602</v>
      </c>
      <c r="C110" t="s">
        <v>864</v>
      </c>
      <c r="D110">
        <v>25.23</v>
      </c>
      <c r="E110">
        <v>25.591000000000001</v>
      </c>
      <c r="F110">
        <v>26.003</v>
      </c>
      <c r="G110">
        <v>22.946999999999999</v>
      </c>
      <c r="H110">
        <v>24.666</v>
      </c>
      <c r="I110">
        <v>20.824000000000002</v>
      </c>
      <c r="J110">
        <v>17.731999999999999</v>
      </c>
      <c r="K110">
        <v>15.595000000000001</v>
      </c>
      <c r="L110">
        <v>15.746</v>
      </c>
      <c r="M110">
        <v>16.021999999999998</v>
      </c>
    </row>
    <row r="111" spans="1:13" x14ac:dyDescent="0.2">
      <c r="A111" t="s">
        <v>603</v>
      </c>
      <c r="B111" t="s">
        <v>604</v>
      </c>
      <c r="C111" t="s">
        <v>864</v>
      </c>
    </row>
    <row r="112" spans="1:13" x14ac:dyDescent="0.2">
      <c r="A112" t="s">
        <v>117</v>
      </c>
      <c r="B112" t="s">
        <v>121</v>
      </c>
      <c r="C112" t="s">
        <v>864</v>
      </c>
      <c r="D112">
        <v>16.797000000000001</v>
      </c>
      <c r="E112">
        <v>14.401999999999999</v>
      </c>
      <c r="F112">
        <v>13.756</v>
      </c>
      <c r="G112">
        <v>12.457000000000001</v>
      </c>
      <c r="H112">
        <v>15.263</v>
      </c>
      <c r="I112">
        <v>15.612</v>
      </c>
      <c r="J112">
        <v>9.3889999999999993</v>
      </c>
      <c r="K112">
        <v>10.161</v>
      </c>
      <c r="L112">
        <v>10.439</v>
      </c>
      <c r="M112">
        <v>10.493</v>
      </c>
    </row>
    <row r="113" spans="1:13" x14ac:dyDescent="0.2">
      <c r="A113" t="s">
        <v>605</v>
      </c>
      <c r="B113" t="s">
        <v>387</v>
      </c>
      <c r="C113" t="s">
        <v>864</v>
      </c>
      <c r="D113">
        <v>29.087</v>
      </c>
      <c r="E113">
        <v>28.207999999999998</v>
      </c>
      <c r="F113">
        <v>27.501999999999999</v>
      </c>
      <c r="G113">
        <v>25.948</v>
      </c>
      <c r="H113">
        <v>23.712</v>
      </c>
      <c r="I113">
        <v>23.751999999999999</v>
      </c>
      <c r="J113">
        <v>22.686</v>
      </c>
      <c r="K113">
        <v>21.265000000000001</v>
      </c>
      <c r="L113">
        <v>21.306999999999999</v>
      </c>
      <c r="M113">
        <v>21.9</v>
      </c>
    </row>
    <row r="114" spans="1:13" x14ac:dyDescent="0.2">
      <c r="A114" t="s">
        <v>606</v>
      </c>
      <c r="B114" t="s">
        <v>607</v>
      </c>
      <c r="C114" t="s">
        <v>864</v>
      </c>
      <c r="D114">
        <v>22.446000000000002</v>
      </c>
      <c r="E114">
        <v>25.276</v>
      </c>
      <c r="F114">
        <v>27.338000000000001</v>
      </c>
      <c r="G114">
        <v>29.75</v>
      </c>
      <c r="H114">
        <v>34.450000000000003</v>
      </c>
      <c r="I114">
        <v>35.652999999999999</v>
      </c>
      <c r="J114">
        <v>31.791</v>
      </c>
      <c r="K114">
        <v>31.513999999999999</v>
      </c>
      <c r="L114">
        <v>31.725999999999999</v>
      </c>
      <c r="M114">
        <v>32.012</v>
      </c>
    </row>
    <row r="115" spans="1:13" x14ac:dyDescent="0.2">
      <c r="A115" t="s">
        <v>608</v>
      </c>
      <c r="B115" t="s">
        <v>609</v>
      </c>
      <c r="C115" t="s">
        <v>864</v>
      </c>
      <c r="D115">
        <v>6.3170000000000002</v>
      </c>
      <c r="E115">
        <v>7.5439999999999996</v>
      </c>
      <c r="F115">
        <v>5.9020000000000001</v>
      </c>
      <c r="G115">
        <v>8.4489999999999998</v>
      </c>
      <c r="H115">
        <v>9.8719999999999999</v>
      </c>
      <c r="I115">
        <v>11.831</v>
      </c>
      <c r="J115">
        <v>8.4209999999999994</v>
      </c>
      <c r="K115">
        <v>8.4879999999999995</v>
      </c>
      <c r="L115">
        <v>8.7799999999999994</v>
      </c>
      <c r="M115">
        <v>8.6709999999999994</v>
      </c>
    </row>
    <row r="116" spans="1:13" x14ac:dyDescent="0.2">
      <c r="A116" t="s">
        <v>391</v>
      </c>
      <c r="B116" t="s">
        <v>392</v>
      </c>
      <c r="C116" t="s">
        <v>864</v>
      </c>
      <c r="D116">
        <v>8.5139999999999993</v>
      </c>
      <c r="E116">
        <v>7.1509999999999998</v>
      </c>
      <c r="F116">
        <v>7.0250000000000004</v>
      </c>
      <c r="G116">
        <v>6.5250000000000004</v>
      </c>
      <c r="H116">
        <v>7.6449999999999996</v>
      </c>
      <c r="I116">
        <v>7.649</v>
      </c>
      <c r="J116">
        <v>6.7190000000000003</v>
      </c>
      <c r="K116">
        <v>5.8730000000000002</v>
      </c>
      <c r="L116">
        <v>6.1630000000000003</v>
      </c>
      <c r="M116">
        <v>6.032</v>
      </c>
    </row>
    <row r="117" spans="1:13" x14ac:dyDescent="0.2">
      <c r="A117" t="s">
        <v>128</v>
      </c>
      <c r="B117" t="s">
        <v>129</v>
      </c>
      <c r="C117" t="s">
        <v>864</v>
      </c>
      <c r="D117">
        <v>37.758000000000003</v>
      </c>
      <c r="E117">
        <v>34.725999999999999</v>
      </c>
      <c r="F117">
        <v>32.185000000000002</v>
      </c>
      <c r="G117">
        <v>29.102</v>
      </c>
      <c r="H117">
        <v>29.629000000000001</v>
      </c>
      <c r="I117">
        <v>29.664999999999999</v>
      </c>
      <c r="J117">
        <v>23.704000000000001</v>
      </c>
      <c r="K117">
        <v>22.727</v>
      </c>
      <c r="L117">
        <v>20.245999999999999</v>
      </c>
      <c r="M117">
        <v>20.545000000000002</v>
      </c>
    </row>
    <row r="118" spans="1:13" x14ac:dyDescent="0.2">
      <c r="A118" t="s">
        <v>610</v>
      </c>
      <c r="B118" t="s">
        <v>611</v>
      </c>
      <c r="C118" t="s">
        <v>864</v>
      </c>
      <c r="D118">
        <v>24.661000000000001</v>
      </c>
      <c r="E118">
        <v>21.686</v>
      </c>
      <c r="F118">
        <v>18.064</v>
      </c>
      <c r="G118">
        <v>15.96</v>
      </c>
      <c r="H118">
        <v>20.087</v>
      </c>
      <c r="I118">
        <v>16.837</v>
      </c>
      <c r="J118">
        <v>13.117000000000001</v>
      </c>
      <c r="K118">
        <v>9.9920000000000009</v>
      </c>
      <c r="L118">
        <v>10.382999999999999</v>
      </c>
      <c r="M118">
        <v>10.808999999999999</v>
      </c>
    </row>
    <row r="119" spans="1:13" x14ac:dyDescent="0.2">
      <c r="A119" t="s">
        <v>612</v>
      </c>
      <c r="B119" t="s">
        <v>613</v>
      </c>
      <c r="C119" t="s">
        <v>864</v>
      </c>
      <c r="D119">
        <v>35.61</v>
      </c>
      <c r="E119">
        <v>35.438000000000002</v>
      </c>
      <c r="F119">
        <v>38.941000000000003</v>
      </c>
      <c r="G119">
        <v>37.204999999999998</v>
      </c>
      <c r="H119">
        <v>42.457999999999998</v>
      </c>
      <c r="I119">
        <v>43.862000000000002</v>
      </c>
      <c r="J119">
        <v>42.027999999999999</v>
      </c>
      <c r="K119">
        <v>38.837000000000003</v>
      </c>
      <c r="L119">
        <v>39.052999999999997</v>
      </c>
      <c r="M119">
        <v>38.875999999999998</v>
      </c>
    </row>
    <row r="120" spans="1:13" x14ac:dyDescent="0.2">
      <c r="A120" t="s">
        <v>614</v>
      </c>
      <c r="B120" t="s">
        <v>615</v>
      </c>
      <c r="C120" t="s">
        <v>864</v>
      </c>
      <c r="D120">
        <v>5.12</v>
      </c>
      <c r="E120">
        <v>4.6109999999999998</v>
      </c>
      <c r="F120">
        <v>3.6680000000000001</v>
      </c>
      <c r="G120">
        <v>3.9380000000000002</v>
      </c>
      <c r="H120">
        <v>4.6790000000000003</v>
      </c>
      <c r="I120">
        <v>4.7069999999999999</v>
      </c>
      <c r="J120">
        <v>4.4340000000000002</v>
      </c>
      <c r="K120">
        <v>4.1159999999999997</v>
      </c>
      <c r="L120">
        <v>3.93</v>
      </c>
      <c r="M120">
        <v>3.8980000000000001</v>
      </c>
    </row>
    <row r="121" spans="1:13" x14ac:dyDescent="0.2">
      <c r="A121" t="s">
        <v>616</v>
      </c>
      <c r="B121" t="s">
        <v>617</v>
      </c>
      <c r="C121" t="s">
        <v>864</v>
      </c>
      <c r="D121">
        <v>3.806</v>
      </c>
      <c r="E121">
        <v>3.79</v>
      </c>
      <c r="F121">
        <v>3.7759999999999998</v>
      </c>
      <c r="G121">
        <v>3.766</v>
      </c>
      <c r="H121">
        <v>3.7749999999999999</v>
      </c>
      <c r="I121">
        <v>4.2160000000000002</v>
      </c>
      <c r="J121">
        <v>3.8220000000000001</v>
      </c>
      <c r="K121">
        <v>3.8140000000000001</v>
      </c>
      <c r="L121">
        <v>3.8159999999999998</v>
      </c>
      <c r="M121">
        <v>3.806</v>
      </c>
    </row>
    <row r="122" spans="1:13" x14ac:dyDescent="0.2">
      <c r="A122" t="s">
        <v>618</v>
      </c>
      <c r="B122" t="s">
        <v>619</v>
      </c>
      <c r="C122" t="s">
        <v>864</v>
      </c>
      <c r="D122">
        <v>7.3330000000000002</v>
      </c>
      <c r="E122">
        <v>9.0969999999999995</v>
      </c>
      <c r="F122">
        <v>10.818</v>
      </c>
      <c r="G122">
        <v>12.547000000000001</v>
      </c>
      <c r="H122">
        <v>13.619</v>
      </c>
      <c r="I122">
        <v>12.231999999999999</v>
      </c>
      <c r="J122">
        <v>15.488</v>
      </c>
      <c r="K122">
        <v>15.164</v>
      </c>
      <c r="L122">
        <v>15.477</v>
      </c>
      <c r="M122">
        <v>15.246</v>
      </c>
    </row>
    <row r="123" spans="1:13" x14ac:dyDescent="0.2">
      <c r="A123" t="s">
        <v>620</v>
      </c>
      <c r="B123" t="s">
        <v>621</v>
      </c>
      <c r="C123" t="s">
        <v>864</v>
      </c>
      <c r="D123">
        <v>8.9250000000000007</v>
      </c>
      <c r="E123">
        <v>9.3000000000000007</v>
      </c>
      <c r="F123">
        <v>9.5589999999999993</v>
      </c>
      <c r="G123">
        <v>12.821</v>
      </c>
      <c r="H123">
        <v>11.862</v>
      </c>
      <c r="I123">
        <v>11.648999999999999</v>
      </c>
      <c r="J123">
        <v>10.914</v>
      </c>
      <c r="K123">
        <v>8.4510000000000005</v>
      </c>
      <c r="L123">
        <v>8.42</v>
      </c>
      <c r="M123">
        <v>8.2279999999999998</v>
      </c>
    </row>
    <row r="124" spans="1:13" x14ac:dyDescent="0.2">
      <c r="A124" t="s">
        <v>622</v>
      </c>
      <c r="B124" t="s">
        <v>623</v>
      </c>
      <c r="C124" t="s">
        <v>864</v>
      </c>
      <c r="D124">
        <v>1.137</v>
      </c>
      <c r="E124">
        <v>0.38200000000000001</v>
      </c>
      <c r="F124">
        <v>0.38</v>
      </c>
      <c r="G124">
        <v>0.378</v>
      </c>
      <c r="H124">
        <v>0.47399999999999998</v>
      </c>
      <c r="I124">
        <v>0.83</v>
      </c>
      <c r="J124">
        <v>0.68700000000000006</v>
      </c>
      <c r="K124">
        <v>0.70299999999999996</v>
      </c>
      <c r="L124">
        <v>0.70399999999999996</v>
      </c>
      <c r="M124">
        <v>0.71099999999999997</v>
      </c>
    </row>
    <row r="125" spans="1:13" x14ac:dyDescent="0.2">
      <c r="A125" t="s">
        <v>624</v>
      </c>
      <c r="B125" t="s">
        <v>625</v>
      </c>
      <c r="C125" t="s">
        <v>864</v>
      </c>
    </row>
    <row r="126" spans="1:13" x14ac:dyDescent="0.2">
      <c r="A126" t="s">
        <v>626</v>
      </c>
      <c r="B126" t="s">
        <v>627</v>
      </c>
      <c r="C126" t="s">
        <v>864</v>
      </c>
    </row>
    <row r="127" spans="1:13" x14ac:dyDescent="0.2">
      <c r="A127" t="s">
        <v>628</v>
      </c>
      <c r="B127" t="s">
        <v>396</v>
      </c>
      <c r="C127" t="s">
        <v>864</v>
      </c>
      <c r="D127">
        <v>10.145</v>
      </c>
      <c r="E127">
        <v>9.7810000000000006</v>
      </c>
      <c r="F127">
        <v>10.119999999999999</v>
      </c>
      <c r="G127">
        <v>9.827</v>
      </c>
      <c r="H127">
        <v>10.143000000000001</v>
      </c>
      <c r="I127">
        <v>8.0549999999999997</v>
      </c>
      <c r="J127">
        <v>6.6379999999999999</v>
      </c>
      <c r="K127">
        <v>5.4050000000000002</v>
      </c>
      <c r="L127">
        <v>6.4340000000000002</v>
      </c>
      <c r="M127">
        <v>6.6950000000000003</v>
      </c>
    </row>
    <row r="128" spans="1:13" x14ac:dyDescent="0.2">
      <c r="A128" t="s">
        <v>629</v>
      </c>
      <c r="B128" t="s">
        <v>630</v>
      </c>
      <c r="C128" t="s">
        <v>864</v>
      </c>
      <c r="D128">
        <v>15.143000000000001</v>
      </c>
      <c r="E128">
        <v>15.255000000000001</v>
      </c>
      <c r="F128">
        <v>15.224</v>
      </c>
      <c r="G128">
        <v>15.223000000000001</v>
      </c>
      <c r="H128">
        <v>19.059000000000001</v>
      </c>
      <c r="I128">
        <v>17.754999999999999</v>
      </c>
      <c r="J128">
        <v>15.19</v>
      </c>
      <c r="K128">
        <v>15.090999999999999</v>
      </c>
      <c r="L128">
        <v>15.145</v>
      </c>
      <c r="M128">
        <v>15.058</v>
      </c>
    </row>
    <row r="129" spans="1:13" x14ac:dyDescent="0.2">
      <c r="A129" t="s">
        <v>631</v>
      </c>
      <c r="B129" t="s">
        <v>632</v>
      </c>
      <c r="C129" t="s">
        <v>864</v>
      </c>
      <c r="D129">
        <v>16.899773626207427</v>
      </c>
      <c r="E129">
        <v>17.3033552708666</v>
      </c>
      <c r="F129">
        <v>17.230572933557585</v>
      </c>
      <c r="G129">
        <v>17.231495351821259</v>
      </c>
      <c r="H129">
        <v>20.242497726024641</v>
      </c>
      <c r="I129">
        <v>18.209776063860492</v>
      </c>
      <c r="J129">
        <v>14.468573232202619</v>
      </c>
      <c r="K129">
        <v>13.018479940564037</v>
      </c>
      <c r="L129">
        <v>12.452822843906267</v>
      </c>
      <c r="M129">
        <v>11.746384309783917</v>
      </c>
    </row>
    <row r="130" spans="1:13" x14ac:dyDescent="0.2">
      <c r="A130" t="s">
        <v>633</v>
      </c>
      <c r="B130" t="s">
        <v>634</v>
      </c>
      <c r="C130" t="s">
        <v>864</v>
      </c>
      <c r="D130">
        <v>4.8360000000000003</v>
      </c>
      <c r="E130">
        <v>5.7789999999999999</v>
      </c>
      <c r="F130">
        <v>5.1280000000000001</v>
      </c>
      <c r="G130">
        <v>4.4720000000000004</v>
      </c>
      <c r="H130">
        <v>4.2370000000000001</v>
      </c>
      <c r="I130">
        <v>3.3260000000000001</v>
      </c>
      <c r="J130">
        <v>2.1840000000000002</v>
      </c>
      <c r="K130">
        <v>2.1760000000000002</v>
      </c>
      <c r="L130">
        <v>2.1779999999999999</v>
      </c>
      <c r="M130">
        <v>2.3839999999999999</v>
      </c>
    </row>
    <row r="131" spans="1:13" x14ac:dyDescent="0.2">
      <c r="A131" t="s">
        <v>399</v>
      </c>
      <c r="B131" t="s">
        <v>400</v>
      </c>
      <c r="C131" t="s">
        <v>864</v>
      </c>
      <c r="D131">
        <v>21.37</v>
      </c>
      <c r="E131">
        <v>22.039000000000001</v>
      </c>
      <c r="F131">
        <v>22.667999999999999</v>
      </c>
      <c r="G131">
        <v>23.28</v>
      </c>
      <c r="H131">
        <v>26.576000000000001</v>
      </c>
      <c r="I131">
        <v>25.202999999999999</v>
      </c>
      <c r="J131">
        <v>22.9</v>
      </c>
      <c r="K131">
        <v>22.744</v>
      </c>
    </row>
    <row r="132" spans="1:13" x14ac:dyDescent="0.2">
      <c r="A132" t="s">
        <v>635</v>
      </c>
      <c r="B132" t="s">
        <v>636</v>
      </c>
      <c r="C132" t="s">
        <v>864</v>
      </c>
      <c r="D132">
        <v>2.3050000000000002</v>
      </c>
      <c r="E132">
        <v>2.3010000000000002</v>
      </c>
      <c r="F132">
        <v>2.298</v>
      </c>
      <c r="G132">
        <v>2.302</v>
      </c>
      <c r="H132">
        <v>2.91</v>
      </c>
      <c r="I132">
        <v>2.82</v>
      </c>
      <c r="J132">
        <v>2.2320000000000002</v>
      </c>
      <c r="K132">
        <v>2.2149999999999999</v>
      </c>
      <c r="L132">
        <v>2.218</v>
      </c>
      <c r="M132">
        <v>2.2970000000000002</v>
      </c>
    </row>
    <row r="133" spans="1:13" x14ac:dyDescent="0.2">
      <c r="A133" t="s">
        <v>637</v>
      </c>
      <c r="B133" t="s">
        <v>638</v>
      </c>
      <c r="C133" t="s">
        <v>864</v>
      </c>
      <c r="D133">
        <v>51.378</v>
      </c>
      <c r="E133">
        <v>50.470999999999997</v>
      </c>
      <c r="F133">
        <v>50.136000000000003</v>
      </c>
      <c r="G133">
        <v>50.569000000000003</v>
      </c>
      <c r="H133">
        <v>53.561999999999998</v>
      </c>
      <c r="I133">
        <v>52.085999999999999</v>
      </c>
      <c r="J133">
        <v>50.841000000000001</v>
      </c>
      <c r="K133">
        <v>49.863999999999997</v>
      </c>
      <c r="L133">
        <v>50.585999999999999</v>
      </c>
      <c r="M133">
        <v>50.057000000000002</v>
      </c>
    </row>
    <row r="134" spans="1:13" x14ac:dyDescent="0.2">
      <c r="A134" t="s">
        <v>639</v>
      </c>
      <c r="B134" t="s">
        <v>640</v>
      </c>
      <c r="C134" t="s">
        <v>864</v>
      </c>
      <c r="D134">
        <v>45.88</v>
      </c>
      <c r="E134">
        <v>44.994999999999997</v>
      </c>
      <c r="F134">
        <v>41.613</v>
      </c>
      <c r="G134">
        <v>35.883000000000003</v>
      </c>
      <c r="H134">
        <v>51.640999999999998</v>
      </c>
      <c r="I134">
        <v>45.012</v>
      </c>
      <c r="J134">
        <v>30.853999999999999</v>
      </c>
      <c r="K134">
        <v>30.260999999999999</v>
      </c>
      <c r="L134">
        <v>21.294</v>
      </c>
      <c r="M134">
        <v>20.251000000000001</v>
      </c>
    </row>
    <row r="135" spans="1:13" x14ac:dyDescent="0.2">
      <c r="A135" t="s">
        <v>641</v>
      </c>
      <c r="B135" t="s">
        <v>642</v>
      </c>
      <c r="C135" t="s">
        <v>864</v>
      </c>
      <c r="D135">
        <v>16.958305321787666</v>
      </c>
      <c r="E135">
        <v>17.391798062962724</v>
      </c>
      <c r="F135">
        <v>17.352735835016109</v>
      </c>
      <c r="G135">
        <v>17.438878232994302</v>
      </c>
      <c r="H135">
        <v>20.645149547011066</v>
      </c>
      <c r="I135">
        <v>18.516218636263602</v>
      </c>
      <c r="J135">
        <v>14.769445406860811</v>
      </c>
      <c r="K135">
        <v>13.415512258969432</v>
      </c>
      <c r="L135">
        <v>12.847812905140255</v>
      </c>
      <c r="M135">
        <v>12.185805274171267</v>
      </c>
    </row>
    <row r="136" spans="1:13" x14ac:dyDescent="0.2">
      <c r="A136" t="s">
        <v>643</v>
      </c>
      <c r="B136" t="s">
        <v>644</v>
      </c>
      <c r="C136" t="s">
        <v>864</v>
      </c>
      <c r="D136">
        <v>10.508438959331686</v>
      </c>
      <c r="E136">
        <v>10.7733864989131</v>
      </c>
      <c r="F136">
        <v>10.47639905172335</v>
      </c>
      <c r="G136">
        <v>10.331129004752052</v>
      </c>
      <c r="H136">
        <v>11.703773692767001</v>
      </c>
      <c r="I136">
        <v>11.527029170880612</v>
      </c>
      <c r="J136">
        <v>10.362485317909631</v>
      </c>
      <c r="K136">
        <v>9.7012640821337897</v>
      </c>
      <c r="L136">
        <v>9.7306125980726694</v>
      </c>
      <c r="M136">
        <v>9.7532696321994923</v>
      </c>
    </row>
    <row r="137" spans="1:13" x14ac:dyDescent="0.2">
      <c r="A137" t="s">
        <v>645</v>
      </c>
      <c r="B137" t="s">
        <v>646</v>
      </c>
      <c r="C137" t="s">
        <v>864</v>
      </c>
      <c r="D137">
        <v>10.721109523666819</v>
      </c>
      <c r="E137">
        <v>10.858647833852405</v>
      </c>
      <c r="F137">
        <v>10.673199169018259</v>
      </c>
      <c r="G137">
        <v>10.616417461167664</v>
      </c>
      <c r="H137">
        <v>11.904918148422936</v>
      </c>
      <c r="I137">
        <v>11.558563835526448</v>
      </c>
      <c r="J137">
        <v>10.582464570007497</v>
      </c>
      <c r="K137">
        <v>10.372385151524364</v>
      </c>
      <c r="L137">
        <v>10.190625211792838</v>
      </c>
      <c r="M137">
        <v>10.147325559465168</v>
      </c>
    </row>
    <row r="138" spans="1:13" x14ac:dyDescent="0.2">
      <c r="A138" t="s">
        <v>647</v>
      </c>
      <c r="B138" t="s">
        <v>648</v>
      </c>
      <c r="C138" t="s">
        <v>864</v>
      </c>
    </row>
    <row r="139" spans="1:13" x14ac:dyDescent="0.2">
      <c r="A139" t="s">
        <v>649</v>
      </c>
      <c r="B139" t="s">
        <v>650</v>
      </c>
      <c r="C139" t="s">
        <v>864</v>
      </c>
      <c r="D139">
        <v>20.07</v>
      </c>
      <c r="E139">
        <v>17.390999999999998</v>
      </c>
      <c r="F139">
        <v>20.495999999999999</v>
      </c>
      <c r="G139">
        <v>20.425000000000001</v>
      </c>
      <c r="H139">
        <v>25.449000000000002</v>
      </c>
      <c r="I139">
        <v>25.370999999999999</v>
      </c>
      <c r="J139">
        <v>21.731999999999999</v>
      </c>
      <c r="K139">
        <v>20.341999999999999</v>
      </c>
      <c r="L139">
        <v>19.062000000000001</v>
      </c>
      <c r="M139">
        <v>18.577999999999999</v>
      </c>
    </row>
    <row r="140" spans="1:13" x14ac:dyDescent="0.2">
      <c r="A140" t="s">
        <v>651</v>
      </c>
      <c r="B140" t="s">
        <v>652</v>
      </c>
      <c r="C140" t="s">
        <v>864</v>
      </c>
      <c r="D140">
        <v>18.550571098284724</v>
      </c>
      <c r="E140">
        <v>18.94493811958138</v>
      </c>
      <c r="F140">
        <v>18.998776090323542</v>
      </c>
      <c r="G140">
        <v>17.398078425873866</v>
      </c>
      <c r="H140">
        <v>18.812584119149879</v>
      </c>
      <c r="I140">
        <v>16.614809047902725</v>
      </c>
      <c r="J140">
        <v>14.274814444878379</v>
      </c>
      <c r="K140">
        <v>12.841638345469269</v>
      </c>
      <c r="L140">
        <v>12.951229242461473</v>
      </c>
      <c r="M140">
        <v>13.135789014180229</v>
      </c>
    </row>
    <row r="141" spans="1:13" x14ac:dyDescent="0.2">
      <c r="A141" t="s">
        <v>653</v>
      </c>
      <c r="B141" t="s">
        <v>654</v>
      </c>
      <c r="C141" t="s">
        <v>864</v>
      </c>
      <c r="D141">
        <v>16.195473764000397</v>
      </c>
      <c r="E141">
        <v>16.380291177092779</v>
      </c>
      <c r="F141">
        <v>16.302961853754582</v>
      </c>
      <c r="G141">
        <v>15.670798131625558</v>
      </c>
      <c r="H141">
        <v>17.252055217225347</v>
      </c>
      <c r="I141">
        <v>15.955307583465466</v>
      </c>
      <c r="J141">
        <v>14.483428086081092</v>
      </c>
      <c r="K141">
        <v>13.669567447284926</v>
      </c>
      <c r="L141">
        <v>13.569427590202766</v>
      </c>
      <c r="M141">
        <v>13.688317589088248</v>
      </c>
    </row>
    <row r="142" spans="1:13" x14ac:dyDescent="0.2">
      <c r="A142" t="s">
        <v>655</v>
      </c>
      <c r="B142" t="s">
        <v>656</v>
      </c>
      <c r="C142" t="s">
        <v>864</v>
      </c>
      <c r="D142">
        <v>24.045000000000002</v>
      </c>
      <c r="E142">
        <v>24.478000000000002</v>
      </c>
      <c r="F142">
        <v>24.887</v>
      </c>
      <c r="G142">
        <v>25.318000000000001</v>
      </c>
      <c r="H142">
        <v>28.218</v>
      </c>
      <c r="I142">
        <v>27.187999999999999</v>
      </c>
      <c r="J142">
        <v>25.056999999999999</v>
      </c>
      <c r="K142">
        <v>24.738</v>
      </c>
      <c r="L142">
        <v>24.742999999999999</v>
      </c>
      <c r="M142">
        <v>24.672000000000001</v>
      </c>
    </row>
    <row r="143" spans="1:13" x14ac:dyDescent="0.2">
      <c r="A143" t="s">
        <v>657</v>
      </c>
      <c r="B143" t="s">
        <v>658</v>
      </c>
      <c r="C143" t="s">
        <v>864</v>
      </c>
      <c r="D143">
        <v>13.477875865319564</v>
      </c>
      <c r="E143">
        <v>13.578135772586538</v>
      </c>
      <c r="F143">
        <v>12.986444003423543</v>
      </c>
      <c r="G143">
        <v>13.498561739298648</v>
      </c>
      <c r="H143">
        <v>15.761655066141586</v>
      </c>
      <c r="I143">
        <v>15.196840125883446</v>
      </c>
      <c r="J143">
        <v>15.126058077981595</v>
      </c>
      <c r="K143">
        <v>15.028199857476098</v>
      </c>
      <c r="L143">
        <v>14.27276261549506</v>
      </c>
      <c r="M143">
        <v>14.386406993305322</v>
      </c>
    </row>
    <row r="144" spans="1:13" x14ac:dyDescent="0.2">
      <c r="A144" t="s">
        <v>211</v>
      </c>
      <c r="B144" t="s">
        <v>213</v>
      </c>
      <c r="C144" t="s">
        <v>864</v>
      </c>
      <c r="D144">
        <v>14.455</v>
      </c>
      <c r="E144">
        <v>13.266</v>
      </c>
      <c r="F144">
        <v>11.117000000000001</v>
      </c>
      <c r="G144">
        <v>11.85</v>
      </c>
      <c r="H144">
        <v>19.556000000000001</v>
      </c>
      <c r="I144">
        <v>14.304</v>
      </c>
      <c r="J144">
        <v>11.872999999999999</v>
      </c>
      <c r="K144">
        <v>13.712</v>
      </c>
      <c r="L144">
        <v>13.688000000000001</v>
      </c>
      <c r="M144">
        <v>13.756</v>
      </c>
    </row>
    <row r="145" spans="1:13" x14ac:dyDescent="0.2">
      <c r="A145" t="s">
        <v>135</v>
      </c>
      <c r="B145" t="s">
        <v>137</v>
      </c>
      <c r="C145" t="s">
        <v>864</v>
      </c>
      <c r="D145">
        <v>21.98</v>
      </c>
      <c r="E145">
        <v>15.473000000000001</v>
      </c>
      <c r="F145">
        <v>14.18</v>
      </c>
      <c r="G145">
        <v>16.975000000000001</v>
      </c>
      <c r="H145">
        <v>23.181999999999999</v>
      </c>
      <c r="I145">
        <v>18.666</v>
      </c>
      <c r="J145">
        <v>17.599</v>
      </c>
      <c r="K145">
        <v>18.847999999999999</v>
      </c>
      <c r="L145">
        <v>21.689</v>
      </c>
      <c r="M145">
        <v>21.466999999999999</v>
      </c>
    </row>
    <row r="146" spans="1:13" x14ac:dyDescent="0.2">
      <c r="A146" t="s">
        <v>203</v>
      </c>
      <c r="B146" t="s">
        <v>205</v>
      </c>
      <c r="C146" t="s">
        <v>864</v>
      </c>
      <c r="D146">
        <v>17.271000000000001</v>
      </c>
      <c r="E146">
        <v>16.971</v>
      </c>
      <c r="F146">
        <v>12.192</v>
      </c>
      <c r="G146">
        <v>12.414999999999999</v>
      </c>
      <c r="H146">
        <v>14.868</v>
      </c>
      <c r="I146">
        <v>14.785</v>
      </c>
      <c r="J146">
        <v>15.27</v>
      </c>
      <c r="K146">
        <v>12.323</v>
      </c>
      <c r="L146">
        <v>13.614000000000001</v>
      </c>
      <c r="M146">
        <v>12.95</v>
      </c>
    </row>
    <row r="147" spans="1:13" x14ac:dyDescent="0.2">
      <c r="A147" t="s">
        <v>659</v>
      </c>
      <c r="B147" t="s">
        <v>660</v>
      </c>
      <c r="C147" t="s">
        <v>864</v>
      </c>
      <c r="D147">
        <v>4.9800000000000004</v>
      </c>
      <c r="E147">
        <v>5.0999999999999996</v>
      </c>
      <c r="F147">
        <v>5.0529999999999999</v>
      </c>
      <c r="G147">
        <v>4.9359999999999999</v>
      </c>
      <c r="H147">
        <v>7.5910000000000002</v>
      </c>
      <c r="I147">
        <v>6.3929999999999998</v>
      </c>
      <c r="J147">
        <v>6.9489999999999998</v>
      </c>
      <c r="K147">
        <v>6.5570000000000004</v>
      </c>
      <c r="L147">
        <v>6.6920000000000002</v>
      </c>
      <c r="M147">
        <v>6.7789999999999999</v>
      </c>
    </row>
    <row r="148" spans="1:13" x14ac:dyDescent="0.2">
      <c r="A148" t="s">
        <v>661</v>
      </c>
      <c r="B148" t="s">
        <v>662</v>
      </c>
      <c r="C148" t="s">
        <v>864</v>
      </c>
    </row>
    <row r="149" spans="1:13" x14ac:dyDescent="0.2">
      <c r="A149" t="s">
        <v>663</v>
      </c>
      <c r="B149" t="s">
        <v>664</v>
      </c>
      <c r="C149" t="s">
        <v>864</v>
      </c>
      <c r="D149">
        <v>22.265000000000001</v>
      </c>
      <c r="E149">
        <v>22.167000000000002</v>
      </c>
      <c r="F149">
        <v>22.431000000000001</v>
      </c>
      <c r="G149">
        <v>22.475000000000001</v>
      </c>
      <c r="H149">
        <v>26.795000000000002</v>
      </c>
      <c r="I149">
        <v>25.053000000000001</v>
      </c>
      <c r="J149">
        <v>22.713000000000001</v>
      </c>
      <c r="K149">
        <v>21.974</v>
      </c>
      <c r="L149">
        <v>22.372</v>
      </c>
      <c r="M149">
        <v>21.882000000000001</v>
      </c>
    </row>
    <row r="150" spans="1:13" x14ac:dyDescent="0.2">
      <c r="A150" t="s">
        <v>665</v>
      </c>
      <c r="B150" t="s">
        <v>666</v>
      </c>
      <c r="C150" t="s">
        <v>864</v>
      </c>
    </row>
    <row r="151" spans="1:13" x14ac:dyDescent="0.2">
      <c r="A151" t="s">
        <v>667</v>
      </c>
      <c r="B151" t="s">
        <v>668</v>
      </c>
      <c r="C151" t="s">
        <v>864</v>
      </c>
      <c r="D151">
        <v>3.02</v>
      </c>
      <c r="E151">
        <v>3.9249999999999998</v>
      </c>
      <c r="F151">
        <v>3.2080000000000002</v>
      </c>
      <c r="G151">
        <v>3.2559999999999998</v>
      </c>
      <c r="H151">
        <v>4.0529999999999999</v>
      </c>
      <c r="I151">
        <v>1.7969999999999999</v>
      </c>
      <c r="J151">
        <v>2.9049999999999998</v>
      </c>
      <c r="K151">
        <v>4.0309999999999997</v>
      </c>
      <c r="L151">
        <v>4.4960000000000004</v>
      </c>
      <c r="M151">
        <v>4.1970000000000001</v>
      </c>
    </row>
    <row r="152" spans="1:13" x14ac:dyDescent="0.2">
      <c r="A152" t="s">
        <v>669</v>
      </c>
      <c r="B152" t="s">
        <v>670</v>
      </c>
      <c r="C152" t="s">
        <v>864</v>
      </c>
      <c r="D152">
        <v>3.5830000000000002</v>
      </c>
      <c r="E152">
        <v>3.8780000000000001</v>
      </c>
      <c r="F152">
        <v>4.1829999999999998</v>
      </c>
      <c r="G152">
        <v>4.4850000000000003</v>
      </c>
      <c r="H152">
        <v>5.8739999999999997</v>
      </c>
      <c r="I152">
        <v>6.056</v>
      </c>
      <c r="J152">
        <v>5.5839999999999996</v>
      </c>
      <c r="K152">
        <v>5.43</v>
      </c>
      <c r="L152">
        <v>5.46</v>
      </c>
      <c r="M152">
        <v>5.2469999999999999</v>
      </c>
    </row>
    <row r="153" spans="1:13" x14ac:dyDescent="0.2">
      <c r="A153" t="s">
        <v>671</v>
      </c>
      <c r="B153" t="s">
        <v>672</v>
      </c>
      <c r="C153" t="s">
        <v>864</v>
      </c>
      <c r="D153">
        <v>15.125999999999999</v>
      </c>
      <c r="E153">
        <v>14.589</v>
      </c>
      <c r="F153">
        <v>14.023999999999999</v>
      </c>
      <c r="G153">
        <v>13.496</v>
      </c>
      <c r="H153">
        <v>16.149000000000001</v>
      </c>
      <c r="I153">
        <v>15.319000000000001</v>
      </c>
      <c r="J153">
        <v>14.27</v>
      </c>
      <c r="K153">
        <v>14.124000000000001</v>
      </c>
      <c r="L153">
        <v>14.808999999999999</v>
      </c>
      <c r="M153">
        <v>15.694000000000001</v>
      </c>
    </row>
    <row r="154" spans="1:13" x14ac:dyDescent="0.2">
      <c r="A154" t="s">
        <v>673</v>
      </c>
      <c r="B154" t="s">
        <v>674</v>
      </c>
      <c r="C154" t="s">
        <v>864</v>
      </c>
      <c r="D154">
        <v>19.763252382735779</v>
      </c>
      <c r="E154">
        <v>20.73086960081962</v>
      </c>
      <c r="F154">
        <v>20.189234395887638</v>
      </c>
      <c r="G154">
        <v>19.787154087911105</v>
      </c>
      <c r="H154">
        <v>21.114038994049874</v>
      </c>
      <c r="I154">
        <v>20.586998577045016</v>
      </c>
      <c r="J154">
        <v>18.902788331671438</v>
      </c>
      <c r="K154">
        <v>18.499048230514877</v>
      </c>
      <c r="L154">
        <v>18.529827550129941</v>
      </c>
      <c r="M154">
        <v>18.654383468042891</v>
      </c>
    </row>
    <row r="155" spans="1:13" x14ac:dyDescent="0.2">
      <c r="A155" t="s">
        <v>271</v>
      </c>
      <c r="B155" t="s">
        <v>273</v>
      </c>
      <c r="C155" t="s">
        <v>864</v>
      </c>
      <c r="D155">
        <v>7.6210000000000004</v>
      </c>
      <c r="E155">
        <v>6.8490000000000002</v>
      </c>
      <c r="F155">
        <v>6.8150000000000004</v>
      </c>
      <c r="G155">
        <v>7.16</v>
      </c>
      <c r="H155">
        <v>8.0530000000000008</v>
      </c>
      <c r="I155">
        <v>7.6260000000000003</v>
      </c>
      <c r="J155">
        <v>6.4649999999999999</v>
      </c>
      <c r="K155">
        <v>5.8440000000000003</v>
      </c>
      <c r="L155">
        <v>5.76</v>
      </c>
      <c r="M155">
        <v>5.7140000000000004</v>
      </c>
    </row>
    <row r="156" spans="1:13" x14ac:dyDescent="0.2">
      <c r="A156" t="s">
        <v>675</v>
      </c>
      <c r="B156" t="s">
        <v>676</v>
      </c>
      <c r="C156" t="s">
        <v>864</v>
      </c>
    </row>
    <row r="157" spans="1:13" x14ac:dyDescent="0.2">
      <c r="A157" t="s">
        <v>677</v>
      </c>
      <c r="B157" t="s">
        <v>678</v>
      </c>
      <c r="C157" t="s">
        <v>864</v>
      </c>
      <c r="D157">
        <v>16.904025017338469</v>
      </c>
      <c r="E157">
        <v>17.117868778324446</v>
      </c>
      <c r="F157">
        <v>17.078184198459521</v>
      </c>
      <c r="G157">
        <v>16.387764928109426</v>
      </c>
      <c r="H157">
        <v>18.03146964524268</v>
      </c>
      <c r="I157">
        <v>16.611737159050861</v>
      </c>
      <c r="J157">
        <v>15.081482870048516</v>
      </c>
      <c r="K157">
        <v>14.150895743681524</v>
      </c>
      <c r="L157">
        <v>14.063994096889452</v>
      </c>
      <c r="M157">
        <v>14.216077483271762</v>
      </c>
    </row>
    <row r="158" spans="1:13" x14ac:dyDescent="0.2">
      <c r="A158" t="s">
        <v>679</v>
      </c>
      <c r="B158" t="s">
        <v>680</v>
      </c>
      <c r="C158" t="s">
        <v>864</v>
      </c>
      <c r="D158">
        <v>48.48</v>
      </c>
      <c r="E158">
        <v>46.759</v>
      </c>
      <c r="F158">
        <v>45.494999999999997</v>
      </c>
      <c r="G158">
        <v>35.353000000000002</v>
      </c>
      <c r="H158">
        <v>35.622</v>
      </c>
      <c r="I158">
        <v>36.097000000000001</v>
      </c>
      <c r="J158">
        <v>32.594999999999999</v>
      </c>
      <c r="K158">
        <v>29.684999999999999</v>
      </c>
      <c r="L158">
        <v>28.655999999999999</v>
      </c>
      <c r="M158">
        <v>28.75</v>
      </c>
    </row>
    <row r="159" spans="1:13" x14ac:dyDescent="0.2">
      <c r="A159" t="s">
        <v>681</v>
      </c>
      <c r="B159" t="s">
        <v>682</v>
      </c>
      <c r="C159" t="s">
        <v>864</v>
      </c>
      <c r="D159">
        <v>2.1339999999999999</v>
      </c>
      <c r="E159">
        <v>2.234</v>
      </c>
      <c r="F159">
        <v>2.335</v>
      </c>
      <c r="G159">
        <v>4.6689999999999996</v>
      </c>
      <c r="H159">
        <v>6.7329999999999997</v>
      </c>
      <c r="I159">
        <v>4.4329999999999998</v>
      </c>
      <c r="J159">
        <v>3.2050000000000001</v>
      </c>
      <c r="K159">
        <v>3.8610000000000002</v>
      </c>
      <c r="L159">
        <v>3.8410000000000002</v>
      </c>
      <c r="M159">
        <v>3.8769999999999998</v>
      </c>
    </row>
    <row r="160" spans="1:13" x14ac:dyDescent="0.2">
      <c r="A160" t="s">
        <v>144</v>
      </c>
      <c r="B160" t="s">
        <v>146</v>
      </c>
      <c r="C160" t="s">
        <v>864</v>
      </c>
      <c r="D160">
        <v>10.712999999999999</v>
      </c>
      <c r="E160">
        <v>10.589</v>
      </c>
      <c r="F160">
        <v>9.3550000000000004</v>
      </c>
      <c r="G160">
        <v>10.07</v>
      </c>
      <c r="H160">
        <v>11.536</v>
      </c>
      <c r="I160">
        <v>9.8710000000000004</v>
      </c>
      <c r="J160">
        <v>9.0640000000000001</v>
      </c>
      <c r="K160">
        <v>9.3230000000000004</v>
      </c>
      <c r="L160">
        <v>9.1189999999999998</v>
      </c>
      <c r="M160">
        <v>8.4309999999999992</v>
      </c>
    </row>
    <row r="161" spans="1:13" x14ac:dyDescent="0.2">
      <c r="A161" t="s">
        <v>683</v>
      </c>
      <c r="B161" t="s">
        <v>684</v>
      </c>
      <c r="C161" t="s">
        <v>864</v>
      </c>
      <c r="D161">
        <v>2.5510000000000002</v>
      </c>
      <c r="E161">
        <v>3.5859999999999999</v>
      </c>
      <c r="F161">
        <v>1.843</v>
      </c>
      <c r="G161">
        <v>1.3129999999999999</v>
      </c>
      <c r="H161">
        <v>4.9550000000000001</v>
      </c>
      <c r="I161">
        <v>12.818</v>
      </c>
      <c r="J161">
        <v>10.148</v>
      </c>
      <c r="K161">
        <v>10.069000000000001</v>
      </c>
      <c r="L161">
        <v>9.9670000000000005</v>
      </c>
      <c r="M161">
        <v>9.8059999999999992</v>
      </c>
    </row>
    <row r="162" spans="1:13" x14ac:dyDescent="0.2">
      <c r="A162" t="s">
        <v>685</v>
      </c>
      <c r="B162" t="s">
        <v>686</v>
      </c>
      <c r="C162" t="s">
        <v>864</v>
      </c>
      <c r="D162">
        <v>19.976212502913238</v>
      </c>
      <c r="E162">
        <v>20.755015153214853</v>
      </c>
      <c r="F162">
        <v>20.27370130583515</v>
      </c>
      <c r="G162">
        <v>20.009473865149403</v>
      </c>
      <c r="H162">
        <v>21.151035353342774</v>
      </c>
      <c r="I162">
        <v>21.008987867939677</v>
      </c>
      <c r="J162">
        <v>19.344512285443844</v>
      </c>
      <c r="K162">
        <v>19.063345213526588</v>
      </c>
      <c r="L162">
        <v>19.179850523613972</v>
      </c>
      <c r="M162">
        <v>19.39222100506009</v>
      </c>
    </row>
    <row r="163" spans="1:13" x14ac:dyDescent="0.2">
      <c r="A163" t="s">
        <v>687</v>
      </c>
      <c r="B163" t="s">
        <v>688</v>
      </c>
      <c r="C163" t="s">
        <v>864</v>
      </c>
      <c r="D163">
        <v>36.061</v>
      </c>
      <c r="E163">
        <v>31.846</v>
      </c>
      <c r="F163">
        <v>29.61</v>
      </c>
      <c r="G163">
        <v>25.305</v>
      </c>
      <c r="H163">
        <v>36.216000000000001</v>
      </c>
      <c r="I163">
        <v>37.399000000000001</v>
      </c>
      <c r="J163">
        <v>29.795000000000002</v>
      </c>
      <c r="K163">
        <v>23.335000000000001</v>
      </c>
      <c r="L163">
        <v>23.952000000000002</v>
      </c>
      <c r="M163">
        <v>24.437999999999999</v>
      </c>
    </row>
    <row r="164" spans="1:13" x14ac:dyDescent="0.2">
      <c r="A164" t="s">
        <v>689</v>
      </c>
      <c r="B164" t="s">
        <v>690</v>
      </c>
      <c r="C164" t="s">
        <v>864</v>
      </c>
      <c r="D164">
        <v>20.14</v>
      </c>
      <c r="E164">
        <v>17.434999999999999</v>
      </c>
      <c r="F164">
        <v>16.46</v>
      </c>
      <c r="G164">
        <v>21.128</v>
      </c>
      <c r="H164">
        <v>14.888999999999999</v>
      </c>
      <c r="I164">
        <v>16.507999999999999</v>
      </c>
      <c r="J164">
        <v>11.433999999999999</v>
      </c>
      <c r="K164">
        <v>11.605</v>
      </c>
      <c r="L164">
        <v>11.542</v>
      </c>
      <c r="M164">
        <v>11.71</v>
      </c>
    </row>
    <row r="165" spans="1:13" x14ac:dyDescent="0.2">
      <c r="A165" t="s">
        <v>691</v>
      </c>
      <c r="B165" t="s">
        <v>692</v>
      </c>
      <c r="C165" t="s">
        <v>864</v>
      </c>
    </row>
    <row r="166" spans="1:13" x14ac:dyDescent="0.2">
      <c r="A166" t="s">
        <v>693</v>
      </c>
      <c r="B166" t="s">
        <v>694</v>
      </c>
      <c r="C166" t="s">
        <v>864</v>
      </c>
      <c r="D166">
        <v>7.4009999999999998</v>
      </c>
      <c r="E166">
        <v>7.798</v>
      </c>
      <c r="F166">
        <v>8.173</v>
      </c>
      <c r="G166">
        <v>8.5109999999999992</v>
      </c>
      <c r="H166">
        <v>9.7070000000000007</v>
      </c>
      <c r="I166">
        <v>9.8360000000000003</v>
      </c>
      <c r="J166">
        <v>11.619</v>
      </c>
      <c r="K166">
        <v>11.471</v>
      </c>
      <c r="L166">
        <v>11.497999999999999</v>
      </c>
      <c r="M166">
        <v>11.61</v>
      </c>
    </row>
    <row r="167" spans="1:13" x14ac:dyDescent="0.2">
      <c r="A167" t="s">
        <v>695</v>
      </c>
      <c r="B167" t="s">
        <v>696</v>
      </c>
      <c r="C167" t="s">
        <v>864</v>
      </c>
      <c r="D167">
        <v>19.824999999999999</v>
      </c>
      <c r="E167">
        <v>20.966999999999999</v>
      </c>
      <c r="F167">
        <v>22.196000000000002</v>
      </c>
      <c r="G167">
        <v>23.370999999999999</v>
      </c>
      <c r="H167">
        <v>25.518000000000001</v>
      </c>
      <c r="I167">
        <v>24.853999999999999</v>
      </c>
      <c r="J167">
        <v>23.509</v>
      </c>
      <c r="K167">
        <v>23.24</v>
      </c>
      <c r="L167">
        <v>23.038</v>
      </c>
      <c r="M167">
        <v>22.920999999999999</v>
      </c>
    </row>
    <row r="168" spans="1:13" x14ac:dyDescent="0.2">
      <c r="A168" t="s">
        <v>265</v>
      </c>
      <c r="B168" t="s">
        <v>266</v>
      </c>
      <c r="C168" t="s">
        <v>864</v>
      </c>
      <c r="D168">
        <v>22.978999999999999</v>
      </c>
      <c r="E168">
        <v>24.231000000000002</v>
      </c>
      <c r="F168">
        <v>24.196000000000002</v>
      </c>
      <c r="G168">
        <v>22.082999999999998</v>
      </c>
      <c r="H168">
        <v>25.032</v>
      </c>
      <c r="I168">
        <v>25.369</v>
      </c>
      <c r="J168">
        <v>22.321000000000002</v>
      </c>
      <c r="K168">
        <v>16.448</v>
      </c>
      <c r="L168">
        <v>16.498999999999999</v>
      </c>
      <c r="M168">
        <v>17.373999999999999</v>
      </c>
    </row>
    <row r="169" spans="1:13" x14ac:dyDescent="0.2">
      <c r="A169" t="s">
        <v>697</v>
      </c>
      <c r="B169" t="s">
        <v>698</v>
      </c>
      <c r="C169" t="s">
        <v>864</v>
      </c>
      <c r="D169">
        <v>6.819</v>
      </c>
      <c r="E169">
        <v>6.8650000000000002</v>
      </c>
      <c r="F169">
        <v>6.8529999999999998</v>
      </c>
      <c r="G169">
        <v>6.8120000000000003</v>
      </c>
      <c r="H169">
        <v>7.8310000000000004</v>
      </c>
      <c r="I169">
        <v>7.6319999999999997</v>
      </c>
      <c r="J169">
        <v>6.8479999999999999</v>
      </c>
      <c r="K169">
        <v>6.8419999999999996</v>
      </c>
      <c r="L169">
        <v>6.8890000000000002</v>
      </c>
      <c r="M169">
        <v>6.9470000000000001</v>
      </c>
    </row>
    <row r="170" spans="1:13" x14ac:dyDescent="0.2">
      <c r="A170" t="s">
        <v>404</v>
      </c>
      <c r="B170" t="s">
        <v>405</v>
      </c>
      <c r="C170" t="s">
        <v>864</v>
      </c>
      <c r="D170">
        <v>10.836</v>
      </c>
      <c r="E170">
        <v>11.276999999999999</v>
      </c>
      <c r="F170">
        <v>11.395</v>
      </c>
      <c r="G170">
        <v>11.211</v>
      </c>
      <c r="H170">
        <v>12.365</v>
      </c>
      <c r="I170">
        <v>11.579000000000001</v>
      </c>
      <c r="J170">
        <v>12.159000000000001</v>
      </c>
      <c r="K170">
        <v>12.146000000000001</v>
      </c>
      <c r="L170">
        <v>12.25</v>
      </c>
      <c r="M170">
        <v>11.952999999999999</v>
      </c>
    </row>
    <row r="171" spans="1:13" x14ac:dyDescent="0.2">
      <c r="A171" t="s">
        <v>699</v>
      </c>
      <c r="B171" t="s">
        <v>700</v>
      </c>
      <c r="C171" t="s">
        <v>864</v>
      </c>
      <c r="D171">
        <v>10.634781502187783</v>
      </c>
      <c r="E171">
        <v>9.426309849221937</v>
      </c>
      <c r="F171">
        <v>8.8071315592601049</v>
      </c>
      <c r="G171">
        <v>8.6020311410922172</v>
      </c>
      <c r="H171">
        <v>15.390900783010478</v>
      </c>
      <c r="I171">
        <v>10.067714387549831</v>
      </c>
      <c r="J171">
        <v>8.2919390007614293</v>
      </c>
      <c r="K171">
        <v>8.2268619289970832</v>
      </c>
      <c r="L171">
        <v>9.3424517479378437</v>
      </c>
      <c r="M171">
        <v>9.7691566291931871</v>
      </c>
    </row>
    <row r="172" spans="1:13" x14ac:dyDescent="0.2">
      <c r="A172" t="s">
        <v>701</v>
      </c>
      <c r="B172" t="s">
        <v>702</v>
      </c>
      <c r="C172" t="s">
        <v>864</v>
      </c>
      <c r="D172">
        <v>44.21</v>
      </c>
      <c r="E172">
        <v>41.466000000000001</v>
      </c>
      <c r="F172">
        <v>37.973999999999997</v>
      </c>
      <c r="G172">
        <v>38.156999999999996</v>
      </c>
      <c r="H172">
        <v>41.505000000000003</v>
      </c>
      <c r="I172">
        <v>40.1</v>
      </c>
      <c r="J172">
        <v>37.808999999999997</v>
      </c>
      <c r="K172">
        <v>37.128999999999998</v>
      </c>
      <c r="L172">
        <v>37.24</v>
      </c>
      <c r="M172">
        <v>38.049999999999997</v>
      </c>
    </row>
    <row r="173" spans="1:13" x14ac:dyDescent="0.2">
      <c r="A173" t="s">
        <v>703</v>
      </c>
      <c r="B173" t="s">
        <v>704</v>
      </c>
      <c r="C173" t="s">
        <v>864</v>
      </c>
      <c r="D173">
        <v>37.052999999999997</v>
      </c>
      <c r="E173">
        <v>36.412999999999997</v>
      </c>
      <c r="F173">
        <v>39.948</v>
      </c>
      <c r="G173">
        <v>32.408999999999999</v>
      </c>
      <c r="H173">
        <v>46.146000000000001</v>
      </c>
      <c r="I173">
        <v>34.404000000000003</v>
      </c>
      <c r="J173">
        <v>33.323999999999998</v>
      </c>
      <c r="K173">
        <v>31.751999999999999</v>
      </c>
      <c r="L173">
        <v>31.829000000000001</v>
      </c>
      <c r="M173">
        <v>33.109000000000002</v>
      </c>
    </row>
    <row r="174" spans="1:13" x14ac:dyDescent="0.2">
      <c r="A174" t="s">
        <v>705</v>
      </c>
      <c r="B174" t="s">
        <v>706</v>
      </c>
      <c r="C174" t="s">
        <v>864</v>
      </c>
      <c r="D174">
        <v>0.71599999999999997</v>
      </c>
      <c r="E174">
        <v>0.73399999999999999</v>
      </c>
      <c r="F174">
        <v>0.73899999999999999</v>
      </c>
      <c r="G174">
        <v>0.75</v>
      </c>
      <c r="H174">
        <v>0.74299999999999999</v>
      </c>
      <c r="I174">
        <v>0.71799999999999997</v>
      </c>
      <c r="J174">
        <v>0.39700000000000002</v>
      </c>
      <c r="K174">
        <v>0.39800000000000002</v>
      </c>
      <c r="L174">
        <v>0.39100000000000001</v>
      </c>
      <c r="M174">
        <v>0.45700000000000002</v>
      </c>
    </row>
    <row r="175" spans="1:13" x14ac:dyDescent="0.2">
      <c r="A175" t="s">
        <v>707</v>
      </c>
      <c r="B175" t="s">
        <v>708</v>
      </c>
      <c r="C175" t="s">
        <v>864</v>
      </c>
      <c r="D175">
        <v>9.1</v>
      </c>
      <c r="E175">
        <v>9.7070000000000007</v>
      </c>
      <c r="F175">
        <v>10.138</v>
      </c>
      <c r="G175">
        <v>10.417999999999999</v>
      </c>
      <c r="H175">
        <v>10.842000000000001</v>
      </c>
      <c r="I175">
        <v>8.9909999999999997</v>
      </c>
      <c r="J175">
        <v>6.024</v>
      </c>
      <c r="K175">
        <v>5.1310000000000002</v>
      </c>
      <c r="L175">
        <v>5.0880000000000001</v>
      </c>
      <c r="M175">
        <v>5.34</v>
      </c>
    </row>
    <row r="176" spans="1:13" x14ac:dyDescent="0.2">
      <c r="A176" t="s">
        <v>709</v>
      </c>
      <c r="B176" t="s">
        <v>710</v>
      </c>
      <c r="C176" t="s">
        <v>864</v>
      </c>
      <c r="D176">
        <v>7.3380000000000001</v>
      </c>
      <c r="E176">
        <v>6.2510000000000003</v>
      </c>
      <c r="F176">
        <v>9.7140000000000004</v>
      </c>
      <c r="G176">
        <v>10.055999999999999</v>
      </c>
      <c r="H176">
        <v>11.423999999999999</v>
      </c>
      <c r="I176">
        <v>11.057</v>
      </c>
      <c r="J176">
        <v>9.5030000000000001</v>
      </c>
      <c r="K176">
        <v>9.2029999999999994</v>
      </c>
      <c r="L176">
        <v>9.5809999999999995</v>
      </c>
      <c r="M176">
        <v>9.5429999999999993</v>
      </c>
    </row>
    <row r="177" spans="1:13" x14ac:dyDescent="0.2">
      <c r="A177" t="s">
        <v>150</v>
      </c>
      <c r="B177" t="s">
        <v>151</v>
      </c>
      <c r="C177" t="s">
        <v>864</v>
      </c>
      <c r="D177">
        <v>10.64</v>
      </c>
      <c r="E177">
        <v>8.7159999999999993</v>
      </c>
      <c r="F177">
        <v>7.0460000000000003</v>
      </c>
      <c r="G177">
        <v>6.6059999999999999</v>
      </c>
      <c r="H177">
        <v>8.8789999999999996</v>
      </c>
      <c r="I177">
        <v>9.3350000000000009</v>
      </c>
      <c r="J177">
        <v>7.6470000000000002</v>
      </c>
      <c r="K177">
        <v>8.2720000000000002</v>
      </c>
      <c r="L177">
        <v>8.7780000000000005</v>
      </c>
      <c r="M177">
        <v>8.8330000000000002</v>
      </c>
    </row>
    <row r="178" spans="1:13" x14ac:dyDescent="0.2">
      <c r="A178" t="s">
        <v>290</v>
      </c>
      <c r="B178" t="s">
        <v>291</v>
      </c>
      <c r="C178" t="s">
        <v>864</v>
      </c>
      <c r="D178">
        <v>11.044</v>
      </c>
      <c r="E178">
        <v>10.275</v>
      </c>
      <c r="F178">
        <v>9.5990000000000002</v>
      </c>
      <c r="G178">
        <v>9.8130000000000006</v>
      </c>
      <c r="H178">
        <v>11.215</v>
      </c>
      <c r="I178">
        <v>12.848000000000001</v>
      </c>
      <c r="J178">
        <v>9.9079999999999995</v>
      </c>
      <c r="K178">
        <v>10.975</v>
      </c>
      <c r="L178">
        <v>12.131</v>
      </c>
      <c r="M178">
        <v>13.423</v>
      </c>
    </row>
    <row r="179" spans="1:13" x14ac:dyDescent="0.2">
      <c r="A179" t="s">
        <v>711</v>
      </c>
      <c r="B179" t="s">
        <v>712</v>
      </c>
      <c r="C179" t="s">
        <v>864</v>
      </c>
      <c r="D179">
        <v>19.547999999999998</v>
      </c>
      <c r="E179">
        <v>19.571000000000002</v>
      </c>
      <c r="F179">
        <v>19.603999999999999</v>
      </c>
      <c r="G179">
        <v>19.678999999999998</v>
      </c>
      <c r="H179">
        <v>24.071999999999999</v>
      </c>
      <c r="I179">
        <v>22.638999999999999</v>
      </c>
      <c r="J179">
        <v>20.606999999999999</v>
      </c>
      <c r="K179">
        <v>20.43</v>
      </c>
      <c r="L179">
        <v>20.638000000000002</v>
      </c>
      <c r="M179">
        <v>20.559000000000001</v>
      </c>
    </row>
    <row r="180" spans="1:13" x14ac:dyDescent="0.2">
      <c r="A180" t="s">
        <v>713</v>
      </c>
      <c r="B180" t="s">
        <v>714</v>
      </c>
      <c r="C180" t="s">
        <v>864</v>
      </c>
    </row>
    <row r="181" spans="1:13" x14ac:dyDescent="0.2">
      <c r="A181" t="s">
        <v>281</v>
      </c>
      <c r="B181" t="s">
        <v>283</v>
      </c>
      <c r="C181" t="s">
        <v>864</v>
      </c>
      <c r="D181">
        <v>13.474</v>
      </c>
      <c r="E181">
        <v>12.968</v>
      </c>
      <c r="F181">
        <v>11.83</v>
      </c>
      <c r="G181">
        <v>11.294</v>
      </c>
      <c r="H181">
        <v>12.442</v>
      </c>
      <c r="I181">
        <v>10.49</v>
      </c>
      <c r="J181">
        <v>9.3620000000000001</v>
      </c>
      <c r="K181">
        <v>10.714</v>
      </c>
      <c r="L181">
        <v>14.039</v>
      </c>
      <c r="M181">
        <v>14.355</v>
      </c>
    </row>
    <row r="182" spans="1:13" x14ac:dyDescent="0.2">
      <c r="A182" t="s">
        <v>715</v>
      </c>
      <c r="B182" t="s">
        <v>716</v>
      </c>
      <c r="C182" t="s">
        <v>864</v>
      </c>
      <c r="D182">
        <v>14.222460567413224</v>
      </c>
      <c r="E182">
        <v>13.216408385402289</v>
      </c>
      <c r="F182">
        <v>12.453042269977262</v>
      </c>
      <c r="G182">
        <v>12.586342397841678</v>
      </c>
      <c r="H182">
        <v>15.818296398290887</v>
      </c>
      <c r="I182">
        <v>13.617755777081804</v>
      </c>
      <c r="J182">
        <v>11.566095272714714</v>
      </c>
      <c r="K182">
        <v>11.228556916462994</v>
      </c>
      <c r="L182">
        <v>11.573441809553156</v>
      </c>
      <c r="M182">
        <v>11.612338700234684</v>
      </c>
    </row>
    <row r="183" spans="1:13" x14ac:dyDescent="0.2">
      <c r="A183" t="s">
        <v>717</v>
      </c>
      <c r="B183" t="s">
        <v>718</v>
      </c>
      <c r="C183" t="s">
        <v>864</v>
      </c>
      <c r="D183">
        <v>14.199</v>
      </c>
      <c r="E183">
        <v>11.058</v>
      </c>
      <c r="F183">
        <v>7.851</v>
      </c>
      <c r="G183">
        <v>9.0150000000000006</v>
      </c>
      <c r="H183">
        <v>13.523</v>
      </c>
      <c r="I183">
        <v>9.0969999999999995</v>
      </c>
      <c r="J183">
        <v>14.561999999999999</v>
      </c>
      <c r="K183">
        <v>13.593999999999999</v>
      </c>
      <c r="L183">
        <v>13.523999999999999</v>
      </c>
      <c r="M183">
        <v>13.885</v>
      </c>
    </row>
    <row r="184" spans="1:13" x14ac:dyDescent="0.2">
      <c r="A184" t="s">
        <v>719</v>
      </c>
      <c r="B184" t="s">
        <v>720</v>
      </c>
      <c r="C184" t="s">
        <v>864</v>
      </c>
      <c r="D184">
        <v>27.630935521198431</v>
      </c>
      <c r="E184">
        <v>27.488325048192056</v>
      </c>
      <c r="F184">
        <v>27.029238436436842</v>
      </c>
      <c r="G184">
        <v>25.758739136140175</v>
      </c>
      <c r="H184">
        <v>30.085076430735775</v>
      </c>
      <c r="I184">
        <v>28.453798099664414</v>
      </c>
      <c r="J184">
        <v>27.98883095658228</v>
      </c>
      <c r="K184">
        <v>25.494559811929026</v>
      </c>
      <c r="L184">
        <v>25.705132936217378</v>
      </c>
      <c r="M184">
        <v>25.886581315934095</v>
      </c>
    </row>
    <row r="185" spans="1:13" x14ac:dyDescent="0.2">
      <c r="A185" t="s">
        <v>721</v>
      </c>
      <c r="B185" t="s">
        <v>722</v>
      </c>
      <c r="C185" t="s">
        <v>864</v>
      </c>
      <c r="D185">
        <v>5.165</v>
      </c>
      <c r="E185">
        <v>6.5190000000000001</v>
      </c>
      <c r="F185">
        <v>7.8639999999999999</v>
      </c>
      <c r="G185">
        <v>9.5990000000000002</v>
      </c>
      <c r="H185">
        <v>10.739000000000001</v>
      </c>
      <c r="I185">
        <v>11.053000000000001</v>
      </c>
      <c r="J185">
        <v>9.4480000000000004</v>
      </c>
      <c r="K185">
        <v>9.423</v>
      </c>
      <c r="L185">
        <v>9.5210000000000008</v>
      </c>
      <c r="M185">
        <v>9.5939999999999994</v>
      </c>
    </row>
    <row r="186" spans="1:13" x14ac:dyDescent="0.2">
      <c r="A186" t="s">
        <v>723</v>
      </c>
      <c r="B186" t="s">
        <v>724</v>
      </c>
      <c r="C186" t="s">
        <v>864</v>
      </c>
      <c r="D186">
        <v>12.295</v>
      </c>
      <c r="E186">
        <v>14.817</v>
      </c>
      <c r="F186">
        <v>14.1</v>
      </c>
      <c r="G186">
        <v>17.128</v>
      </c>
      <c r="H186">
        <v>33.033000000000001</v>
      </c>
      <c r="I186">
        <v>22.338000000000001</v>
      </c>
      <c r="J186">
        <v>19.186</v>
      </c>
      <c r="K186">
        <v>16.765000000000001</v>
      </c>
      <c r="L186">
        <v>19.681999999999999</v>
      </c>
      <c r="M186">
        <v>19.768000000000001</v>
      </c>
    </row>
    <row r="187" spans="1:13" x14ac:dyDescent="0.2">
      <c r="A187" t="s">
        <v>725</v>
      </c>
      <c r="B187" t="s">
        <v>726</v>
      </c>
      <c r="C187" t="s">
        <v>864</v>
      </c>
      <c r="D187">
        <v>8.2720000000000002</v>
      </c>
      <c r="E187">
        <v>8.3190000000000008</v>
      </c>
      <c r="F187">
        <v>8.3420000000000005</v>
      </c>
      <c r="G187">
        <v>7.4050000000000002</v>
      </c>
      <c r="H187">
        <v>12.659000000000001</v>
      </c>
      <c r="I187">
        <v>9.5860000000000003</v>
      </c>
      <c r="J187">
        <v>7.681</v>
      </c>
      <c r="K187">
        <v>8.8460000000000001</v>
      </c>
      <c r="L187">
        <v>9.7040000000000006</v>
      </c>
      <c r="M187">
        <v>9.4529999999999994</v>
      </c>
    </row>
    <row r="188" spans="1:13" x14ac:dyDescent="0.2">
      <c r="A188" t="s">
        <v>727</v>
      </c>
      <c r="B188" t="s">
        <v>728</v>
      </c>
      <c r="C188" t="s">
        <v>864</v>
      </c>
      <c r="D188">
        <v>7.6340000000000003</v>
      </c>
      <c r="E188">
        <v>7.3789999999999996</v>
      </c>
      <c r="F188">
        <v>6.6050000000000004</v>
      </c>
      <c r="G188">
        <v>6.6959999999999997</v>
      </c>
      <c r="H188">
        <v>6.9870000000000001</v>
      </c>
      <c r="I188">
        <v>8.4339999999999993</v>
      </c>
      <c r="J188">
        <v>6.8129999999999997</v>
      </c>
      <c r="K188">
        <v>6.9119999999999999</v>
      </c>
      <c r="L188">
        <v>6.9640000000000004</v>
      </c>
      <c r="M188">
        <v>7.0410000000000004</v>
      </c>
    </row>
    <row r="189" spans="1:13" x14ac:dyDescent="0.2">
      <c r="A189" t="s">
        <v>729</v>
      </c>
      <c r="B189" t="s">
        <v>730</v>
      </c>
      <c r="C189" t="s">
        <v>864</v>
      </c>
    </row>
    <row r="190" spans="1:13" x14ac:dyDescent="0.2">
      <c r="A190" t="s">
        <v>731</v>
      </c>
      <c r="B190" t="s">
        <v>732</v>
      </c>
      <c r="C190" t="s">
        <v>864</v>
      </c>
      <c r="D190">
        <v>4.1879999999999997</v>
      </c>
      <c r="E190">
        <v>4.2069999999999999</v>
      </c>
      <c r="F190">
        <v>4.1849999999999996</v>
      </c>
      <c r="G190">
        <v>4.1189999999999998</v>
      </c>
      <c r="H190">
        <v>4.5629999999999997</v>
      </c>
      <c r="I190">
        <v>4.33</v>
      </c>
      <c r="J190">
        <v>3.8109999999999999</v>
      </c>
      <c r="K190">
        <v>3.7919999999999998</v>
      </c>
      <c r="L190">
        <v>3.782</v>
      </c>
      <c r="M190">
        <v>3.7850000000000001</v>
      </c>
    </row>
    <row r="191" spans="1:13" x14ac:dyDescent="0.2">
      <c r="A191" t="s">
        <v>156</v>
      </c>
      <c r="B191" t="s">
        <v>158</v>
      </c>
      <c r="C191" t="s">
        <v>864</v>
      </c>
      <c r="D191">
        <v>17.591999999999999</v>
      </c>
      <c r="E191">
        <v>14.762</v>
      </c>
      <c r="F191">
        <v>11.686</v>
      </c>
      <c r="G191">
        <v>9.8350000000000009</v>
      </c>
      <c r="H191">
        <v>10.836</v>
      </c>
      <c r="I191">
        <v>11.817</v>
      </c>
      <c r="J191">
        <v>10.56</v>
      </c>
      <c r="K191">
        <v>11.176</v>
      </c>
      <c r="L191">
        <v>10.662000000000001</v>
      </c>
      <c r="M191">
        <v>10.699</v>
      </c>
    </row>
    <row r="192" spans="1:13" x14ac:dyDescent="0.2">
      <c r="A192" t="s">
        <v>733</v>
      </c>
      <c r="B192" t="s">
        <v>734</v>
      </c>
      <c r="C192" t="s">
        <v>864</v>
      </c>
      <c r="D192">
        <v>10.084189278042626</v>
      </c>
      <c r="E192">
        <v>10.527748251230518</v>
      </c>
      <c r="F192">
        <v>10.60224800210089</v>
      </c>
      <c r="G192">
        <v>10.721884004079135</v>
      </c>
      <c r="H192">
        <v>11.706305820560761</v>
      </c>
      <c r="I192">
        <v>10.874304267411645</v>
      </c>
      <c r="J192">
        <v>9.6292624584688671</v>
      </c>
      <c r="K192">
        <v>9.2329626020219937</v>
      </c>
      <c r="L192">
        <v>9.1038187131594661</v>
      </c>
      <c r="M192">
        <v>9.134692275637704</v>
      </c>
    </row>
    <row r="193" spans="1:13" x14ac:dyDescent="0.2">
      <c r="A193" t="s">
        <v>735</v>
      </c>
      <c r="B193" t="s">
        <v>736</v>
      </c>
      <c r="C193" t="s">
        <v>864</v>
      </c>
      <c r="D193">
        <v>26.196999999999999</v>
      </c>
      <c r="E193">
        <v>24.053999999999998</v>
      </c>
      <c r="F193">
        <v>20.497</v>
      </c>
      <c r="G193">
        <v>18.561</v>
      </c>
      <c r="H193">
        <v>19.574000000000002</v>
      </c>
      <c r="I193">
        <v>17.201000000000001</v>
      </c>
      <c r="J193">
        <v>13.683999999999999</v>
      </c>
      <c r="K193">
        <v>13.178000000000001</v>
      </c>
      <c r="L193">
        <v>13.084</v>
      </c>
      <c r="M193">
        <v>13.984</v>
      </c>
    </row>
    <row r="194" spans="1:13" x14ac:dyDescent="0.2">
      <c r="A194" t="s">
        <v>737</v>
      </c>
      <c r="B194" t="s">
        <v>738</v>
      </c>
      <c r="C194" t="s">
        <v>864</v>
      </c>
      <c r="D194">
        <v>8.0909999999999993</v>
      </c>
      <c r="E194">
        <v>7.923</v>
      </c>
      <c r="F194">
        <v>7.7649999999999997</v>
      </c>
      <c r="G194">
        <v>7.6050000000000004</v>
      </c>
      <c r="H194">
        <v>8.51</v>
      </c>
      <c r="I194">
        <v>8.1</v>
      </c>
      <c r="J194">
        <v>7.61</v>
      </c>
      <c r="K194">
        <v>7.577</v>
      </c>
      <c r="L194">
        <v>7.7640000000000002</v>
      </c>
      <c r="M194">
        <v>7.899</v>
      </c>
    </row>
    <row r="195" spans="1:13" x14ac:dyDescent="0.2">
      <c r="A195" t="s">
        <v>164</v>
      </c>
      <c r="B195" t="s">
        <v>166</v>
      </c>
      <c r="C195" t="s">
        <v>864</v>
      </c>
      <c r="D195">
        <v>27.798999999999999</v>
      </c>
      <c r="E195">
        <v>23.802</v>
      </c>
      <c r="F195">
        <v>20.234999999999999</v>
      </c>
      <c r="G195">
        <v>18.326000000000001</v>
      </c>
      <c r="H195">
        <v>22.46</v>
      </c>
      <c r="I195">
        <v>23.423999999999999</v>
      </c>
      <c r="J195">
        <v>19.183</v>
      </c>
      <c r="K195">
        <v>20.463000000000001</v>
      </c>
      <c r="L195">
        <v>21.765999999999998</v>
      </c>
      <c r="M195">
        <v>20.221</v>
      </c>
    </row>
    <row r="196" spans="1:13" x14ac:dyDescent="0.2">
      <c r="A196" t="s">
        <v>739</v>
      </c>
      <c r="B196" t="s">
        <v>740</v>
      </c>
      <c r="C196" t="s">
        <v>864</v>
      </c>
      <c r="D196">
        <v>11.529</v>
      </c>
      <c r="E196">
        <v>14.28</v>
      </c>
      <c r="F196">
        <v>14.52</v>
      </c>
      <c r="G196">
        <v>15.3</v>
      </c>
      <c r="H196">
        <v>17.152000000000001</v>
      </c>
      <c r="I196">
        <v>16.202999999999999</v>
      </c>
      <c r="J196">
        <v>14.601000000000001</v>
      </c>
      <c r="K196">
        <v>13.185</v>
      </c>
      <c r="L196">
        <v>13.393000000000001</v>
      </c>
      <c r="M196">
        <v>11.686999999999999</v>
      </c>
    </row>
    <row r="197" spans="1:13" x14ac:dyDescent="0.2">
      <c r="A197" t="s">
        <v>741</v>
      </c>
      <c r="B197" t="s">
        <v>742</v>
      </c>
      <c r="C197" t="s">
        <v>864</v>
      </c>
      <c r="D197">
        <v>38.506999999999998</v>
      </c>
      <c r="E197">
        <v>41.868000000000002</v>
      </c>
      <c r="F197">
        <v>42.223999999999997</v>
      </c>
      <c r="G197">
        <v>40.151000000000003</v>
      </c>
      <c r="H197">
        <v>42.052999999999997</v>
      </c>
      <c r="I197">
        <v>41.63</v>
      </c>
      <c r="J197">
        <v>36.091999999999999</v>
      </c>
    </row>
    <row r="198" spans="1:13" x14ac:dyDescent="0.2">
      <c r="A198" t="s">
        <v>743</v>
      </c>
      <c r="B198" t="s">
        <v>744</v>
      </c>
      <c r="C198" t="s">
        <v>864</v>
      </c>
      <c r="D198">
        <v>10.038901900746009</v>
      </c>
      <c r="E198">
        <v>10.063832466788856</v>
      </c>
      <c r="F198">
        <v>9.9314311745051729</v>
      </c>
      <c r="G198">
        <v>9.789129563409908</v>
      </c>
      <c r="H198">
        <v>10.082397717923943</v>
      </c>
      <c r="I198">
        <v>9.6466159050022355</v>
      </c>
      <c r="J198">
        <v>9.8425510627673809</v>
      </c>
      <c r="K198">
        <v>9.5264964406985353</v>
      </c>
      <c r="L198">
        <v>9.4837327395445516</v>
      </c>
      <c r="M198">
        <v>9.441301817978232</v>
      </c>
    </row>
    <row r="199" spans="1:13" x14ac:dyDescent="0.2">
      <c r="A199" t="s">
        <v>745</v>
      </c>
      <c r="B199" t="s">
        <v>746</v>
      </c>
      <c r="C199" t="s">
        <v>864</v>
      </c>
      <c r="D199">
        <v>14.683913020257231</v>
      </c>
      <c r="E199">
        <v>13.205190857790754</v>
      </c>
      <c r="F199">
        <v>12.184817322099043</v>
      </c>
      <c r="G199">
        <v>11.56516813092705</v>
      </c>
      <c r="H199">
        <v>15.347403210846419</v>
      </c>
      <c r="I199">
        <v>12.905157347860143</v>
      </c>
      <c r="J199">
        <v>10.760894345870652</v>
      </c>
      <c r="K199">
        <v>10.699269742057469</v>
      </c>
      <c r="L199">
        <v>11.356601400329819</v>
      </c>
      <c r="M199">
        <v>11.556991808327638</v>
      </c>
    </row>
    <row r="200" spans="1:13" x14ac:dyDescent="0.2">
      <c r="A200" t="s">
        <v>747</v>
      </c>
      <c r="B200" t="s">
        <v>748</v>
      </c>
      <c r="C200" t="s">
        <v>864</v>
      </c>
      <c r="D200">
        <v>35.777999999999999</v>
      </c>
      <c r="E200">
        <v>35.866999999999997</v>
      </c>
      <c r="F200">
        <v>36.201000000000001</v>
      </c>
      <c r="G200">
        <v>36.499000000000002</v>
      </c>
      <c r="H200">
        <v>41.469000000000001</v>
      </c>
      <c r="I200">
        <v>38.857999999999997</v>
      </c>
      <c r="J200">
        <v>36.814999999999998</v>
      </c>
      <c r="K200">
        <v>36.378</v>
      </c>
      <c r="L200">
        <v>36.459000000000003</v>
      </c>
      <c r="M200">
        <v>36.566000000000003</v>
      </c>
    </row>
    <row r="201" spans="1:13" x14ac:dyDescent="0.2">
      <c r="A201" t="s">
        <v>297</v>
      </c>
      <c r="B201" t="s">
        <v>299</v>
      </c>
      <c r="C201" t="s">
        <v>864</v>
      </c>
      <c r="D201">
        <v>0.48199999999999998</v>
      </c>
      <c r="E201">
        <v>0.505</v>
      </c>
      <c r="F201">
        <v>0.309</v>
      </c>
      <c r="G201">
        <v>0.29499999999999998</v>
      </c>
      <c r="H201">
        <v>0.48</v>
      </c>
      <c r="I201">
        <v>0.69299999999999995</v>
      </c>
      <c r="J201">
        <v>0.55900000000000005</v>
      </c>
      <c r="K201">
        <v>0.57399999999999995</v>
      </c>
      <c r="L201">
        <v>0.57299999999999995</v>
      </c>
      <c r="M201">
        <v>0.55900000000000005</v>
      </c>
    </row>
    <row r="202" spans="1:13" x14ac:dyDescent="0.2">
      <c r="A202" t="s">
        <v>172</v>
      </c>
      <c r="B202" t="s">
        <v>174</v>
      </c>
      <c r="C202" t="s">
        <v>864</v>
      </c>
      <c r="D202">
        <v>21.024000000000001</v>
      </c>
      <c r="E202">
        <v>18.725999999999999</v>
      </c>
      <c r="F202">
        <v>16.606999999999999</v>
      </c>
      <c r="G202">
        <v>17.143000000000001</v>
      </c>
      <c r="H202">
        <v>17.584</v>
      </c>
      <c r="I202">
        <v>21.149000000000001</v>
      </c>
      <c r="J202">
        <v>22.873999999999999</v>
      </c>
      <c r="K202">
        <v>21.701000000000001</v>
      </c>
      <c r="L202">
        <v>23.63</v>
      </c>
      <c r="M202">
        <v>24.544</v>
      </c>
    </row>
    <row r="203" spans="1:13" x14ac:dyDescent="0.2">
      <c r="A203" t="s">
        <v>255</v>
      </c>
      <c r="B203" t="s">
        <v>257</v>
      </c>
      <c r="C203" t="s">
        <v>864</v>
      </c>
      <c r="D203">
        <v>16.687999999999999</v>
      </c>
      <c r="E203">
        <v>16.329000000000001</v>
      </c>
      <c r="F203">
        <v>16.989999999999998</v>
      </c>
      <c r="G203">
        <v>15.209</v>
      </c>
      <c r="H203">
        <v>16.986000000000001</v>
      </c>
      <c r="I203">
        <v>16.143999999999998</v>
      </c>
      <c r="J203">
        <v>14.388</v>
      </c>
      <c r="K203">
        <v>11.147</v>
      </c>
      <c r="L203">
        <v>8.2560000000000002</v>
      </c>
      <c r="M203">
        <v>7.6130000000000004</v>
      </c>
    </row>
    <row r="204" spans="1:13" x14ac:dyDescent="0.2">
      <c r="A204" t="s">
        <v>749</v>
      </c>
      <c r="B204" t="s">
        <v>750</v>
      </c>
      <c r="C204" t="s">
        <v>864</v>
      </c>
      <c r="D204">
        <v>16.594999999999999</v>
      </c>
      <c r="E204">
        <v>16.731999999999999</v>
      </c>
      <c r="F204">
        <v>16.263999999999999</v>
      </c>
      <c r="G204">
        <v>16.052</v>
      </c>
      <c r="H204">
        <v>15.946999999999999</v>
      </c>
      <c r="I204">
        <v>23.312000000000001</v>
      </c>
      <c r="J204">
        <v>22.202999999999999</v>
      </c>
      <c r="K204">
        <v>18.172000000000001</v>
      </c>
      <c r="L204">
        <v>16.555</v>
      </c>
      <c r="M204">
        <v>16.408000000000001</v>
      </c>
    </row>
    <row r="205" spans="1:13" x14ac:dyDescent="0.2">
      <c r="A205" t="s">
        <v>751</v>
      </c>
      <c r="B205" t="s">
        <v>752</v>
      </c>
      <c r="C205" t="s">
        <v>864</v>
      </c>
      <c r="D205">
        <v>23.49151857183902</v>
      </c>
      <c r="E205">
        <v>23.894470911491084</v>
      </c>
      <c r="F205">
        <v>24.260387783108062</v>
      </c>
      <c r="G205">
        <v>21.619085107172967</v>
      </c>
      <c r="H205">
        <v>23.436683397447968</v>
      </c>
      <c r="I205">
        <v>20.025712085596435</v>
      </c>
      <c r="J205">
        <v>17.100346598488795</v>
      </c>
      <c r="K205">
        <v>14.897051515742241</v>
      </c>
      <c r="L205">
        <v>15.143639728956209</v>
      </c>
      <c r="M205">
        <v>15.400062177527808</v>
      </c>
    </row>
    <row r="206" spans="1:13" x14ac:dyDescent="0.2">
      <c r="A206" t="s">
        <v>753</v>
      </c>
      <c r="B206" t="s">
        <v>754</v>
      </c>
      <c r="C206" t="s">
        <v>864</v>
      </c>
      <c r="D206">
        <v>24.274999999999999</v>
      </c>
      <c r="E206">
        <v>31.504000000000001</v>
      </c>
      <c r="F206">
        <v>30.213000000000001</v>
      </c>
      <c r="G206">
        <v>25.477</v>
      </c>
      <c r="H206">
        <v>29.626999999999999</v>
      </c>
      <c r="I206">
        <v>19.771999999999998</v>
      </c>
      <c r="J206">
        <v>15.964</v>
      </c>
      <c r="K206">
        <v>13.474</v>
      </c>
      <c r="L206">
        <v>11.502000000000001</v>
      </c>
      <c r="M206">
        <v>10.01</v>
      </c>
    </row>
    <row r="207" spans="1:13" x14ac:dyDescent="0.2">
      <c r="A207" t="s">
        <v>755</v>
      </c>
      <c r="B207" t="s">
        <v>756</v>
      </c>
      <c r="C207" t="s">
        <v>864</v>
      </c>
      <c r="D207">
        <v>23.625</v>
      </c>
      <c r="E207">
        <v>22.198</v>
      </c>
      <c r="F207">
        <v>20.795000000000002</v>
      </c>
      <c r="G207">
        <v>19.37</v>
      </c>
      <c r="H207">
        <v>19.783000000000001</v>
      </c>
      <c r="I207">
        <v>17.405999999999999</v>
      </c>
      <c r="J207">
        <v>12</v>
      </c>
    </row>
    <row r="208" spans="1:13" x14ac:dyDescent="0.2">
      <c r="A208" t="s">
        <v>757</v>
      </c>
      <c r="B208" t="s">
        <v>758</v>
      </c>
      <c r="C208" t="s">
        <v>864</v>
      </c>
      <c r="D208">
        <v>6.3739999999999997</v>
      </c>
      <c r="E208">
        <v>5.8360000000000003</v>
      </c>
      <c r="F208">
        <v>4.92</v>
      </c>
      <c r="G208">
        <v>4.0369999999999999</v>
      </c>
      <c r="H208">
        <v>4.8170000000000002</v>
      </c>
      <c r="I208">
        <v>4.6609999999999996</v>
      </c>
      <c r="J208">
        <v>3.9020000000000001</v>
      </c>
      <c r="K208">
        <v>3.859</v>
      </c>
      <c r="L208">
        <v>3.8679999999999999</v>
      </c>
      <c r="M208">
        <v>3.6160000000000001</v>
      </c>
    </row>
    <row r="209" spans="1:13" x14ac:dyDescent="0.2">
      <c r="A209" t="s">
        <v>759</v>
      </c>
      <c r="B209" t="s">
        <v>760</v>
      </c>
      <c r="C209" t="s">
        <v>864</v>
      </c>
      <c r="D209">
        <v>8.7230000000000008</v>
      </c>
      <c r="E209">
        <v>9.3379999999999992</v>
      </c>
      <c r="F209">
        <v>8.4369999999999994</v>
      </c>
      <c r="G209">
        <v>7.6289999999999996</v>
      </c>
      <c r="H209">
        <v>10.558</v>
      </c>
      <c r="I209">
        <v>9.4990000000000006</v>
      </c>
      <c r="J209">
        <v>7.9240000000000004</v>
      </c>
      <c r="K209">
        <v>8.5150000000000006</v>
      </c>
      <c r="L209">
        <v>6.3289999999999997</v>
      </c>
      <c r="M209">
        <v>6.7809999999999997</v>
      </c>
    </row>
    <row r="210" spans="1:13" x14ac:dyDescent="0.2">
      <c r="A210" t="s">
        <v>761</v>
      </c>
      <c r="B210" t="s">
        <v>762</v>
      </c>
      <c r="C210" t="s">
        <v>864</v>
      </c>
      <c r="D210">
        <v>1.2969999999999999</v>
      </c>
      <c r="E210">
        <v>1.2909999999999999</v>
      </c>
      <c r="F210">
        <v>1.288</v>
      </c>
      <c r="G210">
        <v>1.2989999999999999</v>
      </c>
      <c r="H210">
        <v>1.486</v>
      </c>
      <c r="I210">
        <v>1.37</v>
      </c>
      <c r="J210">
        <v>2.9449999999999998</v>
      </c>
      <c r="K210">
        <v>2.927</v>
      </c>
      <c r="L210">
        <v>2.9359999999999999</v>
      </c>
      <c r="M210">
        <v>2.7589999999999999</v>
      </c>
    </row>
    <row r="211" spans="1:13" x14ac:dyDescent="0.2">
      <c r="A211" t="s">
        <v>763</v>
      </c>
      <c r="B211" t="s">
        <v>764</v>
      </c>
      <c r="C211" t="s">
        <v>864</v>
      </c>
      <c r="D211">
        <v>6.7060000000000004</v>
      </c>
      <c r="E211">
        <v>5.0869999999999997</v>
      </c>
      <c r="F211">
        <v>3.573</v>
      </c>
      <c r="G211">
        <v>3.5830000000000002</v>
      </c>
      <c r="H211">
        <v>4.0819999999999999</v>
      </c>
      <c r="I211">
        <v>3.9020000000000001</v>
      </c>
      <c r="J211">
        <v>3.5129999999999999</v>
      </c>
      <c r="K211">
        <v>3.484</v>
      </c>
      <c r="L211">
        <v>3.492</v>
      </c>
      <c r="M211">
        <v>3.72</v>
      </c>
    </row>
    <row r="212" spans="1:13" x14ac:dyDescent="0.2">
      <c r="A212" t="s">
        <v>765</v>
      </c>
      <c r="B212" t="s">
        <v>766</v>
      </c>
      <c r="C212" t="s">
        <v>864</v>
      </c>
      <c r="D212">
        <v>9.4990000000000006</v>
      </c>
      <c r="E212">
        <v>9.7469999999999999</v>
      </c>
      <c r="F212">
        <v>9.2780000000000005</v>
      </c>
      <c r="G212">
        <v>9.6</v>
      </c>
      <c r="H212">
        <v>11.084</v>
      </c>
      <c r="I212">
        <v>9.8040000000000003</v>
      </c>
      <c r="J212">
        <v>7.48</v>
      </c>
      <c r="K212">
        <v>7.0309999999999997</v>
      </c>
      <c r="L212">
        <v>7.5069999999999997</v>
      </c>
      <c r="M212">
        <v>7.8090000000000002</v>
      </c>
    </row>
    <row r="213" spans="1:13" x14ac:dyDescent="0.2">
      <c r="A213" t="s">
        <v>767</v>
      </c>
      <c r="B213" t="s">
        <v>768</v>
      </c>
      <c r="C213" t="s">
        <v>864</v>
      </c>
    </row>
    <row r="214" spans="1:13" x14ac:dyDescent="0.2">
      <c r="A214" t="s">
        <v>769</v>
      </c>
      <c r="B214" t="s">
        <v>770</v>
      </c>
      <c r="C214" t="s">
        <v>864</v>
      </c>
      <c r="D214">
        <v>33.466999999999999</v>
      </c>
      <c r="E214">
        <v>33.201000000000001</v>
      </c>
      <c r="F214">
        <v>33.601999999999997</v>
      </c>
      <c r="G214">
        <v>33.844000000000001</v>
      </c>
      <c r="H214">
        <v>35.909999999999997</v>
      </c>
      <c r="I214">
        <v>35.286999999999999</v>
      </c>
      <c r="J214">
        <v>34.286000000000001</v>
      </c>
      <c r="K214">
        <v>34.091000000000001</v>
      </c>
      <c r="L214">
        <v>34.137</v>
      </c>
      <c r="M214">
        <v>34.229999999999997</v>
      </c>
    </row>
    <row r="215" spans="1:13" x14ac:dyDescent="0.2">
      <c r="A215" t="s">
        <v>771</v>
      </c>
      <c r="B215" t="s">
        <v>772</v>
      </c>
      <c r="C215" t="s">
        <v>864</v>
      </c>
      <c r="D215">
        <v>34.962000000000003</v>
      </c>
      <c r="E215">
        <v>31.905000000000001</v>
      </c>
      <c r="F215">
        <v>29.696000000000002</v>
      </c>
      <c r="G215">
        <v>27.495000000000001</v>
      </c>
      <c r="H215">
        <v>26.608000000000001</v>
      </c>
      <c r="I215">
        <v>24.498000000000001</v>
      </c>
      <c r="J215">
        <v>23.27</v>
      </c>
      <c r="K215">
        <v>24.129000000000001</v>
      </c>
      <c r="L215">
        <v>21.448</v>
      </c>
      <c r="M215">
        <v>20.925999999999998</v>
      </c>
    </row>
    <row r="216" spans="1:13" x14ac:dyDescent="0.2">
      <c r="A216" t="s">
        <v>773</v>
      </c>
      <c r="B216" t="s">
        <v>774</v>
      </c>
      <c r="C216" t="s">
        <v>864</v>
      </c>
      <c r="D216">
        <v>11.334410971574329</v>
      </c>
      <c r="E216">
        <v>11.325089031473436</v>
      </c>
      <c r="F216">
        <v>11.318290694690058</v>
      </c>
      <c r="G216">
        <v>11.51461110113422</v>
      </c>
      <c r="H216">
        <v>12.487621224683325</v>
      </c>
      <c r="I216">
        <v>12.010242582678783</v>
      </c>
      <c r="J216">
        <v>10.711074751907542</v>
      </c>
      <c r="K216">
        <v>10.243195236629957</v>
      </c>
      <c r="L216">
        <v>10.087630261833263</v>
      </c>
      <c r="M216">
        <v>10.077420518443995</v>
      </c>
    </row>
    <row r="217" spans="1:13" x14ac:dyDescent="0.2">
      <c r="A217" t="s">
        <v>775</v>
      </c>
      <c r="B217" t="s">
        <v>776</v>
      </c>
      <c r="C217" t="s">
        <v>864</v>
      </c>
      <c r="D217">
        <v>19.847000000000001</v>
      </c>
      <c r="E217">
        <v>19.849</v>
      </c>
      <c r="F217">
        <v>19.555</v>
      </c>
      <c r="G217">
        <v>19.263000000000002</v>
      </c>
      <c r="H217">
        <v>21.846</v>
      </c>
      <c r="I217">
        <v>20.797000000000001</v>
      </c>
      <c r="J217">
        <v>18.716999999999999</v>
      </c>
      <c r="K217">
        <v>18.524000000000001</v>
      </c>
    </row>
    <row r="218" spans="1:13" x14ac:dyDescent="0.2">
      <c r="A218" t="s">
        <v>777</v>
      </c>
      <c r="B218" t="s">
        <v>778</v>
      </c>
      <c r="C218" t="s">
        <v>864</v>
      </c>
      <c r="D218">
        <v>11.334410971574322</v>
      </c>
      <c r="E218">
        <v>11.325089031473439</v>
      </c>
      <c r="F218">
        <v>11.318290694690063</v>
      </c>
      <c r="G218">
        <v>11.51461110113422</v>
      </c>
      <c r="H218">
        <v>12.487621224683327</v>
      </c>
      <c r="I218">
        <v>12.010242582678785</v>
      </c>
      <c r="J218">
        <v>10.711074751907542</v>
      </c>
      <c r="K218">
        <v>10.243195236629957</v>
      </c>
      <c r="L218">
        <v>10.087630261833265</v>
      </c>
      <c r="M218">
        <v>10.077420518443999</v>
      </c>
    </row>
    <row r="219" spans="1:13" x14ac:dyDescent="0.2">
      <c r="A219" t="s">
        <v>779</v>
      </c>
      <c r="B219" t="s">
        <v>780</v>
      </c>
      <c r="C219" t="s">
        <v>864</v>
      </c>
      <c r="D219">
        <v>23.918237960642855</v>
      </c>
      <c r="E219">
        <v>23.736694821058439</v>
      </c>
      <c r="F219">
        <v>23.576059098938863</v>
      </c>
      <c r="G219">
        <v>22.587566783055514</v>
      </c>
      <c r="H219">
        <v>26.353162428992619</v>
      </c>
      <c r="I219">
        <v>24.989276261768353</v>
      </c>
      <c r="J219">
        <v>23.873196194279256</v>
      </c>
      <c r="K219">
        <v>21.93265839953505</v>
      </c>
      <c r="L219">
        <v>21.981289189590818</v>
      </c>
      <c r="M219">
        <v>22.142566515722581</v>
      </c>
    </row>
    <row r="220" spans="1:13" x14ac:dyDescent="0.2">
      <c r="A220" t="s">
        <v>781</v>
      </c>
      <c r="B220" t="s">
        <v>782</v>
      </c>
      <c r="C220" t="s">
        <v>864</v>
      </c>
      <c r="D220">
        <v>10.611000000000001</v>
      </c>
      <c r="E220">
        <v>8.3879999999999999</v>
      </c>
      <c r="F220">
        <v>8.3119999999999994</v>
      </c>
      <c r="G220">
        <v>8.4030000000000005</v>
      </c>
      <c r="H220">
        <v>9.4169999999999998</v>
      </c>
      <c r="I220">
        <v>9.0890000000000004</v>
      </c>
      <c r="J220">
        <v>8.4870000000000001</v>
      </c>
      <c r="K220">
        <v>8.5399999999999991</v>
      </c>
      <c r="L220">
        <v>8.56</v>
      </c>
      <c r="M220">
        <v>8.7940000000000005</v>
      </c>
    </row>
    <row r="221" spans="1:13" x14ac:dyDescent="0.2">
      <c r="A221" t="s">
        <v>783</v>
      </c>
      <c r="B221" t="s">
        <v>784</v>
      </c>
      <c r="C221" t="s">
        <v>864</v>
      </c>
      <c r="D221">
        <v>24.957000000000001</v>
      </c>
      <c r="E221">
        <v>24.914000000000001</v>
      </c>
      <c r="F221">
        <v>24.788</v>
      </c>
      <c r="G221">
        <v>24.661000000000001</v>
      </c>
      <c r="H221">
        <v>28.838999999999999</v>
      </c>
      <c r="I221">
        <v>27.463000000000001</v>
      </c>
      <c r="J221">
        <v>25.533999999999999</v>
      </c>
      <c r="K221">
        <v>24.981999999999999</v>
      </c>
      <c r="L221">
        <v>24.942</v>
      </c>
      <c r="M221">
        <v>25.437999999999999</v>
      </c>
    </row>
    <row r="222" spans="1:13" x14ac:dyDescent="0.2">
      <c r="A222" t="s">
        <v>785</v>
      </c>
      <c r="B222" t="s">
        <v>241</v>
      </c>
      <c r="C222" t="s">
        <v>864</v>
      </c>
      <c r="D222">
        <v>22.274000000000001</v>
      </c>
      <c r="E222">
        <v>18.962</v>
      </c>
      <c r="F222">
        <v>14.971</v>
      </c>
      <c r="G222">
        <v>16.12</v>
      </c>
      <c r="H222">
        <v>19.437999999999999</v>
      </c>
      <c r="I222">
        <v>21.210999999999999</v>
      </c>
      <c r="J222">
        <v>19.923999999999999</v>
      </c>
      <c r="K222">
        <v>19.867000000000001</v>
      </c>
      <c r="L222">
        <v>18.995000000000001</v>
      </c>
      <c r="M222">
        <v>18.427</v>
      </c>
    </row>
    <row r="223" spans="1:13" x14ac:dyDescent="0.2">
      <c r="A223" t="s">
        <v>227</v>
      </c>
      <c r="B223" t="s">
        <v>229</v>
      </c>
      <c r="C223" t="s">
        <v>864</v>
      </c>
      <c r="D223">
        <v>15.243</v>
      </c>
      <c r="E223">
        <v>11.24</v>
      </c>
      <c r="F223">
        <v>8.8170000000000002</v>
      </c>
      <c r="G223">
        <v>8.1359999999999992</v>
      </c>
      <c r="H223">
        <v>14.179</v>
      </c>
      <c r="I223">
        <v>12.846</v>
      </c>
      <c r="J223">
        <v>10.14</v>
      </c>
      <c r="K223">
        <v>9.9480000000000004</v>
      </c>
      <c r="L223">
        <v>11.029</v>
      </c>
      <c r="M223">
        <v>9.5359999999999996</v>
      </c>
    </row>
    <row r="224" spans="1:13" x14ac:dyDescent="0.2">
      <c r="A224" t="s">
        <v>189</v>
      </c>
      <c r="B224" t="s">
        <v>190</v>
      </c>
      <c r="C224" t="s">
        <v>864</v>
      </c>
      <c r="D224">
        <v>18.893999999999998</v>
      </c>
      <c r="E224">
        <v>17.873000000000001</v>
      </c>
      <c r="F224">
        <v>17.398</v>
      </c>
      <c r="G224">
        <v>20.091999999999999</v>
      </c>
      <c r="H224">
        <v>23.890999999999998</v>
      </c>
      <c r="I224">
        <v>24.555</v>
      </c>
      <c r="J224">
        <v>21.597000000000001</v>
      </c>
      <c r="K224">
        <v>21.940999999999999</v>
      </c>
      <c r="L224">
        <v>24.335999999999999</v>
      </c>
      <c r="M224">
        <v>24.312000000000001</v>
      </c>
    </row>
    <row r="225" spans="1:13" x14ac:dyDescent="0.2">
      <c r="A225" t="s">
        <v>786</v>
      </c>
      <c r="B225" t="s">
        <v>787</v>
      </c>
      <c r="C225" t="s">
        <v>864</v>
      </c>
      <c r="D225">
        <v>46.972999999999999</v>
      </c>
      <c r="E225">
        <v>48.365000000000002</v>
      </c>
      <c r="F225">
        <v>49.927</v>
      </c>
      <c r="G225">
        <v>51.201000000000001</v>
      </c>
      <c r="H225">
        <v>58.610999999999997</v>
      </c>
      <c r="I225">
        <v>56.668999999999997</v>
      </c>
      <c r="J225">
        <v>58.473999999999997</v>
      </c>
      <c r="K225">
        <v>54.238999999999997</v>
      </c>
      <c r="L225">
        <v>54.37</v>
      </c>
      <c r="M225">
        <v>54.329000000000001</v>
      </c>
    </row>
    <row r="226" spans="1:13" x14ac:dyDescent="0.2">
      <c r="A226" t="s">
        <v>788</v>
      </c>
      <c r="B226" t="s">
        <v>789</v>
      </c>
      <c r="C226" t="s">
        <v>864</v>
      </c>
    </row>
    <row r="227" spans="1:13" x14ac:dyDescent="0.2">
      <c r="A227" t="s">
        <v>790</v>
      </c>
      <c r="B227" t="s">
        <v>791</v>
      </c>
      <c r="C227" t="s">
        <v>864</v>
      </c>
    </row>
    <row r="228" spans="1:13" x14ac:dyDescent="0.2">
      <c r="A228" t="s">
        <v>792</v>
      </c>
      <c r="B228" t="s">
        <v>793</v>
      </c>
      <c r="C228" t="s">
        <v>864</v>
      </c>
      <c r="D228">
        <v>33.634</v>
      </c>
      <c r="E228">
        <v>32.887999999999998</v>
      </c>
      <c r="F228">
        <v>32.411000000000001</v>
      </c>
      <c r="G228">
        <v>32.055999999999997</v>
      </c>
      <c r="H228">
        <v>36.287999999999997</v>
      </c>
      <c r="I228">
        <v>34.645000000000003</v>
      </c>
      <c r="J228">
        <v>31.986999999999998</v>
      </c>
      <c r="K228">
        <v>32.26</v>
      </c>
      <c r="L228">
        <v>32.768000000000001</v>
      </c>
      <c r="M228">
        <v>33.100999999999999</v>
      </c>
    </row>
    <row r="229" spans="1:13" x14ac:dyDescent="0.2">
      <c r="A229" t="s">
        <v>794</v>
      </c>
      <c r="B229" t="s">
        <v>795</v>
      </c>
      <c r="C229" t="s">
        <v>864</v>
      </c>
    </row>
    <row r="230" spans="1:13" x14ac:dyDescent="0.2">
      <c r="A230" t="s">
        <v>796</v>
      </c>
      <c r="B230" t="s">
        <v>797</v>
      </c>
      <c r="C230" t="s">
        <v>864</v>
      </c>
      <c r="D230">
        <v>1.4630000000000001</v>
      </c>
      <c r="E230">
        <v>1.4930000000000001</v>
      </c>
      <c r="F230">
        <v>1.512</v>
      </c>
      <c r="G230">
        <v>1.494</v>
      </c>
      <c r="H230">
        <v>1.877</v>
      </c>
      <c r="I230">
        <v>2.0179999999999998</v>
      </c>
      <c r="J230">
        <v>1.4590000000000001</v>
      </c>
      <c r="K230">
        <v>1.452</v>
      </c>
      <c r="L230">
        <v>1.452</v>
      </c>
      <c r="M230">
        <v>1.4570000000000001</v>
      </c>
    </row>
    <row r="231" spans="1:13" x14ac:dyDescent="0.2">
      <c r="A231" t="s">
        <v>798</v>
      </c>
      <c r="B231" t="s">
        <v>799</v>
      </c>
      <c r="C231" t="s">
        <v>864</v>
      </c>
      <c r="D231">
        <v>10.352196673589775</v>
      </c>
      <c r="E231">
        <v>10.105405949906919</v>
      </c>
      <c r="F231">
        <v>9.6922989237994095</v>
      </c>
      <c r="G231">
        <v>9.893026586352331</v>
      </c>
      <c r="H231">
        <v>11.494420039232708</v>
      </c>
      <c r="I231">
        <v>11.583400039065593</v>
      </c>
      <c r="J231">
        <v>12.670941509064969</v>
      </c>
      <c r="K231">
        <v>13.01896699919153</v>
      </c>
      <c r="L231">
        <v>12.728380030691186</v>
      </c>
      <c r="M231">
        <v>13.13784512648928</v>
      </c>
    </row>
    <row r="232" spans="1:13" x14ac:dyDescent="0.2">
      <c r="A232" t="s">
        <v>800</v>
      </c>
      <c r="B232" t="s">
        <v>801</v>
      </c>
      <c r="C232" t="s">
        <v>864</v>
      </c>
      <c r="D232">
        <v>17.490078080687066</v>
      </c>
      <c r="E232">
        <v>16.880154719471367</v>
      </c>
      <c r="F232">
        <v>16.332030972583258</v>
      </c>
      <c r="G232">
        <v>16.548964777136753</v>
      </c>
      <c r="H232">
        <v>17.816843663478483</v>
      </c>
      <c r="I232">
        <v>17.116429871408176</v>
      </c>
      <c r="J232">
        <v>15.083341769672618</v>
      </c>
      <c r="K232">
        <v>13.540012868998847</v>
      </c>
      <c r="L232">
        <v>12.382862815815107</v>
      </c>
      <c r="M232">
        <v>12.101326356832869</v>
      </c>
    </row>
    <row r="233" spans="1:13" x14ac:dyDescent="0.2">
      <c r="A233" t="s">
        <v>802</v>
      </c>
      <c r="B233" t="s">
        <v>803</v>
      </c>
      <c r="C233" t="s">
        <v>864</v>
      </c>
      <c r="D233">
        <v>6.8129999999999997</v>
      </c>
      <c r="E233">
        <v>9.282</v>
      </c>
      <c r="F233">
        <v>6.2320000000000002</v>
      </c>
      <c r="G233">
        <v>3.0760000000000001</v>
      </c>
      <c r="H233">
        <v>3.6949999999999998</v>
      </c>
      <c r="I233">
        <v>3.778</v>
      </c>
      <c r="J233">
        <v>3.4169999999999998</v>
      </c>
      <c r="K233">
        <v>3.395</v>
      </c>
      <c r="L233">
        <v>3.4</v>
      </c>
      <c r="M233">
        <v>3.4359999999999999</v>
      </c>
    </row>
    <row r="234" spans="1:13" x14ac:dyDescent="0.2">
      <c r="A234" t="s">
        <v>804</v>
      </c>
      <c r="B234" t="s">
        <v>805</v>
      </c>
      <c r="C234" t="s">
        <v>864</v>
      </c>
      <c r="D234">
        <v>3.714</v>
      </c>
      <c r="E234">
        <v>4.3730000000000002</v>
      </c>
      <c r="F234">
        <v>4.0110000000000001</v>
      </c>
      <c r="G234">
        <v>4.1900000000000004</v>
      </c>
      <c r="H234">
        <v>5.1989999999999998</v>
      </c>
      <c r="I234">
        <v>5.8579999999999997</v>
      </c>
      <c r="J234">
        <v>5.2080000000000002</v>
      </c>
      <c r="K234">
        <v>4.4909999999999997</v>
      </c>
      <c r="L234">
        <v>4.66</v>
      </c>
      <c r="M234">
        <v>4.5309999999999997</v>
      </c>
    </row>
    <row r="235" spans="1:13" x14ac:dyDescent="0.2">
      <c r="A235" t="s">
        <v>806</v>
      </c>
      <c r="B235" t="s">
        <v>807</v>
      </c>
      <c r="C235" t="s">
        <v>864</v>
      </c>
      <c r="D235">
        <v>13.853999999999999</v>
      </c>
      <c r="E235">
        <v>13.956</v>
      </c>
      <c r="F235">
        <v>14.055</v>
      </c>
      <c r="G235">
        <v>14.159000000000001</v>
      </c>
      <c r="H235">
        <v>15.66</v>
      </c>
      <c r="I235">
        <v>15.122</v>
      </c>
      <c r="J235">
        <v>14.478999999999999</v>
      </c>
      <c r="K235">
        <v>14.510999999999999</v>
      </c>
      <c r="L235">
        <v>14.555999999999999</v>
      </c>
      <c r="M235">
        <v>14.593999999999999</v>
      </c>
    </row>
    <row r="236" spans="1:13" x14ac:dyDescent="0.2">
      <c r="A236" t="s">
        <v>808</v>
      </c>
      <c r="B236" t="s">
        <v>809</v>
      </c>
      <c r="C236" t="s">
        <v>864</v>
      </c>
      <c r="D236">
        <v>8.7880000000000003</v>
      </c>
      <c r="E236">
        <v>8.5609999999999999</v>
      </c>
      <c r="F236">
        <v>8.4540000000000006</v>
      </c>
      <c r="G236">
        <v>8.4830000000000005</v>
      </c>
      <c r="H236">
        <v>10.154999999999999</v>
      </c>
      <c r="I236">
        <v>10.227</v>
      </c>
      <c r="J236">
        <v>9.109</v>
      </c>
      <c r="K236">
        <v>9.1980000000000004</v>
      </c>
      <c r="L236">
        <v>9.3350000000000009</v>
      </c>
      <c r="M236">
        <v>10.023</v>
      </c>
    </row>
    <row r="237" spans="1:13" x14ac:dyDescent="0.2">
      <c r="A237" t="s">
        <v>810</v>
      </c>
      <c r="B237" t="s">
        <v>811</v>
      </c>
      <c r="C237" t="s">
        <v>864</v>
      </c>
      <c r="D237">
        <v>17.072935498533301</v>
      </c>
      <c r="E237">
        <v>17.534091139836978</v>
      </c>
      <c r="F237">
        <v>17.506905162905102</v>
      </c>
      <c r="G237">
        <v>17.603111919376172</v>
      </c>
      <c r="H237">
        <v>20.844006307970712</v>
      </c>
      <c r="I237">
        <v>18.689725626582241</v>
      </c>
      <c r="J237">
        <v>14.89940171555744</v>
      </c>
      <c r="K237">
        <v>13.524379473152825</v>
      </c>
      <c r="L237">
        <v>12.945377540883978</v>
      </c>
      <c r="M237">
        <v>12.267593654192689</v>
      </c>
    </row>
    <row r="238" spans="1:13" x14ac:dyDescent="0.2">
      <c r="A238" t="s">
        <v>812</v>
      </c>
      <c r="B238" t="s">
        <v>813</v>
      </c>
      <c r="C238" t="s">
        <v>864</v>
      </c>
      <c r="D238">
        <v>13.065</v>
      </c>
      <c r="E238">
        <v>11.493</v>
      </c>
      <c r="F238">
        <v>9.7750000000000004</v>
      </c>
      <c r="G238">
        <v>7.968</v>
      </c>
      <c r="H238">
        <v>6.7859999999999996</v>
      </c>
      <c r="I238">
        <v>4.7910000000000004</v>
      </c>
      <c r="J238">
        <v>3.2120000000000002</v>
      </c>
      <c r="K238">
        <v>3.198</v>
      </c>
      <c r="L238">
        <v>3.22</v>
      </c>
      <c r="M238">
        <v>3.7170000000000001</v>
      </c>
    </row>
    <row r="239" spans="1:13" x14ac:dyDescent="0.2">
      <c r="A239" t="s">
        <v>814</v>
      </c>
      <c r="B239" t="s">
        <v>815</v>
      </c>
      <c r="C239" t="s">
        <v>864</v>
      </c>
      <c r="D239">
        <v>19.834834278209311</v>
      </c>
      <c r="E239">
        <v>20.594680902200068</v>
      </c>
      <c r="F239">
        <v>20.107588023603938</v>
      </c>
      <c r="G239">
        <v>19.857587615800128</v>
      </c>
      <c r="H239">
        <v>20.993580624163418</v>
      </c>
      <c r="I239">
        <v>20.853555169453472</v>
      </c>
      <c r="J239">
        <v>19.218015484703404</v>
      </c>
      <c r="K239">
        <v>19.063345213526588</v>
      </c>
      <c r="L239">
        <v>19.179850523613972</v>
      </c>
      <c r="M239">
        <v>19.392221005060087</v>
      </c>
    </row>
    <row r="240" spans="1:13" x14ac:dyDescent="0.2">
      <c r="A240" t="s">
        <v>816</v>
      </c>
      <c r="B240" t="s">
        <v>817</v>
      </c>
      <c r="C240" t="s">
        <v>864</v>
      </c>
      <c r="D240">
        <v>6.01</v>
      </c>
      <c r="E240">
        <v>6.3179999999999996</v>
      </c>
      <c r="F240">
        <v>6.6790000000000003</v>
      </c>
      <c r="G240">
        <v>6.4729999999999999</v>
      </c>
      <c r="H240">
        <v>7.992</v>
      </c>
      <c r="I240">
        <v>6.375</v>
      </c>
      <c r="J240">
        <v>6.1470000000000002</v>
      </c>
      <c r="K240">
        <v>4.6319999999999997</v>
      </c>
      <c r="L240">
        <v>5.9859999999999998</v>
      </c>
      <c r="M240">
        <v>6.0289999999999999</v>
      </c>
    </row>
    <row r="241" spans="1:13" x14ac:dyDescent="0.2">
      <c r="A241" t="s">
        <v>818</v>
      </c>
      <c r="B241" t="s">
        <v>819</v>
      </c>
      <c r="C241" t="s">
        <v>864</v>
      </c>
      <c r="D241">
        <v>23.49151857183902</v>
      </c>
      <c r="E241">
        <v>23.894470911491084</v>
      </c>
      <c r="F241">
        <v>24.260387783108062</v>
      </c>
      <c r="G241">
        <v>21.619085107172971</v>
      </c>
      <c r="H241">
        <v>23.436683397447968</v>
      </c>
      <c r="I241">
        <v>20.025712085596432</v>
      </c>
      <c r="J241">
        <v>17.100346598488795</v>
      </c>
      <c r="K241">
        <v>14.897051515742241</v>
      </c>
      <c r="L241">
        <v>15.143639728956213</v>
      </c>
      <c r="M241">
        <v>15.400062177527808</v>
      </c>
    </row>
    <row r="242" spans="1:13" x14ac:dyDescent="0.2">
      <c r="A242" t="s">
        <v>820</v>
      </c>
      <c r="B242" t="s">
        <v>821</v>
      </c>
      <c r="C242" t="s">
        <v>864</v>
      </c>
      <c r="D242">
        <v>11.334410971574327</v>
      </c>
      <c r="E242">
        <v>11.325089031473436</v>
      </c>
      <c r="F242">
        <v>11.318290694690063</v>
      </c>
      <c r="G242">
        <v>11.514611101134218</v>
      </c>
      <c r="H242">
        <v>12.487621224683329</v>
      </c>
      <c r="I242">
        <v>12.010242582678787</v>
      </c>
      <c r="J242">
        <v>10.711074751907541</v>
      </c>
      <c r="K242">
        <v>10.243195236629957</v>
      </c>
      <c r="L242">
        <v>10.087630261833265</v>
      </c>
      <c r="M242">
        <v>10.077420518443999</v>
      </c>
    </row>
    <row r="243" spans="1:13" x14ac:dyDescent="0.2">
      <c r="A243" t="s">
        <v>326</v>
      </c>
      <c r="B243" t="s">
        <v>327</v>
      </c>
      <c r="C243" t="s">
        <v>864</v>
      </c>
      <c r="D243">
        <v>8.7189999999999994</v>
      </c>
      <c r="E243">
        <v>9.0269999999999992</v>
      </c>
      <c r="F243">
        <v>9.1639999999999997</v>
      </c>
      <c r="G243">
        <v>9.17</v>
      </c>
      <c r="H243">
        <v>11.81</v>
      </c>
      <c r="I243">
        <v>13.145</v>
      </c>
      <c r="J243">
        <v>10.596</v>
      </c>
      <c r="K243">
        <v>8.0410000000000004</v>
      </c>
      <c r="L243">
        <v>7.9930000000000003</v>
      </c>
      <c r="M243">
        <v>8.2159999999999993</v>
      </c>
    </row>
    <row r="244" spans="1:13" x14ac:dyDescent="0.2">
      <c r="A244" t="s">
        <v>822</v>
      </c>
      <c r="B244" t="s">
        <v>823</v>
      </c>
      <c r="C244" t="s">
        <v>864</v>
      </c>
      <c r="D244">
        <v>35.119</v>
      </c>
      <c r="E244">
        <v>35.314999999999998</v>
      </c>
      <c r="F244">
        <v>34.877000000000002</v>
      </c>
      <c r="G244">
        <v>37.866999999999997</v>
      </c>
      <c r="H244">
        <v>41.241999999999997</v>
      </c>
      <c r="I244">
        <v>39.308999999999997</v>
      </c>
      <c r="J244">
        <v>37.826000000000001</v>
      </c>
      <c r="K244">
        <v>38.484000000000002</v>
      </c>
      <c r="L244">
        <v>38.85</v>
      </c>
      <c r="M244">
        <v>38.075000000000003</v>
      </c>
    </row>
    <row r="245" spans="1:13" x14ac:dyDescent="0.2">
      <c r="A245" t="s">
        <v>824</v>
      </c>
      <c r="B245" t="s">
        <v>338</v>
      </c>
      <c r="C245" t="s">
        <v>864</v>
      </c>
      <c r="D245">
        <v>19.369</v>
      </c>
      <c r="E245">
        <v>20.469000000000001</v>
      </c>
      <c r="F245">
        <v>20.010999999999999</v>
      </c>
      <c r="G245">
        <v>25.039000000000001</v>
      </c>
      <c r="H245">
        <v>24.919</v>
      </c>
      <c r="I245">
        <v>22.36</v>
      </c>
      <c r="J245">
        <v>19.289000000000001</v>
      </c>
      <c r="K245">
        <v>17.306000000000001</v>
      </c>
      <c r="L245">
        <v>16.286999999999999</v>
      </c>
      <c r="M245">
        <v>16.042000000000002</v>
      </c>
    </row>
    <row r="246" spans="1:13" x14ac:dyDescent="0.2">
      <c r="A246" t="s">
        <v>825</v>
      </c>
      <c r="B246" t="s">
        <v>826</v>
      </c>
      <c r="C246" t="s">
        <v>864</v>
      </c>
    </row>
    <row r="247" spans="1:13" x14ac:dyDescent="0.2">
      <c r="A247" t="s">
        <v>827</v>
      </c>
      <c r="B247" t="s">
        <v>323</v>
      </c>
      <c r="C247" t="s">
        <v>864</v>
      </c>
      <c r="D247">
        <v>3.2410000000000001</v>
      </c>
      <c r="E247">
        <v>3.0369999999999999</v>
      </c>
      <c r="F247">
        <v>2.8460000000000001</v>
      </c>
      <c r="G247">
        <v>2.657</v>
      </c>
      <c r="H247">
        <v>2.746</v>
      </c>
      <c r="I247">
        <v>2.7519999999999998</v>
      </c>
      <c r="J247">
        <v>2.3439999999999999</v>
      </c>
      <c r="K247">
        <v>2.339</v>
      </c>
      <c r="L247">
        <v>2.3340000000000001</v>
      </c>
      <c r="M247">
        <v>2.3809999999999998</v>
      </c>
    </row>
    <row r="248" spans="1:13" x14ac:dyDescent="0.2">
      <c r="A248" t="s">
        <v>342</v>
      </c>
      <c r="B248" t="s">
        <v>343</v>
      </c>
      <c r="C248" t="s">
        <v>864</v>
      </c>
      <c r="D248">
        <v>4.4109999999999996</v>
      </c>
      <c r="E248">
        <v>5.0519999999999996</v>
      </c>
      <c r="F248">
        <v>4.8840000000000003</v>
      </c>
      <c r="G248">
        <v>4.6909999999999998</v>
      </c>
      <c r="H248">
        <v>5.6879999999999997</v>
      </c>
      <c r="I248">
        <v>5.04</v>
      </c>
      <c r="J248">
        <v>4.335</v>
      </c>
      <c r="K248">
        <v>4.2080000000000002</v>
      </c>
      <c r="L248">
        <v>4.2110000000000003</v>
      </c>
      <c r="M248">
        <v>4.1829999999999998</v>
      </c>
    </row>
    <row r="249" spans="1:13" x14ac:dyDescent="0.2">
      <c r="A249" t="s">
        <v>828</v>
      </c>
      <c r="B249" t="s">
        <v>829</v>
      </c>
      <c r="C249" t="s">
        <v>864</v>
      </c>
      <c r="D249">
        <v>23.138999999999999</v>
      </c>
      <c r="E249">
        <v>18.963000000000001</v>
      </c>
      <c r="F249">
        <v>17.965</v>
      </c>
      <c r="G249">
        <v>15.484</v>
      </c>
      <c r="H249">
        <v>19.355</v>
      </c>
      <c r="I249">
        <v>19.145</v>
      </c>
    </row>
    <row r="250" spans="1:13" x14ac:dyDescent="0.2">
      <c r="A250" t="s">
        <v>830</v>
      </c>
      <c r="B250" t="s">
        <v>831</v>
      </c>
      <c r="C250" t="s">
        <v>864</v>
      </c>
      <c r="D250">
        <v>15.016318990481864</v>
      </c>
      <c r="E250">
        <v>14.968689573786055</v>
      </c>
      <c r="F250">
        <v>14.769443337673923</v>
      </c>
      <c r="G250">
        <v>15.150795910353057</v>
      </c>
      <c r="H250">
        <v>17.059914954560654</v>
      </c>
      <c r="I250">
        <v>16.607865674358361</v>
      </c>
      <c r="J250">
        <v>16.118123570239685</v>
      </c>
      <c r="K250">
        <v>15.841425893194602</v>
      </c>
      <c r="L250">
        <v>15.50473441885541</v>
      </c>
      <c r="M250">
        <v>15.620979349304916</v>
      </c>
    </row>
    <row r="251" spans="1:13" x14ac:dyDescent="0.2">
      <c r="A251" t="s">
        <v>832</v>
      </c>
      <c r="B251" t="s">
        <v>833</v>
      </c>
      <c r="C251" t="s">
        <v>864</v>
      </c>
      <c r="D251">
        <v>24.149000000000001</v>
      </c>
      <c r="E251">
        <v>25.251000000000001</v>
      </c>
      <c r="F251">
        <v>26.538</v>
      </c>
      <c r="G251">
        <v>28.474</v>
      </c>
      <c r="H251">
        <v>34.215000000000003</v>
      </c>
      <c r="I251">
        <v>31.806999999999999</v>
      </c>
      <c r="J251">
        <v>25.32</v>
      </c>
      <c r="K251">
        <v>26.221</v>
      </c>
      <c r="L251">
        <v>26.698</v>
      </c>
      <c r="M251">
        <v>25.149000000000001</v>
      </c>
    </row>
    <row r="252" spans="1:13" x14ac:dyDescent="0.2">
      <c r="A252" t="s">
        <v>834</v>
      </c>
      <c r="B252" t="s">
        <v>352</v>
      </c>
      <c r="C252" t="s">
        <v>864</v>
      </c>
      <c r="D252">
        <v>10.432</v>
      </c>
      <c r="E252">
        <v>9.2379999999999995</v>
      </c>
      <c r="F252">
        <v>8.6069999999999993</v>
      </c>
      <c r="G252">
        <v>8.375</v>
      </c>
      <c r="H252">
        <v>14.891</v>
      </c>
      <c r="I252">
        <v>9.7040000000000006</v>
      </c>
      <c r="J252">
        <v>8.1050000000000004</v>
      </c>
      <c r="K252">
        <v>7.9530000000000003</v>
      </c>
      <c r="L252">
        <v>8.92</v>
      </c>
      <c r="M252">
        <v>9.34</v>
      </c>
    </row>
    <row r="253" spans="1:13" x14ac:dyDescent="0.2">
      <c r="A253" t="s">
        <v>835</v>
      </c>
      <c r="B253" t="s">
        <v>836</v>
      </c>
      <c r="C253" t="s">
        <v>864</v>
      </c>
      <c r="D253">
        <v>11.464</v>
      </c>
      <c r="E253">
        <v>12.887</v>
      </c>
      <c r="F253">
        <v>12.073</v>
      </c>
      <c r="G253">
        <v>11.27</v>
      </c>
      <c r="H253">
        <v>12.837999999999999</v>
      </c>
      <c r="I253">
        <v>13.031000000000001</v>
      </c>
      <c r="J253">
        <v>10.853</v>
      </c>
      <c r="K253">
        <v>10.762</v>
      </c>
      <c r="L253">
        <v>10.808999999999999</v>
      </c>
      <c r="M253">
        <v>11.381</v>
      </c>
    </row>
    <row r="254" spans="1:13" x14ac:dyDescent="0.2">
      <c r="A254" t="s">
        <v>837</v>
      </c>
      <c r="B254" t="s">
        <v>838</v>
      </c>
      <c r="C254" t="s">
        <v>864</v>
      </c>
      <c r="D254">
        <v>42.09</v>
      </c>
      <c r="E254">
        <v>42.39</v>
      </c>
      <c r="F254">
        <v>42.737000000000002</v>
      </c>
      <c r="G254">
        <v>43.587000000000003</v>
      </c>
      <c r="H254">
        <v>47.707999999999998</v>
      </c>
      <c r="I254">
        <v>46.04</v>
      </c>
      <c r="J254">
        <v>43.994999999999997</v>
      </c>
      <c r="K254">
        <v>42.332999999999998</v>
      </c>
      <c r="L254">
        <v>41.850999999999999</v>
      </c>
      <c r="M254">
        <v>41.947000000000003</v>
      </c>
    </row>
    <row r="255" spans="1:13" x14ac:dyDescent="0.2">
      <c r="A255" t="s">
        <v>839</v>
      </c>
      <c r="B255" t="s">
        <v>840</v>
      </c>
      <c r="C255" t="s">
        <v>864</v>
      </c>
      <c r="D255">
        <v>11.677</v>
      </c>
      <c r="E255">
        <v>12.247</v>
      </c>
      <c r="F255">
        <v>12.034000000000001</v>
      </c>
      <c r="G255">
        <v>11.766999999999999</v>
      </c>
      <c r="H255">
        <v>13.608000000000001</v>
      </c>
      <c r="I255">
        <v>12.943</v>
      </c>
      <c r="J255">
        <v>10.58</v>
      </c>
      <c r="K255">
        <v>10.273999999999999</v>
      </c>
      <c r="L255">
        <v>10.157999999999999</v>
      </c>
      <c r="M255">
        <v>10.444000000000001</v>
      </c>
    </row>
    <row r="256" spans="1:13" x14ac:dyDescent="0.2">
      <c r="A256" t="s">
        <v>841</v>
      </c>
      <c r="B256" t="s">
        <v>842</v>
      </c>
      <c r="C256" t="s">
        <v>864</v>
      </c>
    </row>
    <row r="257" spans="1:13" x14ac:dyDescent="0.2">
      <c r="A257" t="s">
        <v>843</v>
      </c>
      <c r="B257" t="s">
        <v>844</v>
      </c>
      <c r="C257" t="s">
        <v>864</v>
      </c>
      <c r="D257">
        <v>26.745999999999999</v>
      </c>
      <c r="E257">
        <v>26.044</v>
      </c>
      <c r="F257">
        <v>26.474</v>
      </c>
      <c r="G257">
        <v>26.504999999999999</v>
      </c>
      <c r="H257">
        <v>34.064</v>
      </c>
      <c r="I257">
        <v>30.712</v>
      </c>
      <c r="J257">
        <v>25.611000000000001</v>
      </c>
      <c r="K257">
        <v>23.588000000000001</v>
      </c>
      <c r="L257">
        <v>23.048999999999999</v>
      </c>
      <c r="M257">
        <v>24.196000000000002</v>
      </c>
    </row>
    <row r="258" spans="1:13" x14ac:dyDescent="0.2">
      <c r="A258" t="s">
        <v>845</v>
      </c>
      <c r="B258" t="s">
        <v>846</v>
      </c>
      <c r="C258" t="s">
        <v>864</v>
      </c>
      <c r="D258">
        <v>6.7629999999999999</v>
      </c>
      <c r="E258">
        <v>7.1239999999999997</v>
      </c>
      <c r="F258">
        <v>4.6479999999999997</v>
      </c>
      <c r="G258">
        <v>5.6239999999999997</v>
      </c>
      <c r="H258">
        <v>6.5460000000000003</v>
      </c>
      <c r="I258">
        <v>6.9029999999999996</v>
      </c>
      <c r="J258">
        <v>6.0970000000000004</v>
      </c>
      <c r="K258">
        <v>6.4409999999999998</v>
      </c>
      <c r="L258">
        <v>6.3380000000000001</v>
      </c>
      <c r="M258">
        <v>6.165</v>
      </c>
    </row>
    <row r="259" spans="1:13" x14ac:dyDescent="0.2">
      <c r="A259" t="s">
        <v>847</v>
      </c>
      <c r="B259" t="s">
        <v>848</v>
      </c>
      <c r="C259" t="s">
        <v>864</v>
      </c>
      <c r="D259">
        <v>11.32</v>
      </c>
      <c r="E259">
        <v>11.612</v>
      </c>
      <c r="F259">
        <v>11.992000000000001</v>
      </c>
      <c r="G259">
        <v>12.336</v>
      </c>
      <c r="H259">
        <v>9.6959999999999997</v>
      </c>
      <c r="I259">
        <v>10.920999999999999</v>
      </c>
      <c r="J259">
        <v>11.61</v>
      </c>
      <c r="K259">
        <v>11.489000000000001</v>
      </c>
      <c r="L259">
        <v>11.425000000000001</v>
      </c>
      <c r="M259">
        <v>11.343</v>
      </c>
    </row>
    <row r="260" spans="1:13" x14ac:dyDescent="0.2">
      <c r="A260" t="s">
        <v>849</v>
      </c>
      <c r="B260" t="s">
        <v>850</v>
      </c>
      <c r="C260" t="s">
        <v>864</v>
      </c>
      <c r="D260">
        <v>16.04277252554353</v>
      </c>
      <c r="E260">
        <v>16.075798349401733</v>
      </c>
      <c r="F260">
        <v>15.890421758858983</v>
      </c>
      <c r="G260">
        <v>15.254466188623077</v>
      </c>
      <c r="H260">
        <v>17.09917358427932</v>
      </c>
      <c r="I260">
        <v>15.66164657937764</v>
      </c>
      <c r="J260">
        <v>14.13433944495225</v>
      </c>
      <c r="K260">
        <v>13.366898790915586</v>
      </c>
      <c r="L260">
        <v>13.300307984300314</v>
      </c>
      <c r="M260">
        <v>13.40881926947128</v>
      </c>
    </row>
    <row r="261" spans="1:13" x14ac:dyDescent="0.2">
      <c r="A261" t="s">
        <v>851</v>
      </c>
      <c r="B261" t="s">
        <v>852</v>
      </c>
      <c r="C261" t="s">
        <v>864</v>
      </c>
      <c r="D261">
        <v>18.605</v>
      </c>
      <c r="E261">
        <v>19.382000000000001</v>
      </c>
      <c r="F261">
        <v>18.45</v>
      </c>
      <c r="G261">
        <v>17.486000000000001</v>
      </c>
      <c r="H261">
        <v>17.834</v>
      </c>
      <c r="I261">
        <v>16.033999999999999</v>
      </c>
      <c r="J261">
        <v>13.244999999999999</v>
      </c>
      <c r="K261">
        <v>12.9</v>
      </c>
      <c r="L261">
        <v>12.667</v>
      </c>
      <c r="M261">
        <v>12.977</v>
      </c>
    </row>
    <row r="262" spans="1:13" x14ac:dyDescent="0.2">
      <c r="A262" t="s">
        <v>853</v>
      </c>
      <c r="B262" t="s">
        <v>854</v>
      </c>
      <c r="C262" t="s">
        <v>864</v>
      </c>
    </row>
    <row r="263" spans="1:13" x14ac:dyDescent="0.2">
      <c r="A263" t="s">
        <v>855</v>
      </c>
      <c r="B263" t="s">
        <v>856</v>
      </c>
      <c r="C263" t="s">
        <v>864</v>
      </c>
      <c r="D263">
        <v>33.511000000000003</v>
      </c>
      <c r="E263">
        <v>33.899000000000001</v>
      </c>
      <c r="F263">
        <v>32.72</v>
      </c>
      <c r="G263">
        <v>32.347000000000001</v>
      </c>
      <c r="H263">
        <v>34.530999999999999</v>
      </c>
      <c r="I263">
        <v>34.097000000000001</v>
      </c>
      <c r="J263">
        <v>32.454000000000001</v>
      </c>
      <c r="K263">
        <v>32.103999999999999</v>
      </c>
      <c r="L263">
        <v>32.171999999999997</v>
      </c>
      <c r="M263">
        <v>32.597999999999999</v>
      </c>
    </row>
    <row r="264" spans="1:13" x14ac:dyDescent="0.2">
      <c r="A264" t="s">
        <v>857</v>
      </c>
      <c r="B264" t="s">
        <v>858</v>
      </c>
      <c r="C264" t="s">
        <v>864</v>
      </c>
      <c r="D264">
        <v>53.451999999999998</v>
      </c>
      <c r="E264">
        <v>53.396000000000001</v>
      </c>
      <c r="F264">
        <v>53.634</v>
      </c>
      <c r="G264">
        <v>57.317</v>
      </c>
      <c r="H264">
        <v>59.606999999999999</v>
      </c>
      <c r="I264">
        <v>65.450999999999993</v>
      </c>
      <c r="J264">
        <v>61.676000000000002</v>
      </c>
      <c r="K264">
        <v>60.259</v>
      </c>
      <c r="L264">
        <v>60.247999999999998</v>
      </c>
      <c r="M264">
        <v>59.93</v>
      </c>
    </row>
    <row r="265" spans="1:13" x14ac:dyDescent="0.2">
      <c r="A265" t="s">
        <v>859</v>
      </c>
      <c r="B265" t="s">
        <v>860</v>
      </c>
      <c r="C265" t="s">
        <v>864</v>
      </c>
      <c r="D265">
        <v>10.506</v>
      </c>
      <c r="E265">
        <v>8.5139999999999993</v>
      </c>
      <c r="F265">
        <v>8.7449999999999992</v>
      </c>
      <c r="G265">
        <v>10.348000000000001</v>
      </c>
      <c r="H265">
        <v>11.042</v>
      </c>
      <c r="I265">
        <v>9.3640000000000008</v>
      </c>
      <c r="J265">
        <v>9.8490000000000002</v>
      </c>
      <c r="K265">
        <v>10.038</v>
      </c>
      <c r="L265">
        <v>10.102</v>
      </c>
      <c r="M265">
        <v>10.47</v>
      </c>
    </row>
    <row r="266" spans="1:13" x14ac:dyDescent="0.2">
      <c r="A266" t="s">
        <v>307</v>
      </c>
      <c r="B266" t="s">
        <v>309</v>
      </c>
      <c r="C266" t="s">
        <v>864</v>
      </c>
      <c r="D266">
        <v>8.9489999999999998</v>
      </c>
      <c r="E266">
        <v>9.8330000000000002</v>
      </c>
      <c r="F266">
        <v>10.693</v>
      </c>
      <c r="G266">
        <v>11.718</v>
      </c>
      <c r="H266">
        <v>14.243</v>
      </c>
      <c r="I266">
        <v>15.208</v>
      </c>
      <c r="J266">
        <v>16.984000000000002</v>
      </c>
      <c r="K266">
        <v>15.332000000000001</v>
      </c>
      <c r="L266">
        <v>15.429</v>
      </c>
      <c r="M266">
        <v>15.548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ADF0-6B0C-534F-9BA1-40E6C50599C0}">
  <dimension ref="A1:M269"/>
  <sheetViews>
    <sheetView topLeftCell="A210" zoomScale="57" workbookViewId="0">
      <selection activeCell="I14" sqref="I14"/>
    </sheetView>
  </sheetViews>
  <sheetFormatPr baseColWidth="10" defaultRowHeight="15" x14ac:dyDescent="0.2"/>
  <cols>
    <col min="1" max="1" width="60.1640625" bestFit="1" customWidth="1"/>
    <col min="2" max="2" width="25.6640625" bestFit="1" customWidth="1"/>
    <col min="3" max="3" width="23.5" bestFit="1" customWidth="1"/>
    <col min="4" max="13" width="11" bestFit="1" customWidth="1"/>
    <col min="14" max="199" width="8.83203125" customWidth="1"/>
    <col min="200" max="200" width="60.1640625" bestFit="1" customWidth="1"/>
    <col min="201" max="201" width="25.6640625" bestFit="1" customWidth="1"/>
    <col min="202" max="202" width="23.5" bestFit="1" customWidth="1"/>
    <col min="203" max="203" width="14" bestFit="1" customWidth="1"/>
    <col min="204" max="269" width="11" bestFit="1" customWidth="1"/>
    <col min="270" max="455" width="8.83203125" customWidth="1"/>
    <col min="456" max="456" width="60.1640625" bestFit="1" customWidth="1"/>
    <col min="457" max="457" width="25.6640625" bestFit="1" customWidth="1"/>
    <col min="458" max="458" width="23.5" bestFit="1" customWidth="1"/>
    <col min="459" max="459" width="14" bestFit="1" customWidth="1"/>
    <col min="460" max="525" width="11" bestFit="1" customWidth="1"/>
    <col min="526" max="711" width="8.83203125" customWidth="1"/>
    <col min="712" max="712" width="60.1640625" bestFit="1" customWidth="1"/>
    <col min="713" max="713" width="25.6640625" bestFit="1" customWidth="1"/>
    <col min="714" max="714" width="23.5" bestFit="1" customWidth="1"/>
    <col min="715" max="715" width="14" bestFit="1" customWidth="1"/>
    <col min="716" max="781" width="11" bestFit="1" customWidth="1"/>
    <col min="782" max="967" width="8.83203125" customWidth="1"/>
    <col min="968" max="968" width="60.1640625" bestFit="1" customWidth="1"/>
    <col min="969" max="969" width="25.6640625" bestFit="1" customWidth="1"/>
    <col min="970" max="970" width="23.5" bestFit="1" customWidth="1"/>
    <col min="971" max="971" width="14" bestFit="1" customWidth="1"/>
    <col min="972" max="1037" width="11" bestFit="1" customWidth="1"/>
    <col min="1038" max="1223" width="8.83203125" customWidth="1"/>
    <col min="1224" max="1224" width="60.1640625" bestFit="1" customWidth="1"/>
    <col min="1225" max="1225" width="25.6640625" bestFit="1" customWidth="1"/>
    <col min="1226" max="1226" width="23.5" bestFit="1" customWidth="1"/>
    <col min="1227" max="1227" width="14" bestFit="1" customWidth="1"/>
    <col min="1228" max="1293" width="11" bestFit="1" customWidth="1"/>
    <col min="1294" max="1479" width="8.83203125" customWidth="1"/>
    <col min="1480" max="1480" width="60.1640625" bestFit="1" customWidth="1"/>
    <col min="1481" max="1481" width="25.6640625" bestFit="1" customWidth="1"/>
    <col min="1482" max="1482" width="23.5" bestFit="1" customWidth="1"/>
    <col min="1483" max="1483" width="14" bestFit="1" customWidth="1"/>
    <col min="1484" max="1549" width="11" bestFit="1" customWidth="1"/>
    <col min="1550" max="1735" width="8.83203125" customWidth="1"/>
    <col min="1736" max="1736" width="60.1640625" bestFit="1" customWidth="1"/>
    <col min="1737" max="1737" width="25.6640625" bestFit="1" customWidth="1"/>
    <col min="1738" max="1738" width="23.5" bestFit="1" customWidth="1"/>
    <col min="1739" max="1739" width="14" bestFit="1" customWidth="1"/>
    <col min="1740" max="1805" width="11" bestFit="1" customWidth="1"/>
    <col min="1806" max="1991" width="8.83203125" customWidth="1"/>
    <col min="1992" max="1992" width="60.1640625" bestFit="1" customWidth="1"/>
    <col min="1993" max="1993" width="25.6640625" bestFit="1" customWidth="1"/>
    <col min="1994" max="1994" width="23.5" bestFit="1" customWidth="1"/>
    <col min="1995" max="1995" width="14" bestFit="1" customWidth="1"/>
    <col min="1996" max="2061" width="11" bestFit="1" customWidth="1"/>
    <col min="2062" max="2247" width="8.83203125" customWidth="1"/>
    <col min="2248" max="2248" width="60.1640625" bestFit="1" customWidth="1"/>
    <col min="2249" max="2249" width="25.6640625" bestFit="1" customWidth="1"/>
    <col min="2250" max="2250" width="23.5" bestFit="1" customWidth="1"/>
    <col min="2251" max="2251" width="14" bestFit="1" customWidth="1"/>
    <col min="2252" max="2317" width="11" bestFit="1" customWidth="1"/>
    <col min="2318" max="2503" width="8.83203125" customWidth="1"/>
    <col min="2504" max="2504" width="60.1640625" bestFit="1" customWidth="1"/>
    <col min="2505" max="2505" width="25.6640625" bestFit="1" customWidth="1"/>
    <col min="2506" max="2506" width="23.5" bestFit="1" customWidth="1"/>
    <col min="2507" max="2507" width="14" bestFit="1" customWidth="1"/>
    <col min="2508" max="2573" width="11" bestFit="1" customWidth="1"/>
    <col min="2574" max="2759" width="8.83203125" customWidth="1"/>
    <col min="2760" max="2760" width="60.1640625" bestFit="1" customWidth="1"/>
    <col min="2761" max="2761" width="25.6640625" bestFit="1" customWidth="1"/>
    <col min="2762" max="2762" width="23.5" bestFit="1" customWidth="1"/>
    <col min="2763" max="2763" width="14" bestFit="1" customWidth="1"/>
    <col min="2764" max="2829" width="11" bestFit="1" customWidth="1"/>
    <col min="2830" max="3015" width="8.83203125" customWidth="1"/>
    <col min="3016" max="3016" width="60.1640625" bestFit="1" customWidth="1"/>
    <col min="3017" max="3017" width="25.6640625" bestFit="1" customWidth="1"/>
    <col min="3018" max="3018" width="23.5" bestFit="1" customWidth="1"/>
    <col min="3019" max="3019" width="14" bestFit="1" customWidth="1"/>
    <col min="3020" max="3085" width="11" bestFit="1" customWidth="1"/>
    <col min="3086" max="3271" width="8.83203125" customWidth="1"/>
    <col min="3272" max="3272" width="60.1640625" bestFit="1" customWidth="1"/>
    <col min="3273" max="3273" width="25.6640625" bestFit="1" customWidth="1"/>
    <col min="3274" max="3274" width="23.5" bestFit="1" customWidth="1"/>
    <col min="3275" max="3275" width="14" bestFit="1" customWidth="1"/>
    <col min="3276" max="3341" width="11" bestFit="1" customWidth="1"/>
    <col min="3342" max="3527" width="8.83203125" customWidth="1"/>
    <col min="3528" max="3528" width="60.1640625" bestFit="1" customWidth="1"/>
    <col min="3529" max="3529" width="25.6640625" bestFit="1" customWidth="1"/>
    <col min="3530" max="3530" width="23.5" bestFit="1" customWidth="1"/>
    <col min="3531" max="3531" width="14" bestFit="1" customWidth="1"/>
    <col min="3532" max="3597" width="11" bestFit="1" customWidth="1"/>
    <col min="3598" max="3783" width="8.83203125" customWidth="1"/>
    <col min="3784" max="3784" width="60.1640625" bestFit="1" customWidth="1"/>
    <col min="3785" max="3785" width="25.6640625" bestFit="1" customWidth="1"/>
    <col min="3786" max="3786" width="23.5" bestFit="1" customWidth="1"/>
    <col min="3787" max="3787" width="14" bestFit="1" customWidth="1"/>
    <col min="3788" max="3853" width="11" bestFit="1" customWidth="1"/>
    <col min="3854" max="4039" width="8.83203125" customWidth="1"/>
    <col min="4040" max="4040" width="60.1640625" bestFit="1" customWidth="1"/>
    <col min="4041" max="4041" width="25.6640625" bestFit="1" customWidth="1"/>
    <col min="4042" max="4042" width="23.5" bestFit="1" customWidth="1"/>
    <col min="4043" max="4043" width="14" bestFit="1" customWidth="1"/>
    <col min="4044" max="4109" width="11" bestFit="1" customWidth="1"/>
    <col min="4110" max="4295" width="8.83203125" customWidth="1"/>
    <col min="4296" max="4296" width="60.1640625" bestFit="1" customWidth="1"/>
    <col min="4297" max="4297" width="25.6640625" bestFit="1" customWidth="1"/>
    <col min="4298" max="4298" width="23.5" bestFit="1" customWidth="1"/>
    <col min="4299" max="4299" width="14" bestFit="1" customWidth="1"/>
    <col min="4300" max="4365" width="11" bestFit="1" customWidth="1"/>
    <col min="4366" max="4551" width="8.83203125" customWidth="1"/>
    <col min="4552" max="4552" width="60.1640625" bestFit="1" customWidth="1"/>
    <col min="4553" max="4553" width="25.6640625" bestFit="1" customWidth="1"/>
    <col min="4554" max="4554" width="23.5" bestFit="1" customWidth="1"/>
    <col min="4555" max="4555" width="14" bestFit="1" customWidth="1"/>
    <col min="4556" max="4621" width="11" bestFit="1" customWidth="1"/>
    <col min="4622" max="4807" width="8.83203125" customWidth="1"/>
    <col min="4808" max="4808" width="60.1640625" bestFit="1" customWidth="1"/>
    <col min="4809" max="4809" width="25.6640625" bestFit="1" customWidth="1"/>
    <col min="4810" max="4810" width="23.5" bestFit="1" customWidth="1"/>
    <col min="4811" max="4811" width="14" bestFit="1" customWidth="1"/>
    <col min="4812" max="4877" width="11" bestFit="1" customWidth="1"/>
    <col min="4878" max="5063" width="8.83203125" customWidth="1"/>
    <col min="5064" max="5064" width="60.1640625" bestFit="1" customWidth="1"/>
    <col min="5065" max="5065" width="25.6640625" bestFit="1" customWidth="1"/>
    <col min="5066" max="5066" width="23.5" bestFit="1" customWidth="1"/>
    <col min="5067" max="5067" width="14" bestFit="1" customWidth="1"/>
    <col min="5068" max="5133" width="11" bestFit="1" customWidth="1"/>
    <col min="5134" max="5319" width="8.83203125" customWidth="1"/>
    <col min="5320" max="5320" width="60.1640625" bestFit="1" customWidth="1"/>
    <col min="5321" max="5321" width="25.6640625" bestFit="1" customWidth="1"/>
    <col min="5322" max="5322" width="23.5" bestFit="1" customWidth="1"/>
    <col min="5323" max="5323" width="14" bestFit="1" customWidth="1"/>
    <col min="5324" max="5389" width="11" bestFit="1" customWidth="1"/>
    <col min="5390" max="5575" width="8.83203125" customWidth="1"/>
    <col min="5576" max="5576" width="60.1640625" bestFit="1" customWidth="1"/>
    <col min="5577" max="5577" width="25.6640625" bestFit="1" customWidth="1"/>
    <col min="5578" max="5578" width="23.5" bestFit="1" customWidth="1"/>
    <col min="5579" max="5579" width="14" bestFit="1" customWidth="1"/>
    <col min="5580" max="5645" width="11" bestFit="1" customWidth="1"/>
    <col min="5646" max="5831" width="8.83203125" customWidth="1"/>
    <col min="5832" max="5832" width="60.1640625" bestFit="1" customWidth="1"/>
    <col min="5833" max="5833" width="25.6640625" bestFit="1" customWidth="1"/>
    <col min="5834" max="5834" width="23.5" bestFit="1" customWidth="1"/>
    <col min="5835" max="5835" width="14" bestFit="1" customWidth="1"/>
    <col min="5836" max="5901" width="11" bestFit="1" customWidth="1"/>
    <col min="5902" max="6087" width="8.83203125" customWidth="1"/>
    <col min="6088" max="6088" width="60.1640625" bestFit="1" customWidth="1"/>
    <col min="6089" max="6089" width="25.6640625" bestFit="1" customWidth="1"/>
    <col min="6090" max="6090" width="23.5" bestFit="1" customWidth="1"/>
    <col min="6091" max="6091" width="14" bestFit="1" customWidth="1"/>
    <col min="6092" max="6157" width="11" bestFit="1" customWidth="1"/>
    <col min="6158" max="6343" width="8.83203125" customWidth="1"/>
    <col min="6344" max="6344" width="60.1640625" bestFit="1" customWidth="1"/>
    <col min="6345" max="6345" width="25.6640625" bestFit="1" customWidth="1"/>
    <col min="6346" max="6346" width="23.5" bestFit="1" customWidth="1"/>
    <col min="6347" max="6347" width="14" bestFit="1" customWidth="1"/>
    <col min="6348" max="6413" width="11" bestFit="1" customWidth="1"/>
    <col min="6414" max="6599" width="8.83203125" customWidth="1"/>
    <col min="6600" max="6600" width="60.1640625" bestFit="1" customWidth="1"/>
    <col min="6601" max="6601" width="25.6640625" bestFit="1" customWidth="1"/>
    <col min="6602" max="6602" width="23.5" bestFit="1" customWidth="1"/>
    <col min="6603" max="6603" width="14" bestFit="1" customWidth="1"/>
    <col min="6604" max="6669" width="11" bestFit="1" customWidth="1"/>
    <col min="6670" max="6855" width="8.83203125" customWidth="1"/>
    <col min="6856" max="6856" width="60.1640625" bestFit="1" customWidth="1"/>
    <col min="6857" max="6857" width="25.6640625" bestFit="1" customWidth="1"/>
    <col min="6858" max="6858" width="23.5" bestFit="1" customWidth="1"/>
    <col min="6859" max="6859" width="14" bestFit="1" customWidth="1"/>
    <col min="6860" max="6925" width="11" bestFit="1" customWidth="1"/>
    <col min="6926" max="7111" width="8.83203125" customWidth="1"/>
    <col min="7112" max="7112" width="60.1640625" bestFit="1" customWidth="1"/>
    <col min="7113" max="7113" width="25.6640625" bestFit="1" customWidth="1"/>
    <col min="7114" max="7114" width="23.5" bestFit="1" customWidth="1"/>
    <col min="7115" max="7115" width="14" bestFit="1" customWidth="1"/>
    <col min="7116" max="7181" width="11" bestFit="1" customWidth="1"/>
    <col min="7182" max="7367" width="8.83203125" customWidth="1"/>
    <col min="7368" max="7368" width="60.1640625" bestFit="1" customWidth="1"/>
    <col min="7369" max="7369" width="25.6640625" bestFit="1" customWidth="1"/>
    <col min="7370" max="7370" width="23.5" bestFit="1" customWidth="1"/>
    <col min="7371" max="7371" width="14" bestFit="1" customWidth="1"/>
    <col min="7372" max="7437" width="11" bestFit="1" customWidth="1"/>
    <col min="7438" max="7623" width="8.83203125" customWidth="1"/>
    <col min="7624" max="7624" width="60.1640625" bestFit="1" customWidth="1"/>
    <col min="7625" max="7625" width="25.6640625" bestFit="1" customWidth="1"/>
    <col min="7626" max="7626" width="23.5" bestFit="1" customWidth="1"/>
    <col min="7627" max="7627" width="14" bestFit="1" customWidth="1"/>
    <col min="7628" max="7693" width="11" bestFit="1" customWidth="1"/>
    <col min="7694" max="7879" width="8.83203125" customWidth="1"/>
    <col min="7880" max="7880" width="60.1640625" bestFit="1" customWidth="1"/>
    <col min="7881" max="7881" width="25.6640625" bestFit="1" customWidth="1"/>
    <col min="7882" max="7882" width="23.5" bestFit="1" customWidth="1"/>
    <col min="7883" max="7883" width="14" bestFit="1" customWidth="1"/>
    <col min="7884" max="7949" width="11" bestFit="1" customWidth="1"/>
    <col min="7950" max="8135" width="8.83203125" customWidth="1"/>
    <col min="8136" max="8136" width="60.1640625" bestFit="1" customWidth="1"/>
    <col min="8137" max="8137" width="25.6640625" bestFit="1" customWidth="1"/>
    <col min="8138" max="8138" width="23.5" bestFit="1" customWidth="1"/>
    <col min="8139" max="8139" width="14" bestFit="1" customWidth="1"/>
    <col min="8140" max="8205" width="11" bestFit="1" customWidth="1"/>
    <col min="8206" max="8391" width="8.83203125" customWidth="1"/>
    <col min="8392" max="8392" width="60.1640625" bestFit="1" customWidth="1"/>
    <col min="8393" max="8393" width="25.6640625" bestFit="1" customWidth="1"/>
    <col min="8394" max="8394" width="23.5" bestFit="1" customWidth="1"/>
    <col min="8395" max="8395" width="14" bestFit="1" customWidth="1"/>
    <col min="8396" max="8461" width="11" bestFit="1" customWidth="1"/>
    <col min="8462" max="8647" width="8.83203125" customWidth="1"/>
    <col min="8648" max="8648" width="60.1640625" bestFit="1" customWidth="1"/>
    <col min="8649" max="8649" width="25.6640625" bestFit="1" customWidth="1"/>
    <col min="8650" max="8650" width="23.5" bestFit="1" customWidth="1"/>
    <col min="8651" max="8651" width="14" bestFit="1" customWidth="1"/>
    <col min="8652" max="8717" width="11" bestFit="1" customWidth="1"/>
    <col min="8718" max="8903" width="8.83203125" customWidth="1"/>
    <col min="8904" max="8904" width="60.1640625" bestFit="1" customWidth="1"/>
    <col min="8905" max="8905" width="25.6640625" bestFit="1" customWidth="1"/>
    <col min="8906" max="8906" width="23.5" bestFit="1" customWidth="1"/>
    <col min="8907" max="8907" width="14" bestFit="1" customWidth="1"/>
    <col min="8908" max="8973" width="11" bestFit="1" customWidth="1"/>
    <col min="8974" max="9159" width="8.83203125" customWidth="1"/>
    <col min="9160" max="9160" width="60.1640625" bestFit="1" customWidth="1"/>
    <col min="9161" max="9161" width="25.6640625" bestFit="1" customWidth="1"/>
    <col min="9162" max="9162" width="23.5" bestFit="1" customWidth="1"/>
    <col min="9163" max="9163" width="14" bestFit="1" customWidth="1"/>
    <col min="9164" max="9229" width="11" bestFit="1" customWidth="1"/>
    <col min="9230" max="9415" width="8.83203125" customWidth="1"/>
    <col min="9416" max="9416" width="60.1640625" bestFit="1" customWidth="1"/>
    <col min="9417" max="9417" width="25.6640625" bestFit="1" customWidth="1"/>
    <col min="9418" max="9418" width="23.5" bestFit="1" customWidth="1"/>
    <col min="9419" max="9419" width="14" bestFit="1" customWidth="1"/>
    <col min="9420" max="9485" width="11" bestFit="1" customWidth="1"/>
    <col min="9486" max="9671" width="8.83203125" customWidth="1"/>
    <col min="9672" max="9672" width="60.1640625" bestFit="1" customWidth="1"/>
    <col min="9673" max="9673" width="25.6640625" bestFit="1" customWidth="1"/>
    <col min="9674" max="9674" width="23.5" bestFit="1" customWidth="1"/>
    <col min="9675" max="9675" width="14" bestFit="1" customWidth="1"/>
    <col min="9676" max="9741" width="11" bestFit="1" customWidth="1"/>
    <col min="9742" max="9927" width="8.83203125" customWidth="1"/>
    <col min="9928" max="9928" width="60.1640625" bestFit="1" customWidth="1"/>
    <col min="9929" max="9929" width="25.6640625" bestFit="1" customWidth="1"/>
    <col min="9930" max="9930" width="23.5" bestFit="1" customWidth="1"/>
    <col min="9931" max="9931" width="14" bestFit="1" customWidth="1"/>
    <col min="9932" max="9997" width="11" bestFit="1" customWidth="1"/>
    <col min="9998" max="10183" width="8.83203125" customWidth="1"/>
    <col min="10184" max="10184" width="60.1640625" bestFit="1" customWidth="1"/>
    <col min="10185" max="10185" width="25.6640625" bestFit="1" customWidth="1"/>
    <col min="10186" max="10186" width="23.5" bestFit="1" customWidth="1"/>
    <col min="10187" max="10187" width="14" bestFit="1" customWidth="1"/>
    <col min="10188" max="10253" width="11" bestFit="1" customWidth="1"/>
    <col min="10254" max="10439" width="8.83203125" customWidth="1"/>
    <col min="10440" max="10440" width="60.1640625" bestFit="1" customWidth="1"/>
    <col min="10441" max="10441" width="25.6640625" bestFit="1" customWidth="1"/>
    <col min="10442" max="10442" width="23.5" bestFit="1" customWidth="1"/>
    <col min="10443" max="10443" width="14" bestFit="1" customWidth="1"/>
    <col min="10444" max="10509" width="11" bestFit="1" customWidth="1"/>
    <col min="10510" max="10695" width="8.83203125" customWidth="1"/>
    <col min="10696" max="10696" width="60.1640625" bestFit="1" customWidth="1"/>
    <col min="10697" max="10697" width="25.6640625" bestFit="1" customWidth="1"/>
    <col min="10698" max="10698" width="23.5" bestFit="1" customWidth="1"/>
    <col min="10699" max="10699" width="14" bestFit="1" customWidth="1"/>
    <col min="10700" max="10765" width="11" bestFit="1" customWidth="1"/>
    <col min="10766" max="10951" width="8.83203125" customWidth="1"/>
    <col min="10952" max="10952" width="60.1640625" bestFit="1" customWidth="1"/>
    <col min="10953" max="10953" width="25.6640625" bestFit="1" customWidth="1"/>
    <col min="10954" max="10954" width="23.5" bestFit="1" customWidth="1"/>
    <col min="10955" max="10955" width="14" bestFit="1" customWidth="1"/>
    <col min="10956" max="11021" width="11" bestFit="1" customWidth="1"/>
    <col min="11022" max="11207" width="8.83203125" customWidth="1"/>
    <col min="11208" max="11208" width="60.1640625" bestFit="1" customWidth="1"/>
    <col min="11209" max="11209" width="25.6640625" bestFit="1" customWidth="1"/>
    <col min="11210" max="11210" width="23.5" bestFit="1" customWidth="1"/>
    <col min="11211" max="11211" width="14" bestFit="1" customWidth="1"/>
    <col min="11212" max="11277" width="11" bestFit="1" customWidth="1"/>
    <col min="11278" max="11463" width="8.83203125" customWidth="1"/>
    <col min="11464" max="11464" width="60.1640625" bestFit="1" customWidth="1"/>
    <col min="11465" max="11465" width="25.6640625" bestFit="1" customWidth="1"/>
    <col min="11466" max="11466" width="23.5" bestFit="1" customWidth="1"/>
    <col min="11467" max="11467" width="14" bestFit="1" customWidth="1"/>
    <col min="11468" max="11533" width="11" bestFit="1" customWidth="1"/>
    <col min="11534" max="11719" width="8.83203125" customWidth="1"/>
    <col min="11720" max="11720" width="60.1640625" bestFit="1" customWidth="1"/>
    <col min="11721" max="11721" width="25.6640625" bestFit="1" customWidth="1"/>
    <col min="11722" max="11722" width="23.5" bestFit="1" customWidth="1"/>
    <col min="11723" max="11723" width="14" bestFit="1" customWidth="1"/>
    <col min="11724" max="11789" width="11" bestFit="1" customWidth="1"/>
    <col min="11790" max="11975" width="8.83203125" customWidth="1"/>
    <col min="11976" max="11976" width="60.1640625" bestFit="1" customWidth="1"/>
    <col min="11977" max="11977" width="25.6640625" bestFit="1" customWidth="1"/>
    <col min="11978" max="11978" width="23.5" bestFit="1" customWidth="1"/>
    <col min="11979" max="11979" width="14" bestFit="1" customWidth="1"/>
    <col min="11980" max="12045" width="11" bestFit="1" customWidth="1"/>
    <col min="12046" max="12231" width="8.83203125" customWidth="1"/>
    <col min="12232" max="12232" width="60.1640625" bestFit="1" customWidth="1"/>
    <col min="12233" max="12233" width="25.6640625" bestFit="1" customWidth="1"/>
    <col min="12234" max="12234" width="23.5" bestFit="1" customWidth="1"/>
    <col min="12235" max="12235" width="14" bestFit="1" customWidth="1"/>
    <col min="12236" max="12301" width="11" bestFit="1" customWidth="1"/>
    <col min="12302" max="12487" width="8.83203125" customWidth="1"/>
    <col min="12488" max="12488" width="60.1640625" bestFit="1" customWidth="1"/>
    <col min="12489" max="12489" width="25.6640625" bestFit="1" customWidth="1"/>
    <col min="12490" max="12490" width="23.5" bestFit="1" customWidth="1"/>
    <col min="12491" max="12491" width="14" bestFit="1" customWidth="1"/>
    <col min="12492" max="12557" width="11" bestFit="1" customWidth="1"/>
    <col min="12558" max="12743" width="8.83203125" customWidth="1"/>
    <col min="12744" max="12744" width="60.1640625" bestFit="1" customWidth="1"/>
    <col min="12745" max="12745" width="25.6640625" bestFit="1" customWidth="1"/>
    <col min="12746" max="12746" width="23.5" bestFit="1" customWidth="1"/>
    <col min="12747" max="12747" width="14" bestFit="1" customWidth="1"/>
    <col min="12748" max="12813" width="11" bestFit="1" customWidth="1"/>
    <col min="12814" max="12999" width="8.83203125" customWidth="1"/>
    <col min="13000" max="13000" width="60.1640625" bestFit="1" customWidth="1"/>
    <col min="13001" max="13001" width="25.6640625" bestFit="1" customWidth="1"/>
    <col min="13002" max="13002" width="23.5" bestFit="1" customWidth="1"/>
    <col min="13003" max="13003" width="14" bestFit="1" customWidth="1"/>
    <col min="13004" max="13069" width="11" bestFit="1" customWidth="1"/>
    <col min="13070" max="13255" width="8.83203125" customWidth="1"/>
    <col min="13256" max="13256" width="60.1640625" bestFit="1" customWidth="1"/>
    <col min="13257" max="13257" width="25.6640625" bestFit="1" customWidth="1"/>
    <col min="13258" max="13258" width="23.5" bestFit="1" customWidth="1"/>
    <col min="13259" max="13259" width="14" bestFit="1" customWidth="1"/>
    <col min="13260" max="13325" width="11" bestFit="1" customWidth="1"/>
    <col min="13326" max="13511" width="8.83203125" customWidth="1"/>
    <col min="13512" max="13512" width="60.1640625" bestFit="1" customWidth="1"/>
    <col min="13513" max="13513" width="25.6640625" bestFit="1" customWidth="1"/>
    <col min="13514" max="13514" width="23.5" bestFit="1" customWidth="1"/>
    <col min="13515" max="13515" width="14" bestFit="1" customWidth="1"/>
    <col min="13516" max="13581" width="11" bestFit="1" customWidth="1"/>
    <col min="13582" max="13767" width="8.83203125" customWidth="1"/>
    <col min="13768" max="13768" width="60.1640625" bestFit="1" customWidth="1"/>
    <col min="13769" max="13769" width="25.6640625" bestFit="1" customWidth="1"/>
    <col min="13770" max="13770" width="23.5" bestFit="1" customWidth="1"/>
    <col min="13771" max="13771" width="14" bestFit="1" customWidth="1"/>
    <col min="13772" max="13837" width="11" bestFit="1" customWidth="1"/>
    <col min="13838" max="14023" width="8.83203125" customWidth="1"/>
    <col min="14024" max="14024" width="60.1640625" bestFit="1" customWidth="1"/>
    <col min="14025" max="14025" width="25.6640625" bestFit="1" customWidth="1"/>
    <col min="14026" max="14026" width="23.5" bestFit="1" customWidth="1"/>
    <col min="14027" max="14027" width="14" bestFit="1" customWidth="1"/>
    <col min="14028" max="14093" width="11" bestFit="1" customWidth="1"/>
    <col min="14094" max="14279" width="8.83203125" customWidth="1"/>
    <col min="14280" max="14280" width="60.1640625" bestFit="1" customWidth="1"/>
    <col min="14281" max="14281" width="25.6640625" bestFit="1" customWidth="1"/>
    <col min="14282" max="14282" width="23.5" bestFit="1" customWidth="1"/>
    <col min="14283" max="14283" width="14" bestFit="1" customWidth="1"/>
    <col min="14284" max="14349" width="11" bestFit="1" customWidth="1"/>
    <col min="14350" max="14535" width="8.83203125" customWidth="1"/>
    <col min="14536" max="14536" width="60.1640625" bestFit="1" customWidth="1"/>
    <col min="14537" max="14537" width="25.6640625" bestFit="1" customWidth="1"/>
    <col min="14538" max="14538" width="23.5" bestFit="1" customWidth="1"/>
    <col min="14539" max="14539" width="14" bestFit="1" customWidth="1"/>
    <col min="14540" max="14605" width="11" bestFit="1" customWidth="1"/>
    <col min="14606" max="14791" width="8.83203125" customWidth="1"/>
    <col min="14792" max="14792" width="60.1640625" bestFit="1" customWidth="1"/>
    <col min="14793" max="14793" width="25.6640625" bestFit="1" customWidth="1"/>
    <col min="14794" max="14794" width="23.5" bestFit="1" customWidth="1"/>
    <col min="14795" max="14795" width="14" bestFit="1" customWidth="1"/>
    <col min="14796" max="14861" width="11" bestFit="1" customWidth="1"/>
    <col min="14862" max="15047" width="8.83203125" customWidth="1"/>
    <col min="15048" max="15048" width="60.1640625" bestFit="1" customWidth="1"/>
    <col min="15049" max="15049" width="25.6640625" bestFit="1" customWidth="1"/>
    <col min="15050" max="15050" width="23.5" bestFit="1" customWidth="1"/>
    <col min="15051" max="15051" width="14" bestFit="1" customWidth="1"/>
    <col min="15052" max="15117" width="11" bestFit="1" customWidth="1"/>
    <col min="15118" max="15303" width="8.83203125" customWidth="1"/>
    <col min="15304" max="15304" width="60.1640625" bestFit="1" customWidth="1"/>
    <col min="15305" max="15305" width="25.6640625" bestFit="1" customWidth="1"/>
    <col min="15306" max="15306" width="23.5" bestFit="1" customWidth="1"/>
    <col min="15307" max="15307" width="14" bestFit="1" customWidth="1"/>
    <col min="15308" max="15373" width="11" bestFit="1" customWidth="1"/>
    <col min="15374" max="15559" width="8.83203125" customWidth="1"/>
    <col min="15560" max="15560" width="60.1640625" bestFit="1" customWidth="1"/>
    <col min="15561" max="15561" width="25.6640625" bestFit="1" customWidth="1"/>
    <col min="15562" max="15562" width="23.5" bestFit="1" customWidth="1"/>
    <col min="15563" max="15563" width="14" bestFit="1" customWidth="1"/>
    <col min="15564" max="15629" width="11" bestFit="1" customWidth="1"/>
    <col min="15630" max="15815" width="8.83203125" customWidth="1"/>
    <col min="15816" max="15816" width="60.1640625" bestFit="1" customWidth="1"/>
    <col min="15817" max="15817" width="25.6640625" bestFit="1" customWidth="1"/>
    <col min="15818" max="15818" width="23.5" bestFit="1" customWidth="1"/>
    <col min="15819" max="15819" width="14" bestFit="1" customWidth="1"/>
    <col min="15820" max="15885" width="11" bestFit="1" customWidth="1"/>
    <col min="15886" max="16071" width="8.83203125" customWidth="1"/>
    <col min="16072" max="16072" width="60.1640625" bestFit="1" customWidth="1"/>
    <col min="16073" max="16073" width="25.6640625" bestFit="1" customWidth="1"/>
    <col min="16074" max="16074" width="23.5" bestFit="1" customWidth="1"/>
    <col min="16075" max="16075" width="14" bestFit="1" customWidth="1"/>
    <col min="16076" max="16141" width="11" bestFit="1" customWidth="1"/>
    <col min="16142" max="16384" width="8.83203125" customWidth="1"/>
  </cols>
  <sheetData>
    <row r="1" spans="1:13" x14ac:dyDescent="0.2">
      <c r="A1" t="s">
        <v>410</v>
      </c>
      <c r="B1" t="s">
        <v>411</v>
      </c>
    </row>
    <row r="2" spans="1:13" x14ac:dyDescent="0.2">
      <c r="A2" t="s">
        <v>412</v>
      </c>
      <c r="B2" s="2">
        <v>46216</v>
      </c>
    </row>
    <row r="4" spans="1:13" x14ac:dyDescent="0.2">
      <c r="A4" t="s">
        <v>413</v>
      </c>
      <c r="B4" t="s">
        <v>414</v>
      </c>
      <c r="C4" t="s">
        <v>415</v>
      </c>
      <c r="D4" t="s">
        <v>416</v>
      </c>
      <c r="E4" t="s">
        <v>417</v>
      </c>
      <c r="F4" t="s">
        <v>418</v>
      </c>
      <c r="G4" t="s">
        <v>419</v>
      </c>
      <c r="H4" t="s">
        <v>420</v>
      </c>
      <c r="I4" t="s">
        <v>421</v>
      </c>
      <c r="J4" t="s">
        <v>422</v>
      </c>
      <c r="K4" t="s">
        <v>423</v>
      </c>
      <c r="L4" t="s">
        <v>424</v>
      </c>
      <c r="M4" t="s">
        <v>425</v>
      </c>
    </row>
    <row r="5" spans="1:13" x14ac:dyDescent="0.2">
      <c r="A5" t="s">
        <v>426</v>
      </c>
      <c r="B5" t="s">
        <v>427</v>
      </c>
      <c r="C5" t="s">
        <v>867</v>
      </c>
      <c r="D5">
        <v>74904</v>
      </c>
      <c r="E5">
        <v>74413</v>
      </c>
      <c r="F5">
        <v>74029</v>
      </c>
      <c r="G5">
        <v>73736</v>
      </c>
      <c r="H5">
        <v>72936</v>
      </c>
      <c r="I5">
        <v>72127</v>
      </c>
      <c r="J5">
        <v>71635</v>
      </c>
      <c r="K5">
        <v>71335</v>
      </c>
      <c r="L5">
        <v>71383</v>
      </c>
      <c r="M5">
        <v>71494</v>
      </c>
    </row>
    <row r="6" spans="1:13" x14ac:dyDescent="0.2">
      <c r="A6" t="s">
        <v>428</v>
      </c>
      <c r="B6" t="s">
        <v>429</v>
      </c>
      <c r="C6" t="s">
        <v>867</v>
      </c>
      <c r="D6">
        <v>339468543</v>
      </c>
      <c r="E6">
        <v>349952708</v>
      </c>
      <c r="F6">
        <v>361339357</v>
      </c>
      <c r="G6">
        <v>372963801</v>
      </c>
      <c r="H6">
        <v>384904376</v>
      </c>
      <c r="I6">
        <v>397031637</v>
      </c>
      <c r="J6">
        <v>409197442</v>
      </c>
      <c r="K6">
        <v>421361159</v>
      </c>
      <c r="L6">
        <v>433621343</v>
      </c>
      <c r="M6">
        <v>446435808</v>
      </c>
    </row>
    <row r="7" spans="1:13" x14ac:dyDescent="0.2">
      <c r="A7" t="s">
        <v>430</v>
      </c>
      <c r="B7" t="s">
        <v>431</v>
      </c>
      <c r="C7" t="s">
        <v>867</v>
      </c>
      <c r="D7">
        <v>17989857</v>
      </c>
      <c r="E7">
        <v>18656626</v>
      </c>
      <c r="F7">
        <v>19353761</v>
      </c>
      <c r="G7">
        <v>20081542</v>
      </c>
      <c r="H7">
        <v>20864851</v>
      </c>
      <c r="I7">
        <v>21495952</v>
      </c>
      <c r="J7">
        <v>21938957</v>
      </c>
      <c r="K7">
        <v>22549839</v>
      </c>
      <c r="L7">
        <v>23333093</v>
      </c>
      <c r="M7">
        <v>24120179</v>
      </c>
    </row>
    <row r="8" spans="1:13" x14ac:dyDescent="0.2">
      <c r="A8" t="s">
        <v>432</v>
      </c>
      <c r="B8" t="s">
        <v>433</v>
      </c>
      <c r="C8" t="s">
        <v>867</v>
      </c>
      <c r="D8">
        <v>228082797</v>
      </c>
      <c r="E8">
        <v>235027948</v>
      </c>
      <c r="F8">
        <v>242104005</v>
      </c>
      <c r="G8">
        <v>249283206</v>
      </c>
      <c r="H8">
        <v>256747586</v>
      </c>
      <c r="I8">
        <v>264518911</v>
      </c>
      <c r="J8">
        <v>272504904</v>
      </c>
      <c r="K8">
        <v>281039233</v>
      </c>
      <c r="L8">
        <v>289941374</v>
      </c>
      <c r="M8">
        <v>298818108</v>
      </c>
    </row>
    <row r="9" spans="1:13" x14ac:dyDescent="0.2">
      <c r="A9" t="s">
        <v>434</v>
      </c>
      <c r="B9" t="s">
        <v>435</v>
      </c>
      <c r="C9" t="s">
        <v>867</v>
      </c>
      <c r="D9">
        <v>15184647</v>
      </c>
      <c r="E9">
        <v>15741446</v>
      </c>
      <c r="F9">
        <v>16308860</v>
      </c>
      <c r="G9">
        <v>16893364</v>
      </c>
      <c r="H9">
        <v>17479836</v>
      </c>
      <c r="I9">
        <v>18076361</v>
      </c>
      <c r="J9">
        <v>18697266</v>
      </c>
      <c r="K9">
        <v>19336436</v>
      </c>
      <c r="L9">
        <v>20002446</v>
      </c>
      <c r="M9">
        <v>20693794</v>
      </c>
    </row>
    <row r="10" spans="1:13" x14ac:dyDescent="0.2">
      <c r="A10" t="s">
        <v>436</v>
      </c>
      <c r="B10" t="s">
        <v>437</v>
      </c>
      <c r="C10" t="s">
        <v>867</v>
      </c>
      <c r="D10">
        <v>1841574</v>
      </c>
      <c r="E10">
        <v>1811725</v>
      </c>
      <c r="F10">
        <v>1779914</v>
      </c>
      <c r="G10">
        <v>1746300</v>
      </c>
      <c r="H10">
        <v>1712060</v>
      </c>
      <c r="I10">
        <v>1677267</v>
      </c>
      <c r="J10">
        <v>1642625</v>
      </c>
      <c r="K10">
        <v>1607515</v>
      </c>
      <c r="L10">
        <v>1574525</v>
      </c>
      <c r="M10">
        <v>1545359</v>
      </c>
    </row>
    <row r="11" spans="1:13" x14ac:dyDescent="0.2">
      <c r="A11" t="s">
        <v>438</v>
      </c>
      <c r="B11" t="s">
        <v>439</v>
      </c>
      <c r="C11" t="s">
        <v>867</v>
      </c>
      <c r="D11">
        <v>51890</v>
      </c>
      <c r="E11">
        <v>53144</v>
      </c>
      <c r="F11">
        <v>54337</v>
      </c>
      <c r="G11">
        <v>55411</v>
      </c>
      <c r="H11">
        <v>56010</v>
      </c>
      <c r="I11">
        <v>56705</v>
      </c>
      <c r="J11">
        <v>57686</v>
      </c>
      <c r="K11">
        <v>58486</v>
      </c>
      <c r="L11">
        <v>59134</v>
      </c>
      <c r="M11">
        <v>59541</v>
      </c>
    </row>
    <row r="12" spans="1:13" x14ac:dyDescent="0.2">
      <c r="A12" t="s">
        <v>440</v>
      </c>
      <c r="B12" t="s">
        <v>441</v>
      </c>
      <c r="C12" t="s">
        <v>867</v>
      </c>
      <c r="D12">
        <v>259948218</v>
      </c>
      <c r="E12">
        <v>265154282</v>
      </c>
      <c r="F12">
        <v>269777484</v>
      </c>
      <c r="G12">
        <v>275101711</v>
      </c>
      <c r="H12">
        <v>281455424</v>
      </c>
      <c r="I12">
        <v>286266742</v>
      </c>
      <c r="J12">
        <v>294283776</v>
      </c>
      <c r="K12">
        <v>302530294</v>
      </c>
      <c r="L12">
        <v>310517699</v>
      </c>
      <c r="M12">
        <v>318560634</v>
      </c>
    </row>
    <row r="13" spans="1:13" x14ac:dyDescent="0.2">
      <c r="A13" t="s">
        <v>332</v>
      </c>
      <c r="B13" t="s">
        <v>333</v>
      </c>
      <c r="C13" t="s">
        <v>867</v>
      </c>
      <c r="D13">
        <v>7300309</v>
      </c>
      <c r="E13">
        <v>7540665</v>
      </c>
      <c r="F13">
        <v>7644643</v>
      </c>
      <c r="G13">
        <v>7728787</v>
      </c>
      <c r="H13">
        <v>7695346</v>
      </c>
      <c r="I13">
        <v>7839407</v>
      </c>
      <c r="J13">
        <v>8249860</v>
      </c>
      <c r="K13">
        <v>8593051</v>
      </c>
      <c r="L13">
        <v>9022258</v>
      </c>
      <c r="M13">
        <v>9467296</v>
      </c>
    </row>
    <row r="14" spans="1:13" x14ac:dyDescent="0.2">
      <c r="A14" t="s">
        <v>442</v>
      </c>
      <c r="B14" t="s">
        <v>443</v>
      </c>
      <c r="C14" t="s">
        <v>867</v>
      </c>
      <c r="D14">
        <v>28132899</v>
      </c>
      <c r="E14">
        <v>28395268</v>
      </c>
      <c r="F14">
        <v>28651937</v>
      </c>
      <c r="G14">
        <v>28904522</v>
      </c>
      <c r="H14">
        <v>29152195</v>
      </c>
      <c r="I14">
        <v>29381676</v>
      </c>
      <c r="J14">
        <v>29612843</v>
      </c>
      <c r="K14">
        <v>29876069</v>
      </c>
      <c r="L14">
        <v>30150350</v>
      </c>
      <c r="M14">
        <v>30422322</v>
      </c>
    </row>
    <row r="15" spans="1:13" x14ac:dyDescent="0.2">
      <c r="A15" t="s">
        <v>444</v>
      </c>
      <c r="B15" t="s">
        <v>445</v>
      </c>
      <c r="C15" t="s">
        <v>867</v>
      </c>
      <c r="D15">
        <v>2050742</v>
      </c>
      <c r="E15">
        <v>2029303</v>
      </c>
      <c r="F15">
        <v>2014073</v>
      </c>
      <c r="G15">
        <v>2004252</v>
      </c>
      <c r="H15">
        <v>1998643</v>
      </c>
      <c r="I15">
        <v>1995138</v>
      </c>
      <c r="J15">
        <v>1995964</v>
      </c>
      <c r="K15">
        <v>1993303</v>
      </c>
      <c r="L15">
        <v>2034270</v>
      </c>
      <c r="M15">
        <v>2054803</v>
      </c>
    </row>
    <row r="16" spans="1:13" x14ac:dyDescent="0.2">
      <c r="A16" t="s">
        <v>446</v>
      </c>
      <c r="B16" t="s">
        <v>447</v>
      </c>
      <c r="C16" t="s">
        <v>867</v>
      </c>
      <c r="D16">
        <v>33011</v>
      </c>
      <c r="E16">
        <v>32681</v>
      </c>
      <c r="F16">
        <v>32331</v>
      </c>
      <c r="G16">
        <v>31953</v>
      </c>
      <c r="H16">
        <v>31828</v>
      </c>
      <c r="I16">
        <v>31722</v>
      </c>
      <c r="J16">
        <v>31340</v>
      </c>
      <c r="K16">
        <v>30859</v>
      </c>
      <c r="L16">
        <v>30373</v>
      </c>
      <c r="M16">
        <v>29971</v>
      </c>
    </row>
    <row r="17" spans="1:13" x14ac:dyDescent="0.2">
      <c r="A17" t="s">
        <v>448</v>
      </c>
      <c r="B17" t="s">
        <v>449</v>
      </c>
      <c r="C17" t="s">
        <v>867</v>
      </c>
      <c r="D17">
        <v>63799</v>
      </c>
      <c r="E17">
        <v>64229</v>
      </c>
      <c r="F17">
        <v>64632</v>
      </c>
      <c r="G17">
        <v>64978</v>
      </c>
      <c r="H17">
        <v>65239</v>
      </c>
      <c r="I17">
        <v>65455</v>
      </c>
      <c r="J17">
        <v>65636</v>
      </c>
      <c r="K17">
        <v>65829</v>
      </c>
      <c r="L17">
        <v>66030</v>
      </c>
      <c r="M17">
        <v>66129</v>
      </c>
    </row>
    <row r="18" spans="1:13" x14ac:dyDescent="0.2">
      <c r="A18" t="s">
        <v>357</v>
      </c>
      <c r="B18" t="s">
        <v>359</v>
      </c>
      <c r="C18" t="s">
        <v>867</v>
      </c>
      <c r="D18">
        <v>15956700</v>
      </c>
      <c r="E18">
        <v>16174820</v>
      </c>
      <c r="F18">
        <v>16375200</v>
      </c>
      <c r="G18">
        <v>16567398</v>
      </c>
      <c r="H18">
        <v>16698064</v>
      </c>
      <c r="I18">
        <v>16651179</v>
      </c>
      <c r="J18">
        <v>16831361</v>
      </c>
      <c r="K18">
        <v>17218495</v>
      </c>
      <c r="L18">
        <v>17520772</v>
      </c>
      <c r="M18">
        <v>17736013</v>
      </c>
    </row>
    <row r="19" spans="1:13" x14ac:dyDescent="0.2">
      <c r="A19" t="s">
        <v>23</v>
      </c>
      <c r="B19" t="s">
        <v>26</v>
      </c>
      <c r="C19" t="s">
        <v>867</v>
      </c>
      <c r="D19">
        <v>5865273</v>
      </c>
      <c r="E19">
        <v>5892111</v>
      </c>
      <c r="F19">
        <v>5906127</v>
      </c>
      <c r="G19">
        <v>5917299</v>
      </c>
      <c r="H19">
        <v>5924102</v>
      </c>
      <c r="I19">
        <v>5926631</v>
      </c>
      <c r="J19">
        <v>5955333</v>
      </c>
      <c r="K19">
        <v>5984348</v>
      </c>
      <c r="L19">
        <v>5980887</v>
      </c>
      <c r="M19">
        <v>5963025</v>
      </c>
    </row>
    <row r="20" spans="1:13" x14ac:dyDescent="0.2">
      <c r="A20" t="s">
        <v>450</v>
      </c>
      <c r="B20" t="s">
        <v>451</v>
      </c>
      <c r="C20" t="s">
        <v>867</v>
      </c>
      <c r="D20">
        <v>6858684</v>
      </c>
      <c r="E20">
        <v>6892389</v>
      </c>
      <c r="F20">
        <v>6944840</v>
      </c>
      <c r="G20">
        <v>6999514</v>
      </c>
      <c r="H20">
        <v>7037597</v>
      </c>
      <c r="I20">
        <v>7066823</v>
      </c>
      <c r="J20">
        <v>7066358</v>
      </c>
      <c r="K20">
        <v>7071725</v>
      </c>
      <c r="L20">
        <v>7104496</v>
      </c>
      <c r="M20">
        <v>7135101</v>
      </c>
    </row>
    <row r="21" spans="1:13" x14ac:dyDescent="0.2">
      <c r="A21" t="s">
        <v>452</v>
      </c>
      <c r="B21" t="s">
        <v>453</v>
      </c>
      <c r="C21" t="s">
        <v>867</v>
      </c>
      <c r="D21">
        <v>5621315</v>
      </c>
      <c r="E21">
        <v>5722831</v>
      </c>
      <c r="F21">
        <v>5915241</v>
      </c>
      <c r="G21">
        <v>6158467</v>
      </c>
      <c r="H21">
        <v>6385254</v>
      </c>
      <c r="I21">
        <v>6614858</v>
      </c>
      <c r="J21">
        <v>6863730</v>
      </c>
      <c r="K21">
        <v>7135621</v>
      </c>
      <c r="L21">
        <v>7412918</v>
      </c>
      <c r="M21">
        <v>7694426</v>
      </c>
    </row>
    <row r="22" spans="1:13" x14ac:dyDescent="0.2">
      <c r="A22" t="s">
        <v>35</v>
      </c>
      <c r="B22" t="s">
        <v>37</v>
      </c>
      <c r="C22" t="s">
        <v>867</v>
      </c>
      <c r="D22">
        <v>7326984</v>
      </c>
      <c r="E22">
        <v>7330451</v>
      </c>
      <c r="F22">
        <v>7341283</v>
      </c>
      <c r="G22">
        <v>7362072</v>
      </c>
      <c r="H22">
        <v>7381890</v>
      </c>
      <c r="I22">
        <v>7399545</v>
      </c>
      <c r="J22">
        <v>7440659</v>
      </c>
      <c r="K22">
        <v>7487803</v>
      </c>
      <c r="L22">
        <v>7523789</v>
      </c>
      <c r="M22">
        <v>7563359</v>
      </c>
    </row>
    <row r="23" spans="1:13" x14ac:dyDescent="0.2">
      <c r="A23" t="s">
        <v>454</v>
      </c>
      <c r="B23" t="s">
        <v>455</v>
      </c>
      <c r="C23" t="s">
        <v>867</v>
      </c>
      <c r="D23">
        <v>6276666</v>
      </c>
      <c r="E23">
        <v>6473084</v>
      </c>
      <c r="F23">
        <v>6675407</v>
      </c>
      <c r="G23">
        <v>6883869</v>
      </c>
      <c r="H23">
        <v>7097998</v>
      </c>
      <c r="I23">
        <v>7317569</v>
      </c>
      <c r="J23">
        <v>7542523</v>
      </c>
      <c r="K23">
        <v>7771772</v>
      </c>
      <c r="L23">
        <v>8002133</v>
      </c>
      <c r="M23">
        <v>8234974</v>
      </c>
    </row>
    <row r="24" spans="1:13" x14ac:dyDescent="0.2">
      <c r="A24" t="s">
        <v>456</v>
      </c>
      <c r="B24" t="s">
        <v>457</v>
      </c>
      <c r="C24" t="s">
        <v>867</v>
      </c>
      <c r="D24">
        <v>10072902</v>
      </c>
      <c r="E24">
        <v>10408352</v>
      </c>
      <c r="F24">
        <v>10748639</v>
      </c>
      <c r="G24">
        <v>11096847</v>
      </c>
      <c r="H24">
        <v>11466274</v>
      </c>
      <c r="I24">
        <v>11856355</v>
      </c>
      <c r="J24">
        <v>12253251</v>
      </c>
      <c r="K24">
        <v>12659120</v>
      </c>
      <c r="L24">
        <v>13080453</v>
      </c>
      <c r="M24">
        <v>13516880</v>
      </c>
    </row>
    <row r="25" spans="1:13" x14ac:dyDescent="0.2">
      <c r="A25" t="s">
        <v>458</v>
      </c>
      <c r="B25" t="s">
        <v>459</v>
      </c>
      <c r="C25" t="s">
        <v>867</v>
      </c>
      <c r="D25">
        <v>103501312</v>
      </c>
      <c r="E25">
        <v>104877348</v>
      </c>
      <c r="F25">
        <v>105958585</v>
      </c>
      <c r="G25">
        <v>106964718</v>
      </c>
      <c r="H25">
        <v>107938077</v>
      </c>
      <c r="I25">
        <v>108897252</v>
      </c>
      <c r="J25">
        <v>110260679</v>
      </c>
      <c r="K25">
        <v>111999786</v>
      </c>
      <c r="L25">
        <v>113705228</v>
      </c>
      <c r="M25">
        <v>115401404</v>
      </c>
    </row>
    <row r="26" spans="1:13" x14ac:dyDescent="0.2">
      <c r="A26" t="s">
        <v>45</v>
      </c>
      <c r="B26" t="s">
        <v>47</v>
      </c>
      <c r="C26" t="s">
        <v>867</v>
      </c>
      <c r="D26">
        <v>4508700</v>
      </c>
      <c r="E26">
        <v>4419454</v>
      </c>
      <c r="F26">
        <v>4330344</v>
      </c>
      <c r="G26">
        <v>4243540</v>
      </c>
      <c r="H26">
        <v>4184680</v>
      </c>
      <c r="I26">
        <v>4152537</v>
      </c>
      <c r="J26">
        <v>4122370</v>
      </c>
      <c r="K26">
        <v>4101928</v>
      </c>
      <c r="L26">
        <v>4089993</v>
      </c>
      <c r="M26">
        <v>4076441</v>
      </c>
    </row>
    <row r="27" spans="1:13" x14ac:dyDescent="0.2">
      <c r="A27" t="s">
        <v>460</v>
      </c>
      <c r="B27" t="s">
        <v>461</v>
      </c>
      <c r="C27" t="s">
        <v>867</v>
      </c>
      <c r="D27">
        <v>1101597</v>
      </c>
      <c r="E27">
        <v>1164995</v>
      </c>
      <c r="F27">
        <v>1163156</v>
      </c>
      <c r="G27">
        <v>1140935</v>
      </c>
      <c r="H27">
        <v>1131043</v>
      </c>
      <c r="I27">
        <v>1162042</v>
      </c>
      <c r="J27">
        <v>1180449</v>
      </c>
      <c r="K27">
        <v>1220172</v>
      </c>
      <c r="L27">
        <v>1230105</v>
      </c>
      <c r="M27">
        <v>1241302</v>
      </c>
    </row>
    <row r="28" spans="1:13" x14ac:dyDescent="0.2">
      <c r="A28" t="s">
        <v>462</v>
      </c>
      <c r="B28" t="s">
        <v>463</v>
      </c>
      <c r="C28" t="s">
        <v>867</v>
      </c>
      <c r="D28">
        <v>266626</v>
      </c>
      <c r="E28">
        <v>269102</v>
      </c>
      <c r="F28">
        <v>271443</v>
      </c>
      <c r="G28">
        <v>273612</v>
      </c>
      <c r="H28">
        <v>275270</v>
      </c>
      <c r="I28">
        <v>276548</v>
      </c>
      <c r="J28">
        <v>278263</v>
      </c>
      <c r="K28">
        <v>280302</v>
      </c>
      <c r="L28">
        <v>282148</v>
      </c>
      <c r="M28">
        <v>283562</v>
      </c>
    </row>
    <row r="29" spans="1:13" x14ac:dyDescent="0.2">
      <c r="A29" t="s">
        <v>464</v>
      </c>
      <c r="B29" t="s">
        <v>465</v>
      </c>
      <c r="C29" t="s">
        <v>867</v>
      </c>
      <c r="D29">
        <v>2365556</v>
      </c>
      <c r="E29">
        <v>2321170</v>
      </c>
      <c r="F29">
        <v>2276239</v>
      </c>
      <c r="G29">
        <v>2230475</v>
      </c>
      <c r="H29">
        <v>2183969</v>
      </c>
      <c r="I29">
        <v>2136458</v>
      </c>
      <c r="J29">
        <v>2099794</v>
      </c>
      <c r="K29">
        <v>2074682</v>
      </c>
      <c r="L29">
        <v>2048283</v>
      </c>
      <c r="M29">
        <v>2018817</v>
      </c>
    </row>
    <row r="30" spans="1:13" x14ac:dyDescent="0.2">
      <c r="A30" t="s">
        <v>466</v>
      </c>
      <c r="B30" t="s">
        <v>467</v>
      </c>
      <c r="C30" t="s">
        <v>867</v>
      </c>
      <c r="D30">
        <v>6533095</v>
      </c>
      <c r="E30">
        <v>6478331</v>
      </c>
      <c r="F30">
        <v>6425895</v>
      </c>
      <c r="G30">
        <v>6372902</v>
      </c>
      <c r="H30">
        <v>6305149</v>
      </c>
      <c r="I30">
        <v>6219444</v>
      </c>
      <c r="J30">
        <v>6139746</v>
      </c>
      <c r="K30">
        <v>6081792</v>
      </c>
      <c r="L30">
        <v>6030842</v>
      </c>
      <c r="M30">
        <v>5980999</v>
      </c>
    </row>
    <row r="31" spans="1:13" x14ac:dyDescent="0.2">
      <c r="A31" t="s">
        <v>468</v>
      </c>
      <c r="B31" t="s">
        <v>469</v>
      </c>
      <c r="C31" t="s">
        <v>867</v>
      </c>
      <c r="D31">
        <v>236209</v>
      </c>
      <c r="E31">
        <v>244024</v>
      </c>
      <c r="F31">
        <v>250318</v>
      </c>
      <c r="G31">
        <v>255451</v>
      </c>
      <c r="H31">
        <v>260358</v>
      </c>
      <c r="I31">
        <v>265219</v>
      </c>
      <c r="J31">
        <v>272573</v>
      </c>
      <c r="K31">
        <v>280235</v>
      </c>
      <c r="L31">
        <v>285268</v>
      </c>
      <c r="M31">
        <v>289711</v>
      </c>
    </row>
    <row r="32" spans="1:13" x14ac:dyDescent="0.2">
      <c r="A32" t="s">
        <v>470</v>
      </c>
      <c r="B32" t="s">
        <v>471</v>
      </c>
      <c r="C32" t="s">
        <v>867</v>
      </c>
      <c r="D32">
        <v>43331</v>
      </c>
      <c r="E32">
        <v>43177</v>
      </c>
      <c r="F32">
        <v>43124</v>
      </c>
      <c r="G32">
        <v>43047</v>
      </c>
      <c r="H32">
        <v>42935</v>
      </c>
      <c r="I32">
        <v>42812</v>
      </c>
      <c r="J32">
        <v>42560</v>
      </c>
      <c r="K32">
        <v>42190</v>
      </c>
      <c r="L32">
        <v>41787</v>
      </c>
      <c r="M32">
        <v>41340</v>
      </c>
    </row>
    <row r="33" spans="1:13" x14ac:dyDescent="0.2">
      <c r="A33" t="s">
        <v>472</v>
      </c>
      <c r="B33" t="s">
        <v>473</v>
      </c>
      <c r="C33" t="s">
        <v>867</v>
      </c>
      <c r="D33">
        <v>6945218</v>
      </c>
      <c r="E33">
        <v>7081896</v>
      </c>
      <c r="F33">
        <v>7217995</v>
      </c>
      <c r="G33">
        <v>7353733</v>
      </c>
      <c r="H33">
        <v>7482810</v>
      </c>
      <c r="I33">
        <v>7602848</v>
      </c>
      <c r="J33">
        <v>7732083</v>
      </c>
      <c r="K33">
        <v>7873868</v>
      </c>
      <c r="L33">
        <v>8015521</v>
      </c>
      <c r="M33">
        <v>8155505</v>
      </c>
    </row>
    <row r="34" spans="1:13" x14ac:dyDescent="0.2">
      <c r="A34" t="s">
        <v>474</v>
      </c>
      <c r="B34" t="s">
        <v>475</v>
      </c>
      <c r="C34" t="s">
        <v>867</v>
      </c>
      <c r="D34">
        <v>141674834</v>
      </c>
      <c r="E34">
        <v>142778508</v>
      </c>
      <c r="F34">
        <v>143697195</v>
      </c>
      <c r="G34">
        <v>144528231</v>
      </c>
      <c r="H34">
        <v>145321093</v>
      </c>
      <c r="I34">
        <v>145885274</v>
      </c>
      <c r="J34">
        <v>146259149</v>
      </c>
      <c r="K34">
        <v>146595887</v>
      </c>
      <c r="L34">
        <v>146884644</v>
      </c>
      <c r="M34">
        <v>147123684</v>
      </c>
    </row>
    <row r="35" spans="1:13" x14ac:dyDescent="0.2">
      <c r="A35" t="s">
        <v>476</v>
      </c>
      <c r="B35" t="s">
        <v>477</v>
      </c>
      <c r="C35" t="s">
        <v>867</v>
      </c>
      <c r="D35">
        <v>189813</v>
      </c>
      <c r="E35">
        <v>190027</v>
      </c>
      <c r="F35">
        <v>189983</v>
      </c>
      <c r="G35">
        <v>189714</v>
      </c>
      <c r="H35">
        <v>189210</v>
      </c>
      <c r="I35">
        <v>188580</v>
      </c>
      <c r="J35">
        <v>187955</v>
      </c>
      <c r="K35">
        <v>187527</v>
      </c>
      <c r="L35">
        <v>187017</v>
      </c>
      <c r="M35">
        <v>186107</v>
      </c>
    </row>
    <row r="36" spans="1:13" x14ac:dyDescent="0.2">
      <c r="A36" t="s">
        <v>367</v>
      </c>
      <c r="B36" t="s">
        <v>369</v>
      </c>
      <c r="C36" t="s">
        <v>867</v>
      </c>
      <c r="D36">
        <v>309815</v>
      </c>
      <c r="E36">
        <v>314193</v>
      </c>
      <c r="F36">
        <v>318285</v>
      </c>
      <c r="G36">
        <v>322116</v>
      </c>
      <c r="H36">
        <v>325652</v>
      </c>
      <c r="I36">
        <v>328573</v>
      </c>
      <c r="J36">
        <v>330673</v>
      </c>
      <c r="K36">
        <v>332575</v>
      </c>
      <c r="L36">
        <v>334579</v>
      </c>
      <c r="M36">
        <v>336390</v>
      </c>
    </row>
    <row r="37" spans="1:13" x14ac:dyDescent="0.2">
      <c r="A37" t="s">
        <v>478</v>
      </c>
      <c r="B37" t="s">
        <v>479</v>
      </c>
      <c r="C37" t="s">
        <v>867</v>
      </c>
      <c r="D37">
        <v>506861</v>
      </c>
      <c r="E37">
        <v>515542</v>
      </c>
      <c r="F37">
        <v>525229</v>
      </c>
      <c r="G37">
        <v>534677</v>
      </c>
      <c r="H37">
        <v>543690</v>
      </c>
      <c r="I37">
        <v>552139</v>
      </c>
      <c r="J37">
        <v>560035</v>
      </c>
      <c r="K37">
        <v>567533</v>
      </c>
      <c r="L37">
        <v>574618</v>
      </c>
      <c r="M37">
        <v>581670</v>
      </c>
    </row>
    <row r="38" spans="1:13" x14ac:dyDescent="0.2">
      <c r="A38" t="s">
        <v>365</v>
      </c>
      <c r="B38" t="s">
        <v>366</v>
      </c>
      <c r="C38" t="s">
        <v>867</v>
      </c>
      <c r="D38">
        <v>1389470</v>
      </c>
      <c r="E38">
        <v>1413252</v>
      </c>
      <c r="F38">
        <v>1438946</v>
      </c>
      <c r="G38">
        <v>1466523</v>
      </c>
      <c r="H38">
        <v>1496080</v>
      </c>
      <c r="I38">
        <v>1526008</v>
      </c>
      <c r="J38">
        <v>1554129</v>
      </c>
      <c r="K38">
        <v>1581133</v>
      </c>
      <c r="L38">
        <v>1609356</v>
      </c>
      <c r="M38">
        <v>1638744</v>
      </c>
    </row>
    <row r="39" spans="1:13" x14ac:dyDescent="0.2">
      <c r="A39" t="s">
        <v>480</v>
      </c>
      <c r="B39" t="s">
        <v>481</v>
      </c>
      <c r="C39" t="s">
        <v>867</v>
      </c>
      <c r="D39">
        <v>2308218</v>
      </c>
      <c r="E39">
        <v>2342942</v>
      </c>
      <c r="F39">
        <v>2380318</v>
      </c>
      <c r="G39">
        <v>2412586</v>
      </c>
      <c r="H39">
        <v>2457416</v>
      </c>
      <c r="I39">
        <v>2493423</v>
      </c>
      <c r="J39">
        <v>2479741</v>
      </c>
      <c r="K39">
        <v>2511201</v>
      </c>
      <c r="L39">
        <v>2603806</v>
      </c>
      <c r="M39">
        <v>2708090</v>
      </c>
    </row>
    <row r="40" spans="1:13" x14ac:dyDescent="0.2">
      <c r="A40" t="s">
        <v>482</v>
      </c>
      <c r="B40" t="s">
        <v>483</v>
      </c>
      <c r="C40" t="s">
        <v>867</v>
      </c>
      <c r="D40">
        <v>24335145</v>
      </c>
      <c r="E40">
        <v>24510756</v>
      </c>
      <c r="F40">
        <v>24759072</v>
      </c>
      <c r="G40">
        <v>25010539</v>
      </c>
      <c r="H40">
        <v>25151490</v>
      </c>
      <c r="I40">
        <v>25152138</v>
      </c>
      <c r="J40">
        <v>25516755</v>
      </c>
      <c r="K40">
        <v>26167008</v>
      </c>
      <c r="L40">
        <v>26857274</v>
      </c>
      <c r="M40">
        <v>26973329</v>
      </c>
    </row>
    <row r="41" spans="1:13" x14ac:dyDescent="0.2">
      <c r="A41" t="s">
        <v>484</v>
      </c>
      <c r="B41" t="s">
        <v>485</v>
      </c>
      <c r="C41" t="s">
        <v>867</v>
      </c>
      <c r="D41">
        <v>69243569</v>
      </c>
      <c r="E41">
        <v>68480423</v>
      </c>
      <c r="F41">
        <v>67752682</v>
      </c>
      <c r="G41">
        <v>67070277</v>
      </c>
      <c r="H41">
        <v>66154313</v>
      </c>
      <c r="I41">
        <v>65153602</v>
      </c>
      <c r="J41">
        <v>64866760</v>
      </c>
      <c r="K41">
        <v>64772741</v>
      </c>
      <c r="L41">
        <v>64517733</v>
      </c>
      <c r="M41">
        <v>64194910</v>
      </c>
    </row>
    <row r="42" spans="1:13" x14ac:dyDescent="0.2">
      <c r="A42" t="s">
        <v>313</v>
      </c>
      <c r="B42" t="s">
        <v>315</v>
      </c>
      <c r="C42" t="s">
        <v>867</v>
      </c>
      <c r="D42">
        <v>5617272</v>
      </c>
      <c r="E42">
        <v>5651831</v>
      </c>
      <c r="F42">
        <v>5672674</v>
      </c>
      <c r="G42">
        <v>5692838</v>
      </c>
      <c r="H42">
        <v>5718170</v>
      </c>
      <c r="I42">
        <v>5744388</v>
      </c>
      <c r="J42">
        <v>5767505</v>
      </c>
      <c r="K42">
        <v>5811301</v>
      </c>
      <c r="L42">
        <v>5856342</v>
      </c>
      <c r="M42">
        <v>5881391</v>
      </c>
    </row>
    <row r="43" spans="1:13" x14ac:dyDescent="0.2">
      <c r="A43" t="s">
        <v>486</v>
      </c>
      <c r="B43" t="s">
        <v>487</v>
      </c>
      <c r="C43" t="s">
        <v>867</v>
      </c>
      <c r="D43">
        <v>109768</v>
      </c>
      <c r="E43">
        <v>109603</v>
      </c>
      <c r="F43">
        <v>109637</v>
      </c>
      <c r="G43">
        <v>109858</v>
      </c>
      <c r="H43">
        <v>110031</v>
      </c>
      <c r="I43">
        <v>110217</v>
      </c>
      <c r="J43">
        <v>110438</v>
      </c>
      <c r="K43">
        <v>110574</v>
      </c>
      <c r="L43">
        <v>110570</v>
      </c>
      <c r="M43">
        <v>110433</v>
      </c>
    </row>
    <row r="44" spans="1:13" x14ac:dyDescent="0.2">
      <c r="A44" t="s">
        <v>488</v>
      </c>
      <c r="B44" t="s">
        <v>489</v>
      </c>
      <c r="C44" t="s">
        <v>867</v>
      </c>
      <c r="D44">
        <v>12567064</v>
      </c>
      <c r="E44">
        <v>12777948</v>
      </c>
      <c r="F44">
        <v>13022716</v>
      </c>
      <c r="G44">
        <v>13240877</v>
      </c>
      <c r="H44">
        <v>13358054</v>
      </c>
      <c r="I44">
        <v>13414555</v>
      </c>
      <c r="J44">
        <v>13480325</v>
      </c>
      <c r="K44">
        <v>13549330</v>
      </c>
      <c r="L44">
        <v>13617680</v>
      </c>
      <c r="M44">
        <v>13676187</v>
      </c>
    </row>
    <row r="45" spans="1:13" x14ac:dyDescent="0.2">
      <c r="A45" t="s">
        <v>374</v>
      </c>
      <c r="B45" t="s">
        <v>376</v>
      </c>
      <c r="C45" t="s">
        <v>867</v>
      </c>
      <c r="D45">
        <v>988168271</v>
      </c>
      <c r="E45">
        <v>986648065</v>
      </c>
      <c r="F45">
        <v>984110714</v>
      </c>
      <c r="G45">
        <v>981777589</v>
      </c>
      <c r="H45">
        <v>979302341</v>
      </c>
      <c r="I45">
        <v>977528322</v>
      </c>
      <c r="J45">
        <v>975760249</v>
      </c>
      <c r="K45">
        <v>974720366</v>
      </c>
      <c r="L45">
        <v>976798955</v>
      </c>
      <c r="M45">
        <v>980126399</v>
      </c>
    </row>
    <row r="46" spans="1:13" x14ac:dyDescent="0.2">
      <c r="A46" t="s">
        <v>490</v>
      </c>
      <c r="B46" t="s">
        <v>491</v>
      </c>
      <c r="C46" t="s">
        <v>867</v>
      </c>
      <c r="D46">
        <v>14334538</v>
      </c>
      <c r="E46">
        <v>14732523</v>
      </c>
      <c r="F46">
        <v>15142605</v>
      </c>
      <c r="G46">
        <v>15566410</v>
      </c>
      <c r="H46">
        <v>15996982</v>
      </c>
      <c r="I46">
        <v>16453786</v>
      </c>
      <c r="J46">
        <v>16961781</v>
      </c>
      <c r="K46">
        <v>17501177</v>
      </c>
      <c r="L46">
        <v>18049122</v>
      </c>
      <c r="M46">
        <v>18609973</v>
      </c>
    </row>
    <row r="47" spans="1:13" x14ac:dyDescent="0.2">
      <c r="A47" t="s">
        <v>492</v>
      </c>
      <c r="B47" t="s">
        <v>493</v>
      </c>
      <c r="C47" t="s">
        <v>867</v>
      </c>
      <c r="D47">
        <v>12696542</v>
      </c>
      <c r="E47">
        <v>13081170</v>
      </c>
      <c r="F47">
        <v>13472748</v>
      </c>
      <c r="G47">
        <v>13893673</v>
      </c>
      <c r="H47">
        <v>14331770</v>
      </c>
      <c r="I47">
        <v>14781620</v>
      </c>
      <c r="J47">
        <v>15247384</v>
      </c>
      <c r="K47">
        <v>15736799</v>
      </c>
      <c r="L47">
        <v>16240266</v>
      </c>
      <c r="M47">
        <v>16751853</v>
      </c>
    </row>
    <row r="48" spans="1:13" x14ac:dyDescent="0.2">
      <c r="A48" t="s">
        <v>494</v>
      </c>
      <c r="B48" t="s">
        <v>495</v>
      </c>
      <c r="C48" t="s">
        <v>867</v>
      </c>
      <c r="D48">
        <v>42791701</v>
      </c>
      <c r="E48">
        <v>44476226</v>
      </c>
      <c r="F48">
        <v>45956383</v>
      </c>
      <c r="G48">
        <v>47337200</v>
      </c>
      <c r="H48">
        <v>48821791</v>
      </c>
      <c r="I48">
        <v>50399447</v>
      </c>
      <c r="J48">
        <v>52040020</v>
      </c>
      <c r="K48">
        <v>53787049</v>
      </c>
      <c r="L48">
        <v>55612277</v>
      </c>
      <c r="M48">
        <v>57506566</v>
      </c>
    </row>
    <row r="49" spans="1:13" x14ac:dyDescent="0.2">
      <c r="A49" t="s">
        <v>496</v>
      </c>
      <c r="B49" t="s">
        <v>497</v>
      </c>
      <c r="C49" t="s">
        <v>867</v>
      </c>
      <c r="D49">
        <v>2886968</v>
      </c>
      <c r="E49">
        <v>2955363</v>
      </c>
      <c r="F49">
        <v>3029269</v>
      </c>
      <c r="G49">
        <v>3107706</v>
      </c>
      <c r="H49">
        <v>3191340</v>
      </c>
      <c r="I49">
        <v>3279518</v>
      </c>
      <c r="J49">
        <v>3373244</v>
      </c>
      <c r="K49">
        <v>3474886</v>
      </c>
      <c r="L49">
        <v>3582468</v>
      </c>
      <c r="M49">
        <v>3695842</v>
      </c>
    </row>
    <row r="50" spans="1:13" x14ac:dyDescent="0.2">
      <c r="A50" t="s">
        <v>498</v>
      </c>
      <c r="B50" t="s">
        <v>499</v>
      </c>
      <c r="C50" t="s">
        <v>867</v>
      </c>
      <c r="D50">
        <v>32587468</v>
      </c>
      <c r="E50">
        <v>33230636</v>
      </c>
      <c r="F50">
        <v>34024305</v>
      </c>
      <c r="G50">
        <v>34779344</v>
      </c>
      <c r="H50">
        <v>35375771</v>
      </c>
      <c r="I50">
        <v>35825579</v>
      </c>
      <c r="J50">
        <v>36237340</v>
      </c>
      <c r="K50">
        <v>36638790</v>
      </c>
      <c r="L50">
        <v>36993721</v>
      </c>
      <c r="M50">
        <v>37294820</v>
      </c>
    </row>
    <row r="51" spans="1:13" x14ac:dyDescent="0.2">
      <c r="A51" t="s">
        <v>500</v>
      </c>
      <c r="B51" t="s">
        <v>501</v>
      </c>
      <c r="C51" t="s">
        <v>867</v>
      </c>
      <c r="D51">
        <v>415722</v>
      </c>
      <c r="E51">
        <v>426083</v>
      </c>
      <c r="F51">
        <v>437231</v>
      </c>
      <c r="G51">
        <v>448183</v>
      </c>
      <c r="H51">
        <v>459355</v>
      </c>
      <c r="I51">
        <v>470780</v>
      </c>
      <c r="J51">
        <v>482378</v>
      </c>
      <c r="K51">
        <v>494294</v>
      </c>
      <c r="L51">
        <v>506166</v>
      </c>
      <c r="M51">
        <v>518018</v>
      </c>
    </row>
    <row r="52" spans="1:13" x14ac:dyDescent="0.2">
      <c r="A52" t="s">
        <v>502</v>
      </c>
      <c r="B52" t="s">
        <v>503</v>
      </c>
      <c r="C52" t="s">
        <v>867</v>
      </c>
      <c r="D52">
        <v>339206</v>
      </c>
      <c r="E52">
        <v>339153</v>
      </c>
      <c r="F52">
        <v>338790</v>
      </c>
      <c r="G52">
        <v>338333</v>
      </c>
      <c r="H52">
        <v>337742</v>
      </c>
      <c r="I52">
        <v>340326</v>
      </c>
      <c r="J52">
        <v>345611</v>
      </c>
      <c r="K52">
        <v>350221</v>
      </c>
      <c r="L52">
        <v>354788</v>
      </c>
      <c r="M52">
        <v>359378</v>
      </c>
    </row>
    <row r="53" spans="1:13" x14ac:dyDescent="0.2">
      <c r="A53" t="s">
        <v>504</v>
      </c>
      <c r="B53" t="s">
        <v>505</v>
      </c>
      <c r="C53" t="s">
        <v>867</v>
      </c>
      <c r="D53">
        <v>3348714</v>
      </c>
      <c r="E53">
        <v>3382293</v>
      </c>
      <c r="F53">
        <v>3411523</v>
      </c>
      <c r="G53">
        <v>3437953</v>
      </c>
      <c r="H53">
        <v>3462536</v>
      </c>
      <c r="I53">
        <v>3483167</v>
      </c>
      <c r="J53">
        <v>3501250</v>
      </c>
      <c r="K53">
        <v>3520268</v>
      </c>
      <c r="L53">
        <v>3538385</v>
      </c>
      <c r="M53">
        <v>3552415</v>
      </c>
    </row>
    <row r="54" spans="1:13" x14ac:dyDescent="0.2">
      <c r="A54" t="s">
        <v>506</v>
      </c>
      <c r="B54" t="s">
        <v>507</v>
      </c>
      <c r="C54" t="s">
        <v>867</v>
      </c>
      <c r="D54">
        <v>2965210</v>
      </c>
      <c r="E54">
        <v>2981821</v>
      </c>
      <c r="F54">
        <v>3015124</v>
      </c>
      <c r="G54">
        <v>3038960</v>
      </c>
      <c r="H54">
        <v>3042228</v>
      </c>
      <c r="I54">
        <v>3053912</v>
      </c>
      <c r="J54">
        <v>3065469</v>
      </c>
      <c r="K54">
        <v>3078426</v>
      </c>
      <c r="L54">
        <v>3087915</v>
      </c>
      <c r="M54">
        <v>3094846</v>
      </c>
    </row>
    <row r="55" spans="1:13" x14ac:dyDescent="0.2">
      <c r="A55" t="s">
        <v>508</v>
      </c>
      <c r="B55" t="s">
        <v>509</v>
      </c>
      <c r="C55" t="s">
        <v>867</v>
      </c>
      <c r="D55">
        <v>7777246</v>
      </c>
      <c r="E55">
        <v>7757600</v>
      </c>
      <c r="F55">
        <v>7729237</v>
      </c>
      <c r="G55">
        <v>7693973</v>
      </c>
      <c r="H55">
        <v>7658594</v>
      </c>
      <c r="I55">
        <v>7617514</v>
      </c>
      <c r="J55">
        <v>7570129</v>
      </c>
      <c r="K55">
        <v>7525565</v>
      </c>
      <c r="L55">
        <v>7481292</v>
      </c>
      <c r="M55">
        <v>7430870</v>
      </c>
    </row>
    <row r="56" spans="1:13" x14ac:dyDescent="0.2">
      <c r="A56" t="s">
        <v>510</v>
      </c>
      <c r="B56" t="s">
        <v>511</v>
      </c>
      <c r="C56" t="s">
        <v>867</v>
      </c>
      <c r="D56">
        <v>107195</v>
      </c>
      <c r="E56">
        <v>107344</v>
      </c>
      <c r="F56">
        <v>109249</v>
      </c>
      <c r="G56">
        <v>109212</v>
      </c>
      <c r="H56">
        <v>106899</v>
      </c>
      <c r="I56">
        <v>105789</v>
      </c>
      <c r="J56">
        <v>105205</v>
      </c>
      <c r="K56">
        <v>105900</v>
      </c>
      <c r="L56">
        <v>106510</v>
      </c>
      <c r="M56">
        <v>106408</v>
      </c>
    </row>
    <row r="57" spans="1:13" x14ac:dyDescent="0.2">
      <c r="A57" t="s">
        <v>512</v>
      </c>
      <c r="B57" t="s">
        <v>513</v>
      </c>
      <c r="C57" t="s">
        <v>867</v>
      </c>
      <c r="D57">
        <v>48067</v>
      </c>
      <c r="E57">
        <v>49145</v>
      </c>
      <c r="F57">
        <v>50185</v>
      </c>
      <c r="G57">
        <v>51214</v>
      </c>
      <c r="H57">
        <v>52256</v>
      </c>
      <c r="I57">
        <v>53205</v>
      </c>
      <c r="J57">
        <v>54056</v>
      </c>
      <c r="K57">
        <v>54899</v>
      </c>
      <c r="L57">
        <v>55705</v>
      </c>
      <c r="M57">
        <v>56451</v>
      </c>
    </row>
    <row r="58" spans="1:13" x14ac:dyDescent="0.2">
      <c r="A58" t="s">
        <v>514</v>
      </c>
      <c r="B58" t="s">
        <v>248</v>
      </c>
      <c r="C58" t="s">
        <v>867</v>
      </c>
      <c r="D58">
        <v>882388</v>
      </c>
      <c r="E58">
        <v>892005</v>
      </c>
      <c r="F58">
        <v>901063</v>
      </c>
      <c r="G58">
        <v>909536</v>
      </c>
      <c r="H58">
        <v>917297</v>
      </c>
      <c r="I58">
        <v>924212</v>
      </c>
      <c r="J58">
        <v>930479</v>
      </c>
      <c r="K58">
        <v>936410</v>
      </c>
      <c r="L58">
        <v>941447</v>
      </c>
      <c r="M58">
        <v>945638</v>
      </c>
    </row>
    <row r="59" spans="1:13" x14ac:dyDescent="0.2">
      <c r="A59" t="s">
        <v>515</v>
      </c>
      <c r="B59" t="s">
        <v>237</v>
      </c>
      <c r="C59" t="s">
        <v>867</v>
      </c>
      <c r="D59">
        <v>6969569</v>
      </c>
      <c r="E59">
        <v>6918187</v>
      </c>
      <c r="F59">
        <v>6876667</v>
      </c>
      <c r="G59">
        <v>6844943</v>
      </c>
      <c r="H59">
        <v>6814879</v>
      </c>
      <c r="I59">
        <v>6660022</v>
      </c>
      <c r="J59">
        <v>6780422</v>
      </c>
      <c r="K59">
        <v>6929136</v>
      </c>
      <c r="L59">
        <v>6952754</v>
      </c>
      <c r="M59">
        <v>6938669</v>
      </c>
    </row>
    <row r="60" spans="1:13" x14ac:dyDescent="0.2">
      <c r="A60" t="s">
        <v>86</v>
      </c>
      <c r="B60" t="s">
        <v>88</v>
      </c>
      <c r="C60" t="s">
        <v>867</v>
      </c>
      <c r="D60">
        <v>53970091</v>
      </c>
      <c r="E60">
        <v>53933149</v>
      </c>
      <c r="F60">
        <v>53878496</v>
      </c>
      <c r="G60">
        <v>53768633</v>
      </c>
      <c r="H60">
        <v>53550233</v>
      </c>
      <c r="I60">
        <v>53251922</v>
      </c>
      <c r="J60">
        <v>52924847</v>
      </c>
      <c r="K60">
        <v>52716168</v>
      </c>
      <c r="L60">
        <v>52527137</v>
      </c>
      <c r="M60">
        <v>52107640</v>
      </c>
    </row>
    <row r="61" spans="1:13" x14ac:dyDescent="0.2">
      <c r="A61" t="s">
        <v>516</v>
      </c>
      <c r="B61" t="s">
        <v>517</v>
      </c>
      <c r="C61" t="s">
        <v>867</v>
      </c>
      <c r="D61">
        <v>647027</v>
      </c>
      <c r="E61">
        <v>663589</v>
      </c>
      <c r="F61">
        <v>680393</v>
      </c>
      <c r="G61">
        <v>696979</v>
      </c>
      <c r="H61">
        <v>713027</v>
      </c>
      <c r="I61">
        <v>728375</v>
      </c>
      <c r="J61">
        <v>743084</v>
      </c>
      <c r="K61">
        <v>757365</v>
      </c>
      <c r="L61">
        <v>771113</v>
      </c>
      <c r="M61">
        <v>784152</v>
      </c>
    </row>
    <row r="62" spans="1:13" x14ac:dyDescent="0.2">
      <c r="A62" t="s">
        <v>518</v>
      </c>
      <c r="B62" t="s">
        <v>519</v>
      </c>
      <c r="C62" t="s">
        <v>867</v>
      </c>
      <c r="D62">
        <v>47807</v>
      </c>
      <c r="E62">
        <v>46908</v>
      </c>
      <c r="F62">
        <v>46827</v>
      </c>
      <c r="G62">
        <v>46730</v>
      </c>
      <c r="H62">
        <v>46604</v>
      </c>
      <c r="I62">
        <v>46412</v>
      </c>
      <c r="J62">
        <v>46191</v>
      </c>
      <c r="K62">
        <v>45989</v>
      </c>
      <c r="L62">
        <v>45794</v>
      </c>
      <c r="M62">
        <v>45576</v>
      </c>
    </row>
    <row r="63" spans="1:13" x14ac:dyDescent="0.2">
      <c r="A63" t="s">
        <v>55</v>
      </c>
      <c r="B63" t="s">
        <v>57</v>
      </c>
      <c r="C63" t="s">
        <v>867</v>
      </c>
      <c r="D63">
        <v>3682112</v>
      </c>
      <c r="E63">
        <v>3698112</v>
      </c>
      <c r="F63">
        <v>3708367</v>
      </c>
      <c r="G63">
        <v>3712914</v>
      </c>
      <c r="H63">
        <v>3714181</v>
      </c>
      <c r="I63">
        <v>3723590</v>
      </c>
      <c r="J63">
        <v>3752146</v>
      </c>
      <c r="K63">
        <v>3778269</v>
      </c>
      <c r="L63">
        <v>3791657</v>
      </c>
      <c r="M63">
        <v>3804949</v>
      </c>
    </row>
    <row r="64" spans="1:13" x14ac:dyDescent="0.2">
      <c r="A64" t="s">
        <v>520</v>
      </c>
      <c r="B64" t="s">
        <v>521</v>
      </c>
      <c r="C64" t="s">
        <v>867</v>
      </c>
      <c r="D64">
        <v>6882932</v>
      </c>
      <c r="E64">
        <v>6971606</v>
      </c>
      <c r="F64">
        <v>7055140</v>
      </c>
      <c r="G64">
        <v>7132677</v>
      </c>
      <c r="H64">
        <v>7211256</v>
      </c>
      <c r="I64">
        <v>7289686</v>
      </c>
      <c r="J64">
        <v>7358479</v>
      </c>
      <c r="K64">
        <v>7422561</v>
      </c>
      <c r="L64">
        <v>7489835</v>
      </c>
      <c r="M64">
        <v>7558944</v>
      </c>
    </row>
    <row r="65" spans="1:13" x14ac:dyDescent="0.2">
      <c r="A65" t="s">
        <v>522</v>
      </c>
      <c r="B65" t="s">
        <v>523</v>
      </c>
      <c r="C65" t="s">
        <v>867</v>
      </c>
      <c r="D65">
        <v>26624034</v>
      </c>
      <c r="E65">
        <v>26925929</v>
      </c>
      <c r="F65">
        <v>27220628</v>
      </c>
      <c r="G65">
        <v>27529185</v>
      </c>
      <c r="H65">
        <v>27862546</v>
      </c>
      <c r="I65">
        <v>28230405</v>
      </c>
      <c r="J65">
        <v>28637951</v>
      </c>
      <c r="K65">
        <v>29075977</v>
      </c>
      <c r="L65">
        <v>29534577</v>
      </c>
      <c r="M65">
        <v>30011643</v>
      </c>
    </row>
    <row r="66" spans="1:13" x14ac:dyDescent="0.2">
      <c r="A66" t="s">
        <v>524</v>
      </c>
      <c r="B66" t="s">
        <v>525</v>
      </c>
      <c r="C66" t="s">
        <v>867</v>
      </c>
      <c r="D66">
        <v>1447600333</v>
      </c>
      <c r="E66">
        <v>1451454677</v>
      </c>
      <c r="F66">
        <v>1453945596</v>
      </c>
      <c r="G66">
        <v>1456449026</v>
      </c>
      <c r="H66">
        <v>1458754040</v>
      </c>
      <c r="I66">
        <v>1461556068</v>
      </c>
      <c r="J66">
        <v>1464186175</v>
      </c>
      <c r="K66">
        <v>1467511655</v>
      </c>
      <c r="L66">
        <v>1473848204</v>
      </c>
      <c r="M66">
        <v>1481286394</v>
      </c>
    </row>
    <row r="67" spans="1:13" x14ac:dyDescent="0.2">
      <c r="A67" t="s">
        <v>526</v>
      </c>
      <c r="B67" t="s">
        <v>527</v>
      </c>
      <c r="C67" t="s">
        <v>867</v>
      </c>
      <c r="D67">
        <v>2083942143</v>
      </c>
      <c r="E67">
        <v>2117278233</v>
      </c>
      <c r="F67">
        <v>2149579953</v>
      </c>
      <c r="G67">
        <v>2182058057</v>
      </c>
      <c r="H67">
        <v>2215591657</v>
      </c>
      <c r="I67">
        <v>2246800128</v>
      </c>
      <c r="J67">
        <v>2279640121</v>
      </c>
      <c r="K67">
        <v>2313296748</v>
      </c>
      <c r="L67">
        <v>2346903323</v>
      </c>
      <c r="M67">
        <v>2380449022</v>
      </c>
    </row>
    <row r="68" spans="1:13" x14ac:dyDescent="0.2">
      <c r="A68" t="s">
        <v>528</v>
      </c>
      <c r="B68" t="s">
        <v>529</v>
      </c>
      <c r="C68" t="s">
        <v>867</v>
      </c>
      <c r="D68">
        <v>1608521774</v>
      </c>
      <c r="E68">
        <v>1612071011</v>
      </c>
      <c r="F68">
        <v>1614321431</v>
      </c>
      <c r="G68">
        <v>1616630464</v>
      </c>
      <c r="H68">
        <v>1618273826</v>
      </c>
      <c r="I68">
        <v>1619663161</v>
      </c>
      <c r="J68">
        <v>1621515756</v>
      </c>
      <c r="K68">
        <v>1625101743</v>
      </c>
      <c r="L68">
        <v>1631096000</v>
      </c>
      <c r="M68">
        <v>1637719329</v>
      </c>
    </row>
    <row r="69" spans="1:13" x14ac:dyDescent="0.2">
      <c r="A69" t="s">
        <v>530</v>
      </c>
      <c r="B69" t="s">
        <v>531</v>
      </c>
      <c r="C69" t="s">
        <v>867</v>
      </c>
      <c r="D69">
        <v>163917936</v>
      </c>
      <c r="E69">
        <v>164655391</v>
      </c>
      <c r="F69">
        <v>165417175</v>
      </c>
      <c r="G69">
        <v>166107142</v>
      </c>
      <c r="H69">
        <v>166469090</v>
      </c>
      <c r="I69">
        <v>166817910</v>
      </c>
      <c r="J69">
        <v>165393662</v>
      </c>
      <c r="K69">
        <v>163803093</v>
      </c>
      <c r="L69">
        <v>164691808</v>
      </c>
      <c r="M69">
        <v>166531246</v>
      </c>
    </row>
    <row r="70" spans="1:13" x14ac:dyDescent="0.2">
      <c r="A70" t="s">
        <v>532</v>
      </c>
      <c r="B70" t="s">
        <v>533</v>
      </c>
      <c r="C70" t="s">
        <v>867</v>
      </c>
      <c r="D70">
        <v>605691459</v>
      </c>
      <c r="E70">
        <v>605031181</v>
      </c>
      <c r="F70">
        <v>604547564</v>
      </c>
      <c r="G70">
        <v>604165257</v>
      </c>
      <c r="H70">
        <v>602760647</v>
      </c>
      <c r="I70">
        <v>601197311</v>
      </c>
      <c r="J70">
        <v>599309475</v>
      </c>
      <c r="K70">
        <v>597902498</v>
      </c>
      <c r="L70">
        <v>598701638</v>
      </c>
      <c r="M70">
        <v>599662740</v>
      </c>
    </row>
    <row r="71" spans="1:13" x14ac:dyDescent="0.2">
      <c r="A71" t="s">
        <v>534</v>
      </c>
      <c r="B71" t="s">
        <v>535</v>
      </c>
      <c r="C71" t="s">
        <v>867</v>
      </c>
      <c r="D71">
        <v>10674238</v>
      </c>
      <c r="E71">
        <v>10901179</v>
      </c>
      <c r="F71">
        <v>11151092</v>
      </c>
      <c r="G71">
        <v>11398100</v>
      </c>
      <c r="H71">
        <v>11588191</v>
      </c>
      <c r="I71">
        <v>11732836</v>
      </c>
      <c r="J71">
        <v>11876572</v>
      </c>
      <c r="K71">
        <v>12029112</v>
      </c>
      <c r="L71">
        <v>12187069</v>
      </c>
      <c r="M71">
        <v>12346520</v>
      </c>
    </row>
    <row r="72" spans="1:13" x14ac:dyDescent="0.2">
      <c r="A72" t="s">
        <v>536</v>
      </c>
      <c r="B72" t="s">
        <v>347</v>
      </c>
      <c r="C72" t="s">
        <v>867</v>
      </c>
      <c r="D72">
        <v>62613958</v>
      </c>
      <c r="E72">
        <v>63803126</v>
      </c>
      <c r="F72">
        <v>65041698</v>
      </c>
      <c r="G72">
        <v>66321975</v>
      </c>
      <c r="H72">
        <v>67594654</v>
      </c>
      <c r="I72">
        <v>68867963</v>
      </c>
      <c r="J72">
        <v>70183982</v>
      </c>
      <c r="K72">
        <v>71693890</v>
      </c>
      <c r="L72">
        <v>73289803</v>
      </c>
      <c r="M72">
        <v>74774809</v>
      </c>
    </row>
    <row r="73" spans="1:13" x14ac:dyDescent="0.2">
      <c r="A73" t="s">
        <v>537</v>
      </c>
      <c r="B73" t="s">
        <v>538</v>
      </c>
      <c r="C73" t="s">
        <v>867</v>
      </c>
      <c r="D73">
        <v>227661378</v>
      </c>
      <c r="E73">
        <v>227270478</v>
      </c>
      <c r="F73">
        <v>227043118</v>
      </c>
      <c r="G73">
        <v>226945474</v>
      </c>
      <c r="H73">
        <v>226642996</v>
      </c>
      <c r="I73">
        <v>226147627</v>
      </c>
      <c r="J73">
        <v>226145203</v>
      </c>
      <c r="K73">
        <v>226551854</v>
      </c>
      <c r="L73">
        <v>226694686</v>
      </c>
      <c r="M73">
        <v>226462124</v>
      </c>
    </row>
    <row r="74" spans="1:13" x14ac:dyDescent="0.2">
      <c r="A74" t="s">
        <v>539</v>
      </c>
      <c r="B74" t="s">
        <v>540</v>
      </c>
      <c r="C74" t="s">
        <v>867</v>
      </c>
      <c r="D74">
        <v>1686006</v>
      </c>
      <c r="E74">
        <v>1703906</v>
      </c>
      <c r="F74">
        <v>1738767</v>
      </c>
      <c r="G74">
        <v>1780204</v>
      </c>
      <c r="H74">
        <v>1826862</v>
      </c>
      <c r="I74">
        <v>1880308</v>
      </c>
      <c r="J74">
        <v>1932573</v>
      </c>
      <c r="K74">
        <v>1984078</v>
      </c>
      <c r="L74">
        <v>2038633</v>
      </c>
      <c r="M74">
        <v>2097521</v>
      </c>
    </row>
    <row r="75" spans="1:13" x14ac:dyDescent="0.2">
      <c r="A75" t="s">
        <v>180</v>
      </c>
      <c r="B75" t="s">
        <v>181</v>
      </c>
      <c r="C75" t="s">
        <v>867</v>
      </c>
      <c r="D75">
        <v>30808422</v>
      </c>
      <c r="E75">
        <v>30823914</v>
      </c>
      <c r="F75">
        <v>30937867</v>
      </c>
      <c r="G75">
        <v>31178018</v>
      </c>
      <c r="H75">
        <v>31371298</v>
      </c>
      <c r="I75">
        <v>31444959</v>
      </c>
      <c r="J75">
        <v>31642089</v>
      </c>
      <c r="K75">
        <v>31955045</v>
      </c>
      <c r="L75">
        <v>32207413</v>
      </c>
      <c r="M75">
        <v>32445472</v>
      </c>
    </row>
    <row r="76" spans="1:13" x14ac:dyDescent="0.2">
      <c r="A76" t="s">
        <v>197</v>
      </c>
      <c r="B76" t="s">
        <v>199</v>
      </c>
      <c r="C76" t="s">
        <v>867</v>
      </c>
      <c r="D76">
        <v>850825</v>
      </c>
      <c r="E76">
        <v>846512</v>
      </c>
      <c r="F76">
        <v>845545</v>
      </c>
      <c r="G76">
        <v>844816</v>
      </c>
      <c r="H76">
        <v>842406</v>
      </c>
      <c r="I76">
        <v>840945</v>
      </c>
      <c r="J76">
        <v>851614</v>
      </c>
      <c r="K76">
        <v>864892</v>
      </c>
      <c r="L76">
        <v>865468</v>
      </c>
      <c r="M76">
        <v>860122</v>
      </c>
    </row>
    <row r="77" spans="1:13" x14ac:dyDescent="0.2">
      <c r="A77" t="s">
        <v>541</v>
      </c>
      <c r="B77" t="s">
        <v>542</v>
      </c>
      <c r="C77" t="s">
        <v>867</v>
      </c>
      <c r="D77">
        <v>58423767</v>
      </c>
      <c r="E77">
        <v>60594095</v>
      </c>
      <c r="F77">
        <v>62759279</v>
      </c>
      <c r="G77">
        <v>64929893</v>
      </c>
      <c r="H77">
        <v>67164933</v>
      </c>
      <c r="I77">
        <v>69425521</v>
      </c>
      <c r="J77">
        <v>71681922</v>
      </c>
      <c r="K77">
        <v>73950174</v>
      </c>
      <c r="L77">
        <v>76211823</v>
      </c>
      <c r="M77">
        <v>78471564</v>
      </c>
    </row>
    <row r="78" spans="1:13" x14ac:dyDescent="0.2">
      <c r="A78" t="s">
        <v>543</v>
      </c>
      <c r="B78" t="s">
        <v>544</v>
      </c>
      <c r="C78" t="s">
        <v>867</v>
      </c>
      <c r="D78">
        <v>290404488</v>
      </c>
      <c r="E78">
        <v>289588477</v>
      </c>
      <c r="F78">
        <v>288927236</v>
      </c>
      <c r="G78">
        <v>288391931</v>
      </c>
      <c r="H78">
        <v>287355959</v>
      </c>
      <c r="I78">
        <v>286024846</v>
      </c>
      <c r="J78">
        <v>285881960</v>
      </c>
      <c r="K78">
        <v>286262254</v>
      </c>
      <c r="L78">
        <v>286231204</v>
      </c>
      <c r="M78">
        <v>285788232</v>
      </c>
    </row>
    <row r="79" spans="1:13" x14ac:dyDescent="0.2">
      <c r="A79" t="s">
        <v>65</v>
      </c>
      <c r="B79" t="s">
        <v>67</v>
      </c>
      <c r="C79" t="s">
        <v>867</v>
      </c>
      <c r="D79">
        <v>3463591</v>
      </c>
      <c r="E79">
        <v>3451187</v>
      </c>
      <c r="F79">
        <v>3437018</v>
      </c>
      <c r="G79">
        <v>3426847</v>
      </c>
      <c r="H79">
        <v>3419966</v>
      </c>
      <c r="I79">
        <v>3417184</v>
      </c>
      <c r="J79">
        <v>3419799</v>
      </c>
      <c r="K79">
        <v>3433386</v>
      </c>
      <c r="L79">
        <v>3454536</v>
      </c>
      <c r="M79">
        <v>3470751</v>
      </c>
    </row>
    <row r="80" spans="1:13" x14ac:dyDescent="0.2">
      <c r="A80" t="s">
        <v>545</v>
      </c>
      <c r="B80" t="s">
        <v>546</v>
      </c>
      <c r="C80" t="s">
        <v>867</v>
      </c>
      <c r="D80">
        <v>599454</v>
      </c>
      <c r="E80">
        <v>599949</v>
      </c>
      <c r="F80">
        <v>599983</v>
      </c>
      <c r="G80">
        <v>599779</v>
      </c>
      <c r="H80">
        <v>601201</v>
      </c>
      <c r="I80">
        <v>604005</v>
      </c>
      <c r="J80">
        <v>607631</v>
      </c>
      <c r="K80">
        <v>612446</v>
      </c>
      <c r="L80">
        <v>616896</v>
      </c>
      <c r="M80">
        <v>620889</v>
      </c>
    </row>
    <row r="81" spans="1:13" x14ac:dyDescent="0.2">
      <c r="A81" t="s">
        <v>76</v>
      </c>
      <c r="B81" t="s">
        <v>78</v>
      </c>
      <c r="C81" t="s">
        <v>867</v>
      </c>
      <c r="D81">
        <v>41790756</v>
      </c>
      <c r="E81">
        <v>41755557</v>
      </c>
      <c r="F81">
        <v>41758655</v>
      </c>
      <c r="G81">
        <v>41764187</v>
      </c>
      <c r="H81">
        <v>41786545</v>
      </c>
      <c r="I81">
        <v>41861755</v>
      </c>
      <c r="J81">
        <v>41995649</v>
      </c>
      <c r="K81">
        <v>42025764</v>
      </c>
      <c r="L81">
        <v>42055285</v>
      </c>
      <c r="M81">
        <v>42079685</v>
      </c>
    </row>
    <row r="82" spans="1:13" x14ac:dyDescent="0.2">
      <c r="A82" t="s">
        <v>547</v>
      </c>
      <c r="B82" t="s">
        <v>548</v>
      </c>
      <c r="C82" t="s">
        <v>867</v>
      </c>
      <c r="D82">
        <v>30632</v>
      </c>
      <c r="E82">
        <v>30981</v>
      </c>
      <c r="F82">
        <v>31441</v>
      </c>
      <c r="G82">
        <v>31922</v>
      </c>
      <c r="H82">
        <v>32358</v>
      </c>
      <c r="I82">
        <v>32795</v>
      </c>
      <c r="J82">
        <v>33297</v>
      </c>
      <c r="K82">
        <v>33791</v>
      </c>
      <c r="L82">
        <v>34039</v>
      </c>
      <c r="M82">
        <v>34229</v>
      </c>
    </row>
    <row r="83" spans="1:13" x14ac:dyDescent="0.2">
      <c r="A83" t="s">
        <v>549</v>
      </c>
      <c r="B83" t="s">
        <v>550</v>
      </c>
      <c r="C83" t="s">
        <v>867</v>
      </c>
      <c r="D83">
        <v>67805</v>
      </c>
      <c r="E83">
        <v>68064</v>
      </c>
      <c r="F83">
        <v>68341</v>
      </c>
      <c r="G83">
        <v>68550</v>
      </c>
      <c r="H83">
        <v>68989</v>
      </c>
      <c r="I83">
        <v>69456</v>
      </c>
      <c r="J83">
        <v>69692</v>
      </c>
      <c r="K83">
        <v>69988</v>
      </c>
      <c r="L83">
        <v>70388</v>
      </c>
      <c r="M83">
        <v>70851</v>
      </c>
    </row>
    <row r="84" spans="1:13" x14ac:dyDescent="0.2">
      <c r="A84" t="s">
        <v>551</v>
      </c>
      <c r="B84" t="s">
        <v>552</v>
      </c>
      <c r="C84" t="s">
        <v>867</v>
      </c>
      <c r="D84">
        <v>1247995</v>
      </c>
      <c r="E84">
        <v>1280646</v>
      </c>
      <c r="F84">
        <v>1311941</v>
      </c>
      <c r="G84">
        <v>1343202</v>
      </c>
      <c r="H84">
        <v>1374686</v>
      </c>
      <c r="I84">
        <v>1406600</v>
      </c>
      <c r="J84">
        <v>1439363</v>
      </c>
      <c r="K84">
        <v>1473380</v>
      </c>
      <c r="L84">
        <v>1508973</v>
      </c>
      <c r="M84">
        <v>1546207</v>
      </c>
    </row>
    <row r="85" spans="1:13" x14ac:dyDescent="0.2">
      <c r="A85" t="s">
        <v>553</v>
      </c>
      <c r="B85" t="s">
        <v>554</v>
      </c>
      <c r="C85" t="s">
        <v>867</v>
      </c>
      <c r="D85">
        <v>42075467</v>
      </c>
      <c r="E85">
        <v>42154919</v>
      </c>
      <c r="F85">
        <v>42219824</v>
      </c>
      <c r="G85">
        <v>42322027</v>
      </c>
      <c r="H85">
        <v>42331766</v>
      </c>
      <c r="I85">
        <v>42495236</v>
      </c>
      <c r="J85">
        <v>42908568</v>
      </c>
      <c r="K85">
        <v>43413091</v>
      </c>
      <c r="L85">
        <v>43865394</v>
      </c>
      <c r="M85">
        <v>44007878</v>
      </c>
    </row>
    <row r="86" spans="1:13" x14ac:dyDescent="0.2">
      <c r="A86" t="s">
        <v>555</v>
      </c>
      <c r="B86" t="s">
        <v>556</v>
      </c>
      <c r="C86" t="s">
        <v>867</v>
      </c>
      <c r="D86">
        <v>2456321</v>
      </c>
      <c r="E86">
        <v>2438108</v>
      </c>
      <c r="F86">
        <v>2419867</v>
      </c>
      <c r="G86">
        <v>2399220</v>
      </c>
      <c r="H86">
        <v>2386714</v>
      </c>
      <c r="I86">
        <v>2367495</v>
      </c>
      <c r="J86">
        <v>2365454</v>
      </c>
      <c r="K86">
        <v>2364598</v>
      </c>
      <c r="L86">
        <v>2423372</v>
      </c>
      <c r="M86">
        <v>2500022</v>
      </c>
    </row>
    <row r="87" spans="1:13" x14ac:dyDescent="0.2">
      <c r="A87" t="s">
        <v>557</v>
      </c>
      <c r="B87" t="s">
        <v>558</v>
      </c>
      <c r="C87" t="s">
        <v>867</v>
      </c>
      <c r="D87">
        <v>17094576</v>
      </c>
      <c r="E87">
        <v>17548669</v>
      </c>
      <c r="F87">
        <v>17998604</v>
      </c>
      <c r="G87">
        <v>18446623</v>
      </c>
      <c r="H87">
        <v>18911651</v>
      </c>
      <c r="I87">
        <v>19386766</v>
      </c>
      <c r="J87">
        <v>19859447</v>
      </c>
      <c r="K87">
        <v>20336698</v>
      </c>
      <c r="L87">
        <v>20819475</v>
      </c>
      <c r="M87">
        <v>21312986</v>
      </c>
    </row>
    <row r="88" spans="1:13" x14ac:dyDescent="0.2">
      <c r="A88" t="s">
        <v>559</v>
      </c>
      <c r="B88" t="s">
        <v>560</v>
      </c>
      <c r="C88" t="s">
        <v>867</v>
      </c>
      <c r="D88">
        <v>21654</v>
      </c>
      <c r="E88">
        <v>22014</v>
      </c>
      <c r="F88">
        <v>22412</v>
      </c>
      <c r="G88">
        <v>22855</v>
      </c>
      <c r="H88">
        <v>23337</v>
      </c>
      <c r="I88">
        <v>23812</v>
      </c>
      <c r="J88">
        <v>24312</v>
      </c>
      <c r="K88">
        <v>24905</v>
      </c>
      <c r="L88">
        <v>25461</v>
      </c>
      <c r="M88">
        <v>25912</v>
      </c>
    </row>
    <row r="89" spans="1:13" x14ac:dyDescent="0.2">
      <c r="A89" t="s">
        <v>561</v>
      </c>
      <c r="B89" t="s">
        <v>562</v>
      </c>
      <c r="C89" t="s">
        <v>867</v>
      </c>
      <c r="D89">
        <v>6451916</v>
      </c>
      <c r="E89">
        <v>6646624</v>
      </c>
      <c r="F89">
        <v>6846377</v>
      </c>
      <c r="G89">
        <v>7056415</v>
      </c>
      <c r="H89">
        <v>7275388</v>
      </c>
      <c r="I89">
        <v>7499521</v>
      </c>
      <c r="J89">
        <v>7730217</v>
      </c>
      <c r="K89">
        <v>7968529</v>
      </c>
      <c r="L89">
        <v>8210112</v>
      </c>
      <c r="M89">
        <v>8452616</v>
      </c>
    </row>
    <row r="90" spans="1:13" x14ac:dyDescent="0.2">
      <c r="A90" t="s">
        <v>563</v>
      </c>
      <c r="B90" t="s">
        <v>564</v>
      </c>
      <c r="C90" t="s">
        <v>867</v>
      </c>
      <c r="D90">
        <v>1234441</v>
      </c>
      <c r="E90">
        <v>1271655</v>
      </c>
      <c r="F90">
        <v>1309339</v>
      </c>
      <c r="G90">
        <v>1347833</v>
      </c>
      <c r="H90">
        <v>1388425</v>
      </c>
      <c r="I90">
        <v>1431095</v>
      </c>
      <c r="J90">
        <v>1474468</v>
      </c>
      <c r="K90">
        <v>1518652</v>
      </c>
      <c r="L90">
        <v>1564189</v>
      </c>
      <c r="M90">
        <v>1611183</v>
      </c>
    </row>
    <row r="91" spans="1:13" x14ac:dyDescent="0.2">
      <c r="A91" t="s">
        <v>565</v>
      </c>
      <c r="B91" t="s">
        <v>566</v>
      </c>
      <c r="C91" t="s">
        <v>867</v>
      </c>
      <c r="D91">
        <v>1010674</v>
      </c>
      <c r="E91">
        <v>1040718</v>
      </c>
      <c r="F91">
        <v>1071741</v>
      </c>
      <c r="G91">
        <v>1103643</v>
      </c>
      <c r="H91">
        <v>1136273</v>
      </c>
      <c r="I91">
        <v>1169653</v>
      </c>
      <c r="J91">
        <v>1204467</v>
      </c>
      <c r="K91">
        <v>1240648</v>
      </c>
      <c r="L91">
        <v>1277274</v>
      </c>
      <c r="M91">
        <v>1314563</v>
      </c>
    </row>
    <row r="92" spans="1:13" x14ac:dyDescent="0.2">
      <c r="A92" t="s">
        <v>567</v>
      </c>
      <c r="B92" t="s">
        <v>568</v>
      </c>
      <c r="C92" t="s">
        <v>867</v>
      </c>
      <c r="D92">
        <v>880685</v>
      </c>
      <c r="E92">
        <v>912391</v>
      </c>
      <c r="F92">
        <v>944790</v>
      </c>
      <c r="G92">
        <v>978281</v>
      </c>
      <c r="H92">
        <v>1006228</v>
      </c>
      <c r="I92">
        <v>1031420</v>
      </c>
      <c r="J92">
        <v>1059662</v>
      </c>
      <c r="K92">
        <v>1088063</v>
      </c>
      <c r="L92">
        <v>1117089</v>
      </c>
      <c r="M92">
        <v>1146570</v>
      </c>
    </row>
    <row r="93" spans="1:13" x14ac:dyDescent="0.2">
      <c r="A93" t="s">
        <v>96</v>
      </c>
      <c r="B93" t="s">
        <v>98</v>
      </c>
      <c r="C93" t="s">
        <v>867</v>
      </c>
      <c r="D93">
        <v>6914252</v>
      </c>
      <c r="E93">
        <v>6874783</v>
      </c>
      <c r="F93">
        <v>6840585</v>
      </c>
      <c r="G93">
        <v>6816454</v>
      </c>
      <c r="H93">
        <v>6786793</v>
      </c>
      <c r="I93">
        <v>6673805</v>
      </c>
      <c r="J93">
        <v>6567840</v>
      </c>
      <c r="K93">
        <v>6549365</v>
      </c>
      <c r="L93">
        <v>6538672</v>
      </c>
      <c r="M93">
        <v>6534624</v>
      </c>
    </row>
    <row r="94" spans="1:13" x14ac:dyDescent="0.2">
      <c r="A94" t="s">
        <v>569</v>
      </c>
      <c r="B94" t="s">
        <v>570</v>
      </c>
      <c r="C94" t="s">
        <v>867</v>
      </c>
      <c r="D94">
        <v>77976</v>
      </c>
      <c r="E94">
        <v>78312</v>
      </c>
      <c r="F94">
        <v>78625</v>
      </c>
      <c r="G94">
        <v>78905</v>
      </c>
      <c r="H94">
        <v>79244</v>
      </c>
      <c r="I94">
        <v>79586</v>
      </c>
      <c r="J94">
        <v>79803</v>
      </c>
      <c r="K94">
        <v>79947</v>
      </c>
      <c r="L94">
        <v>80075</v>
      </c>
      <c r="M94">
        <v>80193</v>
      </c>
    </row>
    <row r="95" spans="1:13" x14ac:dyDescent="0.2">
      <c r="A95" t="s">
        <v>571</v>
      </c>
      <c r="B95" t="s">
        <v>572</v>
      </c>
      <c r="C95" t="s">
        <v>867</v>
      </c>
      <c r="D95">
        <v>39960</v>
      </c>
      <c r="E95">
        <v>39894</v>
      </c>
      <c r="F95">
        <v>39696</v>
      </c>
      <c r="G95">
        <v>39689</v>
      </c>
      <c r="H95">
        <v>39616</v>
      </c>
      <c r="I95">
        <v>39641</v>
      </c>
      <c r="J95">
        <v>39446</v>
      </c>
      <c r="K95">
        <v>39281</v>
      </c>
      <c r="L95">
        <v>38869</v>
      </c>
      <c r="M95">
        <v>38491</v>
      </c>
    </row>
    <row r="96" spans="1:13" x14ac:dyDescent="0.2">
      <c r="A96" t="s">
        <v>573</v>
      </c>
      <c r="B96" t="s">
        <v>574</v>
      </c>
      <c r="C96" t="s">
        <v>867</v>
      </c>
      <c r="D96">
        <v>9744356</v>
      </c>
      <c r="E96">
        <v>9997146</v>
      </c>
      <c r="F96">
        <v>10235556</v>
      </c>
      <c r="G96">
        <v>10464224</v>
      </c>
      <c r="H96">
        <v>10700827</v>
      </c>
      <c r="I96">
        <v>10938770</v>
      </c>
      <c r="J96">
        <v>11182780</v>
      </c>
      <c r="K96">
        <v>11441759</v>
      </c>
      <c r="L96">
        <v>11701574</v>
      </c>
      <c r="M96">
        <v>11962255</v>
      </c>
    </row>
    <row r="97" spans="1:13" x14ac:dyDescent="0.2">
      <c r="A97" t="s">
        <v>575</v>
      </c>
      <c r="B97" t="s">
        <v>576</v>
      </c>
      <c r="C97" t="s">
        <v>867</v>
      </c>
      <c r="D97">
        <v>106960</v>
      </c>
      <c r="E97">
        <v>105912</v>
      </c>
      <c r="F97">
        <v>104718</v>
      </c>
      <c r="G97">
        <v>103404</v>
      </c>
      <c r="H97">
        <v>102810</v>
      </c>
      <c r="I97">
        <v>102971</v>
      </c>
      <c r="J97">
        <v>103025</v>
      </c>
      <c r="K97">
        <v>103006</v>
      </c>
      <c r="L97">
        <v>103040</v>
      </c>
      <c r="M97">
        <v>103152</v>
      </c>
    </row>
    <row r="98" spans="1:13" x14ac:dyDescent="0.2">
      <c r="A98" t="s">
        <v>577</v>
      </c>
      <c r="B98" t="s">
        <v>578</v>
      </c>
      <c r="C98" t="s">
        <v>867</v>
      </c>
      <c r="D98">
        <v>491800</v>
      </c>
      <c r="E98">
        <v>494403</v>
      </c>
      <c r="F98">
        <v>512990</v>
      </c>
      <c r="G98">
        <v>524553</v>
      </c>
      <c r="H98">
        <v>521085</v>
      </c>
      <c r="I98">
        <v>525807</v>
      </c>
      <c r="J98">
        <v>528925</v>
      </c>
      <c r="K98">
        <v>530495</v>
      </c>
      <c r="L98">
        <v>532764</v>
      </c>
      <c r="M98">
        <v>535750</v>
      </c>
    </row>
    <row r="99" spans="1:13" x14ac:dyDescent="0.2">
      <c r="A99" t="s">
        <v>579</v>
      </c>
      <c r="B99" t="s">
        <v>580</v>
      </c>
      <c r="C99" t="s">
        <v>867</v>
      </c>
      <c r="D99">
        <v>912535064</v>
      </c>
      <c r="E99">
        <v>912690514</v>
      </c>
      <c r="F99">
        <v>911951973</v>
      </c>
      <c r="G99">
        <v>911795263</v>
      </c>
      <c r="H99">
        <v>911079408</v>
      </c>
      <c r="I99">
        <v>907161679</v>
      </c>
      <c r="J99">
        <v>909299514</v>
      </c>
      <c r="K99">
        <v>913889575</v>
      </c>
      <c r="L99">
        <v>917792927</v>
      </c>
      <c r="M99">
        <v>918730523</v>
      </c>
    </row>
    <row r="100" spans="1:13" x14ac:dyDescent="0.2">
      <c r="A100" t="s">
        <v>581</v>
      </c>
      <c r="B100" t="s">
        <v>582</v>
      </c>
      <c r="C100" t="s">
        <v>867</v>
      </c>
      <c r="D100">
        <v>5319770</v>
      </c>
      <c r="E100">
        <v>5313933</v>
      </c>
      <c r="F100">
        <v>5308038</v>
      </c>
      <c r="G100">
        <v>5297912</v>
      </c>
      <c r="H100">
        <v>5229038</v>
      </c>
      <c r="I100">
        <v>5127085</v>
      </c>
      <c r="J100">
        <v>5025056</v>
      </c>
      <c r="K100">
        <v>5098603</v>
      </c>
      <c r="L100">
        <v>5027982</v>
      </c>
      <c r="M100">
        <v>4950872</v>
      </c>
    </row>
    <row r="101" spans="1:13" x14ac:dyDescent="0.2">
      <c r="A101" t="s">
        <v>583</v>
      </c>
      <c r="B101" t="s">
        <v>584</v>
      </c>
      <c r="C101" t="s">
        <v>867</v>
      </c>
      <c r="D101">
        <v>5852720</v>
      </c>
      <c r="E101">
        <v>6007906</v>
      </c>
      <c r="F101">
        <v>6160738</v>
      </c>
      <c r="G101">
        <v>6311313</v>
      </c>
      <c r="H101">
        <v>6458909</v>
      </c>
      <c r="I101">
        <v>6601374</v>
      </c>
      <c r="J101">
        <v>6743649</v>
      </c>
      <c r="K101">
        <v>6888403</v>
      </c>
      <c r="L101">
        <v>7032493</v>
      </c>
      <c r="M101">
        <v>7175291</v>
      </c>
    </row>
    <row r="102" spans="1:13" x14ac:dyDescent="0.2">
      <c r="A102" t="s">
        <v>585</v>
      </c>
      <c r="B102" t="s">
        <v>586</v>
      </c>
      <c r="C102" t="s">
        <v>867</v>
      </c>
      <c r="D102">
        <v>404139920</v>
      </c>
      <c r="E102">
        <v>418211709</v>
      </c>
      <c r="F102">
        <v>432330330</v>
      </c>
      <c r="G102">
        <v>446380507</v>
      </c>
      <c r="H102">
        <v>460886388</v>
      </c>
      <c r="I102">
        <v>475695038</v>
      </c>
      <c r="J102">
        <v>490524702</v>
      </c>
      <c r="K102">
        <v>505778963</v>
      </c>
      <c r="L102">
        <v>521523757</v>
      </c>
      <c r="M102">
        <v>537817911</v>
      </c>
    </row>
    <row r="103" spans="1:13" x14ac:dyDescent="0.2">
      <c r="A103" t="s">
        <v>219</v>
      </c>
      <c r="B103" t="s">
        <v>221</v>
      </c>
      <c r="C103" t="s">
        <v>867</v>
      </c>
      <c r="D103">
        <v>2700822</v>
      </c>
      <c r="E103">
        <v>2638787</v>
      </c>
      <c r="F103">
        <v>2583333</v>
      </c>
      <c r="G103">
        <v>2538778</v>
      </c>
      <c r="H103">
        <v>2500475</v>
      </c>
      <c r="I103">
        <v>2463901</v>
      </c>
      <c r="J103">
        <v>2437319</v>
      </c>
      <c r="K103">
        <v>2433381</v>
      </c>
      <c r="L103">
        <v>2431415</v>
      </c>
      <c r="M103">
        <v>2429912</v>
      </c>
    </row>
    <row r="104" spans="1:13" x14ac:dyDescent="0.2">
      <c r="A104" t="s">
        <v>587</v>
      </c>
      <c r="B104" t="s">
        <v>588</v>
      </c>
      <c r="C104" t="s">
        <v>867</v>
      </c>
      <c r="D104">
        <v>6604126</v>
      </c>
      <c r="E104">
        <v>6724985</v>
      </c>
      <c r="F104">
        <v>6844151</v>
      </c>
      <c r="G104">
        <v>6962630</v>
      </c>
      <c r="H104">
        <v>7079666</v>
      </c>
      <c r="I104">
        <v>7193602</v>
      </c>
      <c r="J104">
        <v>7307871</v>
      </c>
      <c r="K104">
        <v>7425783</v>
      </c>
      <c r="L104">
        <v>7546932</v>
      </c>
      <c r="M104">
        <v>7670052</v>
      </c>
    </row>
    <row r="105" spans="1:13" x14ac:dyDescent="0.2">
      <c r="A105" t="s">
        <v>107</v>
      </c>
      <c r="B105" t="s">
        <v>109</v>
      </c>
      <c r="C105" t="s">
        <v>867</v>
      </c>
      <c r="D105">
        <v>6543936</v>
      </c>
      <c r="E105">
        <v>6486255</v>
      </c>
      <c r="F105">
        <v>6438070</v>
      </c>
      <c r="G105">
        <v>6383795</v>
      </c>
      <c r="H105">
        <v>6319780</v>
      </c>
      <c r="I105">
        <v>6262968</v>
      </c>
      <c r="J105">
        <v>6228108</v>
      </c>
      <c r="K105">
        <v>6205709</v>
      </c>
      <c r="L105">
        <v>6177612</v>
      </c>
      <c r="M105">
        <v>6135748</v>
      </c>
    </row>
    <row r="106" spans="1:13" x14ac:dyDescent="0.2">
      <c r="A106" t="s">
        <v>589</v>
      </c>
      <c r="B106" t="s">
        <v>590</v>
      </c>
      <c r="C106" t="s">
        <v>867</v>
      </c>
      <c r="D106">
        <v>3201808009</v>
      </c>
      <c r="E106">
        <v>3227208660</v>
      </c>
      <c r="F106">
        <v>3250893375</v>
      </c>
      <c r="G106">
        <v>3273584818</v>
      </c>
      <c r="H106">
        <v>3294868265</v>
      </c>
      <c r="I106">
        <v>3315615431</v>
      </c>
      <c r="J106">
        <v>3334343522</v>
      </c>
      <c r="K106">
        <v>3354379566</v>
      </c>
      <c r="L106">
        <v>3380140568</v>
      </c>
      <c r="M106">
        <v>3407394642</v>
      </c>
    </row>
    <row r="107" spans="1:13" x14ac:dyDescent="0.2">
      <c r="A107" t="s">
        <v>591</v>
      </c>
      <c r="B107" t="s">
        <v>592</v>
      </c>
      <c r="C107" t="s">
        <v>867</v>
      </c>
      <c r="D107">
        <v>4125957262</v>
      </c>
      <c r="E107">
        <v>4174653227</v>
      </c>
      <c r="F107">
        <v>4222438128</v>
      </c>
      <c r="G107">
        <v>4270159322</v>
      </c>
      <c r="H107">
        <v>4317469865</v>
      </c>
      <c r="I107">
        <v>4364774939</v>
      </c>
      <c r="J107">
        <v>4410247426</v>
      </c>
      <c r="K107">
        <v>4457831191</v>
      </c>
      <c r="L107">
        <v>4511894029</v>
      </c>
      <c r="M107">
        <v>4568248032</v>
      </c>
    </row>
    <row r="108" spans="1:13" x14ac:dyDescent="0.2">
      <c r="A108" t="s">
        <v>593</v>
      </c>
      <c r="B108" t="s">
        <v>594</v>
      </c>
      <c r="C108" t="s">
        <v>867</v>
      </c>
      <c r="D108">
        <v>924149253</v>
      </c>
      <c r="E108">
        <v>947444567</v>
      </c>
      <c r="F108">
        <v>971544753</v>
      </c>
      <c r="G108">
        <v>996574504</v>
      </c>
      <c r="H108">
        <v>1022601600</v>
      </c>
      <c r="I108">
        <v>1049159508</v>
      </c>
      <c r="J108">
        <v>1075903904</v>
      </c>
      <c r="K108">
        <v>1103451625</v>
      </c>
      <c r="L108">
        <v>1131753461</v>
      </c>
      <c r="M108">
        <v>1160853390</v>
      </c>
    </row>
    <row r="109" spans="1:13" x14ac:dyDescent="0.2">
      <c r="A109" t="s">
        <v>595</v>
      </c>
      <c r="B109" t="s">
        <v>596</v>
      </c>
      <c r="C109" t="s">
        <v>867</v>
      </c>
      <c r="D109">
        <v>324169466</v>
      </c>
      <c r="E109">
        <v>331560330</v>
      </c>
      <c r="F109">
        <v>339413956</v>
      </c>
      <c r="G109">
        <v>347502301</v>
      </c>
      <c r="H109">
        <v>356094559</v>
      </c>
      <c r="I109">
        <v>365167687</v>
      </c>
      <c r="J109">
        <v>374257697</v>
      </c>
      <c r="K109">
        <v>383321957</v>
      </c>
      <c r="L109">
        <v>392791812</v>
      </c>
      <c r="M109">
        <v>402787508</v>
      </c>
    </row>
    <row r="110" spans="1:13" x14ac:dyDescent="0.2">
      <c r="A110" t="s">
        <v>380</v>
      </c>
      <c r="B110" t="s">
        <v>382</v>
      </c>
      <c r="C110" t="s">
        <v>867</v>
      </c>
      <c r="D110">
        <v>177506245</v>
      </c>
      <c r="E110">
        <v>179652374</v>
      </c>
      <c r="F110">
        <v>181715656</v>
      </c>
      <c r="G110">
        <v>183718792</v>
      </c>
      <c r="H110">
        <v>185658524</v>
      </c>
      <c r="I110">
        <v>187469916</v>
      </c>
      <c r="J110">
        <v>189329461</v>
      </c>
      <c r="K110">
        <v>191256542</v>
      </c>
      <c r="L110">
        <v>193093840</v>
      </c>
      <c r="M110">
        <v>194890399</v>
      </c>
    </row>
    <row r="111" spans="1:13" x14ac:dyDescent="0.2">
      <c r="A111" t="s">
        <v>597</v>
      </c>
      <c r="B111" t="s">
        <v>598</v>
      </c>
      <c r="C111" t="s">
        <v>867</v>
      </c>
      <c r="D111">
        <v>599979787</v>
      </c>
      <c r="E111">
        <v>615884237</v>
      </c>
      <c r="F111">
        <v>632130797</v>
      </c>
      <c r="G111">
        <v>649072203</v>
      </c>
      <c r="H111">
        <v>666507041</v>
      </c>
      <c r="I111">
        <v>683991821</v>
      </c>
      <c r="J111">
        <v>701646207</v>
      </c>
      <c r="K111">
        <v>720129668</v>
      </c>
      <c r="L111">
        <v>738961649</v>
      </c>
      <c r="M111">
        <v>758065882</v>
      </c>
    </row>
    <row r="112" spans="1:13" x14ac:dyDescent="0.2">
      <c r="A112" t="s">
        <v>599</v>
      </c>
      <c r="B112" t="s">
        <v>600</v>
      </c>
      <c r="C112" t="s">
        <v>867</v>
      </c>
      <c r="D112">
        <v>52880</v>
      </c>
      <c r="E112">
        <v>52827</v>
      </c>
      <c r="F112">
        <v>52854</v>
      </c>
      <c r="G112">
        <v>52899</v>
      </c>
      <c r="H112">
        <v>52956</v>
      </c>
      <c r="I112">
        <v>52987</v>
      </c>
      <c r="J112">
        <v>52935</v>
      </c>
      <c r="K112">
        <v>52825</v>
      </c>
      <c r="L112">
        <v>52704</v>
      </c>
      <c r="M112">
        <v>52561</v>
      </c>
    </row>
    <row r="113" spans="1:13" x14ac:dyDescent="0.2">
      <c r="A113" t="s">
        <v>601</v>
      </c>
      <c r="B113" t="s">
        <v>602</v>
      </c>
      <c r="C113" t="s">
        <v>867</v>
      </c>
      <c r="D113">
        <v>886641930</v>
      </c>
      <c r="E113">
        <v>901825708</v>
      </c>
      <c r="F113">
        <v>916251300</v>
      </c>
      <c r="G113">
        <v>929875277</v>
      </c>
      <c r="H113">
        <v>943088901</v>
      </c>
      <c r="I113">
        <v>955281267</v>
      </c>
      <c r="J113">
        <v>966626467</v>
      </c>
      <c r="K113">
        <v>978190678</v>
      </c>
      <c r="L113">
        <v>989967399</v>
      </c>
      <c r="M113">
        <v>1001696269</v>
      </c>
    </row>
    <row r="114" spans="1:13" x14ac:dyDescent="0.2">
      <c r="A114" t="s">
        <v>603</v>
      </c>
      <c r="B114" t="s">
        <v>604</v>
      </c>
      <c r="C114" t="s">
        <v>867</v>
      </c>
    </row>
    <row r="115" spans="1:13" x14ac:dyDescent="0.2">
      <c r="A115" t="s">
        <v>117</v>
      </c>
      <c r="B115" t="s">
        <v>121</v>
      </c>
      <c r="C115" t="s">
        <v>867</v>
      </c>
      <c r="D115">
        <v>3117425</v>
      </c>
      <c r="E115">
        <v>3156397</v>
      </c>
      <c r="F115">
        <v>3200720</v>
      </c>
      <c r="G115">
        <v>3251795</v>
      </c>
      <c r="H115">
        <v>3292799</v>
      </c>
      <c r="I115">
        <v>3339274</v>
      </c>
      <c r="J115">
        <v>3408271</v>
      </c>
      <c r="K115">
        <v>3475937</v>
      </c>
      <c r="L115">
        <v>3537072</v>
      </c>
      <c r="M115">
        <v>3603008</v>
      </c>
    </row>
    <row r="116" spans="1:13" x14ac:dyDescent="0.2">
      <c r="A116" t="s">
        <v>605</v>
      </c>
      <c r="B116" t="s">
        <v>387</v>
      </c>
      <c r="C116" t="s">
        <v>867</v>
      </c>
      <c r="D116">
        <v>58653653</v>
      </c>
      <c r="E116">
        <v>59181768</v>
      </c>
      <c r="F116">
        <v>59663966</v>
      </c>
      <c r="G116">
        <v>60127389</v>
      </c>
      <c r="H116">
        <v>60526092</v>
      </c>
      <c r="I116">
        <v>61073582</v>
      </c>
      <c r="J116">
        <v>61905803</v>
      </c>
      <c r="K116">
        <v>62742120</v>
      </c>
      <c r="L116">
        <v>63475136</v>
      </c>
      <c r="M116">
        <v>64135210</v>
      </c>
    </row>
    <row r="117" spans="1:13" x14ac:dyDescent="0.2">
      <c r="A117" t="s">
        <v>606</v>
      </c>
      <c r="B117" t="s">
        <v>607</v>
      </c>
      <c r="C117" t="s">
        <v>867</v>
      </c>
      <c r="D117">
        <v>21865053</v>
      </c>
      <c r="E117">
        <v>22470795</v>
      </c>
      <c r="F117">
        <v>23127004</v>
      </c>
      <c r="G117">
        <v>23797416</v>
      </c>
      <c r="H117">
        <v>24488669</v>
      </c>
      <c r="I117">
        <v>25221090</v>
      </c>
      <c r="J117">
        <v>26008388</v>
      </c>
      <c r="K117">
        <v>26824423</v>
      </c>
      <c r="L117">
        <v>27627172</v>
      </c>
      <c r="M117">
        <v>28458766</v>
      </c>
    </row>
    <row r="118" spans="1:13" x14ac:dyDescent="0.2">
      <c r="A118" t="s">
        <v>608</v>
      </c>
      <c r="B118" t="s">
        <v>609</v>
      </c>
      <c r="C118" t="s">
        <v>867</v>
      </c>
      <c r="D118">
        <v>222029</v>
      </c>
      <c r="E118">
        <v>228097</v>
      </c>
      <c r="F118">
        <v>235266</v>
      </c>
      <c r="G118">
        <v>240957</v>
      </c>
      <c r="H118">
        <v>244460</v>
      </c>
      <c r="I118">
        <v>247754</v>
      </c>
      <c r="J118">
        <v>254073</v>
      </c>
      <c r="K118">
        <v>256835</v>
      </c>
      <c r="L118">
        <v>257381</v>
      </c>
      <c r="M118">
        <v>260968</v>
      </c>
    </row>
    <row r="119" spans="1:13" x14ac:dyDescent="0.2">
      <c r="A119" t="s">
        <v>391</v>
      </c>
      <c r="B119" t="s">
        <v>392</v>
      </c>
      <c r="C119" t="s">
        <v>867</v>
      </c>
      <c r="D119">
        <v>5169199</v>
      </c>
      <c r="E119">
        <v>5250514</v>
      </c>
      <c r="F119">
        <v>5338168</v>
      </c>
      <c r="G119">
        <v>5431498</v>
      </c>
      <c r="H119">
        <v>5521012</v>
      </c>
      <c r="I119">
        <v>5609567</v>
      </c>
      <c r="J119">
        <v>5724315</v>
      </c>
      <c r="K119">
        <v>5906413</v>
      </c>
      <c r="L119">
        <v>6005125</v>
      </c>
      <c r="M119">
        <v>6088301</v>
      </c>
    </row>
    <row r="120" spans="1:13" x14ac:dyDescent="0.2">
      <c r="A120" t="s">
        <v>128</v>
      </c>
      <c r="B120" t="s">
        <v>129</v>
      </c>
      <c r="C120" t="s">
        <v>867</v>
      </c>
      <c r="D120">
        <v>38555229</v>
      </c>
      <c r="E120">
        <v>38430960</v>
      </c>
      <c r="F120">
        <v>38307226</v>
      </c>
      <c r="G120">
        <v>38150120</v>
      </c>
      <c r="H120">
        <v>37918891</v>
      </c>
      <c r="I120">
        <v>37681637</v>
      </c>
      <c r="J120">
        <v>37580511</v>
      </c>
      <c r="K120">
        <v>37535657</v>
      </c>
      <c r="L120">
        <v>37424897</v>
      </c>
      <c r="M120">
        <v>37261028</v>
      </c>
    </row>
    <row r="121" spans="1:13" x14ac:dyDescent="0.2">
      <c r="A121" t="s">
        <v>610</v>
      </c>
      <c r="B121" t="s">
        <v>611</v>
      </c>
      <c r="C121" t="s">
        <v>867</v>
      </c>
      <c r="D121">
        <v>1985195</v>
      </c>
      <c r="E121">
        <v>2001788</v>
      </c>
      <c r="F121">
        <v>2017091</v>
      </c>
      <c r="G121">
        <v>2030608</v>
      </c>
      <c r="H121">
        <v>2046447</v>
      </c>
      <c r="I121">
        <v>2061294</v>
      </c>
      <c r="J121">
        <v>2069255</v>
      </c>
      <c r="K121">
        <v>2073149</v>
      </c>
      <c r="L121">
        <v>2075097</v>
      </c>
      <c r="M121">
        <v>2074923</v>
      </c>
    </row>
    <row r="122" spans="1:13" x14ac:dyDescent="0.2">
      <c r="A122" t="s">
        <v>612</v>
      </c>
      <c r="B122" t="s">
        <v>613</v>
      </c>
      <c r="C122" t="s">
        <v>867</v>
      </c>
      <c r="D122">
        <v>6216745</v>
      </c>
      <c r="E122">
        <v>6382875</v>
      </c>
      <c r="F122">
        <v>6553683</v>
      </c>
      <c r="G122">
        <v>6716939</v>
      </c>
      <c r="H122">
        <v>6873279</v>
      </c>
      <c r="I122">
        <v>7038442</v>
      </c>
      <c r="J122">
        <v>7204554</v>
      </c>
      <c r="K122">
        <v>7372741</v>
      </c>
      <c r="L122">
        <v>7487234</v>
      </c>
      <c r="M122">
        <v>7494228</v>
      </c>
    </row>
    <row r="123" spans="1:13" x14ac:dyDescent="0.2">
      <c r="A123" t="s">
        <v>614</v>
      </c>
      <c r="B123" t="s">
        <v>615</v>
      </c>
      <c r="C123" t="s">
        <v>867</v>
      </c>
      <c r="D123">
        <v>75946619</v>
      </c>
      <c r="E123">
        <v>75439583</v>
      </c>
      <c r="F123">
        <v>75025904</v>
      </c>
      <c r="G123">
        <v>74719384</v>
      </c>
      <c r="H123">
        <v>74318579</v>
      </c>
      <c r="I123">
        <v>73818755</v>
      </c>
      <c r="J123">
        <v>73496437</v>
      </c>
      <c r="K123">
        <v>73201968</v>
      </c>
      <c r="L123">
        <v>72876601</v>
      </c>
      <c r="M123">
        <v>72499552</v>
      </c>
    </row>
    <row r="124" spans="1:13" x14ac:dyDescent="0.2">
      <c r="A124" t="s">
        <v>616</v>
      </c>
      <c r="B124" t="s">
        <v>617</v>
      </c>
      <c r="C124" t="s">
        <v>867</v>
      </c>
      <c r="D124">
        <v>11921948</v>
      </c>
      <c r="E124">
        <v>12001387</v>
      </c>
      <c r="F124">
        <v>12095768</v>
      </c>
      <c r="G124">
        <v>12199208</v>
      </c>
      <c r="H124">
        <v>12301140</v>
      </c>
      <c r="I124">
        <v>12387379</v>
      </c>
      <c r="J124">
        <v>12499203</v>
      </c>
      <c r="K124">
        <v>12635718</v>
      </c>
      <c r="L124">
        <v>12761934</v>
      </c>
      <c r="M124">
        <v>12893926</v>
      </c>
    </row>
    <row r="125" spans="1:13" x14ac:dyDescent="0.2">
      <c r="A125" t="s">
        <v>618</v>
      </c>
      <c r="B125" t="s">
        <v>619</v>
      </c>
      <c r="C125" t="s">
        <v>867</v>
      </c>
      <c r="D125">
        <v>26948413</v>
      </c>
      <c r="E125">
        <v>27770185</v>
      </c>
      <c r="F125">
        <v>28569551</v>
      </c>
      <c r="G125">
        <v>29382342</v>
      </c>
      <c r="H125">
        <v>30247731</v>
      </c>
      <c r="I125">
        <v>31129981</v>
      </c>
      <c r="J125">
        <v>32044126</v>
      </c>
      <c r="K125">
        <v>33003939</v>
      </c>
      <c r="L125">
        <v>33971376</v>
      </c>
      <c r="M125">
        <v>34934452</v>
      </c>
    </row>
    <row r="126" spans="1:13" x14ac:dyDescent="0.2">
      <c r="A126" t="s">
        <v>620</v>
      </c>
      <c r="B126" t="s">
        <v>621</v>
      </c>
      <c r="C126" t="s">
        <v>867</v>
      </c>
      <c r="D126">
        <v>3882299</v>
      </c>
      <c r="E126">
        <v>3954332</v>
      </c>
      <c r="F126">
        <v>4028758</v>
      </c>
      <c r="G126">
        <v>4100233</v>
      </c>
      <c r="H126">
        <v>4168894</v>
      </c>
      <c r="I126">
        <v>4239665</v>
      </c>
      <c r="J126">
        <v>4316165</v>
      </c>
      <c r="K126">
        <v>4394837</v>
      </c>
      <c r="L126">
        <v>4475861</v>
      </c>
      <c r="M126">
        <v>4561968</v>
      </c>
    </row>
    <row r="127" spans="1:13" x14ac:dyDescent="0.2">
      <c r="A127" t="s">
        <v>622</v>
      </c>
      <c r="B127" t="s">
        <v>623</v>
      </c>
      <c r="C127" t="s">
        <v>867</v>
      </c>
      <c r="D127">
        <v>10056734</v>
      </c>
      <c r="E127">
        <v>10188450</v>
      </c>
      <c r="F127">
        <v>10314771</v>
      </c>
      <c r="G127">
        <v>10449686</v>
      </c>
      <c r="H127">
        <v>10617910</v>
      </c>
      <c r="I127">
        <v>10799732</v>
      </c>
      <c r="J127">
        <v>10971024</v>
      </c>
      <c r="K127">
        <v>11138783</v>
      </c>
      <c r="L127">
        <v>11296444</v>
      </c>
      <c r="M127">
        <v>11445126</v>
      </c>
    </row>
    <row r="128" spans="1:13" x14ac:dyDescent="0.2">
      <c r="A128" t="s">
        <v>624</v>
      </c>
      <c r="B128" t="s">
        <v>625</v>
      </c>
      <c r="C128" t="s">
        <v>867</v>
      </c>
      <c r="D128">
        <v>72559</v>
      </c>
      <c r="E128">
        <v>73618</v>
      </c>
      <c r="F128">
        <v>74586</v>
      </c>
      <c r="G128">
        <v>75556</v>
      </c>
      <c r="H128">
        <v>76781</v>
      </c>
      <c r="I128">
        <v>78152</v>
      </c>
      <c r="J128">
        <v>79462</v>
      </c>
      <c r="K128">
        <v>80781</v>
      </c>
      <c r="L128">
        <v>82149</v>
      </c>
      <c r="M128">
        <v>83613</v>
      </c>
    </row>
    <row r="129" spans="1:13" x14ac:dyDescent="0.2">
      <c r="A129" t="s">
        <v>626</v>
      </c>
      <c r="B129" t="s">
        <v>627</v>
      </c>
      <c r="C129" t="s">
        <v>867</v>
      </c>
      <c r="D129">
        <v>33869</v>
      </c>
      <c r="E129">
        <v>33868</v>
      </c>
      <c r="F129">
        <v>33799</v>
      </c>
      <c r="G129">
        <v>33677</v>
      </c>
      <c r="H129">
        <v>33511</v>
      </c>
      <c r="I129">
        <v>33350</v>
      </c>
      <c r="J129">
        <v>33250</v>
      </c>
      <c r="K129">
        <v>33184</v>
      </c>
      <c r="L129">
        <v>33064</v>
      </c>
      <c r="M129">
        <v>32819</v>
      </c>
    </row>
    <row r="130" spans="1:13" x14ac:dyDescent="0.2">
      <c r="A130" t="s">
        <v>628</v>
      </c>
      <c r="B130" t="s">
        <v>396</v>
      </c>
      <c r="C130" t="s">
        <v>867</v>
      </c>
      <c r="D130">
        <v>37533180</v>
      </c>
      <c r="E130">
        <v>37550935</v>
      </c>
      <c r="F130">
        <v>37571156</v>
      </c>
      <c r="G130">
        <v>37543009</v>
      </c>
      <c r="H130">
        <v>37354839</v>
      </c>
      <c r="I130">
        <v>37036120</v>
      </c>
      <c r="J130">
        <v>36739762</v>
      </c>
      <c r="K130">
        <v>36557801</v>
      </c>
      <c r="L130">
        <v>36307699</v>
      </c>
      <c r="M130">
        <v>35902741</v>
      </c>
    </row>
    <row r="131" spans="1:13" x14ac:dyDescent="0.2">
      <c r="A131" t="s">
        <v>629</v>
      </c>
      <c r="B131" t="s">
        <v>630</v>
      </c>
      <c r="C131" t="s">
        <v>867</v>
      </c>
      <c r="D131">
        <v>3033204</v>
      </c>
      <c r="E131">
        <v>3145144</v>
      </c>
      <c r="F131">
        <v>3272042</v>
      </c>
      <c r="G131">
        <v>3359226</v>
      </c>
      <c r="H131">
        <v>3317123</v>
      </c>
      <c r="I131">
        <v>3335546</v>
      </c>
      <c r="J131">
        <v>3581643</v>
      </c>
      <c r="K131">
        <v>3807236</v>
      </c>
      <c r="L131">
        <v>3852988</v>
      </c>
      <c r="M131">
        <v>3836386</v>
      </c>
    </row>
    <row r="132" spans="1:13" x14ac:dyDescent="0.2">
      <c r="A132" t="s">
        <v>631</v>
      </c>
      <c r="B132" t="s">
        <v>632</v>
      </c>
      <c r="C132" t="s">
        <v>867</v>
      </c>
      <c r="D132">
        <v>392034446</v>
      </c>
      <c r="E132">
        <v>396459020</v>
      </c>
      <c r="F132">
        <v>400469717</v>
      </c>
      <c r="G132">
        <v>404204344</v>
      </c>
      <c r="H132">
        <v>407817281</v>
      </c>
      <c r="I132">
        <v>411105895</v>
      </c>
      <c r="J132">
        <v>414359079</v>
      </c>
      <c r="K132">
        <v>417794382</v>
      </c>
      <c r="L132">
        <v>421135143</v>
      </c>
      <c r="M132">
        <v>424323729</v>
      </c>
    </row>
    <row r="133" spans="1:13" x14ac:dyDescent="0.2">
      <c r="A133" t="s">
        <v>633</v>
      </c>
      <c r="B133" t="s">
        <v>634</v>
      </c>
      <c r="C133" t="s">
        <v>867</v>
      </c>
      <c r="D133">
        <v>4355161</v>
      </c>
      <c r="E133">
        <v>4447431</v>
      </c>
      <c r="F133">
        <v>4536999</v>
      </c>
      <c r="G133">
        <v>4624973</v>
      </c>
      <c r="H133">
        <v>4712905</v>
      </c>
      <c r="I133">
        <v>4800713</v>
      </c>
      <c r="J133">
        <v>4888106</v>
      </c>
      <c r="K133">
        <v>4975106</v>
      </c>
      <c r="L133">
        <v>5060934</v>
      </c>
      <c r="M133">
        <v>5145215</v>
      </c>
    </row>
    <row r="134" spans="1:13" x14ac:dyDescent="0.2">
      <c r="A134" t="s">
        <v>399</v>
      </c>
      <c r="B134" t="s">
        <v>400</v>
      </c>
      <c r="C134" t="s">
        <v>867</v>
      </c>
      <c r="D134">
        <v>4191006</v>
      </c>
      <c r="E134">
        <v>4016797</v>
      </c>
      <c r="F134">
        <v>3842268</v>
      </c>
      <c r="G134">
        <v>3668674</v>
      </c>
      <c r="H134">
        <v>3588504</v>
      </c>
      <c r="I134">
        <v>3607901</v>
      </c>
      <c r="J134">
        <v>3636328</v>
      </c>
      <c r="K134">
        <v>3663844</v>
      </c>
      <c r="L134">
        <v>3696945</v>
      </c>
      <c r="M134">
        <v>3741835</v>
      </c>
    </row>
    <row r="135" spans="1:13" x14ac:dyDescent="0.2">
      <c r="A135" t="s">
        <v>635</v>
      </c>
      <c r="B135" t="s">
        <v>636</v>
      </c>
      <c r="C135" t="s">
        <v>867</v>
      </c>
      <c r="D135">
        <v>2594217</v>
      </c>
      <c r="E135">
        <v>2651323</v>
      </c>
      <c r="F135">
        <v>2712005</v>
      </c>
      <c r="G135">
        <v>2777715</v>
      </c>
      <c r="H135">
        <v>2852900</v>
      </c>
      <c r="I135">
        <v>2935286</v>
      </c>
      <c r="J135">
        <v>3023196</v>
      </c>
      <c r="K135">
        <v>3115959</v>
      </c>
      <c r="L135">
        <v>3208590</v>
      </c>
      <c r="M135">
        <v>3300298</v>
      </c>
    </row>
    <row r="136" spans="1:13" x14ac:dyDescent="0.2">
      <c r="A136" t="s">
        <v>637</v>
      </c>
      <c r="B136" t="s">
        <v>638</v>
      </c>
      <c r="C136" t="s">
        <v>867</v>
      </c>
      <c r="D136">
        <v>4283961</v>
      </c>
      <c r="E136">
        <v>4366842</v>
      </c>
      <c r="F136">
        <v>4460164</v>
      </c>
      <c r="G136">
        <v>4552368</v>
      </c>
      <c r="H136">
        <v>4642265</v>
      </c>
      <c r="I136">
        <v>4731932</v>
      </c>
      <c r="J136">
        <v>4821249</v>
      </c>
      <c r="K136">
        <v>4906531</v>
      </c>
      <c r="L136">
        <v>4987238</v>
      </c>
      <c r="M136">
        <v>5068925</v>
      </c>
    </row>
    <row r="137" spans="1:13" x14ac:dyDescent="0.2">
      <c r="A137" t="s">
        <v>639</v>
      </c>
      <c r="B137" t="s">
        <v>640</v>
      </c>
      <c r="C137" t="s">
        <v>867</v>
      </c>
      <c r="D137">
        <v>125708</v>
      </c>
      <c r="E137">
        <v>126816</v>
      </c>
      <c r="F137">
        <v>127772</v>
      </c>
      <c r="G137">
        <v>128618</v>
      </c>
      <c r="H137">
        <v>129333</v>
      </c>
      <c r="I137">
        <v>129810</v>
      </c>
      <c r="J137">
        <v>130180</v>
      </c>
      <c r="K137">
        <v>130576</v>
      </c>
      <c r="L137">
        <v>130937</v>
      </c>
      <c r="M137">
        <v>131133</v>
      </c>
    </row>
    <row r="138" spans="1:13" x14ac:dyDescent="0.2">
      <c r="A138" t="s">
        <v>641</v>
      </c>
      <c r="B138" t="s">
        <v>642</v>
      </c>
      <c r="C138" t="s">
        <v>867</v>
      </c>
      <c r="D138">
        <v>417439188</v>
      </c>
      <c r="E138">
        <v>422106142</v>
      </c>
      <c r="F138">
        <v>426379543</v>
      </c>
      <c r="G138">
        <v>430434329</v>
      </c>
      <c r="H138">
        <v>434212372</v>
      </c>
      <c r="I138">
        <v>437606501</v>
      </c>
      <c r="J138">
        <v>440956921</v>
      </c>
      <c r="K138">
        <v>444516718</v>
      </c>
      <c r="L138">
        <v>447986768</v>
      </c>
      <c r="M138">
        <v>451273765</v>
      </c>
    </row>
    <row r="139" spans="1:13" x14ac:dyDescent="0.2">
      <c r="A139" t="s">
        <v>643</v>
      </c>
      <c r="B139" t="s">
        <v>644</v>
      </c>
      <c r="C139" t="s">
        <v>867</v>
      </c>
      <c r="D139">
        <v>551944229</v>
      </c>
      <c r="E139">
        <v>567184711</v>
      </c>
      <c r="F139">
        <v>582504216</v>
      </c>
      <c r="G139">
        <v>598260994</v>
      </c>
      <c r="H139">
        <v>614610563</v>
      </c>
      <c r="I139">
        <v>631044144</v>
      </c>
      <c r="J139">
        <v>647604781</v>
      </c>
      <c r="K139">
        <v>664898737</v>
      </c>
      <c r="L139">
        <v>682650915</v>
      </c>
      <c r="M139">
        <v>700839956</v>
      </c>
    </row>
    <row r="140" spans="1:13" x14ac:dyDescent="0.2">
      <c r="A140" t="s">
        <v>645</v>
      </c>
      <c r="B140" t="s">
        <v>646</v>
      </c>
      <c r="C140" t="s">
        <v>867</v>
      </c>
      <c r="D140">
        <v>320466389</v>
      </c>
      <c r="E140">
        <v>330897983</v>
      </c>
      <c r="F140">
        <v>342004697</v>
      </c>
      <c r="G140">
        <v>353715435</v>
      </c>
      <c r="H140">
        <v>365592593</v>
      </c>
      <c r="I140">
        <v>377395762</v>
      </c>
      <c r="J140">
        <v>389331519</v>
      </c>
      <c r="K140">
        <v>402018369</v>
      </c>
      <c r="L140">
        <v>414995622</v>
      </c>
      <c r="M140">
        <v>428123569</v>
      </c>
    </row>
    <row r="141" spans="1:13" x14ac:dyDescent="0.2">
      <c r="A141" t="s">
        <v>647</v>
      </c>
      <c r="B141" t="s">
        <v>648</v>
      </c>
      <c r="C141" t="s">
        <v>867</v>
      </c>
      <c r="D141">
        <v>25756</v>
      </c>
      <c r="E141">
        <v>25771</v>
      </c>
      <c r="F141">
        <v>25807</v>
      </c>
      <c r="G141">
        <v>25865</v>
      </c>
      <c r="H141">
        <v>25974</v>
      </c>
      <c r="I141">
        <v>26027</v>
      </c>
      <c r="J141">
        <v>26052</v>
      </c>
      <c r="K141">
        <v>26095</v>
      </c>
      <c r="L141">
        <v>26297</v>
      </c>
      <c r="M141">
        <v>26419</v>
      </c>
    </row>
    <row r="142" spans="1:13" x14ac:dyDescent="0.2">
      <c r="A142" t="s">
        <v>649</v>
      </c>
      <c r="B142" t="s">
        <v>650</v>
      </c>
      <c r="C142" t="s">
        <v>867</v>
      </c>
      <c r="D142">
        <v>14035299</v>
      </c>
      <c r="E142">
        <v>14175548</v>
      </c>
      <c r="F142">
        <v>14304583</v>
      </c>
      <c r="G142">
        <v>14383450</v>
      </c>
      <c r="H142">
        <v>14454887</v>
      </c>
      <c r="I142">
        <v>14609304</v>
      </c>
      <c r="J142">
        <v>14623326</v>
      </c>
      <c r="K142">
        <v>14522387</v>
      </c>
      <c r="L142">
        <v>14435143</v>
      </c>
      <c r="M142">
        <v>14320772</v>
      </c>
    </row>
    <row r="143" spans="1:13" x14ac:dyDescent="0.2">
      <c r="A143" t="s">
        <v>651</v>
      </c>
      <c r="B143" t="s">
        <v>652</v>
      </c>
      <c r="C143" t="s">
        <v>867</v>
      </c>
      <c r="D143">
        <v>1633960779</v>
      </c>
      <c r="E143">
        <v>1663922158</v>
      </c>
      <c r="F143">
        <v>1692786246</v>
      </c>
      <c r="G143">
        <v>1721160128</v>
      </c>
      <c r="H143">
        <v>1750376585</v>
      </c>
      <c r="I143">
        <v>1779465968</v>
      </c>
      <c r="J143">
        <v>1808153136</v>
      </c>
      <c r="K143">
        <v>1837580893</v>
      </c>
      <c r="L143">
        <v>1867821058</v>
      </c>
      <c r="M143">
        <v>1898578276</v>
      </c>
    </row>
    <row r="144" spans="1:13" x14ac:dyDescent="0.2">
      <c r="A144" t="s">
        <v>653</v>
      </c>
      <c r="B144" t="s">
        <v>654</v>
      </c>
      <c r="C144" t="s">
        <v>867</v>
      </c>
      <c r="D144">
        <v>3985026300</v>
      </c>
      <c r="E144">
        <v>4034879420</v>
      </c>
      <c r="F144">
        <v>4083717656</v>
      </c>
      <c r="G144">
        <v>4132452490</v>
      </c>
      <c r="H144">
        <v>4181207972</v>
      </c>
      <c r="I144">
        <v>4229971235</v>
      </c>
      <c r="J144">
        <v>4276475494</v>
      </c>
      <c r="K144">
        <v>4324941637</v>
      </c>
      <c r="L144">
        <v>4379689867</v>
      </c>
      <c r="M144">
        <v>4436782571</v>
      </c>
    </row>
    <row r="145" spans="1:13" x14ac:dyDescent="0.2">
      <c r="A145" t="s">
        <v>655</v>
      </c>
      <c r="B145" t="s">
        <v>656</v>
      </c>
      <c r="C145" t="s">
        <v>867</v>
      </c>
      <c r="D145">
        <v>1268603</v>
      </c>
      <c r="E145">
        <v>1287903</v>
      </c>
      <c r="F145">
        <v>1308565</v>
      </c>
      <c r="G145">
        <v>1328923</v>
      </c>
      <c r="H145">
        <v>1349684</v>
      </c>
      <c r="I145">
        <v>1370897</v>
      </c>
      <c r="J145">
        <v>1392476</v>
      </c>
      <c r="K145">
        <v>1415766</v>
      </c>
      <c r="L145">
        <v>1440421</v>
      </c>
      <c r="M145">
        <v>1465674</v>
      </c>
    </row>
    <row r="146" spans="1:13" x14ac:dyDescent="0.2">
      <c r="A146" t="s">
        <v>657</v>
      </c>
      <c r="B146" t="s">
        <v>658</v>
      </c>
      <c r="C146" t="s">
        <v>867</v>
      </c>
      <c r="D146">
        <v>1598428878</v>
      </c>
      <c r="E146">
        <v>1599686805</v>
      </c>
      <c r="F146">
        <v>1599533356</v>
      </c>
      <c r="G146">
        <v>1599287274</v>
      </c>
      <c r="H146">
        <v>1597956403</v>
      </c>
      <c r="I146">
        <v>1596940617</v>
      </c>
      <c r="J146">
        <v>1596957688</v>
      </c>
      <c r="K146">
        <v>1597530908</v>
      </c>
      <c r="L146">
        <v>1601432993</v>
      </c>
      <c r="M146">
        <v>1606210809</v>
      </c>
    </row>
    <row r="147" spans="1:13" x14ac:dyDescent="0.2">
      <c r="A147" t="s">
        <v>211</v>
      </c>
      <c r="B147" t="s">
        <v>213</v>
      </c>
      <c r="C147" t="s">
        <v>867</v>
      </c>
      <c r="D147">
        <v>1901397</v>
      </c>
      <c r="E147">
        <v>1864396</v>
      </c>
      <c r="F147">
        <v>1838746</v>
      </c>
      <c r="G147">
        <v>1828127</v>
      </c>
      <c r="H147">
        <v>1825346</v>
      </c>
      <c r="I147">
        <v>1823846</v>
      </c>
      <c r="J147">
        <v>1843121</v>
      </c>
      <c r="K147">
        <v>1873901</v>
      </c>
      <c r="L147">
        <v>1881064</v>
      </c>
      <c r="M147">
        <v>1871141</v>
      </c>
    </row>
    <row r="148" spans="1:13" x14ac:dyDescent="0.2">
      <c r="A148" t="s">
        <v>135</v>
      </c>
      <c r="B148" t="s">
        <v>137</v>
      </c>
      <c r="C148" t="s">
        <v>867</v>
      </c>
      <c r="D148">
        <v>403952</v>
      </c>
      <c r="E148">
        <v>414517</v>
      </c>
      <c r="F148">
        <v>422696</v>
      </c>
      <c r="G148">
        <v>430966</v>
      </c>
      <c r="H148">
        <v>437765</v>
      </c>
      <c r="I148">
        <v>443880</v>
      </c>
      <c r="J148">
        <v>452461</v>
      </c>
      <c r="K148">
        <v>460329</v>
      </c>
      <c r="L148">
        <v>465421</v>
      </c>
      <c r="M148">
        <v>470174</v>
      </c>
    </row>
    <row r="149" spans="1:13" x14ac:dyDescent="0.2">
      <c r="A149" t="s">
        <v>203</v>
      </c>
      <c r="B149" t="s">
        <v>205</v>
      </c>
      <c r="C149" t="s">
        <v>867</v>
      </c>
      <c r="D149">
        <v>1270152</v>
      </c>
      <c r="E149">
        <v>1249196</v>
      </c>
      <c r="F149">
        <v>1232794</v>
      </c>
      <c r="G149">
        <v>1218197</v>
      </c>
      <c r="H149">
        <v>1203554</v>
      </c>
      <c r="I149">
        <v>1190051</v>
      </c>
      <c r="J149">
        <v>1185181</v>
      </c>
      <c r="K149">
        <v>1186283</v>
      </c>
      <c r="L149">
        <v>1172875</v>
      </c>
      <c r="M149">
        <v>1157040</v>
      </c>
    </row>
    <row r="150" spans="1:13" x14ac:dyDescent="0.2">
      <c r="A150" t="s">
        <v>659</v>
      </c>
      <c r="B150" t="s">
        <v>660</v>
      </c>
      <c r="C150" t="s">
        <v>867</v>
      </c>
      <c r="D150">
        <v>506873</v>
      </c>
      <c r="E150">
        <v>499397</v>
      </c>
      <c r="F150">
        <v>502198</v>
      </c>
      <c r="G150">
        <v>505799</v>
      </c>
      <c r="H150">
        <v>509361</v>
      </c>
      <c r="I150">
        <v>502032</v>
      </c>
      <c r="J150">
        <v>494309</v>
      </c>
      <c r="K150">
        <v>491628</v>
      </c>
      <c r="L150">
        <v>493413</v>
      </c>
      <c r="M150">
        <v>488335</v>
      </c>
    </row>
    <row r="151" spans="1:13" x14ac:dyDescent="0.2">
      <c r="A151" t="s">
        <v>661</v>
      </c>
      <c r="B151" t="s">
        <v>662</v>
      </c>
      <c r="C151" t="s">
        <v>867</v>
      </c>
      <c r="D151">
        <v>24691</v>
      </c>
      <c r="E151">
        <v>24502</v>
      </c>
      <c r="F151">
        <v>23784</v>
      </c>
      <c r="G151">
        <v>21812</v>
      </c>
      <c r="H151">
        <v>19859</v>
      </c>
      <c r="I151">
        <v>18890</v>
      </c>
      <c r="J151">
        <v>18099</v>
      </c>
      <c r="K151">
        <v>16967</v>
      </c>
      <c r="L151">
        <v>15745</v>
      </c>
      <c r="M151">
        <v>14787</v>
      </c>
    </row>
    <row r="152" spans="1:13" x14ac:dyDescent="0.2">
      <c r="A152" t="s">
        <v>663</v>
      </c>
      <c r="B152" t="s">
        <v>664</v>
      </c>
      <c r="C152" t="s">
        <v>867</v>
      </c>
      <c r="D152">
        <v>23172367</v>
      </c>
      <c r="E152">
        <v>23450265</v>
      </c>
      <c r="F152">
        <v>23693123</v>
      </c>
      <c r="G152">
        <v>23916648</v>
      </c>
      <c r="H152">
        <v>24156677</v>
      </c>
      <c r="I152">
        <v>24409981</v>
      </c>
      <c r="J152">
        <v>24669244</v>
      </c>
      <c r="K152">
        <v>24942696</v>
      </c>
      <c r="L152">
        <v>25220566</v>
      </c>
      <c r="M152">
        <v>25498901</v>
      </c>
    </row>
    <row r="153" spans="1:13" x14ac:dyDescent="0.2">
      <c r="A153" t="s">
        <v>665</v>
      </c>
      <c r="B153" t="s">
        <v>666</v>
      </c>
      <c r="C153" t="s">
        <v>867</v>
      </c>
      <c r="D153">
        <v>19684</v>
      </c>
      <c r="E153">
        <v>19655</v>
      </c>
      <c r="F153">
        <v>19637</v>
      </c>
      <c r="G153">
        <v>19499</v>
      </c>
      <c r="H153">
        <v>19307</v>
      </c>
      <c r="I153">
        <v>19224</v>
      </c>
      <c r="J153">
        <v>19480</v>
      </c>
      <c r="K153">
        <v>19659</v>
      </c>
      <c r="L153">
        <v>19455</v>
      </c>
      <c r="M153">
        <v>19254</v>
      </c>
    </row>
    <row r="154" spans="1:13" x14ac:dyDescent="0.2">
      <c r="A154" t="s">
        <v>667</v>
      </c>
      <c r="B154" t="s">
        <v>668</v>
      </c>
      <c r="C154" t="s">
        <v>867</v>
      </c>
      <c r="D154">
        <v>1933741</v>
      </c>
      <c r="E154">
        <v>1874177</v>
      </c>
      <c r="F154">
        <v>1819165</v>
      </c>
      <c r="G154">
        <v>1769554</v>
      </c>
      <c r="H154">
        <v>1731714</v>
      </c>
      <c r="I154">
        <v>1691333</v>
      </c>
      <c r="J154">
        <v>1636982</v>
      </c>
      <c r="K154">
        <v>1582642</v>
      </c>
      <c r="L154">
        <v>1537470</v>
      </c>
      <c r="M154">
        <v>1501484</v>
      </c>
    </row>
    <row r="155" spans="1:13" x14ac:dyDescent="0.2">
      <c r="A155" t="s">
        <v>669</v>
      </c>
      <c r="B155" t="s">
        <v>670</v>
      </c>
      <c r="C155" t="s">
        <v>867</v>
      </c>
      <c r="D155">
        <v>14497349</v>
      </c>
      <c r="E155">
        <v>14952118</v>
      </c>
      <c r="F155">
        <v>15410691</v>
      </c>
      <c r="G155">
        <v>15875472</v>
      </c>
      <c r="H155">
        <v>16346393</v>
      </c>
      <c r="I155">
        <v>16822314</v>
      </c>
      <c r="J155">
        <v>17308526</v>
      </c>
      <c r="K155">
        <v>17810601</v>
      </c>
      <c r="L155">
        <v>18328064</v>
      </c>
      <c r="M155">
        <v>18855173</v>
      </c>
    </row>
    <row r="156" spans="1:13" x14ac:dyDescent="0.2">
      <c r="A156" t="s">
        <v>671</v>
      </c>
      <c r="B156" t="s">
        <v>672</v>
      </c>
      <c r="C156" t="s">
        <v>867</v>
      </c>
      <c r="D156">
        <v>324593</v>
      </c>
      <c r="E156">
        <v>337617</v>
      </c>
      <c r="F156">
        <v>350552</v>
      </c>
      <c r="G156">
        <v>363344</v>
      </c>
      <c r="H156">
        <v>376022</v>
      </c>
      <c r="I156">
        <v>388687</v>
      </c>
      <c r="J156">
        <v>395889</v>
      </c>
      <c r="K156">
        <v>397682</v>
      </c>
      <c r="L156">
        <v>399901</v>
      </c>
      <c r="M156">
        <v>402582</v>
      </c>
    </row>
    <row r="157" spans="1:13" x14ac:dyDescent="0.2">
      <c r="A157" t="s">
        <v>673</v>
      </c>
      <c r="B157" t="s">
        <v>674</v>
      </c>
      <c r="C157" t="s">
        <v>867</v>
      </c>
      <c r="D157">
        <v>436567668</v>
      </c>
      <c r="E157">
        <v>443725529</v>
      </c>
      <c r="F157">
        <v>450681669</v>
      </c>
      <c r="G157">
        <v>458671104</v>
      </c>
      <c r="H157">
        <v>468001142</v>
      </c>
      <c r="I157">
        <v>476044635</v>
      </c>
      <c r="J157">
        <v>487229049</v>
      </c>
      <c r="K157">
        <v>498941448</v>
      </c>
      <c r="L157">
        <v>510719945</v>
      </c>
      <c r="M157">
        <v>522340114</v>
      </c>
    </row>
    <row r="158" spans="1:13" x14ac:dyDescent="0.2">
      <c r="A158" t="s">
        <v>271</v>
      </c>
      <c r="B158" t="s">
        <v>273</v>
      </c>
      <c r="C158" t="s">
        <v>867</v>
      </c>
      <c r="D158">
        <v>80219079</v>
      </c>
      <c r="E158">
        <v>81281434</v>
      </c>
      <c r="F158">
        <v>82352438</v>
      </c>
      <c r="G158">
        <v>83404230</v>
      </c>
      <c r="H158">
        <v>84358936</v>
      </c>
      <c r="I158">
        <v>85208948</v>
      </c>
      <c r="J158">
        <v>86098005</v>
      </c>
      <c r="K158">
        <v>87049387</v>
      </c>
      <c r="L158">
        <v>87993476</v>
      </c>
      <c r="M158">
        <v>88915724</v>
      </c>
    </row>
    <row r="159" spans="1:13" x14ac:dyDescent="0.2">
      <c r="A159" t="s">
        <v>675</v>
      </c>
      <c r="B159" t="s">
        <v>676</v>
      </c>
      <c r="C159" t="s">
        <v>867</v>
      </c>
      <c r="D159">
        <v>28712</v>
      </c>
      <c r="E159">
        <v>28181</v>
      </c>
      <c r="F159">
        <v>27598</v>
      </c>
      <c r="G159">
        <v>26993</v>
      </c>
      <c r="H159">
        <v>26369</v>
      </c>
      <c r="I159">
        <v>25526</v>
      </c>
      <c r="J159">
        <v>24555</v>
      </c>
      <c r="K159">
        <v>23650</v>
      </c>
      <c r="L159">
        <v>22861</v>
      </c>
      <c r="M159">
        <v>22215</v>
      </c>
    </row>
    <row r="160" spans="1:13" x14ac:dyDescent="0.2">
      <c r="A160" t="s">
        <v>677</v>
      </c>
      <c r="B160" t="s">
        <v>678</v>
      </c>
      <c r="C160" t="s">
        <v>867</v>
      </c>
      <c r="D160">
        <v>3664559911</v>
      </c>
      <c r="E160">
        <v>3703981437</v>
      </c>
      <c r="F160">
        <v>3741712959</v>
      </c>
      <c r="G160">
        <v>3778737055</v>
      </c>
      <c r="H160">
        <v>3815615379</v>
      </c>
      <c r="I160">
        <v>3852575473</v>
      </c>
      <c r="J160">
        <v>3887143975</v>
      </c>
      <c r="K160">
        <v>3922923268</v>
      </c>
      <c r="L160">
        <v>3964694245</v>
      </c>
      <c r="M160">
        <v>4008659002</v>
      </c>
    </row>
    <row r="161" spans="1:13" x14ac:dyDescent="0.2">
      <c r="A161" t="s">
        <v>679</v>
      </c>
      <c r="B161" t="s">
        <v>680</v>
      </c>
      <c r="C161" t="s">
        <v>867</v>
      </c>
      <c r="D161">
        <v>1302245</v>
      </c>
      <c r="E161">
        <v>1291013</v>
      </c>
      <c r="F161">
        <v>1276293</v>
      </c>
      <c r="G161">
        <v>1257079</v>
      </c>
      <c r="H161">
        <v>1233245</v>
      </c>
      <c r="I161">
        <v>1213480</v>
      </c>
      <c r="J161">
        <v>1204416</v>
      </c>
      <c r="K161">
        <v>1195948</v>
      </c>
      <c r="L161">
        <v>1188616</v>
      </c>
      <c r="M161">
        <v>1182617</v>
      </c>
    </row>
    <row r="162" spans="1:13" x14ac:dyDescent="0.2">
      <c r="A162" t="s">
        <v>681</v>
      </c>
      <c r="B162" t="s">
        <v>682</v>
      </c>
      <c r="C162" t="s">
        <v>867</v>
      </c>
      <c r="D162">
        <v>9485903</v>
      </c>
      <c r="E162">
        <v>9814247</v>
      </c>
      <c r="F162">
        <v>10155995</v>
      </c>
      <c r="G162">
        <v>10512307</v>
      </c>
      <c r="H162">
        <v>10898187</v>
      </c>
      <c r="I162">
        <v>11309310</v>
      </c>
      <c r="J162">
        <v>11726373</v>
      </c>
      <c r="K162">
        <v>12154220</v>
      </c>
      <c r="L162">
        <v>12600039</v>
      </c>
      <c r="M162">
        <v>13063829</v>
      </c>
    </row>
    <row r="163" spans="1:13" x14ac:dyDescent="0.2">
      <c r="A163" t="s">
        <v>144</v>
      </c>
      <c r="B163" t="s">
        <v>146</v>
      </c>
      <c r="C163" t="s">
        <v>867</v>
      </c>
      <c r="D163">
        <v>305378</v>
      </c>
      <c r="E163">
        <v>313694</v>
      </c>
      <c r="F163">
        <v>326407</v>
      </c>
      <c r="G163">
        <v>341972</v>
      </c>
      <c r="H163">
        <v>351396</v>
      </c>
      <c r="I163">
        <v>352351</v>
      </c>
      <c r="J163">
        <v>358523</v>
      </c>
      <c r="K163">
        <v>370606</v>
      </c>
      <c r="L163">
        <v>379746</v>
      </c>
      <c r="M163">
        <v>385851</v>
      </c>
    </row>
    <row r="164" spans="1:13" x14ac:dyDescent="0.2">
      <c r="A164" t="s">
        <v>683</v>
      </c>
      <c r="B164" t="s">
        <v>684</v>
      </c>
      <c r="C164" t="s">
        <v>867</v>
      </c>
      <c r="D164">
        <v>35021935</v>
      </c>
      <c r="E164">
        <v>35361291</v>
      </c>
      <c r="F164">
        <v>35672844</v>
      </c>
      <c r="G164">
        <v>35957637</v>
      </c>
      <c r="H164">
        <v>36234903</v>
      </c>
      <c r="I164">
        <v>36504630</v>
      </c>
      <c r="J164">
        <v>36766819</v>
      </c>
      <c r="K164">
        <v>37024878</v>
      </c>
      <c r="L164">
        <v>37275361</v>
      </c>
      <c r="M164">
        <v>37517374</v>
      </c>
    </row>
    <row r="165" spans="1:13" x14ac:dyDescent="0.2">
      <c r="A165" t="s">
        <v>685</v>
      </c>
      <c r="B165" t="s">
        <v>686</v>
      </c>
      <c r="C165" t="s">
        <v>867</v>
      </c>
      <c r="D165">
        <v>391683481</v>
      </c>
      <c r="E165">
        <v>398256963</v>
      </c>
      <c r="F165">
        <v>405590922</v>
      </c>
      <c r="G165">
        <v>413489454</v>
      </c>
      <c r="H165">
        <v>421693797</v>
      </c>
      <c r="I165">
        <v>430263597</v>
      </c>
      <c r="J165">
        <v>439178611</v>
      </c>
      <c r="K165">
        <v>448560261</v>
      </c>
      <c r="L165">
        <v>458163324</v>
      </c>
      <c r="M165">
        <v>467724635</v>
      </c>
    </row>
    <row r="166" spans="1:13" x14ac:dyDescent="0.2">
      <c r="A166" t="s">
        <v>687</v>
      </c>
      <c r="B166" t="s">
        <v>688</v>
      </c>
      <c r="C166" t="s">
        <v>867</v>
      </c>
      <c r="D166">
        <v>416617</v>
      </c>
      <c r="E166">
        <v>414840</v>
      </c>
      <c r="F166">
        <v>412550</v>
      </c>
      <c r="G166">
        <v>409781</v>
      </c>
      <c r="H166">
        <v>406790</v>
      </c>
      <c r="I166">
        <v>403787</v>
      </c>
      <c r="J166">
        <v>401485</v>
      </c>
      <c r="K166">
        <v>400313</v>
      </c>
      <c r="L166">
        <v>399312</v>
      </c>
      <c r="M166">
        <v>397715</v>
      </c>
    </row>
    <row r="167" spans="1:13" x14ac:dyDescent="0.2">
      <c r="A167" t="s">
        <v>689</v>
      </c>
      <c r="B167" t="s">
        <v>690</v>
      </c>
      <c r="C167" t="s">
        <v>867</v>
      </c>
      <c r="D167">
        <v>2035808</v>
      </c>
      <c r="E167">
        <v>2051242</v>
      </c>
      <c r="F167">
        <v>2064311</v>
      </c>
      <c r="G167">
        <v>2075651</v>
      </c>
      <c r="H167">
        <v>2093738</v>
      </c>
      <c r="I167">
        <v>2119721</v>
      </c>
      <c r="J167">
        <v>2146054</v>
      </c>
      <c r="K167">
        <v>2175678</v>
      </c>
      <c r="L167">
        <v>2208951</v>
      </c>
      <c r="M167">
        <v>2248767</v>
      </c>
    </row>
    <row r="168" spans="1:13" x14ac:dyDescent="0.2">
      <c r="A168" t="s">
        <v>691</v>
      </c>
      <c r="B168" t="s">
        <v>692</v>
      </c>
      <c r="C168" t="s">
        <v>867</v>
      </c>
      <c r="D168">
        <v>35619</v>
      </c>
      <c r="E168">
        <v>35040</v>
      </c>
      <c r="F168">
        <v>34454</v>
      </c>
      <c r="G168">
        <v>33872</v>
      </c>
      <c r="H168">
        <v>33418</v>
      </c>
      <c r="I168">
        <v>32813</v>
      </c>
      <c r="J168">
        <v>31919</v>
      </c>
      <c r="K168">
        <v>31005</v>
      </c>
      <c r="L168">
        <v>30218</v>
      </c>
      <c r="M168">
        <v>29602</v>
      </c>
    </row>
    <row r="169" spans="1:13" x14ac:dyDescent="0.2">
      <c r="A169" t="s">
        <v>693</v>
      </c>
      <c r="B169" t="s">
        <v>694</v>
      </c>
      <c r="C169" t="s">
        <v>867</v>
      </c>
      <c r="D169">
        <v>14119881</v>
      </c>
      <c r="E169">
        <v>14575683</v>
      </c>
      <c r="F169">
        <v>15041387</v>
      </c>
      <c r="G169">
        <v>15511287</v>
      </c>
      <c r="H169">
        <v>16008905</v>
      </c>
      <c r="I169">
        <v>16529270</v>
      </c>
      <c r="J169">
        <v>17070588</v>
      </c>
      <c r="K169">
        <v>17651182</v>
      </c>
      <c r="L169">
        <v>18274202</v>
      </c>
      <c r="M169">
        <v>18919550</v>
      </c>
    </row>
    <row r="170" spans="1:13" x14ac:dyDescent="0.2">
      <c r="A170" t="s">
        <v>695</v>
      </c>
      <c r="B170" t="s">
        <v>696</v>
      </c>
      <c r="C170" t="s">
        <v>867</v>
      </c>
      <c r="D170">
        <v>2137476</v>
      </c>
      <c r="E170">
        <v>2206960</v>
      </c>
      <c r="F170">
        <v>2279488</v>
      </c>
      <c r="G170">
        <v>2355248</v>
      </c>
      <c r="H170">
        <v>2434578</v>
      </c>
      <c r="I170">
        <v>2517265</v>
      </c>
      <c r="J170">
        <v>2605500</v>
      </c>
      <c r="K170">
        <v>2699491</v>
      </c>
      <c r="L170">
        <v>2794594</v>
      </c>
      <c r="M170">
        <v>2889731</v>
      </c>
    </row>
    <row r="171" spans="1:13" x14ac:dyDescent="0.2">
      <c r="A171" t="s">
        <v>265</v>
      </c>
      <c r="B171" t="s">
        <v>266</v>
      </c>
      <c r="C171" t="s">
        <v>867</v>
      </c>
      <c r="D171">
        <v>912700</v>
      </c>
      <c r="E171">
        <v>913205</v>
      </c>
      <c r="F171">
        <v>913819</v>
      </c>
      <c r="G171">
        <v>914458</v>
      </c>
      <c r="H171">
        <v>914621</v>
      </c>
      <c r="I171">
        <v>914500</v>
      </c>
      <c r="J171">
        <v>910641</v>
      </c>
      <c r="K171">
        <v>898204</v>
      </c>
      <c r="L171">
        <v>892766</v>
      </c>
      <c r="M171">
        <v>887388</v>
      </c>
    </row>
    <row r="172" spans="1:13" x14ac:dyDescent="0.2">
      <c r="A172" t="s">
        <v>697</v>
      </c>
      <c r="B172" t="s">
        <v>698</v>
      </c>
      <c r="C172" t="s">
        <v>867</v>
      </c>
      <c r="D172">
        <v>9122333</v>
      </c>
      <c r="E172">
        <v>9463881</v>
      </c>
      <c r="F172">
        <v>9819185</v>
      </c>
      <c r="G172">
        <v>10191362</v>
      </c>
      <c r="H172">
        <v>10582343</v>
      </c>
      <c r="I172">
        <v>10987784</v>
      </c>
      <c r="J172">
        <v>11406049</v>
      </c>
      <c r="K172">
        <v>11837789</v>
      </c>
      <c r="L172">
        <v>12280351</v>
      </c>
      <c r="M172">
        <v>12726492</v>
      </c>
    </row>
    <row r="173" spans="1:13" x14ac:dyDescent="0.2">
      <c r="A173" t="s">
        <v>404</v>
      </c>
      <c r="B173" t="s">
        <v>405</v>
      </c>
      <c r="C173" t="s">
        <v>867</v>
      </c>
      <c r="D173">
        <v>21813486</v>
      </c>
      <c r="E173">
        <v>22238297</v>
      </c>
      <c r="F173">
        <v>22661661</v>
      </c>
      <c r="G173">
        <v>23088580</v>
      </c>
      <c r="H173">
        <v>23490230</v>
      </c>
      <c r="I173">
        <v>23877045</v>
      </c>
      <c r="J173">
        <v>24280146</v>
      </c>
      <c r="K173">
        <v>24680030</v>
      </c>
      <c r="L173">
        <v>25059539</v>
      </c>
      <c r="M173">
        <v>25421096</v>
      </c>
    </row>
    <row r="174" spans="1:13" x14ac:dyDescent="0.2">
      <c r="A174" t="s">
        <v>699</v>
      </c>
      <c r="B174" t="s">
        <v>700</v>
      </c>
      <c r="C174" t="s">
        <v>867</v>
      </c>
      <c r="D174">
        <v>239483255</v>
      </c>
      <c r="E174">
        <v>240513846</v>
      </c>
      <c r="F174">
        <v>241375607</v>
      </c>
      <c r="G174">
        <v>242073884</v>
      </c>
      <c r="H174">
        <v>242494901</v>
      </c>
      <c r="I174">
        <v>242322413</v>
      </c>
      <c r="J174">
        <v>243320077</v>
      </c>
      <c r="K174">
        <v>245010886</v>
      </c>
      <c r="L174">
        <v>247040275</v>
      </c>
      <c r="M174">
        <v>247512841</v>
      </c>
    </row>
    <row r="175" spans="1:13" x14ac:dyDescent="0.2">
      <c r="A175" t="s">
        <v>701</v>
      </c>
      <c r="B175" t="s">
        <v>702</v>
      </c>
      <c r="C175" t="s">
        <v>867</v>
      </c>
      <c r="D175">
        <v>1461371</v>
      </c>
      <c r="E175">
        <v>1498629</v>
      </c>
      <c r="F175">
        <v>1536369</v>
      </c>
      <c r="G175">
        <v>1575807</v>
      </c>
      <c r="H175">
        <v>1617755</v>
      </c>
      <c r="I175">
        <v>1661032</v>
      </c>
      <c r="J175">
        <v>1705013</v>
      </c>
      <c r="K175">
        <v>1752271</v>
      </c>
      <c r="L175">
        <v>1798301</v>
      </c>
      <c r="M175">
        <v>1841967</v>
      </c>
    </row>
    <row r="176" spans="1:13" x14ac:dyDescent="0.2">
      <c r="A176" t="s">
        <v>703</v>
      </c>
      <c r="B176" t="s">
        <v>704</v>
      </c>
      <c r="C176" t="s">
        <v>867</v>
      </c>
      <c r="D176">
        <v>190264</v>
      </c>
      <c r="E176">
        <v>190698</v>
      </c>
      <c r="F176">
        <v>190992</v>
      </c>
      <c r="G176">
        <v>191185</v>
      </c>
      <c r="H176">
        <v>191656</v>
      </c>
      <c r="I176">
        <v>192410</v>
      </c>
      <c r="J176">
        <v>193651</v>
      </c>
      <c r="K176">
        <v>195324</v>
      </c>
      <c r="L176">
        <v>196852</v>
      </c>
      <c r="M176">
        <v>198265</v>
      </c>
    </row>
    <row r="177" spans="1:13" x14ac:dyDescent="0.2">
      <c r="A177" t="s">
        <v>705</v>
      </c>
      <c r="B177" t="s">
        <v>706</v>
      </c>
      <c r="C177" t="s">
        <v>867</v>
      </c>
      <c r="D177">
        <v>10038519</v>
      </c>
      <c r="E177">
        <v>10441425</v>
      </c>
      <c r="F177">
        <v>10854617</v>
      </c>
      <c r="G177">
        <v>11282720</v>
      </c>
      <c r="H177">
        <v>11729398</v>
      </c>
      <c r="I177">
        <v>12197634</v>
      </c>
      <c r="J177">
        <v>12687023</v>
      </c>
      <c r="K177">
        <v>13201117</v>
      </c>
      <c r="L177">
        <v>13733709</v>
      </c>
      <c r="M177">
        <v>14281544</v>
      </c>
    </row>
    <row r="178" spans="1:13" x14ac:dyDescent="0.2">
      <c r="A178" t="s">
        <v>707</v>
      </c>
      <c r="B178" t="s">
        <v>708</v>
      </c>
      <c r="C178" t="s">
        <v>867</v>
      </c>
      <c r="D178">
        <v>103375298</v>
      </c>
      <c r="E178">
        <v>106447291</v>
      </c>
      <c r="F178">
        <v>109559942</v>
      </c>
      <c r="G178">
        <v>112699743</v>
      </c>
      <c r="H178">
        <v>115970850</v>
      </c>
      <c r="I178">
        <v>119349686</v>
      </c>
      <c r="J178">
        <v>122821414</v>
      </c>
      <c r="K178">
        <v>126428565</v>
      </c>
      <c r="L178">
        <v>130155065</v>
      </c>
      <c r="M178">
        <v>133991180</v>
      </c>
    </row>
    <row r="179" spans="1:13" x14ac:dyDescent="0.2">
      <c r="A179" t="s">
        <v>709</v>
      </c>
      <c r="B179" t="s">
        <v>710</v>
      </c>
      <c r="C179" t="s">
        <v>867</v>
      </c>
      <c r="D179">
        <v>3950270</v>
      </c>
      <c r="E179">
        <v>4018243</v>
      </c>
      <c r="F179">
        <v>4086462</v>
      </c>
      <c r="G179">
        <v>4155889</v>
      </c>
      <c r="H179">
        <v>4229139</v>
      </c>
      <c r="I179">
        <v>4304569</v>
      </c>
      <c r="J179">
        <v>4382578</v>
      </c>
      <c r="K179">
        <v>4463792</v>
      </c>
      <c r="L179">
        <v>4544425</v>
      </c>
      <c r="M179">
        <v>4624236</v>
      </c>
    </row>
    <row r="180" spans="1:13" x14ac:dyDescent="0.2">
      <c r="A180" t="s">
        <v>150</v>
      </c>
      <c r="B180" t="s">
        <v>151</v>
      </c>
      <c r="C180" t="s">
        <v>867</v>
      </c>
      <c r="D180">
        <v>11152992</v>
      </c>
      <c r="E180">
        <v>11198090</v>
      </c>
      <c r="F180">
        <v>11243424</v>
      </c>
      <c r="G180">
        <v>11298672</v>
      </c>
      <c r="H180">
        <v>11338727</v>
      </c>
      <c r="I180">
        <v>11370392</v>
      </c>
      <c r="J180">
        <v>11460982</v>
      </c>
      <c r="K180">
        <v>11561484</v>
      </c>
      <c r="L180">
        <v>11601889</v>
      </c>
      <c r="M180">
        <v>11611748</v>
      </c>
    </row>
    <row r="181" spans="1:13" x14ac:dyDescent="0.2">
      <c r="A181" t="s">
        <v>290</v>
      </c>
      <c r="B181" t="s">
        <v>291</v>
      </c>
      <c r="C181" t="s">
        <v>867</v>
      </c>
      <c r="D181">
        <v>3434359</v>
      </c>
      <c r="E181">
        <v>3453090</v>
      </c>
      <c r="F181">
        <v>3467398</v>
      </c>
      <c r="G181">
        <v>3485091</v>
      </c>
      <c r="H181">
        <v>3499929</v>
      </c>
      <c r="I181">
        <v>3512027</v>
      </c>
      <c r="J181">
        <v>3540787</v>
      </c>
      <c r="K181">
        <v>3585499</v>
      </c>
      <c r="L181">
        <v>3623431</v>
      </c>
      <c r="M181">
        <v>3646833</v>
      </c>
    </row>
    <row r="182" spans="1:13" x14ac:dyDescent="0.2">
      <c r="A182" t="s">
        <v>711</v>
      </c>
      <c r="B182" t="s">
        <v>712</v>
      </c>
      <c r="C182" t="s">
        <v>867</v>
      </c>
      <c r="D182">
        <v>17296685</v>
      </c>
      <c r="E182">
        <v>17409806</v>
      </c>
      <c r="F182">
        <v>17530204</v>
      </c>
      <c r="G182">
        <v>17904242</v>
      </c>
      <c r="H182">
        <v>18490953</v>
      </c>
      <c r="I182">
        <v>19019696</v>
      </c>
      <c r="J182">
        <v>19274988</v>
      </c>
      <c r="K182">
        <v>19279461</v>
      </c>
      <c r="L182">
        <v>19293162</v>
      </c>
      <c r="M182">
        <v>19347692</v>
      </c>
    </row>
    <row r="183" spans="1:13" x14ac:dyDescent="0.2">
      <c r="A183" t="s">
        <v>713</v>
      </c>
      <c r="B183" t="s">
        <v>714</v>
      </c>
      <c r="C183" t="s">
        <v>867</v>
      </c>
      <c r="D183">
        <v>6710</v>
      </c>
      <c r="E183">
        <v>6823</v>
      </c>
      <c r="F183">
        <v>6938</v>
      </c>
      <c r="G183">
        <v>6994</v>
      </c>
      <c r="H183">
        <v>6973</v>
      </c>
      <c r="I183">
        <v>6967</v>
      </c>
      <c r="J183">
        <v>6991</v>
      </c>
      <c r="K183">
        <v>7023</v>
      </c>
      <c r="L183">
        <v>7093</v>
      </c>
      <c r="M183">
        <v>7195</v>
      </c>
    </row>
    <row r="184" spans="1:13" x14ac:dyDescent="0.2">
      <c r="A184" t="s">
        <v>281</v>
      </c>
      <c r="B184" t="s">
        <v>283</v>
      </c>
      <c r="C184" t="s">
        <v>867</v>
      </c>
      <c r="D184">
        <v>3095119</v>
      </c>
      <c r="E184">
        <v>3161480</v>
      </c>
      <c r="F184">
        <v>3216227</v>
      </c>
      <c r="G184">
        <v>3257150</v>
      </c>
      <c r="H184">
        <v>3315334</v>
      </c>
      <c r="I184">
        <v>3309704</v>
      </c>
      <c r="J184">
        <v>3298702</v>
      </c>
      <c r="K184">
        <v>3370988</v>
      </c>
      <c r="L184">
        <v>3421867</v>
      </c>
      <c r="M184">
        <v>3435132</v>
      </c>
    </row>
    <row r="185" spans="1:13" x14ac:dyDescent="0.2">
      <c r="A185" t="s">
        <v>715</v>
      </c>
      <c r="B185" t="s">
        <v>716</v>
      </c>
      <c r="C185" t="s">
        <v>867</v>
      </c>
      <c r="D185">
        <v>880527495</v>
      </c>
      <c r="E185">
        <v>883753325</v>
      </c>
      <c r="F185">
        <v>887169539</v>
      </c>
      <c r="G185">
        <v>890430752</v>
      </c>
      <c r="H185">
        <v>891834902</v>
      </c>
      <c r="I185">
        <v>891732164</v>
      </c>
      <c r="J185">
        <v>894772290</v>
      </c>
      <c r="K185">
        <v>899356643</v>
      </c>
      <c r="L185">
        <v>903394987</v>
      </c>
      <c r="M185">
        <v>904834830</v>
      </c>
    </row>
    <row r="186" spans="1:13" x14ac:dyDescent="0.2">
      <c r="A186" t="s">
        <v>717</v>
      </c>
      <c r="B186" t="s">
        <v>718</v>
      </c>
      <c r="C186" t="s">
        <v>867</v>
      </c>
      <c r="D186">
        <v>3307132</v>
      </c>
      <c r="E186">
        <v>3410749</v>
      </c>
      <c r="F186">
        <v>3426990</v>
      </c>
      <c r="G186">
        <v>3370149</v>
      </c>
      <c r="H186">
        <v>3248817</v>
      </c>
      <c r="I186">
        <v>3180597</v>
      </c>
      <c r="J186">
        <v>3364212</v>
      </c>
      <c r="K186">
        <v>3641118</v>
      </c>
      <c r="L186">
        <v>3836566</v>
      </c>
      <c r="M186">
        <v>4010720</v>
      </c>
    </row>
    <row r="187" spans="1:13" x14ac:dyDescent="0.2">
      <c r="A187" t="s">
        <v>719</v>
      </c>
      <c r="B187" t="s">
        <v>720</v>
      </c>
      <c r="C187" t="s">
        <v>867</v>
      </c>
      <c r="D187">
        <v>7715819</v>
      </c>
      <c r="E187">
        <v>7819742</v>
      </c>
      <c r="F187">
        <v>7935078</v>
      </c>
      <c r="G187">
        <v>8050830</v>
      </c>
      <c r="H187">
        <v>8156608</v>
      </c>
      <c r="I187">
        <v>8255661</v>
      </c>
      <c r="J187">
        <v>8376769</v>
      </c>
      <c r="K187">
        <v>8470175</v>
      </c>
      <c r="L187">
        <v>8554141</v>
      </c>
      <c r="M187">
        <v>8632263</v>
      </c>
    </row>
    <row r="188" spans="1:13" x14ac:dyDescent="0.2">
      <c r="A188" t="s">
        <v>721</v>
      </c>
      <c r="B188" t="s">
        <v>722</v>
      </c>
      <c r="C188" t="s">
        <v>867</v>
      </c>
      <c r="D188">
        <v>126579242</v>
      </c>
      <c r="E188">
        <v>128631209</v>
      </c>
      <c r="F188">
        <v>131095161</v>
      </c>
      <c r="G188">
        <v>133695736</v>
      </c>
      <c r="H188">
        <v>136577175</v>
      </c>
      <c r="I188">
        <v>139764375</v>
      </c>
      <c r="J188">
        <v>142756293</v>
      </c>
      <c r="K188">
        <v>145447668</v>
      </c>
      <c r="L188">
        <v>148335347</v>
      </c>
      <c r="M188">
        <v>151585194</v>
      </c>
    </row>
    <row r="189" spans="1:13" x14ac:dyDescent="0.2">
      <c r="A189" t="s">
        <v>723</v>
      </c>
      <c r="B189" t="s">
        <v>724</v>
      </c>
      <c r="C189" t="s">
        <v>867</v>
      </c>
      <c r="D189">
        <v>2617150</v>
      </c>
      <c r="E189">
        <v>2665151</v>
      </c>
      <c r="F189">
        <v>2713021</v>
      </c>
      <c r="G189">
        <v>2760523</v>
      </c>
      <c r="H189">
        <v>2804217</v>
      </c>
      <c r="I189">
        <v>2843984</v>
      </c>
      <c r="J189">
        <v>2885308</v>
      </c>
      <c r="K189">
        <v>2927937</v>
      </c>
      <c r="L189">
        <v>2969081</v>
      </c>
      <c r="M189">
        <v>3008610</v>
      </c>
    </row>
    <row r="190" spans="1:13" x14ac:dyDescent="0.2">
      <c r="A190" t="s">
        <v>725</v>
      </c>
      <c r="B190" t="s">
        <v>726</v>
      </c>
      <c r="C190" t="s">
        <v>867</v>
      </c>
      <c r="D190">
        <v>19909818</v>
      </c>
      <c r="E190">
        <v>20283474</v>
      </c>
      <c r="F190">
        <v>20770673</v>
      </c>
      <c r="G190">
        <v>21249543</v>
      </c>
      <c r="H190">
        <v>21600638</v>
      </c>
      <c r="I190">
        <v>21917878</v>
      </c>
      <c r="J190">
        <v>22235789</v>
      </c>
      <c r="K190">
        <v>22557857</v>
      </c>
      <c r="L190">
        <v>22858026</v>
      </c>
      <c r="M190">
        <v>23138487</v>
      </c>
    </row>
    <row r="191" spans="1:13" x14ac:dyDescent="0.2">
      <c r="A191" t="s">
        <v>727</v>
      </c>
      <c r="B191" t="s">
        <v>728</v>
      </c>
      <c r="C191" t="s">
        <v>867</v>
      </c>
      <c r="D191">
        <v>67382332</v>
      </c>
      <c r="E191">
        <v>68705670</v>
      </c>
      <c r="F191">
        <v>69948054</v>
      </c>
      <c r="G191">
        <v>71144560</v>
      </c>
      <c r="H191">
        <v>72395562</v>
      </c>
      <c r="I191">
        <v>73635076</v>
      </c>
      <c r="J191">
        <v>74792145</v>
      </c>
      <c r="K191">
        <v>75977872</v>
      </c>
      <c r="L191">
        <v>77198220</v>
      </c>
      <c r="M191">
        <v>78407418</v>
      </c>
    </row>
    <row r="192" spans="1:13" x14ac:dyDescent="0.2">
      <c r="A192" t="s">
        <v>729</v>
      </c>
      <c r="B192" t="s">
        <v>730</v>
      </c>
      <c r="C192" t="s">
        <v>867</v>
      </c>
      <c r="D192">
        <v>12817</v>
      </c>
      <c r="E192">
        <v>12799</v>
      </c>
      <c r="F192">
        <v>12765</v>
      </c>
      <c r="G192">
        <v>12718</v>
      </c>
      <c r="H192">
        <v>12674</v>
      </c>
      <c r="I192">
        <v>12627</v>
      </c>
      <c r="J192">
        <v>12574</v>
      </c>
      <c r="K192">
        <v>12517</v>
      </c>
      <c r="L192">
        <v>12460</v>
      </c>
      <c r="M192">
        <v>12405</v>
      </c>
    </row>
    <row r="193" spans="1:13" x14ac:dyDescent="0.2">
      <c r="A193" t="s">
        <v>731</v>
      </c>
      <c r="B193" t="s">
        <v>732</v>
      </c>
      <c r="C193" t="s">
        <v>867</v>
      </c>
      <c r="D193">
        <v>5484395</v>
      </c>
      <c r="E193">
        <v>5639854</v>
      </c>
      <c r="F193">
        <v>5796092</v>
      </c>
      <c r="G193">
        <v>5952514</v>
      </c>
      <c r="H193">
        <v>6104448</v>
      </c>
      <c r="I193">
        <v>6250229</v>
      </c>
      <c r="J193">
        <v>6391046</v>
      </c>
      <c r="K193">
        <v>6529622</v>
      </c>
      <c r="L193">
        <v>6669106</v>
      </c>
      <c r="M193">
        <v>6809239</v>
      </c>
    </row>
    <row r="194" spans="1:13" x14ac:dyDescent="0.2">
      <c r="A194" t="s">
        <v>156</v>
      </c>
      <c r="B194" t="s">
        <v>158</v>
      </c>
      <c r="C194" t="s">
        <v>867</v>
      </c>
      <c r="D194">
        <v>26181203</v>
      </c>
      <c r="E194">
        <v>25947025</v>
      </c>
      <c r="F194">
        <v>25700073</v>
      </c>
      <c r="G194">
        <v>25444178</v>
      </c>
      <c r="H194">
        <v>24923647</v>
      </c>
      <c r="I194">
        <v>24408815</v>
      </c>
      <c r="J194">
        <v>24176067</v>
      </c>
      <c r="K194">
        <v>23972368</v>
      </c>
      <c r="L194">
        <v>23782080</v>
      </c>
      <c r="M194">
        <v>23605260</v>
      </c>
    </row>
    <row r="195" spans="1:13" x14ac:dyDescent="0.2">
      <c r="A195" t="s">
        <v>733</v>
      </c>
      <c r="B195" t="s">
        <v>734</v>
      </c>
      <c r="C195" t="s">
        <v>867</v>
      </c>
      <c r="D195">
        <v>472742677</v>
      </c>
      <c r="E195">
        <v>488183566</v>
      </c>
      <c r="F195">
        <v>504120425</v>
      </c>
      <c r="G195">
        <v>520410174</v>
      </c>
      <c r="H195">
        <v>537260231</v>
      </c>
      <c r="I195">
        <v>554463242</v>
      </c>
      <c r="J195">
        <v>571879372</v>
      </c>
      <c r="K195">
        <v>590110912</v>
      </c>
      <c r="L195">
        <v>608979057</v>
      </c>
      <c r="M195">
        <v>628425415</v>
      </c>
    </row>
    <row r="196" spans="1:13" x14ac:dyDescent="0.2">
      <c r="A196" t="s">
        <v>735</v>
      </c>
      <c r="B196" t="s">
        <v>736</v>
      </c>
      <c r="C196" t="s">
        <v>867</v>
      </c>
      <c r="D196">
        <v>2273375</v>
      </c>
      <c r="E196">
        <v>2209694</v>
      </c>
      <c r="F196">
        <v>2116241</v>
      </c>
      <c r="G196">
        <v>2123134</v>
      </c>
      <c r="H196">
        <v>2105730</v>
      </c>
      <c r="I196">
        <v>2087104</v>
      </c>
      <c r="J196">
        <v>2054996</v>
      </c>
      <c r="K196">
        <v>2042463</v>
      </c>
      <c r="L196">
        <v>2038489</v>
      </c>
      <c r="M196">
        <v>2021972</v>
      </c>
    </row>
    <row r="197" spans="1:13" x14ac:dyDescent="0.2">
      <c r="A197" t="s">
        <v>737</v>
      </c>
      <c r="B197" t="s">
        <v>738</v>
      </c>
      <c r="C197" t="s">
        <v>867</v>
      </c>
      <c r="D197">
        <v>17844532</v>
      </c>
      <c r="E197">
        <v>18007613</v>
      </c>
      <c r="F197">
        <v>18135184</v>
      </c>
      <c r="G197">
        <v>18215035</v>
      </c>
      <c r="H197">
        <v>18251701</v>
      </c>
      <c r="I197">
        <v>18273607</v>
      </c>
      <c r="J197">
        <v>18267776</v>
      </c>
      <c r="K197">
        <v>18226126</v>
      </c>
      <c r="L197">
        <v>18192245</v>
      </c>
      <c r="M197">
        <v>18164399</v>
      </c>
    </row>
    <row r="198" spans="1:13" x14ac:dyDescent="0.2">
      <c r="A198" t="s">
        <v>164</v>
      </c>
      <c r="B198" t="s">
        <v>166</v>
      </c>
      <c r="C198" t="s">
        <v>867</v>
      </c>
      <c r="D198">
        <v>6700209</v>
      </c>
      <c r="E198">
        <v>6654856</v>
      </c>
      <c r="F198">
        <v>6617642</v>
      </c>
      <c r="G198">
        <v>6591233</v>
      </c>
      <c r="H198">
        <v>6569496</v>
      </c>
      <c r="I198">
        <v>6586358</v>
      </c>
      <c r="J198">
        <v>6605952</v>
      </c>
      <c r="K198">
        <v>6663704</v>
      </c>
      <c r="L198">
        <v>6702135</v>
      </c>
      <c r="M198">
        <v>6736123</v>
      </c>
    </row>
    <row r="199" spans="1:13" x14ac:dyDescent="0.2">
      <c r="A199" t="s">
        <v>739</v>
      </c>
      <c r="B199" t="s">
        <v>740</v>
      </c>
      <c r="C199" t="s">
        <v>867</v>
      </c>
      <c r="D199">
        <v>4027771</v>
      </c>
      <c r="E199">
        <v>4092363</v>
      </c>
      <c r="F199">
        <v>4153750</v>
      </c>
      <c r="G199">
        <v>4213286</v>
      </c>
      <c r="H199">
        <v>4273655</v>
      </c>
      <c r="I199">
        <v>4330717</v>
      </c>
      <c r="J199">
        <v>4383665</v>
      </c>
      <c r="K199">
        <v>4438409</v>
      </c>
      <c r="L199">
        <v>4495248</v>
      </c>
      <c r="M199">
        <v>4552204</v>
      </c>
    </row>
    <row r="200" spans="1:13" x14ac:dyDescent="0.2">
      <c r="A200" t="s">
        <v>741</v>
      </c>
      <c r="B200" t="s">
        <v>742</v>
      </c>
      <c r="C200" t="s">
        <v>867</v>
      </c>
      <c r="D200">
        <v>2482368</v>
      </c>
      <c r="E200">
        <v>2535611</v>
      </c>
      <c r="F200">
        <v>2600840</v>
      </c>
      <c r="G200">
        <v>2669337</v>
      </c>
      <c r="H200">
        <v>2743523</v>
      </c>
      <c r="I200">
        <v>2822858</v>
      </c>
      <c r="J200">
        <v>2905486</v>
      </c>
      <c r="K200">
        <v>2987228</v>
      </c>
      <c r="L200">
        <v>3073799</v>
      </c>
      <c r="M200">
        <v>3170063</v>
      </c>
    </row>
    <row r="201" spans="1:13" x14ac:dyDescent="0.2">
      <c r="A201" t="s">
        <v>743</v>
      </c>
      <c r="B201" t="s">
        <v>744</v>
      </c>
      <c r="C201" t="s">
        <v>867</v>
      </c>
      <c r="D201">
        <v>1503945</v>
      </c>
      <c r="E201">
        <v>1524013</v>
      </c>
      <c r="F201">
        <v>1544359</v>
      </c>
      <c r="G201">
        <v>1561934</v>
      </c>
      <c r="H201">
        <v>1580612</v>
      </c>
      <c r="I201">
        <v>1602073</v>
      </c>
      <c r="J201">
        <v>1624106</v>
      </c>
      <c r="K201">
        <v>1648486</v>
      </c>
      <c r="L201">
        <v>1673948</v>
      </c>
      <c r="M201">
        <v>1700337</v>
      </c>
    </row>
    <row r="202" spans="1:13" x14ac:dyDescent="0.2">
      <c r="A202" t="s">
        <v>745</v>
      </c>
      <c r="B202" t="s">
        <v>746</v>
      </c>
      <c r="C202" t="s">
        <v>867</v>
      </c>
      <c r="D202">
        <v>722962256</v>
      </c>
      <c r="E202">
        <v>722982116</v>
      </c>
      <c r="F202">
        <v>723073939</v>
      </c>
      <c r="G202">
        <v>723243877</v>
      </c>
      <c r="H202">
        <v>722374668</v>
      </c>
      <c r="I202">
        <v>720040944</v>
      </c>
      <c r="J202">
        <v>718762729</v>
      </c>
      <c r="K202">
        <v>719407831</v>
      </c>
      <c r="L202">
        <v>721854155</v>
      </c>
      <c r="M202">
        <v>722324177</v>
      </c>
    </row>
    <row r="203" spans="1:13" x14ac:dyDescent="0.2">
      <c r="A203" t="s">
        <v>747</v>
      </c>
      <c r="B203" t="s">
        <v>748</v>
      </c>
      <c r="C203" t="s">
        <v>867</v>
      </c>
      <c r="D203">
        <v>191858</v>
      </c>
      <c r="E203">
        <v>192907</v>
      </c>
      <c r="F203">
        <v>193384</v>
      </c>
      <c r="G203">
        <v>193627</v>
      </c>
      <c r="H203">
        <v>194013</v>
      </c>
      <c r="I203">
        <v>194427</v>
      </c>
      <c r="J203">
        <v>194900</v>
      </c>
      <c r="K203">
        <v>195493</v>
      </c>
      <c r="L203">
        <v>196066</v>
      </c>
      <c r="M203">
        <v>196592</v>
      </c>
    </row>
    <row r="204" spans="1:13" x14ac:dyDescent="0.2">
      <c r="A204" t="s">
        <v>297</v>
      </c>
      <c r="B204" t="s">
        <v>299</v>
      </c>
      <c r="C204" t="s">
        <v>867</v>
      </c>
      <c r="D204">
        <v>2110785</v>
      </c>
      <c r="E204">
        <v>2167521</v>
      </c>
      <c r="F204">
        <v>2191065</v>
      </c>
      <c r="G204">
        <v>2223655</v>
      </c>
      <c r="H204">
        <v>2329067</v>
      </c>
      <c r="I204">
        <v>2082912</v>
      </c>
      <c r="J204">
        <v>2215176</v>
      </c>
      <c r="K204">
        <v>2211606</v>
      </c>
      <c r="L204">
        <v>2379235</v>
      </c>
      <c r="M204">
        <v>2475822</v>
      </c>
    </row>
    <row r="205" spans="1:13" x14ac:dyDescent="0.2">
      <c r="A205" t="s">
        <v>172</v>
      </c>
      <c r="B205" t="s">
        <v>174</v>
      </c>
      <c r="C205" t="s">
        <v>867</v>
      </c>
      <c r="D205">
        <v>13144425</v>
      </c>
      <c r="E205">
        <v>12980149</v>
      </c>
      <c r="F205">
        <v>12813963</v>
      </c>
      <c r="G205">
        <v>12659691</v>
      </c>
      <c r="H205">
        <v>12500209</v>
      </c>
      <c r="I205">
        <v>12348075</v>
      </c>
      <c r="J205">
        <v>12280355</v>
      </c>
      <c r="K205">
        <v>12269680</v>
      </c>
      <c r="L205">
        <v>12250927</v>
      </c>
      <c r="M205">
        <v>12231235</v>
      </c>
    </row>
    <row r="206" spans="1:13" x14ac:dyDescent="0.2">
      <c r="A206" t="s">
        <v>255</v>
      </c>
      <c r="B206" t="s">
        <v>257</v>
      </c>
      <c r="C206" t="s">
        <v>867</v>
      </c>
      <c r="D206">
        <v>99951021</v>
      </c>
      <c r="E206">
        <v>99236636</v>
      </c>
      <c r="F206">
        <v>98555561</v>
      </c>
      <c r="G206">
        <v>97886135</v>
      </c>
      <c r="H206">
        <v>97109905</v>
      </c>
      <c r="I206">
        <v>96323352</v>
      </c>
      <c r="J206">
        <v>95535540</v>
      </c>
      <c r="K206">
        <v>94753195</v>
      </c>
      <c r="L206">
        <v>94167097</v>
      </c>
      <c r="M206">
        <v>93543032</v>
      </c>
    </row>
    <row r="207" spans="1:13" x14ac:dyDescent="0.2">
      <c r="A207" t="s">
        <v>749</v>
      </c>
      <c r="B207" t="s">
        <v>750</v>
      </c>
      <c r="C207" t="s">
        <v>867</v>
      </c>
      <c r="D207">
        <v>6686971</v>
      </c>
      <c r="E207">
        <v>6875099</v>
      </c>
      <c r="F207">
        <v>7071989</v>
      </c>
      <c r="G207">
        <v>7279837</v>
      </c>
      <c r="H207">
        <v>7495574</v>
      </c>
      <c r="I207">
        <v>7713206</v>
      </c>
      <c r="J207">
        <v>7934223</v>
      </c>
      <c r="K207">
        <v>8155940</v>
      </c>
      <c r="L207">
        <v>8370477</v>
      </c>
      <c r="M207">
        <v>8589557</v>
      </c>
    </row>
    <row r="208" spans="1:13" x14ac:dyDescent="0.2">
      <c r="A208" t="s">
        <v>751</v>
      </c>
      <c r="B208" t="s">
        <v>752</v>
      </c>
      <c r="C208" t="s">
        <v>867</v>
      </c>
      <c r="D208">
        <v>1022306680</v>
      </c>
      <c r="E208">
        <v>1039141569</v>
      </c>
      <c r="F208">
        <v>1054920453</v>
      </c>
      <c r="G208">
        <v>1070025708</v>
      </c>
      <c r="H208">
        <v>1084892530</v>
      </c>
      <c r="I208">
        <v>1098748345</v>
      </c>
      <c r="J208">
        <v>1111741384</v>
      </c>
      <c r="K208">
        <v>1124957527</v>
      </c>
      <c r="L208">
        <v>1138375451</v>
      </c>
      <c r="M208">
        <v>1151750389</v>
      </c>
    </row>
    <row r="209" spans="1:13" x14ac:dyDescent="0.2">
      <c r="A209" t="s">
        <v>753</v>
      </c>
      <c r="B209" t="s">
        <v>754</v>
      </c>
      <c r="C209" t="s">
        <v>867</v>
      </c>
      <c r="D209">
        <v>22556583</v>
      </c>
      <c r="E209">
        <v>22475284</v>
      </c>
      <c r="F209">
        <v>21728276</v>
      </c>
      <c r="G209">
        <v>21585428</v>
      </c>
      <c r="H209">
        <v>22713541</v>
      </c>
      <c r="I209">
        <v>22218616</v>
      </c>
      <c r="J209">
        <v>23376260</v>
      </c>
      <c r="K209">
        <v>24630985</v>
      </c>
      <c r="L209">
        <v>25850598</v>
      </c>
      <c r="M209">
        <v>27109801</v>
      </c>
    </row>
    <row r="210" spans="1:13" x14ac:dyDescent="0.2">
      <c r="A210" t="s">
        <v>755</v>
      </c>
      <c r="B210" t="s">
        <v>756</v>
      </c>
      <c r="C210" t="s">
        <v>867</v>
      </c>
      <c r="D210">
        <v>22346145</v>
      </c>
      <c r="E210">
        <v>23352681</v>
      </c>
      <c r="F210">
        <v>24391749</v>
      </c>
      <c r="G210">
        <v>25234655</v>
      </c>
      <c r="H210">
        <v>26003649</v>
      </c>
      <c r="I210">
        <v>26805664</v>
      </c>
      <c r="J210">
        <v>27636440</v>
      </c>
      <c r="K210">
        <v>28093476</v>
      </c>
      <c r="L210">
        <v>28365906</v>
      </c>
      <c r="M210">
        <v>29137268</v>
      </c>
    </row>
    <row r="211" spans="1:13" x14ac:dyDescent="0.2">
      <c r="A211" t="s">
        <v>757</v>
      </c>
      <c r="B211" t="s">
        <v>758</v>
      </c>
      <c r="C211" t="s">
        <v>867</v>
      </c>
      <c r="D211">
        <v>8178304</v>
      </c>
      <c r="E211">
        <v>8471865</v>
      </c>
      <c r="F211">
        <v>8778713</v>
      </c>
      <c r="G211">
        <v>9097126</v>
      </c>
      <c r="H211">
        <v>9425714</v>
      </c>
      <c r="I211">
        <v>9763305</v>
      </c>
      <c r="J211">
        <v>10109900</v>
      </c>
      <c r="K211">
        <v>10445224</v>
      </c>
      <c r="L211">
        <v>10768138</v>
      </c>
      <c r="M211">
        <v>11096220</v>
      </c>
    </row>
    <row r="212" spans="1:13" x14ac:dyDescent="0.2">
      <c r="A212" t="s">
        <v>759</v>
      </c>
      <c r="B212" t="s">
        <v>760</v>
      </c>
      <c r="C212" t="s">
        <v>867</v>
      </c>
      <c r="D212">
        <v>4375412</v>
      </c>
      <c r="E212">
        <v>4355734</v>
      </c>
      <c r="F212">
        <v>4352323</v>
      </c>
      <c r="G212">
        <v>4381019</v>
      </c>
      <c r="H212">
        <v>4334889</v>
      </c>
      <c r="I212">
        <v>4121421</v>
      </c>
      <c r="J212">
        <v>4244893</v>
      </c>
      <c r="K212">
        <v>4445169</v>
      </c>
      <c r="L212">
        <v>4506976</v>
      </c>
      <c r="M212">
        <v>4528368</v>
      </c>
    </row>
    <row r="213" spans="1:13" x14ac:dyDescent="0.2">
      <c r="A213" t="s">
        <v>761</v>
      </c>
      <c r="B213" t="s">
        <v>762</v>
      </c>
      <c r="C213" t="s">
        <v>867</v>
      </c>
      <c r="D213">
        <v>375904</v>
      </c>
      <c r="E213">
        <v>390788</v>
      </c>
      <c r="F213">
        <v>406085</v>
      </c>
      <c r="G213">
        <v>419000</v>
      </c>
      <c r="H213">
        <v>430855</v>
      </c>
      <c r="I213">
        <v>444244</v>
      </c>
      <c r="J213">
        <v>457927</v>
      </c>
      <c r="K213">
        <v>472086</v>
      </c>
      <c r="L213">
        <v>486528</v>
      </c>
      <c r="M213">
        <v>501289</v>
      </c>
    </row>
    <row r="214" spans="1:13" x14ac:dyDescent="0.2">
      <c r="A214" t="s">
        <v>763</v>
      </c>
      <c r="B214" t="s">
        <v>764</v>
      </c>
      <c r="C214" t="s">
        <v>867</v>
      </c>
      <c r="D214">
        <v>3993434</v>
      </c>
      <c r="E214">
        <v>4120862</v>
      </c>
      <c r="F214">
        <v>4250587</v>
      </c>
      <c r="G214">
        <v>4381212</v>
      </c>
      <c r="H214">
        <v>4513949</v>
      </c>
      <c r="I214">
        <v>4649793</v>
      </c>
      <c r="J214">
        <v>4787999</v>
      </c>
      <c r="K214">
        <v>4929231</v>
      </c>
      <c r="L214">
        <v>5070151</v>
      </c>
      <c r="M214">
        <v>5209467</v>
      </c>
    </row>
    <row r="215" spans="1:13" x14ac:dyDescent="0.2">
      <c r="A215" t="s">
        <v>765</v>
      </c>
      <c r="B215" t="s">
        <v>766</v>
      </c>
      <c r="C215" t="s">
        <v>867</v>
      </c>
      <c r="D215">
        <v>4015416</v>
      </c>
      <c r="E215">
        <v>4048094</v>
      </c>
      <c r="F215">
        <v>4071295</v>
      </c>
      <c r="G215">
        <v>4087989</v>
      </c>
      <c r="H215">
        <v>4112199</v>
      </c>
      <c r="I215">
        <v>4143937</v>
      </c>
      <c r="J215">
        <v>4177751</v>
      </c>
      <c r="K215">
        <v>4214153</v>
      </c>
      <c r="L215">
        <v>4249458</v>
      </c>
      <c r="M215">
        <v>4284402</v>
      </c>
    </row>
    <row r="216" spans="1:13" x14ac:dyDescent="0.2">
      <c r="A216" t="s">
        <v>767</v>
      </c>
      <c r="B216" t="s">
        <v>768</v>
      </c>
      <c r="C216" t="s">
        <v>867</v>
      </c>
      <c r="D216">
        <v>22041</v>
      </c>
      <c r="E216">
        <v>22545</v>
      </c>
      <c r="F216">
        <v>23016</v>
      </c>
      <c r="G216">
        <v>23110</v>
      </c>
      <c r="H216">
        <v>23175</v>
      </c>
      <c r="I216">
        <v>22741</v>
      </c>
      <c r="J216">
        <v>22257</v>
      </c>
      <c r="K216">
        <v>22220</v>
      </c>
      <c r="L216">
        <v>22198</v>
      </c>
      <c r="M216">
        <v>22171</v>
      </c>
    </row>
    <row r="217" spans="1:13" x14ac:dyDescent="0.2">
      <c r="A217" t="s">
        <v>769</v>
      </c>
      <c r="B217" t="s">
        <v>770</v>
      </c>
      <c r="C217" t="s">
        <v>867</v>
      </c>
      <c r="D217">
        <v>7178536</v>
      </c>
      <c r="E217">
        <v>7476840</v>
      </c>
      <c r="F217">
        <v>7764810</v>
      </c>
      <c r="G217">
        <v>8070658</v>
      </c>
      <c r="H217">
        <v>8397226</v>
      </c>
      <c r="I217">
        <v>8724225</v>
      </c>
      <c r="J217">
        <v>9014300</v>
      </c>
      <c r="K217">
        <v>9318231</v>
      </c>
      <c r="L217">
        <v>9659535</v>
      </c>
      <c r="M217">
        <v>9990238</v>
      </c>
    </row>
    <row r="218" spans="1:13" x14ac:dyDescent="0.2">
      <c r="A218" t="s">
        <v>771</v>
      </c>
      <c r="B218" t="s">
        <v>772</v>
      </c>
      <c r="C218" t="s">
        <v>867</v>
      </c>
      <c r="D218">
        <v>4678347</v>
      </c>
      <c r="E218">
        <v>4619462</v>
      </c>
      <c r="F218">
        <v>4555857</v>
      </c>
      <c r="G218">
        <v>4492338</v>
      </c>
      <c r="H218">
        <v>4427040</v>
      </c>
      <c r="I218">
        <v>4360551</v>
      </c>
      <c r="J218">
        <v>4236438</v>
      </c>
      <c r="K218">
        <v>4193227</v>
      </c>
      <c r="L218">
        <v>4149673</v>
      </c>
      <c r="M218">
        <v>4105768</v>
      </c>
    </row>
    <row r="219" spans="1:13" x14ac:dyDescent="0.2">
      <c r="A219" t="s">
        <v>773</v>
      </c>
      <c r="B219" t="s">
        <v>774</v>
      </c>
      <c r="C219" t="s">
        <v>867</v>
      </c>
      <c r="D219">
        <v>567483424</v>
      </c>
      <c r="E219">
        <v>584911800</v>
      </c>
      <c r="F219">
        <v>603373793</v>
      </c>
      <c r="G219">
        <v>622176816</v>
      </c>
      <c r="H219">
        <v>641581234</v>
      </c>
      <c r="I219">
        <v>661479420</v>
      </c>
      <c r="J219">
        <v>681616583</v>
      </c>
      <c r="K219">
        <v>702314719</v>
      </c>
      <c r="L219">
        <v>723475937</v>
      </c>
      <c r="M219">
        <v>745166178</v>
      </c>
    </row>
    <row r="220" spans="1:13" x14ac:dyDescent="0.2">
      <c r="A220" t="s">
        <v>775</v>
      </c>
      <c r="B220" t="s">
        <v>776</v>
      </c>
      <c r="C220" t="s">
        <v>867</v>
      </c>
      <c r="D220">
        <v>5819652</v>
      </c>
      <c r="E220">
        <v>5378850</v>
      </c>
      <c r="F220">
        <v>5317490</v>
      </c>
      <c r="G220">
        <v>5609101</v>
      </c>
      <c r="H220">
        <v>5871358</v>
      </c>
      <c r="I220">
        <v>6041791</v>
      </c>
      <c r="J220">
        <v>6206036</v>
      </c>
      <c r="K220">
        <v>6572632</v>
      </c>
      <c r="L220">
        <v>6938028</v>
      </c>
      <c r="M220">
        <v>7183876</v>
      </c>
    </row>
    <row r="221" spans="1:13" x14ac:dyDescent="0.2">
      <c r="A221" t="s">
        <v>777</v>
      </c>
      <c r="B221" t="s">
        <v>778</v>
      </c>
      <c r="C221" t="s">
        <v>867</v>
      </c>
      <c r="D221">
        <v>567551340</v>
      </c>
      <c r="E221">
        <v>584980656</v>
      </c>
      <c r="F221">
        <v>603443362</v>
      </c>
      <c r="G221">
        <v>622247007</v>
      </c>
      <c r="H221">
        <v>641651962</v>
      </c>
      <c r="I221">
        <v>661550548</v>
      </c>
      <c r="J221">
        <v>681702346</v>
      </c>
      <c r="K221">
        <v>702400392</v>
      </c>
      <c r="L221">
        <v>723562717</v>
      </c>
      <c r="M221">
        <v>745253916</v>
      </c>
    </row>
    <row r="222" spans="1:13" x14ac:dyDescent="0.2">
      <c r="A222" t="s">
        <v>779</v>
      </c>
      <c r="B222" t="s">
        <v>780</v>
      </c>
      <c r="C222" t="s">
        <v>867</v>
      </c>
      <c r="D222">
        <v>12184974</v>
      </c>
      <c r="E222">
        <v>12325576</v>
      </c>
      <c r="F222">
        <v>12494561</v>
      </c>
      <c r="G222">
        <v>12651724</v>
      </c>
      <c r="H222">
        <v>12779448</v>
      </c>
      <c r="I222">
        <v>12911646</v>
      </c>
      <c r="J222">
        <v>13066344</v>
      </c>
      <c r="K222">
        <v>13197087</v>
      </c>
      <c r="L222">
        <v>13316004</v>
      </c>
      <c r="M222">
        <v>13427446</v>
      </c>
    </row>
    <row r="223" spans="1:13" x14ac:dyDescent="0.2">
      <c r="A223" t="s">
        <v>781</v>
      </c>
      <c r="B223" t="s">
        <v>782</v>
      </c>
      <c r="C223" t="s">
        <v>867</v>
      </c>
      <c r="D223">
        <v>111415</v>
      </c>
      <c r="E223">
        <v>113775</v>
      </c>
      <c r="F223">
        <v>116248</v>
      </c>
      <c r="G223">
        <v>118869</v>
      </c>
      <c r="H223">
        <v>122254</v>
      </c>
      <c r="I223">
        <v>126108</v>
      </c>
      <c r="J223">
        <v>129820</v>
      </c>
      <c r="K223">
        <v>133564</v>
      </c>
      <c r="L223">
        <v>137250</v>
      </c>
      <c r="M223">
        <v>140789</v>
      </c>
    </row>
    <row r="224" spans="1:13" x14ac:dyDescent="0.2">
      <c r="A224" t="s">
        <v>783</v>
      </c>
      <c r="B224" t="s">
        <v>784</v>
      </c>
      <c r="C224" t="s">
        <v>867</v>
      </c>
      <c r="D224">
        <v>384797</v>
      </c>
      <c r="E224">
        <v>390125</v>
      </c>
      <c r="F224">
        <v>395086</v>
      </c>
      <c r="G224">
        <v>400196</v>
      </c>
      <c r="H224">
        <v>405252</v>
      </c>
      <c r="I224">
        <v>409622</v>
      </c>
      <c r="J224">
        <v>413714</v>
      </c>
      <c r="K224">
        <v>417783</v>
      </c>
      <c r="L224">
        <v>421653</v>
      </c>
      <c r="M224">
        <v>425317</v>
      </c>
    </row>
    <row r="225" spans="1:13" x14ac:dyDescent="0.2">
      <c r="A225" t="s">
        <v>785</v>
      </c>
      <c r="B225" t="s">
        <v>241</v>
      </c>
      <c r="C225" t="s">
        <v>867</v>
      </c>
      <c r="D225">
        <v>3797828</v>
      </c>
      <c r="E225">
        <v>3766947</v>
      </c>
      <c r="F225">
        <v>3735731</v>
      </c>
      <c r="G225">
        <v>3705908</v>
      </c>
      <c r="H225">
        <v>3678223</v>
      </c>
      <c r="I225">
        <v>3644696</v>
      </c>
      <c r="J225">
        <v>3609998</v>
      </c>
      <c r="K225">
        <v>3583927</v>
      </c>
      <c r="L225">
        <v>3562375</v>
      </c>
      <c r="M225">
        <v>3540288</v>
      </c>
    </row>
    <row r="226" spans="1:13" x14ac:dyDescent="0.2">
      <c r="A226" t="s">
        <v>227</v>
      </c>
      <c r="B226" t="s">
        <v>229</v>
      </c>
      <c r="C226" t="s">
        <v>867</v>
      </c>
      <c r="D226">
        <v>1374712</v>
      </c>
      <c r="E226">
        <v>1363515</v>
      </c>
      <c r="F226">
        <v>1357416</v>
      </c>
      <c r="G226">
        <v>1358304</v>
      </c>
      <c r="H226">
        <v>1361114</v>
      </c>
      <c r="I226">
        <v>1357746</v>
      </c>
      <c r="J226">
        <v>1352205</v>
      </c>
      <c r="K226">
        <v>1351536</v>
      </c>
      <c r="L226">
        <v>1351170</v>
      </c>
      <c r="M226">
        <v>1349054</v>
      </c>
    </row>
    <row r="227" spans="1:13" x14ac:dyDescent="0.2">
      <c r="A227" t="s">
        <v>189</v>
      </c>
      <c r="B227" t="s">
        <v>190</v>
      </c>
      <c r="C227" t="s">
        <v>867</v>
      </c>
      <c r="D227">
        <v>6221865</v>
      </c>
      <c r="E227">
        <v>6288271</v>
      </c>
      <c r="F227">
        <v>6346978</v>
      </c>
      <c r="G227">
        <v>6400936</v>
      </c>
      <c r="H227">
        <v>6440267</v>
      </c>
      <c r="I227">
        <v>6473749</v>
      </c>
      <c r="J227">
        <v>6519659</v>
      </c>
      <c r="K227">
        <v>6555238</v>
      </c>
      <c r="L227">
        <v>6581488</v>
      </c>
      <c r="M227">
        <v>6610247</v>
      </c>
    </row>
    <row r="228" spans="1:13" x14ac:dyDescent="0.2">
      <c r="A228" t="s">
        <v>786</v>
      </c>
      <c r="B228" t="s">
        <v>787</v>
      </c>
      <c r="C228" t="s">
        <v>867</v>
      </c>
      <c r="D228">
        <v>691414</v>
      </c>
      <c r="E228">
        <v>700066</v>
      </c>
      <c r="F228">
        <v>710201</v>
      </c>
      <c r="G228">
        <v>720748</v>
      </c>
      <c r="H228">
        <v>732801</v>
      </c>
      <c r="I228">
        <v>745579</v>
      </c>
      <c r="J228">
        <v>756148</v>
      </c>
      <c r="K228">
        <v>765180</v>
      </c>
      <c r="L228">
        <v>775344</v>
      </c>
      <c r="M228">
        <v>787097</v>
      </c>
    </row>
    <row r="229" spans="1:13" x14ac:dyDescent="0.2">
      <c r="A229" t="s">
        <v>788</v>
      </c>
      <c r="B229" t="s">
        <v>789</v>
      </c>
      <c r="C229" t="s">
        <v>867</v>
      </c>
      <c r="D229">
        <v>27702</v>
      </c>
      <c r="E229">
        <v>28122</v>
      </c>
      <c r="F229">
        <v>28516</v>
      </c>
      <c r="G229">
        <v>28874</v>
      </c>
      <c r="H229">
        <v>29212</v>
      </c>
      <c r="I229">
        <v>29539</v>
      </c>
      <c r="J229">
        <v>29912</v>
      </c>
      <c r="K229">
        <v>30348</v>
      </c>
      <c r="L229">
        <v>30745</v>
      </c>
      <c r="M229">
        <v>31060</v>
      </c>
    </row>
    <row r="230" spans="1:13" x14ac:dyDescent="0.2">
      <c r="A230" t="s">
        <v>790</v>
      </c>
      <c r="B230" t="s">
        <v>791</v>
      </c>
      <c r="C230" t="s">
        <v>867</v>
      </c>
      <c r="D230">
        <v>67916</v>
      </c>
      <c r="E230">
        <v>68856</v>
      </c>
      <c r="F230">
        <v>69569</v>
      </c>
      <c r="G230">
        <v>70191</v>
      </c>
      <c r="H230">
        <v>70728</v>
      </c>
      <c r="I230">
        <v>71128</v>
      </c>
      <c r="J230">
        <v>85763</v>
      </c>
      <c r="K230">
        <v>85673</v>
      </c>
      <c r="L230">
        <v>86780</v>
      </c>
      <c r="M230">
        <v>87738</v>
      </c>
    </row>
    <row r="231" spans="1:13" x14ac:dyDescent="0.2">
      <c r="A231" t="s">
        <v>792</v>
      </c>
      <c r="B231" t="s">
        <v>793</v>
      </c>
      <c r="C231" t="s">
        <v>867</v>
      </c>
      <c r="D231">
        <v>10655861</v>
      </c>
      <c r="E231">
        <v>10822397</v>
      </c>
      <c r="F231">
        <v>11276479</v>
      </c>
      <c r="G231">
        <v>12090074</v>
      </c>
      <c r="H231">
        <v>12811514</v>
      </c>
      <c r="I231">
        <v>13415096</v>
      </c>
      <c r="J231">
        <v>14240713</v>
      </c>
      <c r="K231">
        <v>15331228</v>
      </c>
      <c r="L231">
        <v>16307424</v>
      </c>
      <c r="M231">
        <v>17093970</v>
      </c>
    </row>
    <row r="232" spans="1:13" x14ac:dyDescent="0.2">
      <c r="A232" t="s">
        <v>794</v>
      </c>
      <c r="B232" t="s">
        <v>795</v>
      </c>
      <c r="C232" t="s">
        <v>867</v>
      </c>
      <c r="D232">
        <v>28023</v>
      </c>
      <c r="E232">
        <v>29234</v>
      </c>
      <c r="F232">
        <v>30459</v>
      </c>
      <c r="G232">
        <v>31638</v>
      </c>
      <c r="H232">
        <v>32511</v>
      </c>
      <c r="I232">
        <v>33094</v>
      </c>
      <c r="J232">
        <v>33479</v>
      </c>
      <c r="K232">
        <v>33670</v>
      </c>
      <c r="L232">
        <v>33820</v>
      </c>
      <c r="M232">
        <v>33898</v>
      </c>
    </row>
    <row r="233" spans="1:13" x14ac:dyDescent="0.2">
      <c r="A233" t="s">
        <v>796</v>
      </c>
      <c r="B233" t="s">
        <v>797</v>
      </c>
      <c r="C233" t="s">
        <v>867</v>
      </c>
      <c r="D233">
        <v>7472039</v>
      </c>
      <c r="E233">
        <v>7741655</v>
      </c>
      <c r="F233">
        <v>8030637</v>
      </c>
      <c r="G233">
        <v>8314155</v>
      </c>
      <c r="H233">
        <v>8609991</v>
      </c>
      <c r="I233">
        <v>8962370</v>
      </c>
      <c r="J233">
        <v>9327462</v>
      </c>
      <c r="K233">
        <v>9889053</v>
      </c>
      <c r="L233">
        <v>10522017</v>
      </c>
      <c r="M233">
        <v>10905005</v>
      </c>
    </row>
    <row r="234" spans="1:13" x14ac:dyDescent="0.2">
      <c r="A234" t="s">
        <v>798</v>
      </c>
      <c r="B234" t="s">
        <v>799</v>
      </c>
      <c r="C234" t="s">
        <v>867</v>
      </c>
      <c r="D234">
        <v>1429775328</v>
      </c>
      <c r="E234">
        <v>1433466686</v>
      </c>
      <c r="F234">
        <v>1435830115</v>
      </c>
      <c r="G234">
        <v>1438253703</v>
      </c>
      <c r="H234">
        <v>1440521986</v>
      </c>
      <c r="I234">
        <v>1443302055</v>
      </c>
      <c r="J234">
        <v>1445937964</v>
      </c>
      <c r="K234">
        <v>1449305069</v>
      </c>
      <c r="L234">
        <v>1455675512</v>
      </c>
      <c r="M234">
        <v>1463141595</v>
      </c>
    </row>
    <row r="235" spans="1:13" x14ac:dyDescent="0.2">
      <c r="A235" t="s">
        <v>800</v>
      </c>
      <c r="B235" t="s">
        <v>801</v>
      </c>
      <c r="C235" t="s">
        <v>867</v>
      </c>
      <c r="D235">
        <v>310404107</v>
      </c>
      <c r="E235">
        <v>309877442</v>
      </c>
      <c r="F235">
        <v>309400449</v>
      </c>
      <c r="G235">
        <v>308879464</v>
      </c>
      <c r="H235">
        <v>307688006</v>
      </c>
      <c r="I235">
        <v>306514590</v>
      </c>
      <c r="J235">
        <v>303945313</v>
      </c>
      <c r="K235">
        <v>301333645</v>
      </c>
      <c r="L235">
        <v>301413320</v>
      </c>
      <c r="M235">
        <v>302417126</v>
      </c>
    </row>
    <row r="236" spans="1:13" x14ac:dyDescent="0.2">
      <c r="A236" t="s">
        <v>802</v>
      </c>
      <c r="B236" t="s">
        <v>803</v>
      </c>
      <c r="C236" t="s">
        <v>867</v>
      </c>
      <c r="D236">
        <v>3972280</v>
      </c>
      <c r="E236">
        <v>4099030</v>
      </c>
      <c r="F236">
        <v>4211453</v>
      </c>
      <c r="G236">
        <v>4287559</v>
      </c>
      <c r="H236">
        <v>4339846</v>
      </c>
      <c r="I236">
        <v>4386610</v>
      </c>
      <c r="J236">
        <v>4444878</v>
      </c>
      <c r="K236">
        <v>4545227</v>
      </c>
      <c r="L236">
        <v>4678923</v>
      </c>
      <c r="M236">
        <v>4819719</v>
      </c>
    </row>
    <row r="237" spans="1:13" x14ac:dyDescent="0.2">
      <c r="A237" t="s">
        <v>804</v>
      </c>
      <c r="B237" t="s">
        <v>805</v>
      </c>
      <c r="C237" t="s">
        <v>867</v>
      </c>
      <c r="D237">
        <v>50653451</v>
      </c>
      <c r="E237">
        <v>50806258</v>
      </c>
      <c r="F237">
        <v>50873412</v>
      </c>
      <c r="G237">
        <v>50866506</v>
      </c>
      <c r="H237">
        <v>50818801</v>
      </c>
      <c r="I237">
        <v>50723517</v>
      </c>
      <c r="J237">
        <v>50552066</v>
      </c>
      <c r="K237">
        <v>50329420</v>
      </c>
      <c r="L237">
        <v>50087170</v>
      </c>
      <c r="M237">
        <v>49824787</v>
      </c>
    </row>
    <row r="238" spans="1:13" x14ac:dyDescent="0.2">
      <c r="A238" t="s">
        <v>806</v>
      </c>
      <c r="B238" t="s">
        <v>807</v>
      </c>
      <c r="C238" t="s">
        <v>867</v>
      </c>
      <c r="D238">
        <v>5385131</v>
      </c>
      <c r="E238">
        <v>5518481</v>
      </c>
      <c r="F238">
        <v>5644999</v>
      </c>
      <c r="G238">
        <v>5765019</v>
      </c>
      <c r="H238">
        <v>5878391</v>
      </c>
      <c r="I238">
        <v>5990523</v>
      </c>
      <c r="J238">
        <v>6102916</v>
      </c>
      <c r="K238">
        <v>6217641</v>
      </c>
      <c r="L238">
        <v>6342581</v>
      </c>
      <c r="M238">
        <v>6479060</v>
      </c>
    </row>
    <row r="239" spans="1:13" x14ac:dyDescent="0.2">
      <c r="A239" t="s">
        <v>808</v>
      </c>
      <c r="B239" t="s">
        <v>809</v>
      </c>
      <c r="C239" t="s">
        <v>867</v>
      </c>
      <c r="D239">
        <v>4229804</v>
      </c>
      <c r="E239">
        <v>4307869</v>
      </c>
      <c r="F239">
        <v>4381074</v>
      </c>
      <c r="G239">
        <v>4449910</v>
      </c>
      <c r="H239">
        <v>4515703</v>
      </c>
      <c r="I239">
        <v>4580443</v>
      </c>
      <c r="J239">
        <v>4646522</v>
      </c>
      <c r="K239">
        <v>4717450</v>
      </c>
      <c r="L239">
        <v>4793698</v>
      </c>
      <c r="M239">
        <v>4874057</v>
      </c>
    </row>
    <row r="240" spans="1:13" x14ac:dyDescent="0.2">
      <c r="A240" t="s">
        <v>810</v>
      </c>
      <c r="B240" t="s">
        <v>811</v>
      </c>
      <c r="C240" t="s">
        <v>867</v>
      </c>
      <c r="D240">
        <v>406718694</v>
      </c>
      <c r="E240">
        <v>411465522</v>
      </c>
      <c r="F240">
        <v>415853667</v>
      </c>
      <c r="G240">
        <v>419933323</v>
      </c>
      <c r="H240">
        <v>423765107</v>
      </c>
      <c r="I240">
        <v>427218662</v>
      </c>
      <c r="J240">
        <v>430647294</v>
      </c>
      <c r="K240">
        <v>434261525</v>
      </c>
      <c r="L240">
        <v>437777504</v>
      </c>
      <c r="M240">
        <v>441130434</v>
      </c>
    </row>
    <row r="241" spans="1:13" x14ac:dyDescent="0.2">
      <c r="A241" t="s">
        <v>812</v>
      </c>
      <c r="B241" t="s">
        <v>813</v>
      </c>
      <c r="C241" t="s">
        <v>867</v>
      </c>
      <c r="D241">
        <v>689872</v>
      </c>
      <c r="E241">
        <v>709970</v>
      </c>
      <c r="F241">
        <v>730914</v>
      </c>
      <c r="G241">
        <v>752760</v>
      </c>
      <c r="H241">
        <v>775192</v>
      </c>
      <c r="I241">
        <v>797676</v>
      </c>
      <c r="J241">
        <v>818296</v>
      </c>
      <c r="K241">
        <v>836608</v>
      </c>
      <c r="L241">
        <v>855284</v>
      </c>
      <c r="M241">
        <v>874596</v>
      </c>
    </row>
    <row r="242" spans="1:13" x14ac:dyDescent="0.2">
      <c r="A242" t="s">
        <v>814</v>
      </c>
      <c r="B242" t="s">
        <v>815</v>
      </c>
      <c r="C242" t="s">
        <v>867</v>
      </c>
      <c r="D242">
        <v>389201113</v>
      </c>
      <c r="E242">
        <v>395721352</v>
      </c>
      <c r="F242">
        <v>402990082</v>
      </c>
      <c r="G242">
        <v>410820117</v>
      </c>
      <c r="H242">
        <v>418950274</v>
      </c>
      <c r="I242">
        <v>427440739</v>
      </c>
      <c r="J242">
        <v>436273125</v>
      </c>
      <c r="K242">
        <v>445573033</v>
      </c>
      <c r="L242">
        <v>455089525</v>
      </c>
      <c r="M242">
        <v>464554572</v>
      </c>
    </row>
    <row r="243" spans="1:13" x14ac:dyDescent="0.2">
      <c r="A243" t="s">
        <v>816</v>
      </c>
      <c r="B243" t="s">
        <v>817</v>
      </c>
      <c r="C243" t="s">
        <v>867</v>
      </c>
      <c r="D243">
        <v>60634</v>
      </c>
      <c r="E243">
        <v>60637</v>
      </c>
      <c r="F243">
        <v>60856</v>
      </c>
      <c r="G243">
        <v>61048</v>
      </c>
      <c r="H243">
        <v>61195</v>
      </c>
      <c r="I243">
        <v>61107</v>
      </c>
      <c r="J243">
        <v>60774</v>
      </c>
      <c r="K243">
        <v>60430</v>
      </c>
      <c r="L243">
        <v>60298</v>
      </c>
      <c r="M243">
        <v>60408</v>
      </c>
    </row>
    <row r="244" spans="1:13" x14ac:dyDescent="0.2">
      <c r="A244" t="s">
        <v>818</v>
      </c>
      <c r="B244" t="s">
        <v>819</v>
      </c>
      <c r="C244" t="s">
        <v>867</v>
      </c>
      <c r="D244">
        <v>1022306680</v>
      </c>
      <c r="E244">
        <v>1039141569</v>
      </c>
      <c r="F244">
        <v>1054920453</v>
      </c>
      <c r="G244">
        <v>1070025708</v>
      </c>
      <c r="H244">
        <v>1084892530</v>
      </c>
      <c r="I244">
        <v>1098748345</v>
      </c>
      <c r="J244">
        <v>1111741384</v>
      </c>
      <c r="K244">
        <v>1124957527</v>
      </c>
      <c r="L244">
        <v>1138375451</v>
      </c>
      <c r="M244">
        <v>1151750389</v>
      </c>
    </row>
    <row r="245" spans="1:13" x14ac:dyDescent="0.2">
      <c r="A245" t="s">
        <v>820</v>
      </c>
      <c r="B245" t="s">
        <v>821</v>
      </c>
      <c r="C245" t="s">
        <v>867</v>
      </c>
      <c r="D245">
        <v>567551340</v>
      </c>
      <c r="E245">
        <v>584980656</v>
      </c>
      <c r="F245">
        <v>603443362</v>
      </c>
      <c r="G245">
        <v>622247007</v>
      </c>
      <c r="H245">
        <v>641651962</v>
      </c>
      <c r="I245">
        <v>661550548</v>
      </c>
      <c r="J245">
        <v>681702346</v>
      </c>
      <c r="K245">
        <v>702400392</v>
      </c>
      <c r="L245">
        <v>723562717</v>
      </c>
      <c r="M245">
        <v>745253916</v>
      </c>
    </row>
    <row r="246" spans="1:13" x14ac:dyDescent="0.2">
      <c r="A246" t="s">
        <v>326</v>
      </c>
      <c r="B246" t="s">
        <v>327</v>
      </c>
      <c r="C246" t="s">
        <v>867</v>
      </c>
      <c r="D246">
        <v>975664</v>
      </c>
      <c r="E246">
        <v>973222</v>
      </c>
      <c r="F246">
        <v>973314</v>
      </c>
      <c r="G246">
        <v>972739</v>
      </c>
      <c r="H246">
        <v>967776</v>
      </c>
      <c r="I246">
        <v>964664</v>
      </c>
      <c r="J246">
        <v>960759</v>
      </c>
      <c r="K246">
        <v>958885</v>
      </c>
      <c r="L246">
        <v>955936</v>
      </c>
      <c r="M246">
        <v>951721</v>
      </c>
    </row>
    <row r="247" spans="1:13" x14ac:dyDescent="0.2">
      <c r="A247" t="s">
        <v>822</v>
      </c>
      <c r="B247" t="s">
        <v>823</v>
      </c>
      <c r="C247" t="s">
        <v>867</v>
      </c>
      <c r="D247">
        <v>7836951</v>
      </c>
      <c r="E247">
        <v>7879518</v>
      </c>
      <c r="F247">
        <v>7917268</v>
      </c>
      <c r="G247">
        <v>7949510</v>
      </c>
      <c r="H247">
        <v>7978898</v>
      </c>
      <c r="I247">
        <v>8010043</v>
      </c>
      <c r="J247">
        <v>8049960</v>
      </c>
      <c r="K247">
        <v>8100943</v>
      </c>
      <c r="L247">
        <v>8155858</v>
      </c>
      <c r="M247">
        <v>8211984</v>
      </c>
    </row>
    <row r="248" spans="1:13" x14ac:dyDescent="0.2">
      <c r="A248" t="s">
        <v>824</v>
      </c>
      <c r="B248" t="s">
        <v>338</v>
      </c>
      <c r="C248" t="s">
        <v>867</v>
      </c>
      <c r="D248">
        <v>54452527</v>
      </c>
      <c r="E248">
        <v>55200688</v>
      </c>
      <c r="F248">
        <v>55932131</v>
      </c>
      <c r="G248">
        <v>56579745</v>
      </c>
      <c r="H248">
        <v>56923584</v>
      </c>
      <c r="I248">
        <v>57311814</v>
      </c>
      <c r="J248">
        <v>57863429</v>
      </c>
      <c r="K248">
        <v>58157532</v>
      </c>
      <c r="L248">
        <v>58380949</v>
      </c>
      <c r="M248">
        <v>58746219</v>
      </c>
    </row>
    <row r="249" spans="1:13" x14ac:dyDescent="0.2">
      <c r="A249" t="s">
        <v>825</v>
      </c>
      <c r="B249" t="s">
        <v>826</v>
      </c>
      <c r="C249" t="s">
        <v>867</v>
      </c>
      <c r="D249">
        <v>6867</v>
      </c>
      <c r="E249">
        <v>6844</v>
      </c>
      <c r="F249">
        <v>6763</v>
      </c>
      <c r="G249">
        <v>6635</v>
      </c>
      <c r="H249">
        <v>6511</v>
      </c>
      <c r="I249">
        <v>6381</v>
      </c>
      <c r="J249">
        <v>6208</v>
      </c>
      <c r="K249">
        <v>6000</v>
      </c>
      <c r="L249">
        <v>5825</v>
      </c>
      <c r="M249">
        <v>5689</v>
      </c>
    </row>
    <row r="250" spans="1:13" x14ac:dyDescent="0.2">
      <c r="A250" t="s">
        <v>827</v>
      </c>
      <c r="B250" t="s">
        <v>323</v>
      </c>
      <c r="C250" t="s">
        <v>867</v>
      </c>
      <c r="D250">
        <v>28432460</v>
      </c>
      <c r="E250">
        <v>29537005</v>
      </c>
      <c r="F250">
        <v>30587299</v>
      </c>
      <c r="G250">
        <v>31603226</v>
      </c>
      <c r="H250">
        <v>32686532</v>
      </c>
      <c r="I250">
        <v>33827484</v>
      </c>
      <c r="J250">
        <v>34975915</v>
      </c>
      <c r="K250">
        <v>36128663</v>
      </c>
      <c r="L250">
        <v>37309677</v>
      </c>
      <c r="M250">
        <v>38530560</v>
      </c>
    </row>
    <row r="251" spans="1:13" x14ac:dyDescent="0.2">
      <c r="A251" t="s">
        <v>342</v>
      </c>
      <c r="B251" t="s">
        <v>343</v>
      </c>
      <c r="C251" t="s">
        <v>867</v>
      </c>
      <c r="D251">
        <v>19600738</v>
      </c>
      <c r="E251">
        <v>20536342</v>
      </c>
      <c r="F251">
        <v>21473938</v>
      </c>
      <c r="G251">
        <v>22445948</v>
      </c>
      <c r="H251">
        <v>23435303</v>
      </c>
      <c r="I251">
        <v>24416198</v>
      </c>
      <c r="J251">
        <v>25349067</v>
      </c>
      <c r="K251">
        <v>26231434</v>
      </c>
      <c r="L251">
        <v>27142399</v>
      </c>
      <c r="M251">
        <v>28087155</v>
      </c>
    </row>
    <row r="252" spans="1:13" x14ac:dyDescent="0.2">
      <c r="A252" t="s">
        <v>828</v>
      </c>
      <c r="B252" t="s">
        <v>829</v>
      </c>
      <c r="C252" t="s">
        <v>867</v>
      </c>
      <c r="D252">
        <v>31571810</v>
      </c>
      <c r="E252">
        <v>31194122</v>
      </c>
      <c r="F252">
        <v>30847181</v>
      </c>
      <c r="G252">
        <v>30531561</v>
      </c>
      <c r="H252">
        <v>30212748</v>
      </c>
      <c r="I252">
        <v>29887167</v>
      </c>
      <c r="J252">
        <v>27634577</v>
      </c>
      <c r="K252">
        <v>25336440</v>
      </c>
      <c r="L252">
        <v>25422766</v>
      </c>
      <c r="M252">
        <v>26246998</v>
      </c>
    </row>
    <row r="253" spans="1:13" x14ac:dyDescent="0.2">
      <c r="A253" t="s">
        <v>830</v>
      </c>
      <c r="B253" t="s">
        <v>831</v>
      </c>
      <c r="C253" t="s">
        <v>867</v>
      </c>
      <c r="D253">
        <v>2030599132</v>
      </c>
      <c r="E253">
        <v>2040059279</v>
      </c>
      <c r="F253">
        <v>2048926713</v>
      </c>
      <c r="G253">
        <v>2057576927</v>
      </c>
      <c r="H253">
        <v>2065238794</v>
      </c>
      <c r="I253">
        <v>2073109505</v>
      </c>
      <c r="J253">
        <v>2078990839</v>
      </c>
      <c r="K253">
        <v>2085342375</v>
      </c>
      <c r="L253">
        <v>2096873187</v>
      </c>
      <c r="M253">
        <v>2110080726</v>
      </c>
    </row>
    <row r="254" spans="1:13" x14ac:dyDescent="0.2">
      <c r="A254" t="s">
        <v>832</v>
      </c>
      <c r="B254" t="s">
        <v>833</v>
      </c>
      <c r="C254" t="s">
        <v>867</v>
      </c>
      <c r="D254">
        <v>2173621</v>
      </c>
      <c r="E254">
        <v>2182961</v>
      </c>
      <c r="F254">
        <v>2191209</v>
      </c>
      <c r="G254">
        <v>2197938</v>
      </c>
      <c r="H254">
        <v>2204792</v>
      </c>
      <c r="I254">
        <v>2210719</v>
      </c>
      <c r="J254">
        <v>2214936</v>
      </c>
      <c r="K254">
        <v>2219253</v>
      </c>
      <c r="L254">
        <v>2223696</v>
      </c>
      <c r="M254">
        <v>2227837</v>
      </c>
    </row>
    <row r="255" spans="1:13" x14ac:dyDescent="0.2">
      <c r="A255" t="s">
        <v>834</v>
      </c>
      <c r="B255" t="s">
        <v>352</v>
      </c>
      <c r="C255" t="s">
        <v>867</v>
      </c>
      <c r="D255">
        <v>215104779</v>
      </c>
      <c r="E255">
        <v>215959913</v>
      </c>
      <c r="F255">
        <v>216573411</v>
      </c>
      <c r="G255">
        <v>217020298</v>
      </c>
      <c r="H255">
        <v>217300476</v>
      </c>
      <c r="I255">
        <v>217127463</v>
      </c>
      <c r="J255">
        <v>217760762</v>
      </c>
      <c r="K255">
        <v>218801688</v>
      </c>
      <c r="L255">
        <v>220141214</v>
      </c>
      <c r="M255">
        <v>220498172</v>
      </c>
    </row>
    <row r="256" spans="1:13" x14ac:dyDescent="0.2">
      <c r="A256" t="s">
        <v>835</v>
      </c>
      <c r="B256" t="s">
        <v>836</v>
      </c>
      <c r="C256" t="s">
        <v>867</v>
      </c>
      <c r="D256">
        <v>20847877</v>
      </c>
      <c r="E256">
        <v>21097157</v>
      </c>
      <c r="F256">
        <v>21339097</v>
      </c>
      <c r="G256">
        <v>21578014</v>
      </c>
      <c r="H256">
        <v>21816256</v>
      </c>
      <c r="I256">
        <v>22057164</v>
      </c>
      <c r="J256">
        <v>22321376</v>
      </c>
      <c r="K256">
        <v>22615648</v>
      </c>
      <c r="L256">
        <v>22919628</v>
      </c>
      <c r="M256">
        <v>23210348</v>
      </c>
    </row>
    <row r="257" spans="1:13" x14ac:dyDescent="0.2">
      <c r="A257" t="s">
        <v>837</v>
      </c>
      <c r="B257" t="s">
        <v>838</v>
      </c>
      <c r="C257" t="s">
        <v>867</v>
      </c>
      <c r="D257">
        <v>71142</v>
      </c>
      <c r="E257">
        <v>70785</v>
      </c>
      <c r="F257">
        <v>70335</v>
      </c>
      <c r="G257">
        <v>69787</v>
      </c>
      <c r="H257">
        <v>69346</v>
      </c>
      <c r="I257">
        <v>68859</v>
      </c>
      <c r="J257">
        <v>68220</v>
      </c>
      <c r="K257">
        <v>67674</v>
      </c>
      <c r="L257">
        <v>67229</v>
      </c>
      <c r="M257">
        <v>66828</v>
      </c>
    </row>
    <row r="258" spans="1:13" x14ac:dyDescent="0.2">
      <c r="A258" t="s">
        <v>839</v>
      </c>
      <c r="B258" t="s">
        <v>840</v>
      </c>
      <c r="C258" t="s">
        <v>867</v>
      </c>
      <c r="D258">
        <v>20107221</v>
      </c>
      <c r="E258">
        <v>19929924</v>
      </c>
      <c r="F258">
        <v>19281699</v>
      </c>
      <c r="G258">
        <v>18554365</v>
      </c>
      <c r="H258">
        <v>18176818</v>
      </c>
      <c r="I258">
        <v>18069885</v>
      </c>
      <c r="J258">
        <v>18120460</v>
      </c>
      <c r="K258">
        <v>18257634</v>
      </c>
      <c r="L258">
        <v>18405026</v>
      </c>
      <c r="M258">
        <v>18554732</v>
      </c>
    </row>
    <row r="259" spans="1:13" x14ac:dyDescent="0.2">
      <c r="A259" t="s">
        <v>841</v>
      </c>
      <c r="B259" t="s">
        <v>842</v>
      </c>
      <c r="C259" t="s">
        <v>867</v>
      </c>
      <c r="D259">
        <v>24977</v>
      </c>
      <c r="E259">
        <v>24101</v>
      </c>
      <c r="F259">
        <v>25683</v>
      </c>
      <c r="G259">
        <v>27090</v>
      </c>
      <c r="H259">
        <v>27732</v>
      </c>
      <c r="I259">
        <v>28333</v>
      </c>
      <c r="J259">
        <v>28836</v>
      </c>
      <c r="K259">
        <v>29496</v>
      </c>
      <c r="L259">
        <v>29952</v>
      </c>
      <c r="M259">
        <v>30120</v>
      </c>
    </row>
    <row r="260" spans="1:13" x14ac:dyDescent="0.2">
      <c r="A260" t="s">
        <v>843</v>
      </c>
      <c r="B260" t="s">
        <v>844</v>
      </c>
      <c r="C260" t="s">
        <v>867</v>
      </c>
      <c r="D260">
        <v>67688</v>
      </c>
      <c r="E260">
        <v>67363</v>
      </c>
      <c r="F260">
        <v>67050</v>
      </c>
      <c r="G260">
        <v>66711</v>
      </c>
      <c r="H260">
        <v>66266</v>
      </c>
      <c r="I260">
        <v>65696</v>
      </c>
      <c r="J260">
        <v>65017</v>
      </c>
      <c r="K260">
        <v>64248</v>
      </c>
      <c r="L260">
        <v>63475</v>
      </c>
      <c r="M260">
        <v>62709</v>
      </c>
    </row>
    <row r="261" spans="1:13" x14ac:dyDescent="0.2">
      <c r="A261" t="s">
        <v>845</v>
      </c>
      <c r="B261" t="s">
        <v>846</v>
      </c>
      <c r="C261" t="s">
        <v>867</v>
      </c>
      <c r="D261">
        <v>65103693</v>
      </c>
      <c r="E261">
        <v>65493771</v>
      </c>
      <c r="F261">
        <v>65860328</v>
      </c>
      <c r="G261">
        <v>66282521</v>
      </c>
      <c r="H261">
        <v>66736820</v>
      </c>
      <c r="I261">
        <v>67193405</v>
      </c>
      <c r="J261">
        <v>67618446</v>
      </c>
      <c r="K261">
        <v>68011678</v>
      </c>
      <c r="L261">
        <v>68397760</v>
      </c>
      <c r="M261">
        <v>68730842</v>
      </c>
    </row>
    <row r="262" spans="1:13" x14ac:dyDescent="0.2">
      <c r="A262" t="s">
        <v>847</v>
      </c>
      <c r="B262" t="s">
        <v>848</v>
      </c>
      <c r="C262" t="s">
        <v>867</v>
      </c>
      <c r="D262">
        <v>156456</v>
      </c>
      <c r="E262">
        <v>159554</v>
      </c>
      <c r="F262">
        <v>162923</v>
      </c>
      <c r="G262">
        <v>166404</v>
      </c>
      <c r="H262">
        <v>170156</v>
      </c>
      <c r="I262">
        <v>174170</v>
      </c>
      <c r="J262">
        <v>178482</v>
      </c>
      <c r="K262">
        <v>183173</v>
      </c>
      <c r="L262">
        <v>188112</v>
      </c>
      <c r="M262">
        <v>193257</v>
      </c>
    </row>
    <row r="263" spans="1:13" x14ac:dyDescent="0.2">
      <c r="A263" t="s">
        <v>849</v>
      </c>
      <c r="B263" t="s">
        <v>850</v>
      </c>
      <c r="C263" t="s">
        <v>867</v>
      </c>
      <c r="D263">
        <v>4897561364</v>
      </c>
      <c r="E263">
        <v>4947569934</v>
      </c>
      <c r="F263">
        <v>4995669629</v>
      </c>
      <c r="G263">
        <v>5044247753</v>
      </c>
      <c r="H263">
        <v>5092287380</v>
      </c>
      <c r="I263">
        <v>5137132914</v>
      </c>
      <c r="J263">
        <v>5185775008</v>
      </c>
      <c r="K263">
        <v>5238831212</v>
      </c>
      <c r="L263">
        <v>5297482794</v>
      </c>
      <c r="M263">
        <v>5355513094</v>
      </c>
    </row>
    <row r="264" spans="1:13" x14ac:dyDescent="0.2">
      <c r="A264" t="s">
        <v>851</v>
      </c>
      <c r="B264" t="s">
        <v>852</v>
      </c>
      <c r="C264" t="s">
        <v>867</v>
      </c>
      <c r="D264">
        <v>116027</v>
      </c>
      <c r="E264">
        <v>116756</v>
      </c>
      <c r="F264">
        <v>117521</v>
      </c>
      <c r="G264">
        <v>118257</v>
      </c>
      <c r="H264">
        <v>118908</v>
      </c>
      <c r="I264">
        <v>119438</v>
      </c>
      <c r="J264">
        <v>119810</v>
      </c>
      <c r="K264">
        <v>120392</v>
      </c>
      <c r="L264">
        <v>121338</v>
      </c>
      <c r="M264">
        <v>122526</v>
      </c>
    </row>
    <row r="265" spans="1:13" x14ac:dyDescent="0.2">
      <c r="A265" t="s">
        <v>853</v>
      </c>
      <c r="B265" t="s">
        <v>854</v>
      </c>
      <c r="C265" t="s">
        <v>867</v>
      </c>
      <c r="D265">
        <v>1189618</v>
      </c>
      <c r="E265">
        <v>1210837</v>
      </c>
      <c r="F265">
        <v>1223474</v>
      </c>
      <c r="G265">
        <v>1222037</v>
      </c>
      <c r="H265">
        <v>1229453</v>
      </c>
      <c r="I265">
        <v>1231979</v>
      </c>
      <c r="J265">
        <v>1220212</v>
      </c>
      <c r="K265">
        <v>1162082</v>
      </c>
      <c r="L265">
        <v>1103532</v>
      </c>
      <c r="M265">
        <v>1095985</v>
      </c>
    </row>
    <row r="266" spans="1:13" x14ac:dyDescent="0.2">
      <c r="A266" t="s">
        <v>855</v>
      </c>
      <c r="B266" t="s">
        <v>856</v>
      </c>
      <c r="C266" t="s">
        <v>867</v>
      </c>
      <c r="D266">
        <v>17871398</v>
      </c>
      <c r="E266">
        <v>18469616</v>
      </c>
      <c r="F266">
        <v>19064486</v>
      </c>
      <c r="G266">
        <v>19675682</v>
      </c>
      <c r="H266">
        <v>20272123</v>
      </c>
      <c r="I266">
        <v>20845602</v>
      </c>
      <c r="J266">
        <v>21476619</v>
      </c>
      <c r="K266">
        <v>22163768</v>
      </c>
      <c r="L266">
        <v>22868019</v>
      </c>
      <c r="M266">
        <v>23574776</v>
      </c>
    </row>
    <row r="267" spans="1:13" x14ac:dyDescent="0.2">
      <c r="A267" t="s">
        <v>857</v>
      </c>
      <c r="B267" t="s">
        <v>858</v>
      </c>
      <c r="C267" t="s">
        <v>867</v>
      </c>
      <c r="D267">
        <v>37905433</v>
      </c>
      <c r="E267">
        <v>38101663</v>
      </c>
      <c r="F267">
        <v>38899656</v>
      </c>
      <c r="G267">
        <v>39700288</v>
      </c>
      <c r="H267">
        <v>40511000</v>
      </c>
      <c r="I267">
        <v>41300119</v>
      </c>
      <c r="J267">
        <v>41991393</v>
      </c>
      <c r="K267">
        <v>42605152</v>
      </c>
      <c r="L267">
        <v>43157289</v>
      </c>
      <c r="M267">
        <v>43634244</v>
      </c>
    </row>
    <row r="268" spans="1:13" x14ac:dyDescent="0.2">
      <c r="A268" t="s">
        <v>859</v>
      </c>
      <c r="B268" t="s">
        <v>860</v>
      </c>
      <c r="C268" t="s">
        <v>867</v>
      </c>
      <c r="D268">
        <v>9031977</v>
      </c>
      <c r="E268">
        <v>9372618</v>
      </c>
      <c r="F268">
        <v>9721494</v>
      </c>
      <c r="G268">
        <v>10081939</v>
      </c>
      <c r="H268">
        <v>10455474</v>
      </c>
      <c r="I268">
        <v>10836840</v>
      </c>
      <c r="J268">
        <v>11226234</v>
      </c>
      <c r="K268">
        <v>11635683</v>
      </c>
      <c r="L268">
        <v>12063392</v>
      </c>
      <c r="M268">
        <v>12497248</v>
      </c>
    </row>
    <row r="269" spans="1:13" x14ac:dyDescent="0.2">
      <c r="A269" t="s">
        <v>307</v>
      </c>
      <c r="B269" t="s">
        <v>309</v>
      </c>
      <c r="C269" t="s">
        <v>867</v>
      </c>
      <c r="D269">
        <v>7752608</v>
      </c>
      <c r="E269">
        <v>7899470</v>
      </c>
      <c r="F269">
        <v>8060640</v>
      </c>
      <c r="G269">
        <v>8234856</v>
      </c>
      <c r="H269">
        <v>8420934</v>
      </c>
      <c r="I269">
        <v>8614234</v>
      </c>
      <c r="J269">
        <v>8802666</v>
      </c>
      <c r="K269">
        <v>8996994</v>
      </c>
      <c r="L269">
        <v>9236166</v>
      </c>
      <c r="M269">
        <v>9518709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AC7D-CB5E-0640-911F-5A8366BCF057}">
  <dimension ref="A1:F2166"/>
  <sheetViews>
    <sheetView topLeftCell="A2143" workbookViewId="0">
      <selection activeCell="C3" sqref="C3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2016</v>
      </c>
      <c r="B2" t="s">
        <v>873</v>
      </c>
      <c r="C2">
        <v>488030</v>
      </c>
      <c r="D2">
        <v>394295</v>
      </c>
      <c r="E2" t="s">
        <v>874</v>
      </c>
      <c r="F2">
        <v>3450</v>
      </c>
    </row>
    <row r="3" spans="1:6" x14ac:dyDescent="0.2">
      <c r="A3">
        <v>2017</v>
      </c>
      <c r="B3" t="s">
        <v>873</v>
      </c>
      <c r="C3">
        <v>472190</v>
      </c>
      <c r="D3">
        <v>391370</v>
      </c>
      <c r="E3" t="s">
        <v>875</v>
      </c>
      <c r="F3">
        <v>3100</v>
      </c>
    </row>
    <row r="4" spans="1:6" x14ac:dyDescent="0.2">
      <c r="A4">
        <v>2018</v>
      </c>
      <c r="B4" t="s">
        <v>873</v>
      </c>
      <c r="C4">
        <v>463865</v>
      </c>
      <c r="D4">
        <v>388025</v>
      </c>
      <c r="E4" t="s">
        <v>876</v>
      </c>
      <c r="F4">
        <v>2615</v>
      </c>
    </row>
    <row r="5" spans="1:6" x14ac:dyDescent="0.2">
      <c r="A5">
        <v>2019</v>
      </c>
      <c r="B5" t="s">
        <v>873</v>
      </c>
      <c r="C5">
        <v>470175</v>
      </c>
      <c r="D5">
        <v>394875</v>
      </c>
      <c r="E5" t="s">
        <v>877</v>
      </c>
      <c r="F5">
        <v>2770</v>
      </c>
    </row>
    <row r="6" spans="1:6" x14ac:dyDescent="0.2">
      <c r="A6">
        <v>2020</v>
      </c>
      <c r="B6" t="s">
        <v>873</v>
      </c>
      <c r="C6">
        <v>479895</v>
      </c>
      <c r="D6">
        <v>411755</v>
      </c>
      <c r="E6" t="s">
        <v>878</v>
      </c>
      <c r="F6">
        <v>3935</v>
      </c>
    </row>
    <row r="7" spans="1:6" x14ac:dyDescent="0.2">
      <c r="A7">
        <v>2021</v>
      </c>
      <c r="B7" t="s">
        <v>873</v>
      </c>
      <c r="C7">
        <v>504460</v>
      </c>
      <c r="D7">
        <v>417380</v>
      </c>
      <c r="E7" t="s">
        <v>879</v>
      </c>
      <c r="F7">
        <v>2250</v>
      </c>
    </row>
    <row r="8" spans="1:6" x14ac:dyDescent="0.2">
      <c r="A8">
        <v>2022</v>
      </c>
      <c r="B8" t="s">
        <v>873</v>
      </c>
      <c r="C8">
        <v>517060</v>
      </c>
      <c r="D8">
        <v>418085</v>
      </c>
      <c r="E8" t="s">
        <v>880</v>
      </c>
      <c r="F8">
        <v>3175</v>
      </c>
    </row>
    <row r="9" spans="1:6" x14ac:dyDescent="0.2">
      <c r="A9">
        <v>2023</v>
      </c>
      <c r="B9" t="s">
        <v>873</v>
      </c>
      <c r="C9">
        <v>511065</v>
      </c>
      <c r="D9">
        <v>414025</v>
      </c>
      <c r="E9" t="s">
        <v>881</v>
      </c>
      <c r="F9">
        <v>3275</v>
      </c>
    </row>
    <row r="10" spans="1:6" x14ac:dyDescent="0.2">
      <c r="A10">
        <v>2024</v>
      </c>
      <c r="B10" t="s">
        <v>873</v>
      </c>
      <c r="C10">
        <v>513620</v>
      </c>
      <c r="D10">
        <v>423820</v>
      </c>
      <c r="E10" t="s">
        <v>882</v>
      </c>
      <c r="F10">
        <v>3405</v>
      </c>
    </row>
    <row r="11" spans="1:6" x14ac:dyDescent="0.2">
      <c r="A11">
        <v>2025</v>
      </c>
      <c r="B11" t="s">
        <v>873</v>
      </c>
      <c r="C11">
        <v>515195</v>
      </c>
      <c r="D11">
        <v>431515</v>
      </c>
      <c r="E11" t="s">
        <v>883</v>
      </c>
      <c r="F11">
        <v>3625</v>
      </c>
    </row>
    <row r="12" spans="1:6" x14ac:dyDescent="0.2">
      <c r="A12">
        <v>2016</v>
      </c>
      <c r="B12" t="s">
        <v>884</v>
      </c>
      <c r="C12">
        <v>21260</v>
      </c>
      <c r="D12">
        <v>14800</v>
      </c>
      <c r="E12" t="s">
        <v>97</v>
      </c>
      <c r="F12">
        <v>50</v>
      </c>
    </row>
    <row r="13" spans="1:6" x14ac:dyDescent="0.2">
      <c r="A13">
        <v>2017</v>
      </c>
      <c r="B13" t="s">
        <v>884</v>
      </c>
      <c r="C13">
        <v>20510</v>
      </c>
      <c r="D13">
        <v>14375</v>
      </c>
      <c r="E13" t="s">
        <v>99</v>
      </c>
      <c r="F13">
        <v>40</v>
      </c>
    </row>
    <row r="14" spans="1:6" x14ac:dyDescent="0.2">
      <c r="A14">
        <v>2018</v>
      </c>
      <c r="B14" t="s">
        <v>884</v>
      </c>
      <c r="C14">
        <v>19540</v>
      </c>
      <c r="D14">
        <v>14125</v>
      </c>
      <c r="E14" t="s">
        <v>102</v>
      </c>
      <c r="F14">
        <v>35</v>
      </c>
    </row>
    <row r="15" spans="1:6" x14ac:dyDescent="0.2">
      <c r="A15">
        <v>2019</v>
      </c>
      <c r="B15" t="s">
        <v>884</v>
      </c>
      <c r="C15">
        <v>18820</v>
      </c>
      <c r="D15">
        <v>13905</v>
      </c>
      <c r="E15" t="s">
        <v>885</v>
      </c>
      <c r="F15">
        <v>30</v>
      </c>
    </row>
    <row r="16" spans="1:6" x14ac:dyDescent="0.2">
      <c r="A16">
        <v>2020</v>
      </c>
      <c r="B16" t="s">
        <v>884</v>
      </c>
      <c r="C16">
        <v>18600</v>
      </c>
      <c r="D16">
        <v>15065</v>
      </c>
      <c r="E16" t="s">
        <v>881</v>
      </c>
      <c r="F16">
        <v>65</v>
      </c>
    </row>
    <row r="17" spans="1:6" x14ac:dyDescent="0.2">
      <c r="A17">
        <v>2021</v>
      </c>
      <c r="B17" t="s">
        <v>884</v>
      </c>
      <c r="C17">
        <v>19695</v>
      </c>
      <c r="D17">
        <v>14990</v>
      </c>
      <c r="E17" t="s">
        <v>886</v>
      </c>
      <c r="F17">
        <v>30</v>
      </c>
    </row>
    <row r="18" spans="1:6" x14ac:dyDescent="0.2">
      <c r="A18">
        <v>2022</v>
      </c>
      <c r="B18" t="s">
        <v>884</v>
      </c>
      <c r="C18">
        <v>18830</v>
      </c>
      <c r="D18">
        <v>13775</v>
      </c>
      <c r="E18" t="s">
        <v>170</v>
      </c>
      <c r="F18">
        <v>40</v>
      </c>
    </row>
    <row r="19" spans="1:6" x14ac:dyDescent="0.2">
      <c r="A19">
        <v>2023</v>
      </c>
      <c r="B19" t="s">
        <v>884</v>
      </c>
      <c r="C19">
        <v>18015</v>
      </c>
      <c r="D19">
        <v>13025</v>
      </c>
      <c r="E19" t="s">
        <v>102</v>
      </c>
      <c r="F19">
        <v>65</v>
      </c>
    </row>
    <row r="20" spans="1:6" x14ac:dyDescent="0.2">
      <c r="A20">
        <v>2024</v>
      </c>
      <c r="B20" t="s">
        <v>884</v>
      </c>
      <c r="C20">
        <v>17700</v>
      </c>
      <c r="D20">
        <v>12930</v>
      </c>
      <c r="E20" t="s">
        <v>176</v>
      </c>
      <c r="F20">
        <v>75</v>
      </c>
    </row>
    <row r="21" spans="1:6" x14ac:dyDescent="0.2">
      <c r="A21">
        <v>2025</v>
      </c>
      <c r="B21" t="s">
        <v>884</v>
      </c>
      <c r="C21">
        <v>18120</v>
      </c>
      <c r="D21">
        <v>13480</v>
      </c>
      <c r="E21" t="s">
        <v>247</v>
      </c>
      <c r="F21">
        <v>70</v>
      </c>
    </row>
    <row r="22" spans="1:6" x14ac:dyDescent="0.2">
      <c r="A22">
        <v>2016</v>
      </c>
      <c r="B22" t="s">
        <v>887</v>
      </c>
      <c r="C22">
        <v>52050</v>
      </c>
      <c r="D22">
        <v>35670</v>
      </c>
      <c r="E22" t="s">
        <v>888</v>
      </c>
      <c r="F22">
        <v>265</v>
      </c>
    </row>
    <row r="23" spans="1:6" x14ac:dyDescent="0.2">
      <c r="A23">
        <v>2017</v>
      </c>
      <c r="B23" t="s">
        <v>887</v>
      </c>
      <c r="C23">
        <v>51555</v>
      </c>
      <c r="D23">
        <v>36540</v>
      </c>
      <c r="E23" t="s">
        <v>889</v>
      </c>
      <c r="F23">
        <v>270</v>
      </c>
    </row>
    <row r="24" spans="1:6" x14ac:dyDescent="0.2">
      <c r="A24">
        <v>2018</v>
      </c>
      <c r="B24" t="s">
        <v>887</v>
      </c>
      <c r="C24">
        <v>51475</v>
      </c>
      <c r="D24">
        <v>37105</v>
      </c>
      <c r="E24" t="s">
        <v>890</v>
      </c>
      <c r="F24">
        <v>205</v>
      </c>
    </row>
    <row r="25" spans="1:6" x14ac:dyDescent="0.2">
      <c r="A25">
        <v>2019</v>
      </c>
      <c r="B25" t="s">
        <v>887</v>
      </c>
      <c r="C25">
        <v>49665</v>
      </c>
      <c r="D25">
        <v>35725</v>
      </c>
      <c r="E25" t="s">
        <v>891</v>
      </c>
      <c r="F25">
        <v>260</v>
      </c>
    </row>
    <row r="26" spans="1:6" x14ac:dyDescent="0.2">
      <c r="A26">
        <v>2020</v>
      </c>
      <c r="B26" t="s">
        <v>887</v>
      </c>
      <c r="C26">
        <v>50660</v>
      </c>
      <c r="D26">
        <v>38510</v>
      </c>
      <c r="E26" t="s">
        <v>892</v>
      </c>
      <c r="F26">
        <v>515</v>
      </c>
    </row>
    <row r="27" spans="1:6" x14ac:dyDescent="0.2">
      <c r="A27">
        <v>2021</v>
      </c>
      <c r="B27" t="s">
        <v>887</v>
      </c>
      <c r="C27">
        <v>54925</v>
      </c>
      <c r="D27">
        <v>39300</v>
      </c>
      <c r="E27" t="s">
        <v>169</v>
      </c>
      <c r="F27">
        <v>225</v>
      </c>
    </row>
    <row r="28" spans="1:6" x14ac:dyDescent="0.2">
      <c r="A28">
        <v>2022</v>
      </c>
      <c r="B28" t="s">
        <v>887</v>
      </c>
      <c r="C28">
        <v>50630</v>
      </c>
      <c r="D28">
        <v>37320</v>
      </c>
      <c r="E28" t="s">
        <v>893</v>
      </c>
      <c r="F28">
        <v>385</v>
      </c>
    </row>
    <row r="29" spans="1:6" x14ac:dyDescent="0.2">
      <c r="A29">
        <v>2023</v>
      </c>
      <c r="B29" t="s">
        <v>887</v>
      </c>
      <c r="C29">
        <v>47620</v>
      </c>
      <c r="D29">
        <v>36840</v>
      </c>
      <c r="E29" t="s">
        <v>894</v>
      </c>
      <c r="F29">
        <v>420</v>
      </c>
    </row>
    <row r="30" spans="1:6" x14ac:dyDescent="0.2">
      <c r="A30">
        <v>2024</v>
      </c>
      <c r="B30" t="s">
        <v>887</v>
      </c>
      <c r="C30">
        <v>48910</v>
      </c>
      <c r="D30">
        <v>39310</v>
      </c>
      <c r="E30" t="s">
        <v>895</v>
      </c>
      <c r="F30">
        <v>425</v>
      </c>
    </row>
    <row r="31" spans="1:6" x14ac:dyDescent="0.2">
      <c r="A31">
        <v>2025</v>
      </c>
      <c r="B31" t="s">
        <v>887</v>
      </c>
      <c r="C31">
        <v>49390</v>
      </c>
      <c r="D31">
        <v>38945</v>
      </c>
      <c r="E31" t="s">
        <v>896</v>
      </c>
      <c r="F31">
        <v>435</v>
      </c>
    </row>
    <row r="32" spans="1:6" x14ac:dyDescent="0.2">
      <c r="A32">
        <v>2016</v>
      </c>
      <c r="B32" t="s">
        <v>897</v>
      </c>
      <c r="C32">
        <v>25250</v>
      </c>
      <c r="D32">
        <v>20715</v>
      </c>
      <c r="E32" t="s">
        <v>898</v>
      </c>
      <c r="F32">
        <v>155</v>
      </c>
    </row>
    <row r="33" spans="1:6" x14ac:dyDescent="0.2">
      <c r="A33">
        <v>2017</v>
      </c>
      <c r="B33" t="s">
        <v>897</v>
      </c>
      <c r="C33">
        <v>24475</v>
      </c>
      <c r="D33">
        <v>20665</v>
      </c>
      <c r="E33" t="s">
        <v>899</v>
      </c>
      <c r="F33">
        <v>145</v>
      </c>
    </row>
    <row r="34" spans="1:6" x14ac:dyDescent="0.2">
      <c r="A34">
        <v>2018</v>
      </c>
      <c r="B34" t="s">
        <v>897</v>
      </c>
      <c r="C34">
        <v>23735</v>
      </c>
      <c r="D34">
        <v>20030</v>
      </c>
      <c r="E34" t="s">
        <v>899</v>
      </c>
      <c r="F34">
        <v>145</v>
      </c>
    </row>
    <row r="35" spans="1:6" x14ac:dyDescent="0.2">
      <c r="A35">
        <v>2019</v>
      </c>
      <c r="B35" t="s">
        <v>897</v>
      </c>
      <c r="C35">
        <v>23625</v>
      </c>
      <c r="D35">
        <v>19830</v>
      </c>
      <c r="E35" t="s">
        <v>900</v>
      </c>
      <c r="F35">
        <v>125</v>
      </c>
    </row>
    <row r="36" spans="1:6" x14ac:dyDescent="0.2">
      <c r="A36">
        <v>2020</v>
      </c>
      <c r="B36" t="s">
        <v>897</v>
      </c>
      <c r="C36">
        <v>23355</v>
      </c>
      <c r="D36">
        <v>20070</v>
      </c>
      <c r="E36" t="s">
        <v>901</v>
      </c>
      <c r="F36">
        <v>240</v>
      </c>
    </row>
    <row r="37" spans="1:6" x14ac:dyDescent="0.2">
      <c r="A37">
        <v>2021</v>
      </c>
      <c r="B37" t="s">
        <v>897</v>
      </c>
      <c r="C37">
        <v>24935</v>
      </c>
      <c r="D37">
        <v>20340</v>
      </c>
      <c r="E37" t="s">
        <v>902</v>
      </c>
      <c r="F37">
        <v>125</v>
      </c>
    </row>
    <row r="38" spans="1:6" x14ac:dyDescent="0.2">
      <c r="A38">
        <v>2022</v>
      </c>
      <c r="B38" t="s">
        <v>897</v>
      </c>
      <c r="C38">
        <v>25380</v>
      </c>
      <c r="D38">
        <v>20180</v>
      </c>
      <c r="E38" t="s">
        <v>903</v>
      </c>
      <c r="F38">
        <v>205</v>
      </c>
    </row>
    <row r="39" spans="1:6" x14ac:dyDescent="0.2">
      <c r="A39">
        <v>2023</v>
      </c>
      <c r="B39" t="s">
        <v>897</v>
      </c>
      <c r="C39">
        <v>23225</v>
      </c>
      <c r="D39">
        <v>19005</v>
      </c>
      <c r="E39" t="s">
        <v>904</v>
      </c>
      <c r="F39">
        <v>190</v>
      </c>
    </row>
    <row r="40" spans="1:6" x14ac:dyDescent="0.2">
      <c r="A40">
        <v>2024</v>
      </c>
      <c r="B40" t="s">
        <v>897</v>
      </c>
      <c r="C40">
        <v>23065</v>
      </c>
      <c r="D40">
        <v>18980</v>
      </c>
      <c r="E40" t="s">
        <v>905</v>
      </c>
      <c r="F40">
        <v>165</v>
      </c>
    </row>
    <row r="41" spans="1:6" x14ac:dyDescent="0.2">
      <c r="A41">
        <v>2025</v>
      </c>
      <c r="B41" t="s">
        <v>897</v>
      </c>
      <c r="C41">
        <v>22985</v>
      </c>
      <c r="D41">
        <v>19120</v>
      </c>
      <c r="E41" t="s">
        <v>906</v>
      </c>
      <c r="F41">
        <v>215</v>
      </c>
    </row>
    <row r="42" spans="1:6" x14ac:dyDescent="0.2">
      <c r="A42">
        <v>2016</v>
      </c>
      <c r="B42" t="s">
        <v>23</v>
      </c>
      <c r="C42">
        <v>650</v>
      </c>
      <c r="D42">
        <v>370</v>
      </c>
      <c r="E42" t="s">
        <v>24</v>
      </c>
      <c r="F42">
        <v>5</v>
      </c>
    </row>
    <row r="43" spans="1:6" x14ac:dyDescent="0.2">
      <c r="A43">
        <v>2017</v>
      </c>
      <c r="B43" t="s">
        <v>23</v>
      </c>
      <c r="C43">
        <v>590</v>
      </c>
      <c r="D43">
        <v>340</v>
      </c>
      <c r="E43" t="s">
        <v>27</v>
      </c>
      <c r="F43">
        <v>0</v>
      </c>
    </row>
    <row r="44" spans="1:6" x14ac:dyDescent="0.2">
      <c r="A44">
        <v>2018</v>
      </c>
      <c r="B44" t="s">
        <v>23</v>
      </c>
      <c r="C44">
        <v>625</v>
      </c>
      <c r="D44">
        <v>335</v>
      </c>
      <c r="E44" t="s">
        <v>28</v>
      </c>
      <c r="F44">
        <v>0</v>
      </c>
    </row>
    <row r="45" spans="1:6" x14ac:dyDescent="0.2">
      <c r="A45">
        <v>2019</v>
      </c>
      <c r="B45" t="s">
        <v>23</v>
      </c>
      <c r="C45">
        <v>625</v>
      </c>
      <c r="D45">
        <v>345</v>
      </c>
      <c r="E45" t="s">
        <v>29</v>
      </c>
      <c r="F45">
        <v>0</v>
      </c>
    </row>
    <row r="46" spans="1:6" x14ac:dyDescent="0.2">
      <c r="A46">
        <v>2020</v>
      </c>
      <c r="B46" t="s">
        <v>23</v>
      </c>
      <c r="C46">
        <v>550</v>
      </c>
      <c r="D46">
        <v>295</v>
      </c>
      <c r="E46" t="s">
        <v>30</v>
      </c>
      <c r="F46">
        <v>0</v>
      </c>
    </row>
    <row r="47" spans="1:6" x14ac:dyDescent="0.2">
      <c r="A47">
        <v>2021</v>
      </c>
      <c r="B47" t="s">
        <v>23</v>
      </c>
      <c r="C47">
        <v>405</v>
      </c>
      <c r="D47">
        <v>165</v>
      </c>
      <c r="E47" t="s">
        <v>31</v>
      </c>
      <c r="F47">
        <v>0</v>
      </c>
    </row>
    <row r="48" spans="1:6" x14ac:dyDescent="0.2">
      <c r="A48">
        <v>2022</v>
      </c>
      <c r="B48" t="s">
        <v>23</v>
      </c>
      <c r="C48">
        <v>365</v>
      </c>
      <c r="D48">
        <v>170</v>
      </c>
      <c r="E48" t="s">
        <v>32</v>
      </c>
      <c r="F48">
        <v>0</v>
      </c>
    </row>
    <row r="49" spans="1:6" x14ac:dyDescent="0.2">
      <c r="A49">
        <v>2023</v>
      </c>
      <c r="B49" t="s">
        <v>23</v>
      </c>
      <c r="C49">
        <v>340</v>
      </c>
      <c r="D49">
        <v>155</v>
      </c>
      <c r="E49" t="s">
        <v>33</v>
      </c>
      <c r="F49">
        <v>0</v>
      </c>
    </row>
    <row r="50" spans="1:6" x14ac:dyDescent="0.2">
      <c r="A50">
        <v>2024</v>
      </c>
      <c r="B50" t="s">
        <v>23</v>
      </c>
      <c r="C50">
        <v>365</v>
      </c>
      <c r="D50">
        <v>160</v>
      </c>
      <c r="E50" t="s">
        <v>34</v>
      </c>
      <c r="F50">
        <v>0</v>
      </c>
    </row>
    <row r="51" spans="1:6" x14ac:dyDescent="0.2">
      <c r="A51">
        <v>2025</v>
      </c>
      <c r="B51" t="s">
        <v>23</v>
      </c>
      <c r="C51">
        <v>325</v>
      </c>
      <c r="D51">
        <v>175</v>
      </c>
      <c r="E51" t="s">
        <v>143</v>
      </c>
      <c r="F51">
        <v>5</v>
      </c>
    </row>
    <row r="52" spans="1:6" x14ac:dyDescent="0.2">
      <c r="A52">
        <v>2016</v>
      </c>
      <c r="B52" t="s">
        <v>35</v>
      </c>
      <c r="C52">
        <v>1135</v>
      </c>
      <c r="D52">
        <v>645</v>
      </c>
      <c r="E52" t="s">
        <v>36</v>
      </c>
      <c r="F52">
        <v>0</v>
      </c>
    </row>
    <row r="53" spans="1:6" x14ac:dyDescent="0.2">
      <c r="A53">
        <v>2017</v>
      </c>
      <c r="B53" t="s">
        <v>35</v>
      </c>
      <c r="C53">
        <v>1105</v>
      </c>
      <c r="D53">
        <v>650</v>
      </c>
      <c r="E53" t="s">
        <v>38</v>
      </c>
      <c r="F53">
        <v>5</v>
      </c>
    </row>
    <row r="54" spans="1:6" x14ac:dyDescent="0.2">
      <c r="A54">
        <v>2018</v>
      </c>
      <c r="B54" t="s">
        <v>35</v>
      </c>
      <c r="C54">
        <v>1110</v>
      </c>
      <c r="D54">
        <v>670</v>
      </c>
      <c r="E54" t="s">
        <v>39</v>
      </c>
      <c r="F54">
        <v>5</v>
      </c>
    </row>
    <row r="55" spans="1:6" x14ac:dyDescent="0.2">
      <c r="A55">
        <v>2019</v>
      </c>
      <c r="B55" t="s">
        <v>35</v>
      </c>
      <c r="C55">
        <v>1055</v>
      </c>
      <c r="D55">
        <v>605</v>
      </c>
      <c r="E55" t="s">
        <v>27</v>
      </c>
      <c r="F55">
        <v>5</v>
      </c>
    </row>
    <row r="56" spans="1:6" x14ac:dyDescent="0.2">
      <c r="A56">
        <v>2020</v>
      </c>
      <c r="B56" t="s">
        <v>35</v>
      </c>
      <c r="C56">
        <v>1025</v>
      </c>
      <c r="D56">
        <v>595</v>
      </c>
      <c r="E56" t="s">
        <v>40</v>
      </c>
      <c r="F56">
        <v>10</v>
      </c>
    </row>
    <row r="57" spans="1:6" x14ac:dyDescent="0.2">
      <c r="A57">
        <v>2021</v>
      </c>
      <c r="B57" t="s">
        <v>35</v>
      </c>
      <c r="C57">
        <v>725</v>
      </c>
      <c r="D57">
        <v>345</v>
      </c>
      <c r="E57" t="s">
        <v>41</v>
      </c>
      <c r="F57">
        <v>0</v>
      </c>
    </row>
    <row r="58" spans="1:6" x14ac:dyDescent="0.2">
      <c r="A58">
        <v>2022</v>
      </c>
      <c r="B58" t="s">
        <v>35</v>
      </c>
      <c r="C58">
        <v>620</v>
      </c>
      <c r="D58">
        <v>305</v>
      </c>
      <c r="E58" t="s">
        <v>42</v>
      </c>
      <c r="F58">
        <v>5</v>
      </c>
    </row>
    <row r="59" spans="1:6" x14ac:dyDescent="0.2">
      <c r="A59">
        <v>2023</v>
      </c>
      <c r="B59" t="s">
        <v>35</v>
      </c>
      <c r="C59">
        <v>590</v>
      </c>
      <c r="D59">
        <v>295</v>
      </c>
      <c r="E59" t="s">
        <v>43</v>
      </c>
      <c r="F59">
        <v>5</v>
      </c>
    </row>
    <row r="60" spans="1:6" x14ac:dyDescent="0.2">
      <c r="A60">
        <v>2024</v>
      </c>
      <c r="B60" t="s">
        <v>35</v>
      </c>
      <c r="C60">
        <v>575</v>
      </c>
      <c r="D60">
        <v>285</v>
      </c>
      <c r="E60" t="s">
        <v>44</v>
      </c>
      <c r="F60">
        <v>5</v>
      </c>
    </row>
    <row r="61" spans="1:6" x14ac:dyDescent="0.2">
      <c r="A61">
        <v>2025</v>
      </c>
      <c r="B61" t="s">
        <v>35</v>
      </c>
      <c r="C61">
        <v>545</v>
      </c>
      <c r="D61">
        <v>265</v>
      </c>
      <c r="E61" t="s">
        <v>324</v>
      </c>
      <c r="F61">
        <v>10</v>
      </c>
    </row>
    <row r="62" spans="1:6" x14ac:dyDescent="0.2">
      <c r="A62">
        <v>2016</v>
      </c>
      <c r="B62" t="s">
        <v>45</v>
      </c>
      <c r="C62">
        <v>2515</v>
      </c>
      <c r="D62">
        <v>1830</v>
      </c>
      <c r="E62" t="s">
        <v>46</v>
      </c>
      <c r="F62">
        <v>5</v>
      </c>
    </row>
    <row r="63" spans="1:6" x14ac:dyDescent="0.2">
      <c r="A63">
        <v>2017</v>
      </c>
      <c r="B63" t="s">
        <v>45</v>
      </c>
      <c r="C63">
        <v>2265</v>
      </c>
      <c r="D63">
        <v>1625</v>
      </c>
      <c r="E63" t="s">
        <v>48</v>
      </c>
      <c r="F63">
        <v>5</v>
      </c>
    </row>
    <row r="64" spans="1:6" x14ac:dyDescent="0.2">
      <c r="A64">
        <v>2018</v>
      </c>
      <c r="B64" t="s">
        <v>45</v>
      </c>
      <c r="C64">
        <v>2265</v>
      </c>
      <c r="D64">
        <v>1650</v>
      </c>
      <c r="E64" t="s">
        <v>46</v>
      </c>
      <c r="F64">
        <v>5</v>
      </c>
    </row>
    <row r="65" spans="1:6" x14ac:dyDescent="0.2">
      <c r="A65">
        <v>2019</v>
      </c>
      <c r="B65" t="s">
        <v>45</v>
      </c>
      <c r="C65">
        <v>2120</v>
      </c>
      <c r="D65">
        <v>1495</v>
      </c>
      <c r="E65" t="s">
        <v>49</v>
      </c>
      <c r="F65">
        <v>5</v>
      </c>
    </row>
    <row r="66" spans="1:6" x14ac:dyDescent="0.2">
      <c r="A66">
        <v>2020</v>
      </c>
      <c r="B66" t="s">
        <v>45</v>
      </c>
      <c r="C66">
        <v>1935</v>
      </c>
      <c r="D66">
        <v>1350</v>
      </c>
      <c r="E66" t="s">
        <v>50</v>
      </c>
      <c r="F66">
        <v>5</v>
      </c>
    </row>
    <row r="67" spans="1:6" x14ac:dyDescent="0.2">
      <c r="A67">
        <v>2021</v>
      </c>
      <c r="B67" t="s">
        <v>45</v>
      </c>
      <c r="C67">
        <v>525</v>
      </c>
      <c r="D67">
        <v>255</v>
      </c>
      <c r="E67" t="s">
        <v>51</v>
      </c>
      <c r="F67">
        <v>0</v>
      </c>
    </row>
    <row r="68" spans="1:6" x14ac:dyDescent="0.2">
      <c r="A68">
        <v>2022</v>
      </c>
      <c r="B68" t="s">
        <v>45</v>
      </c>
      <c r="C68">
        <v>305</v>
      </c>
      <c r="D68">
        <v>150</v>
      </c>
      <c r="E68" t="s">
        <v>52</v>
      </c>
      <c r="F68">
        <v>0</v>
      </c>
    </row>
    <row r="69" spans="1:6" x14ac:dyDescent="0.2">
      <c r="A69">
        <v>2023</v>
      </c>
      <c r="B69" t="s">
        <v>45</v>
      </c>
      <c r="C69">
        <v>335</v>
      </c>
      <c r="D69">
        <v>150</v>
      </c>
      <c r="E69" t="s">
        <v>53</v>
      </c>
      <c r="F69">
        <v>0</v>
      </c>
    </row>
    <row r="70" spans="1:6" x14ac:dyDescent="0.2">
      <c r="A70">
        <v>2024</v>
      </c>
      <c r="B70" t="s">
        <v>45</v>
      </c>
      <c r="C70">
        <v>300</v>
      </c>
      <c r="D70">
        <v>150</v>
      </c>
      <c r="E70" t="s">
        <v>54</v>
      </c>
      <c r="F70">
        <v>0</v>
      </c>
    </row>
    <row r="71" spans="1:6" x14ac:dyDescent="0.2">
      <c r="A71">
        <v>2025</v>
      </c>
      <c r="B71" t="s">
        <v>45</v>
      </c>
      <c r="C71">
        <v>295</v>
      </c>
      <c r="D71">
        <v>145</v>
      </c>
      <c r="E71" t="s">
        <v>373</v>
      </c>
      <c r="F71">
        <v>0</v>
      </c>
    </row>
    <row r="72" spans="1:6" x14ac:dyDescent="0.2">
      <c r="A72">
        <v>2016</v>
      </c>
      <c r="B72" t="s">
        <v>907</v>
      </c>
      <c r="C72">
        <v>25</v>
      </c>
      <c r="D72">
        <v>10</v>
      </c>
      <c r="E72" t="s">
        <v>187</v>
      </c>
      <c r="F72">
        <v>0</v>
      </c>
    </row>
    <row r="73" spans="1:6" x14ac:dyDescent="0.2">
      <c r="A73">
        <v>2017</v>
      </c>
      <c r="B73" t="s">
        <v>907</v>
      </c>
      <c r="C73">
        <v>40</v>
      </c>
      <c r="D73">
        <v>25</v>
      </c>
      <c r="E73" t="s">
        <v>254</v>
      </c>
      <c r="F73">
        <v>0</v>
      </c>
    </row>
    <row r="74" spans="1:6" x14ac:dyDescent="0.2">
      <c r="A74">
        <v>2018</v>
      </c>
      <c r="B74" t="s">
        <v>907</v>
      </c>
      <c r="C74">
        <v>30</v>
      </c>
      <c r="D74">
        <v>15</v>
      </c>
      <c r="E74" t="s">
        <v>92</v>
      </c>
      <c r="F74">
        <v>0</v>
      </c>
    </row>
    <row r="75" spans="1:6" x14ac:dyDescent="0.2">
      <c r="A75">
        <v>2019</v>
      </c>
      <c r="B75" t="s">
        <v>907</v>
      </c>
      <c r="C75">
        <v>25</v>
      </c>
      <c r="D75">
        <v>10</v>
      </c>
      <c r="E75" t="s">
        <v>187</v>
      </c>
      <c r="F75">
        <v>0</v>
      </c>
    </row>
    <row r="76" spans="1:6" x14ac:dyDescent="0.2">
      <c r="A76">
        <v>2020</v>
      </c>
      <c r="B76" t="s">
        <v>907</v>
      </c>
      <c r="C76">
        <v>35</v>
      </c>
      <c r="D76">
        <v>20</v>
      </c>
      <c r="E76" t="s">
        <v>908</v>
      </c>
      <c r="F76">
        <v>0</v>
      </c>
    </row>
    <row r="77" spans="1:6" x14ac:dyDescent="0.2">
      <c r="A77">
        <v>2021</v>
      </c>
      <c r="B77" t="s">
        <v>907</v>
      </c>
      <c r="C77">
        <v>45</v>
      </c>
      <c r="D77">
        <v>35</v>
      </c>
      <c r="E77" t="s">
        <v>909</v>
      </c>
      <c r="F77">
        <v>0</v>
      </c>
    </row>
    <row r="78" spans="1:6" x14ac:dyDescent="0.2">
      <c r="A78">
        <v>2022</v>
      </c>
      <c r="B78" t="s">
        <v>907</v>
      </c>
      <c r="C78">
        <v>5</v>
      </c>
      <c r="D78">
        <v>5</v>
      </c>
      <c r="E78" t="s">
        <v>910</v>
      </c>
      <c r="F78">
        <v>0</v>
      </c>
    </row>
    <row r="79" spans="1:6" x14ac:dyDescent="0.2">
      <c r="A79">
        <v>2023</v>
      </c>
      <c r="B79" t="s">
        <v>907</v>
      </c>
      <c r="C79">
        <v>20</v>
      </c>
      <c r="D79">
        <v>10</v>
      </c>
      <c r="E79" t="s">
        <v>908</v>
      </c>
      <c r="F79">
        <v>0</v>
      </c>
    </row>
    <row r="80" spans="1:6" x14ac:dyDescent="0.2">
      <c r="A80">
        <v>2024</v>
      </c>
      <c r="B80" t="s">
        <v>907</v>
      </c>
      <c r="C80">
        <v>20</v>
      </c>
      <c r="D80">
        <v>15</v>
      </c>
      <c r="E80" t="s">
        <v>249</v>
      </c>
      <c r="F80">
        <v>0</v>
      </c>
    </row>
    <row r="81" spans="1:6" x14ac:dyDescent="0.2">
      <c r="A81">
        <v>2025</v>
      </c>
      <c r="B81" t="s">
        <v>907</v>
      </c>
      <c r="C81">
        <v>25</v>
      </c>
      <c r="D81">
        <v>20</v>
      </c>
      <c r="E81" t="s">
        <v>911</v>
      </c>
      <c r="F81">
        <v>0</v>
      </c>
    </row>
    <row r="82" spans="1:6" x14ac:dyDescent="0.2">
      <c r="A82">
        <v>2016</v>
      </c>
      <c r="B82" t="s">
        <v>55</v>
      </c>
      <c r="C82">
        <v>520</v>
      </c>
      <c r="D82">
        <v>285</v>
      </c>
      <c r="E82" t="s">
        <v>56</v>
      </c>
      <c r="F82">
        <v>0</v>
      </c>
    </row>
    <row r="83" spans="1:6" x14ac:dyDescent="0.2">
      <c r="A83">
        <v>2017</v>
      </c>
      <c r="B83" t="s">
        <v>55</v>
      </c>
      <c r="C83">
        <v>545</v>
      </c>
      <c r="D83">
        <v>275</v>
      </c>
      <c r="E83" t="s">
        <v>58</v>
      </c>
      <c r="F83">
        <v>0</v>
      </c>
    </row>
    <row r="84" spans="1:6" x14ac:dyDescent="0.2">
      <c r="A84">
        <v>2018</v>
      </c>
      <c r="B84" t="s">
        <v>55</v>
      </c>
      <c r="C84">
        <v>550</v>
      </c>
      <c r="D84">
        <v>285</v>
      </c>
      <c r="E84" t="s">
        <v>59</v>
      </c>
      <c r="F84">
        <v>0</v>
      </c>
    </row>
    <row r="85" spans="1:6" x14ac:dyDescent="0.2">
      <c r="A85">
        <v>2019</v>
      </c>
      <c r="B85" t="s">
        <v>55</v>
      </c>
      <c r="C85">
        <v>530</v>
      </c>
      <c r="D85">
        <v>285</v>
      </c>
      <c r="E85" t="s">
        <v>28</v>
      </c>
      <c r="F85">
        <v>0</v>
      </c>
    </row>
    <row r="86" spans="1:6" x14ac:dyDescent="0.2">
      <c r="A86">
        <v>2020</v>
      </c>
      <c r="B86" t="s">
        <v>55</v>
      </c>
      <c r="C86">
        <v>470</v>
      </c>
      <c r="D86">
        <v>250</v>
      </c>
      <c r="E86" t="s">
        <v>60</v>
      </c>
      <c r="F86">
        <v>0</v>
      </c>
    </row>
    <row r="87" spans="1:6" x14ac:dyDescent="0.2">
      <c r="A87">
        <v>2021</v>
      </c>
      <c r="B87" t="s">
        <v>55</v>
      </c>
      <c r="C87">
        <v>235</v>
      </c>
      <c r="D87">
        <v>95</v>
      </c>
      <c r="E87" t="s">
        <v>61</v>
      </c>
      <c r="F87">
        <v>0</v>
      </c>
    </row>
    <row r="88" spans="1:6" x14ac:dyDescent="0.2">
      <c r="A88">
        <v>2022</v>
      </c>
      <c r="B88" t="s">
        <v>55</v>
      </c>
      <c r="C88">
        <v>215</v>
      </c>
      <c r="D88">
        <v>85</v>
      </c>
      <c r="E88" t="s">
        <v>62</v>
      </c>
      <c r="F88">
        <v>0</v>
      </c>
    </row>
    <row r="89" spans="1:6" x14ac:dyDescent="0.2">
      <c r="A89">
        <v>2023</v>
      </c>
      <c r="B89" t="s">
        <v>55</v>
      </c>
      <c r="C89">
        <v>170</v>
      </c>
      <c r="D89">
        <v>60</v>
      </c>
      <c r="E89" t="s">
        <v>63</v>
      </c>
      <c r="F89">
        <v>0</v>
      </c>
    </row>
    <row r="90" spans="1:6" x14ac:dyDescent="0.2">
      <c r="A90">
        <v>2024</v>
      </c>
      <c r="B90" t="s">
        <v>55</v>
      </c>
      <c r="C90">
        <v>155</v>
      </c>
      <c r="D90">
        <v>65</v>
      </c>
      <c r="E90" t="s">
        <v>64</v>
      </c>
      <c r="F90">
        <v>0</v>
      </c>
    </row>
    <row r="91" spans="1:6" x14ac:dyDescent="0.2">
      <c r="A91">
        <v>2025</v>
      </c>
      <c r="B91" t="s">
        <v>55</v>
      </c>
      <c r="C91">
        <v>175</v>
      </c>
      <c r="D91">
        <v>75</v>
      </c>
      <c r="E91" t="s">
        <v>163</v>
      </c>
      <c r="F91">
        <v>0</v>
      </c>
    </row>
    <row r="92" spans="1:6" x14ac:dyDescent="0.2">
      <c r="A92">
        <v>2016</v>
      </c>
      <c r="B92" t="s">
        <v>65</v>
      </c>
      <c r="C92">
        <v>1010</v>
      </c>
      <c r="D92">
        <v>555</v>
      </c>
      <c r="E92" t="s">
        <v>66</v>
      </c>
      <c r="F92">
        <v>5</v>
      </c>
    </row>
    <row r="93" spans="1:6" x14ac:dyDescent="0.2">
      <c r="A93">
        <v>2017</v>
      </c>
      <c r="B93" t="s">
        <v>65</v>
      </c>
      <c r="C93">
        <v>875</v>
      </c>
      <c r="D93">
        <v>470</v>
      </c>
      <c r="E93" t="s">
        <v>68</v>
      </c>
      <c r="F93">
        <v>5</v>
      </c>
    </row>
    <row r="94" spans="1:6" x14ac:dyDescent="0.2">
      <c r="A94">
        <v>2018</v>
      </c>
      <c r="B94" t="s">
        <v>65</v>
      </c>
      <c r="C94">
        <v>920</v>
      </c>
      <c r="D94">
        <v>520</v>
      </c>
      <c r="E94" t="s">
        <v>69</v>
      </c>
      <c r="F94">
        <v>5</v>
      </c>
    </row>
    <row r="95" spans="1:6" x14ac:dyDescent="0.2">
      <c r="A95">
        <v>2019</v>
      </c>
      <c r="B95" t="s">
        <v>65</v>
      </c>
      <c r="C95">
        <v>805</v>
      </c>
      <c r="D95">
        <v>395</v>
      </c>
      <c r="E95" t="s">
        <v>70</v>
      </c>
      <c r="F95">
        <v>5</v>
      </c>
    </row>
    <row r="96" spans="1:6" x14ac:dyDescent="0.2">
      <c r="A96">
        <v>2020</v>
      </c>
      <c r="B96" t="s">
        <v>65</v>
      </c>
      <c r="C96">
        <v>730</v>
      </c>
      <c r="D96">
        <v>375</v>
      </c>
      <c r="E96" t="s">
        <v>71</v>
      </c>
      <c r="F96">
        <v>0</v>
      </c>
    </row>
    <row r="97" spans="1:6" x14ac:dyDescent="0.2">
      <c r="A97">
        <v>2021</v>
      </c>
      <c r="B97" t="s">
        <v>65</v>
      </c>
      <c r="C97">
        <v>250</v>
      </c>
      <c r="D97">
        <v>90</v>
      </c>
      <c r="E97" t="s">
        <v>72</v>
      </c>
      <c r="F97">
        <v>0</v>
      </c>
    </row>
    <row r="98" spans="1:6" x14ac:dyDescent="0.2">
      <c r="A98">
        <v>2022</v>
      </c>
      <c r="B98" t="s">
        <v>65</v>
      </c>
      <c r="C98">
        <v>185</v>
      </c>
      <c r="D98">
        <v>80</v>
      </c>
      <c r="E98" t="s">
        <v>73</v>
      </c>
      <c r="F98">
        <v>0</v>
      </c>
    </row>
    <row r="99" spans="1:6" x14ac:dyDescent="0.2">
      <c r="A99">
        <v>2023</v>
      </c>
      <c r="B99" t="s">
        <v>65</v>
      </c>
      <c r="C99">
        <v>135</v>
      </c>
      <c r="D99">
        <v>55</v>
      </c>
      <c r="E99" t="s">
        <v>74</v>
      </c>
      <c r="F99">
        <v>0</v>
      </c>
    </row>
    <row r="100" spans="1:6" x14ac:dyDescent="0.2">
      <c r="A100">
        <v>2024</v>
      </c>
      <c r="B100" t="s">
        <v>65</v>
      </c>
      <c r="C100">
        <v>120</v>
      </c>
      <c r="D100">
        <v>50</v>
      </c>
      <c r="E100" t="s">
        <v>75</v>
      </c>
      <c r="F100">
        <v>0</v>
      </c>
    </row>
    <row r="101" spans="1:6" x14ac:dyDescent="0.2">
      <c r="A101">
        <v>2025</v>
      </c>
      <c r="B101" t="s">
        <v>65</v>
      </c>
      <c r="C101">
        <v>110</v>
      </c>
      <c r="D101">
        <v>50</v>
      </c>
      <c r="E101" t="s">
        <v>32</v>
      </c>
      <c r="F101">
        <v>0</v>
      </c>
    </row>
    <row r="102" spans="1:6" x14ac:dyDescent="0.2">
      <c r="A102">
        <v>2016</v>
      </c>
      <c r="B102" t="s">
        <v>76</v>
      </c>
      <c r="C102">
        <v>5445</v>
      </c>
      <c r="D102">
        <v>3135</v>
      </c>
      <c r="E102" t="s">
        <v>77</v>
      </c>
      <c r="F102">
        <v>10</v>
      </c>
    </row>
    <row r="103" spans="1:6" x14ac:dyDescent="0.2">
      <c r="A103">
        <v>2017</v>
      </c>
      <c r="B103" t="s">
        <v>76</v>
      </c>
      <c r="C103">
        <v>5395</v>
      </c>
      <c r="D103">
        <v>3145</v>
      </c>
      <c r="E103" t="s">
        <v>79</v>
      </c>
      <c r="F103">
        <v>10</v>
      </c>
    </row>
    <row r="104" spans="1:6" x14ac:dyDescent="0.2">
      <c r="A104">
        <v>2018</v>
      </c>
      <c r="B104" t="s">
        <v>76</v>
      </c>
      <c r="C104">
        <v>5365</v>
      </c>
      <c r="D104">
        <v>2975</v>
      </c>
      <c r="E104" t="s">
        <v>80</v>
      </c>
      <c r="F104">
        <v>20</v>
      </c>
    </row>
    <row r="105" spans="1:6" x14ac:dyDescent="0.2">
      <c r="A105">
        <v>2019</v>
      </c>
      <c r="B105" t="s">
        <v>76</v>
      </c>
      <c r="C105">
        <v>5550</v>
      </c>
      <c r="D105">
        <v>3000</v>
      </c>
      <c r="E105" t="s">
        <v>81</v>
      </c>
      <c r="F105">
        <v>25</v>
      </c>
    </row>
    <row r="106" spans="1:6" x14ac:dyDescent="0.2">
      <c r="A106">
        <v>2020</v>
      </c>
      <c r="B106" t="s">
        <v>76</v>
      </c>
      <c r="C106">
        <v>5320</v>
      </c>
      <c r="D106">
        <v>2930</v>
      </c>
      <c r="E106" t="s">
        <v>29</v>
      </c>
      <c r="F106">
        <v>10</v>
      </c>
    </row>
    <row r="107" spans="1:6" x14ac:dyDescent="0.2">
      <c r="A107">
        <v>2021</v>
      </c>
      <c r="B107" t="s">
        <v>76</v>
      </c>
      <c r="C107">
        <v>3685</v>
      </c>
      <c r="D107">
        <v>1515</v>
      </c>
      <c r="E107" t="s">
        <v>82</v>
      </c>
      <c r="F107">
        <v>5</v>
      </c>
    </row>
    <row r="108" spans="1:6" x14ac:dyDescent="0.2">
      <c r="A108">
        <v>2022</v>
      </c>
      <c r="B108" t="s">
        <v>76</v>
      </c>
      <c r="C108">
        <v>3070</v>
      </c>
      <c r="D108">
        <v>1360</v>
      </c>
      <c r="E108" t="s">
        <v>83</v>
      </c>
      <c r="F108">
        <v>15</v>
      </c>
    </row>
    <row r="109" spans="1:6" x14ac:dyDescent="0.2">
      <c r="A109">
        <v>2023</v>
      </c>
      <c r="B109" t="s">
        <v>76</v>
      </c>
      <c r="C109">
        <v>2985</v>
      </c>
      <c r="D109">
        <v>1330</v>
      </c>
      <c r="E109" t="s">
        <v>84</v>
      </c>
      <c r="F109">
        <v>15</v>
      </c>
    </row>
    <row r="110" spans="1:6" x14ac:dyDescent="0.2">
      <c r="A110">
        <v>2024</v>
      </c>
      <c r="B110" t="s">
        <v>76</v>
      </c>
      <c r="C110">
        <v>2865</v>
      </c>
      <c r="D110">
        <v>1240</v>
      </c>
      <c r="E110" t="s">
        <v>85</v>
      </c>
      <c r="F110">
        <v>15</v>
      </c>
    </row>
    <row r="111" spans="1:6" x14ac:dyDescent="0.2">
      <c r="A111">
        <v>2025</v>
      </c>
      <c r="B111" t="s">
        <v>76</v>
      </c>
      <c r="C111">
        <v>2730</v>
      </c>
      <c r="D111">
        <v>1220</v>
      </c>
      <c r="E111" t="s">
        <v>84</v>
      </c>
      <c r="F111">
        <v>20</v>
      </c>
    </row>
    <row r="112" spans="1:6" x14ac:dyDescent="0.2">
      <c r="A112">
        <v>2016</v>
      </c>
      <c r="B112" t="s">
        <v>86</v>
      </c>
      <c r="C112">
        <v>3770</v>
      </c>
      <c r="D112">
        <v>2120</v>
      </c>
      <c r="E112" t="s">
        <v>87</v>
      </c>
      <c r="F112">
        <v>10</v>
      </c>
    </row>
    <row r="113" spans="1:6" x14ac:dyDescent="0.2">
      <c r="A113">
        <v>2017</v>
      </c>
      <c r="B113" t="s">
        <v>86</v>
      </c>
      <c r="C113">
        <v>3445</v>
      </c>
      <c r="D113">
        <v>1865</v>
      </c>
      <c r="E113" t="s">
        <v>89</v>
      </c>
      <c r="F113">
        <v>10</v>
      </c>
    </row>
    <row r="114" spans="1:6" x14ac:dyDescent="0.2">
      <c r="A114">
        <v>2018</v>
      </c>
      <c r="B114" t="s">
        <v>86</v>
      </c>
      <c r="C114">
        <v>3625</v>
      </c>
      <c r="D114">
        <v>2000</v>
      </c>
      <c r="E114" t="s">
        <v>66</v>
      </c>
      <c r="F114">
        <v>15</v>
      </c>
    </row>
    <row r="115" spans="1:6" x14ac:dyDescent="0.2">
      <c r="A115">
        <v>2019</v>
      </c>
      <c r="B115" t="s">
        <v>86</v>
      </c>
      <c r="C115">
        <v>3330</v>
      </c>
      <c r="D115">
        <v>1755</v>
      </c>
      <c r="E115" t="s">
        <v>90</v>
      </c>
      <c r="F115">
        <v>15</v>
      </c>
    </row>
    <row r="116" spans="1:6" x14ac:dyDescent="0.2">
      <c r="A116">
        <v>2020</v>
      </c>
      <c r="B116" t="s">
        <v>86</v>
      </c>
      <c r="C116">
        <v>3250</v>
      </c>
      <c r="D116">
        <v>1775</v>
      </c>
      <c r="E116" t="s">
        <v>91</v>
      </c>
      <c r="F116">
        <v>35</v>
      </c>
    </row>
    <row r="117" spans="1:6" x14ac:dyDescent="0.2">
      <c r="A117">
        <v>2021</v>
      </c>
      <c r="B117" t="s">
        <v>86</v>
      </c>
      <c r="C117">
        <v>2140</v>
      </c>
      <c r="D117">
        <v>895</v>
      </c>
      <c r="E117" t="s">
        <v>92</v>
      </c>
      <c r="F117">
        <v>5</v>
      </c>
    </row>
    <row r="118" spans="1:6" x14ac:dyDescent="0.2">
      <c r="A118">
        <v>2022</v>
      </c>
      <c r="B118" t="s">
        <v>86</v>
      </c>
      <c r="C118">
        <v>1860</v>
      </c>
      <c r="D118">
        <v>800</v>
      </c>
      <c r="E118" t="s">
        <v>93</v>
      </c>
      <c r="F118">
        <v>15</v>
      </c>
    </row>
    <row r="119" spans="1:6" x14ac:dyDescent="0.2">
      <c r="A119">
        <v>2023</v>
      </c>
      <c r="B119" t="s">
        <v>86</v>
      </c>
      <c r="C119">
        <v>1810</v>
      </c>
      <c r="D119">
        <v>735</v>
      </c>
      <c r="E119" t="s">
        <v>94</v>
      </c>
      <c r="F119">
        <v>20</v>
      </c>
    </row>
    <row r="120" spans="1:6" x14ac:dyDescent="0.2">
      <c r="A120">
        <v>2024</v>
      </c>
      <c r="B120" t="s">
        <v>86</v>
      </c>
      <c r="C120">
        <v>1635</v>
      </c>
      <c r="D120">
        <v>650</v>
      </c>
      <c r="E120" t="s">
        <v>95</v>
      </c>
      <c r="F120">
        <v>15</v>
      </c>
    </row>
    <row r="121" spans="1:6" x14ac:dyDescent="0.2">
      <c r="A121">
        <v>2025</v>
      </c>
      <c r="B121" t="s">
        <v>86</v>
      </c>
      <c r="C121">
        <v>1610</v>
      </c>
      <c r="D121">
        <v>675</v>
      </c>
      <c r="E121" t="s">
        <v>275</v>
      </c>
      <c r="F121">
        <v>10</v>
      </c>
    </row>
    <row r="122" spans="1:6" x14ac:dyDescent="0.2">
      <c r="A122">
        <v>2016</v>
      </c>
      <c r="B122" t="s">
        <v>96</v>
      </c>
      <c r="C122">
        <v>2460</v>
      </c>
      <c r="D122">
        <v>1710</v>
      </c>
      <c r="E122" t="s">
        <v>97</v>
      </c>
      <c r="F122">
        <v>10</v>
      </c>
    </row>
    <row r="123" spans="1:6" x14ac:dyDescent="0.2">
      <c r="A123">
        <v>2017</v>
      </c>
      <c r="B123" t="s">
        <v>96</v>
      </c>
      <c r="C123">
        <v>2450</v>
      </c>
      <c r="D123">
        <v>1715</v>
      </c>
      <c r="E123" t="s">
        <v>99</v>
      </c>
      <c r="F123">
        <v>15</v>
      </c>
    </row>
    <row r="124" spans="1:6" x14ac:dyDescent="0.2">
      <c r="A124">
        <v>2018</v>
      </c>
      <c r="B124" t="s">
        <v>96</v>
      </c>
      <c r="C124">
        <v>2430</v>
      </c>
      <c r="D124">
        <v>1695</v>
      </c>
      <c r="E124" t="s">
        <v>100</v>
      </c>
      <c r="F124">
        <v>20</v>
      </c>
    </row>
    <row r="125" spans="1:6" x14ac:dyDescent="0.2">
      <c r="A125">
        <v>2019</v>
      </c>
      <c r="B125" t="s">
        <v>96</v>
      </c>
      <c r="C125">
        <v>2400</v>
      </c>
      <c r="D125">
        <v>1745</v>
      </c>
      <c r="E125" t="s">
        <v>101</v>
      </c>
      <c r="F125">
        <v>15</v>
      </c>
    </row>
    <row r="126" spans="1:6" x14ac:dyDescent="0.2">
      <c r="A126">
        <v>2020</v>
      </c>
      <c r="B126" t="s">
        <v>96</v>
      </c>
      <c r="C126">
        <v>2365</v>
      </c>
      <c r="D126">
        <v>1710</v>
      </c>
      <c r="E126" t="s">
        <v>102</v>
      </c>
      <c r="F126">
        <v>25</v>
      </c>
    </row>
    <row r="127" spans="1:6" x14ac:dyDescent="0.2">
      <c r="A127">
        <v>2021</v>
      </c>
      <c r="B127" t="s">
        <v>96</v>
      </c>
      <c r="C127">
        <v>1275</v>
      </c>
      <c r="D127">
        <v>765</v>
      </c>
      <c r="E127" t="s">
        <v>103</v>
      </c>
      <c r="F127">
        <v>5</v>
      </c>
    </row>
    <row r="128" spans="1:6" x14ac:dyDescent="0.2">
      <c r="A128">
        <v>2022</v>
      </c>
      <c r="B128" t="s">
        <v>96</v>
      </c>
      <c r="C128">
        <v>1080</v>
      </c>
      <c r="D128">
        <v>645</v>
      </c>
      <c r="E128" t="s">
        <v>104</v>
      </c>
      <c r="F128">
        <v>5</v>
      </c>
    </row>
    <row r="129" spans="1:6" x14ac:dyDescent="0.2">
      <c r="A129">
        <v>2023</v>
      </c>
      <c r="B129" t="s">
        <v>96</v>
      </c>
      <c r="C129">
        <v>1080</v>
      </c>
      <c r="D129">
        <v>640</v>
      </c>
      <c r="E129" t="s">
        <v>105</v>
      </c>
      <c r="F129">
        <v>5</v>
      </c>
    </row>
    <row r="130" spans="1:6" x14ac:dyDescent="0.2">
      <c r="A130">
        <v>2024</v>
      </c>
      <c r="B130" t="s">
        <v>96</v>
      </c>
      <c r="C130">
        <v>980</v>
      </c>
      <c r="D130">
        <v>590</v>
      </c>
      <c r="E130" t="s">
        <v>106</v>
      </c>
      <c r="F130">
        <v>5</v>
      </c>
    </row>
    <row r="131" spans="1:6" x14ac:dyDescent="0.2">
      <c r="A131">
        <v>2025</v>
      </c>
      <c r="B131" t="s">
        <v>96</v>
      </c>
      <c r="C131">
        <v>845</v>
      </c>
      <c r="D131">
        <v>505</v>
      </c>
      <c r="E131" t="s">
        <v>103</v>
      </c>
      <c r="F131">
        <v>5</v>
      </c>
    </row>
    <row r="132" spans="1:6" x14ac:dyDescent="0.2">
      <c r="A132">
        <v>2016</v>
      </c>
      <c r="B132" t="s">
        <v>107</v>
      </c>
      <c r="C132">
        <v>940</v>
      </c>
      <c r="D132">
        <v>575</v>
      </c>
      <c r="E132" t="s">
        <v>108</v>
      </c>
      <c r="F132">
        <v>0</v>
      </c>
    </row>
    <row r="133" spans="1:6" x14ac:dyDescent="0.2">
      <c r="A133">
        <v>2017</v>
      </c>
      <c r="B133" t="s">
        <v>107</v>
      </c>
      <c r="C133">
        <v>915</v>
      </c>
      <c r="D133">
        <v>570</v>
      </c>
      <c r="E133" t="s">
        <v>110</v>
      </c>
      <c r="F133">
        <v>0</v>
      </c>
    </row>
    <row r="134" spans="1:6" x14ac:dyDescent="0.2">
      <c r="A134">
        <v>2018</v>
      </c>
      <c r="B134" t="s">
        <v>107</v>
      </c>
      <c r="C134">
        <v>990</v>
      </c>
      <c r="D134">
        <v>645</v>
      </c>
      <c r="E134" t="s">
        <v>111</v>
      </c>
      <c r="F134">
        <v>0</v>
      </c>
    </row>
    <row r="135" spans="1:6" x14ac:dyDescent="0.2">
      <c r="A135">
        <v>2019</v>
      </c>
      <c r="B135" t="s">
        <v>107</v>
      </c>
      <c r="C135">
        <v>1045</v>
      </c>
      <c r="D135">
        <v>650</v>
      </c>
      <c r="E135" t="s">
        <v>110</v>
      </c>
      <c r="F135">
        <v>0</v>
      </c>
    </row>
    <row r="136" spans="1:6" x14ac:dyDescent="0.2">
      <c r="A136">
        <v>2020</v>
      </c>
      <c r="B136" t="s">
        <v>107</v>
      </c>
      <c r="C136">
        <v>1100</v>
      </c>
      <c r="D136">
        <v>705</v>
      </c>
      <c r="E136" t="s">
        <v>112</v>
      </c>
      <c r="F136">
        <v>0</v>
      </c>
    </row>
    <row r="137" spans="1:6" x14ac:dyDescent="0.2">
      <c r="A137">
        <v>2021</v>
      </c>
      <c r="B137" t="s">
        <v>107</v>
      </c>
      <c r="C137">
        <v>450</v>
      </c>
      <c r="D137">
        <v>190</v>
      </c>
      <c r="E137" t="s">
        <v>113</v>
      </c>
      <c r="F137">
        <v>0</v>
      </c>
    </row>
    <row r="138" spans="1:6" x14ac:dyDescent="0.2">
      <c r="A138">
        <v>2022</v>
      </c>
      <c r="B138" t="s">
        <v>107</v>
      </c>
      <c r="C138">
        <v>305</v>
      </c>
      <c r="D138">
        <v>125</v>
      </c>
      <c r="E138" t="s">
        <v>114</v>
      </c>
      <c r="F138">
        <v>0</v>
      </c>
    </row>
    <row r="139" spans="1:6" x14ac:dyDescent="0.2">
      <c r="A139">
        <v>2023</v>
      </c>
      <c r="B139" t="s">
        <v>107</v>
      </c>
      <c r="C139">
        <v>320</v>
      </c>
      <c r="D139">
        <v>130</v>
      </c>
      <c r="E139" t="s">
        <v>115</v>
      </c>
      <c r="F139">
        <v>0</v>
      </c>
    </row>
    <row r="140" spans="1:6" x14ac:dyDescent="0.2">
      <c r="A140">
        <v>2024</v>
      </c>
      <c r="B140" t="s">
        <v>107</v>
      </c>
      <c r="C140">
        <v>340</v>
      </c>
      <c r="D140">
        <v>140</v>
      </c>
      <c r="E140" t="s">
        <v>116</v>
      </c>
      <c r="F140">
        <v>0</v>
      </c>
    </row>
    <row r="141" spans="1:6" x14ac:dyDescent="0.2">
      <c r="A141">
        <v>2025</v>
      </c>
      <c r="B141" t="s">
        <v>107</v>
      </c>
      <c r="C141">
        <v>280</v>
      </c>
      <c r="D141">
        <v>135</v>
      </c>
      <c r="E141" t="s">
        <v>51</v>
      </c>
      <c r="F141">
        <v>0</v>
      </c>
    </row>
    <row r="142" spans="1:6" x14ac:dyDescent="0.2">
      <c r="A142">
        <v>2016</v>
      </c>
      <c r="B142" t="s">
        <v>117</v>
      </c>
      <c r="C142">
        <v>5255</v>
      </c>
      <c r="D142">
        <v>1960</v>
      </c>
      <c r="E142" t="s">
        <v>118</v>
      </c>
      <c r="F142">
        <v>40</v>
      </c>
    </row>
    <row r="143" spans="1:6" x14ac:dyDescent="0.2">
      <c r="A143">
        <v>2017</v>
      </c>
      <c r="B143" t="s">
        <v>117</v>
      </c>
      <c r="C143">
        <v>4455</v>
      </c>
      <c r="D143">
        <v>1740</v>
      </c>
      <c r="E143" t="s">
        <v>122</v>
      </c>
      <c r="F143">
        <v>30</v>
      </c>
    </row>
    <row r="144" spans="1:6" x14ac:dyDescent="0.2">
      <c r="A144">
        <v>2018</v>
      </c>
      <c r="B144" t="s">
        <v>117</v>
      </c>
      <c r="C144">
        <v>4215</v>
      </c>
      <c r="D144">
        <v>1755</v>
      </c>
      <c r="E144" t="s">
        <v>123</v>
      </c>
      <c r="F144">
        <v>25</v>
      </c>
    </row>
    <row r="145" spans="1:6" x14ac:dyDescent="0.2">
      <c r="A145">
        <v>2019</v>
      </c>
      <c r="B145" t="s">
        <v>117</v>
      </c>
      <c r="C145">
        <v>4180</v>
      </c>
      <c r="D145">
        <v>1700</v>
      </c>
      <c r="E145" t="s">
        <v>124</v>
      </c>
      <c r="F145">
        <v>20</v>
      </c>
    </row>
    <row r="146" spans="1:6" x14ac:dyDescent="0.2">
      <c r="A146">
        <v>2020</v>
      </c>
      <c r="B146" t="s">
        <v>117</v>
      </c>
      <c r="C146">
        <v>4365</v>
      </c>
      <c r="D146">
        <v>2065</v>
      </c>
      <c r="E146" t="s">
        <v>125</v>
      </c>
      <c r="F146">
        <v>55</v>
      </c>
    </row>
    <row r="147" spans="1:6" x14ac:dyDescent="0.2">
      <c r="A147">
        <v>2021</v>
      </c>
      <c r="B147" t="s">
        <v>117</v>
      </c>
      <c r="C147">
        <v>5400</v>
      </c>
      <c r="D147">
        <v>2385</v>
      </c>
      <c r="E147" t="s">
        <v>126</v>
      </c>
      <c r="F147">
        <v>25</v>
      </c>
    </row>
    <row r="148" spans="1:6" x14ac:dyDescent="0.2">
      <c r="A148">
        <v>2022</v>
      </c>
      <c r="B148" t="s">
        <v>117</v>
      </c>
      <c r="C148">
        <v>5640</v>
      </c>
      <c r="D148">
        <v>2475</v>
      </c>
      <c r="E148" t="s">
        <v>127</v>
      </c>
      <c r="F148">
        <v>40</v>
      </c>
    </row>
    <row r="149" spans="1:6" x14ac:dyDescent="0.2">
      <c r="A149">
        <v>2023</v>
      </c>
      <c r="B149" t="s">
        <v>117</v>
      </c>
      <c r="C149">
        <v>5545</v>
      </c>
      <c r="D149">
        <v>2255</v>
      </c>
      <c r="E149" t="s">
        <v>124</v>
      </c>
      <c r="F149">
        <v>45</v>
      </c>
    </row>
    <row r="150" spans="1:6" x14ac:dyDescent="0.2">
      <c r="A150">
        <v>2024</v>
      </c>
      <c r="B150" t="s">
        <v>117</v>
      </c>
      <c r="C150">
        <v>5415</v>
      </c>
      <c r="D150">
        <v>2260</v>
      </c>
      <c r="E150" t="s">
        <v>116</v>
      </c>
      <c r="F150">
        <v>35</v>
      </c>
    </row>
    <row r="151" spans="1:6" x14ac:dyDescent="0.2">
      <c r="A151">
        <v>2025</v>
      </c>
      <c r="B151" t="s">
        <v>117</v>
      </c>
      <c r="C151">
        <v>6195</v>
      </c>
      <c r="D151">
        <v>2455</v>
      </c>
      <c r="E151" t="s">
        <v>278</v>
      </c>
      <c r="F151">
        <v>40</v>
      </c>
    </row>
    <row r="152" spans="1:6" x14ac:dyDescent="0.2">
      <c r="A152">
        <v>2016</v>
      </c>
      <c r="B152" t="s">
        <v>128</v>
      </c>
      <c r="C152">
        <v>5035</v>
      </c>
      <c r="D152">
        <v>2665</v>
      </c>
      <c r="E152" t="s">
        <v>60</v>
      </c>
      <c r="F152">
        <v>40</v>
      </c>
    </row>
    <row r="153" spans="1:6" x14ac:dyDescent="0.2">
      <c r="A153">
        <v>2017</v>
      </c>
      <c r="B153" t="s">
        <v>128</v>
      </c>
      <c r="C153">
        <v>4555</v>
      </c>
      <c r="D153">
        <v>2505</v>
      </c>
      <c r="E153" t="s">
        <v>130</v>
      </c>
      <c r="F153">
        <v>40</v>
      </c>
    </row>
    <row r="154" spans="1:6" x14ac:dyDescent="0.2">
      <c r="A154">
        <v>2018</v>
      </c>
      <c r="B154" t="s">
        <v>128</v>
      </c>
      <c r="C154">
        <v>4435</v>
      </c>
      <c r="D154">
        <v>2420</v>
      </c>
      <c r="E154" t="s">
        <v>91</v>
      </c>
      <c r="F154">
        <v>25</v>
      </c>
    </row>
    <row r="155" spans="1:6" x14ac:dyDescent="0.2">
      <c r="A155">
        <v>2019</v>
      </c>
      <c r="B155" t="s">
        <v>128</v>
      </c>
      <c r="C155">
        <v>4610</v>
      </c>
      <c r="D155">
        <v>2485</v>
      </c>
      <c r="E155" t="s">
        <v>131</v>
      </c>
      <c r="F155">
        <v>30</v>
      </c>
    </row>
    <row r="156" spans="1:6" x14ac:dyDescent="0.2">
      <c r="A156">
        <v>2020</v>
      </c>
      <c r="B156" t="s">
        <v>128</v>
      </c>
      <c r="C156">
        <v>4150</v>
      </c>
      <c r="D156">
        <v>2270</v>
      </c>
      <c r="E156" t="s">
        <v>56</v>
      </c>
      <c r="F156">
        <v>45</v>
      </c>
    </row>
    <row r="157" spans="1:6" x14ac:dyDescent="0.2">
      <c r="A157">
        <v>2021</v>
      </c>
      <c r="B157" t="s">
        <v>128</v>
      </c>
      <c r="C157">
        <v>2440</v>
      </c>
      <c r="D157">
        <v>1135</v>
      </c>
      <c r="E157" t="s">
        <v>132</v>
      </c>
      <c r="F157">
        <v>10</v>
      </c>
    </row>
    <row r="158" spans="1:6" x14ac:dyDescent="0.2">
      <c r="A158">
        <v>2022</v>
      </c>
      <c r="B158" t="s">
        <v>128</v>
      </c>
      <c r="C158">
        <v>1970</v>
      </c>
      <c r="D158">
        <v>930</v>
      </c>
      <c r="E158" t="s">
        <v>125</v>
      </c>
      <c r="F158">
        <v>25</v>
      </c>
    </row>
    <row r="159" spans="1:6" x14ac:dyDescent="0.2">
      <c r="A159">
        <v>2023</v>
      </c>
      <c r="B159" t="s">
        <v>128</v>
      </c>
      <c r="C159">
        <v>1850</v>
      </c>
      <c r="D159">
        <v>795</v>
      </c>
      <c r="E159" t="s">
        <v>133</v>
      </c>
      <c r="F159">
        <v>20</v>
      </c>
    </row>
    <row r="160" spans="1:6" x14ac:dyDescent="0.2">
      <c r="A160">
        <v>2024</v>
      </c>
      <c r="B160" t="s">
        <v>128</v>
      </c>
      <c r="C160">
        <v>1560</v>
      </c>
      <c r="D160">
        <v>705</v>
      </c>
      <c r="E160" t="s">
        <v>134</v>
      </c>
      <c r="F160">
        <v>10</v>
      </c>
    </row>
    <row r="161" spans="1:6" x14ac:dyDescent="0.2">
      <c r="A161">
        <v>2025</v>
      </c>
      <c r="B161" t="s">
        <v>128</v>
      </c>
      <c r="C161">
        <v>1545</v>
      </c>
      <c r="D161">
        <v>725</v>
      </c>
      <c r="E161" t="s">
        <v>912</v>
      </c>
      <c r="F161">
        <v>15</v>
      </c>
    </row>
    <row r="162" spans="1:6" x14ac:dyDescent="0.2">
      <c r="A162">
        <v>2016</v>
      </c>
      <c r="B162" t="s">
        <v>135</v>
      </c>
      <c r="C162">
        <v>435</v>
      </c>
      <c r="D162">
        <v>275</v>
      </c>
      <c r="E162" t="s">
        <v>136</v>
      </c>
      <c r="F162">
        <v>5</v>
      </c>
    </row>
    <row r="163" spans="1:6" x14ac:dyDescent="0.2">
      <c r="A163">
        <v>2017</v>
      </c>
      <c r="B163" t="s">
        <v>135</v>
      </c>
      <c r="C163">
        <v>445</v>
      </c>
      <c r="D163">
        <v>260</v>
      </c>
      <c r="E163" t="s">
        <v>138</v>
      </c>
      <c r="F163">
        <v>0</v>
      </c>
    </row>
    <row r="164" spans="1:6" x14ac:dyDescent="0.2">
      <c r="A164">
        <v>2018</v>
      </c>
      <c r="B164" t="s">
        <v>135</v>
      </c>
      <c r="C164">
        <v>460</v>
      </c>
      <c r="D164">
        <v>290</v>
      </c>
      <c r="E164" t="s">
        <v>139</v>
      </c>
      <c r="F164">
        <v>0</v>
      </c>
    </row>
    <row r="165" spans="1:6" x14ac:dyDescent="0.2">
      <c r="A165">
        <v>2019</v>
      </c>
      <c r="B165" t="s">
        <v>135</v>
      </c>
      <c r="C165">
        <v>425</v>
      </c>
      <c r="D165">
        <v>255</v>
      </c>
      <c r="E165" t="s">
        <v>140</v>
      </c>
      <c r="F165">
        <v>0</v>
      </c>
    </row>
    <row r="166" spans="1:6" x14ac:dyDescent="0.2">
      <c r="A166">
        <v>2020</v>
      </c>
      <c r="B166" t="s">
        <v>135</v>
      </c>
      <c r="C166">
        <v>415</v>
      </c>
      <c r="D166">
        <v>265</v>
      </c>
      <c r="E166" t="s">
        <v>141</v>
      </c>
      <c r="F166">
        <v>0</v>
      </c>
    </row>
    <row r="167" spans="1:6" x14ac:dyDescent="0.2">
      <c r="A167">
        <v>2021</v>
      </c>
      <c r="B167" t="s">
        <v>135</v>
      </c>
      <c r="C167">
        <v>305</v>
      </c>
      <c r="D167">
        <v>140</v>
      </c>
      <c r="E167" t="s">
        <v>53</v>
      </c>
      <c r="F167">
        <v>0</v>
      </c>
    </row>
    <row r="168" spans="1:6" x14ac:dyDescent="0.2">
      <c r="A168">
        <v>2022</v>
      </c>
      <c r="B168" t="s">
        <v>135</v>
      </c>
      <c r="C168">
        <v>260</v>
      </c>
      <c r="D168">
        <v>140</v>
      </c>
      <c r="E168" t="s">
        <v>81</v>
      </c>
      <c r="F168">
        <v>0</v>
      </c>
    </row>
    <row r="169" spans="1:6" x14ac:dyDescent="0.2">
      <c r="A169">
        <v>2023</v>
      </c>
      <c r="B169" t="s">
        <v>135</v>
      </c>
      <c r="C169">
        <v>260</v>
      </c>
      <c r="D169">
        <v>135</v>
      </c>
      <c r="E169" t="s">
        <v>142</v>
      </c>
      <c r="F169">
        <v>5</v>
      </c>
    </row>
    <row r="170" spans="1:6" x14ac:dyDescent="0.2">
      <c r="A170">
        <v>2024</v>
      </c>
      <c r="B170" t="s">
        <v>135</v>
      </c>
      <c r="C170">
        <v>260</v>
      </c>
      <c r="D170">
        <v>140</v>
      </c>
      <c r="E170" t="s">
        <v>143</v>
      </c>
      <c r="F170">
        <v>0</v>
      </c>
    </row>
    <row r="171" spans="1:6" x14ac:dyDescent="0.2">
      <c r="A171">
        <v>2025</v>
      </c>
      <c r="B171" t="s">
        <v>135</v>
      </c>
      <c r="C171">
        <v>280</v>
      </c>
      <c r="D171">
        <v>145</v>
      </c>
      <c r="E171" t="s">
        <v>142</v>
      </c>
      <c r="F171">
        <v>0</v>
      </c>
    </row>
    <row r="172" spans="1:6" x14ac:dyDescent="0.2">
      <c r="A172">
        <v>2016</v>
      </c>
      <c r="B172" t="s">
        <v>144</v>
      </c>
      <c r="C172">
        <v>130</v>
      </c>
      <c r="D172">
        <v>70</v>
      </c>
      <c r="E172" t="s">
        <v>145</v>
      </c>
      <c r="F172">
        <v>0</v>
      </c>
    </row>
    <row r="173" spans="1:6" x14ac:dyDescent="0.2">
      <c r="A173">
        <v>2017</v>
      </c>
      <c r="B173" t="s">
        <v>144</v>
      </c>
      <c r="C173">
        <v>105</v>
      </c>
      <c r="D173">
        <v>60</v>
      </c>
      <c r="E173" t="s">
        <v>56</v>
      </c>
      <c r="F173">
        <v>0</v>
      </c>
    </row>
    <row r="174" spans="1:6" x14ac:dyDescent="0.2">
      <c r="A174">
        <v>2018</v>
      </c>
      <c r="B174" t="s">
        <v>144</v>
      </c>
      <c r="C174">
        <v>140</v>
      </c>
      <c r="D174">
        <v>75</v>
      </c>
      <c r="E174" t="s">
        <v>91</v>
      </c>
      <c r="F174">
        <v>0</v>
      </c>
    </row>
    <row r="175" spans="1:6" x14ac:dyDescent="0.2">
      <c r="A175">
        <v>2019</v>
      </c>
      <c r="B175" t="s">
        <v>144</v>
      </c>
      <c r="C175">
        <v>130</v>
      </c>
      <c r="D175">
        <v>80</v>
      </c>
      <c r="E175" t="s">
        <v>140</v>
      </c>
      <c r="F175">
        <v>0</v>
      </c>
    </row>
    <row r="176" spans="1:6" x14ac:dyDescent="0.2">
      <c r="A176">
        <v>2020</v>
      </c>
      <c r="B176" t="s">
        <v>144</v>
      </c>
      <c r="C176">
        <v>135</v>
      </c>
      <c r="D176">
        <v>65</v>
      </c>
      <c r="E176" t="s">
        <v>42</v>
      </c>
      <c r="F176">
        <v>0</v>
      </c>
    </row>
    <row r="177" spans="1:6" x14ac:dyDescent="0.2">
      <c r="A177">
        <v>2021</v>
      </c>
      <c r="B177" t="s">
        <v>144</v>
      </c>
      <c r="C177">
        <v>95</v>
      </c>
      <c r="D177">
        <v>40</v>
      </c>
      <c r="E177" t="s">
        <v>126</v>
      </c>
      <c r="F177">
        <v>0</v>
      </c>
    </row>
    <row r="178" spans="1:6" x14ac:dyDescent="0.2">
      <c r="A178">
        <v>2022</v>
      </c>
      <c r="B178" t="s">
        <v>144</v>
      </c>
      <c r="C178">
        <v>90</v>
      </c>
      <c r="D178">
        <v>40</v>
      </c>
      <c r="E178" t="s">
        <v>147</v>
      </c>
      <c r="F178">
        <v>5</v>
      </c>
    </row>
    <row r="179" spans="1:6" x14ac:dyDescent="0.2">
      <c r="A179">
        <v>2023</v>
      </c>
      <c r="B179" t="s">
        <v>144</v>
      </c>
      <c r="C179">
        <v>100</v>
      </c>
      <c r="D179">
        <v>50</v>
      </c>
      <c r="E179" t="s">
        <v>148</v>
      </c>
      <c r="F179">
        <v>0</v>
      </c>
    </row>
    <row r="180" spans="1:6" x14ac:dyDescent="0.2">
      <c r="A180">
        <v>2024</v>
      </c>
      <c r="B180" t="s">
        <v>144</v>
      </c>
      <c r="C180">
        <v>85</v>
      </c>
      <c r="D180">
        <v>40</v>
      </c>
      <c r="E180" t="s">
        <v>149</v>
      </c>
      <c r="F180">
        <v>0</v>
      </c>
    </row>
    <row r="181" spans="1:6" x14ac:dyDescent="0.2">
      <c r="A181">
        <v>2025</v>
      </c>
      <c r="B181" t="s">
        <v>144</v>
      </c>
      <c r="C181">
        <v>85</v>
      </c>
      <c r="D181">
        <v>40</v>
      </c>
      <c r="E181" t="s">
        <v>334</v>
      </c>
      <c r="F181">
        <v>0</v>
      </c>
    </row>
    <row r="182" spans="1:6" x14ac:dyDescent="0.2">
      <c r="A182">
        <v>2016</v>
      </c>
      <c r="B182" t="s">
        <v>150</v>
      </c>
      <c r="C182">
        <v>955</v>
      </c>
      <c r="D182">
        <v>490</v>
      </c>
      <c r="E182" t="s">
        <v>71</v>
      </c>
      <c r="F182">
        <v>5</v>
      </c>
    </row>
    <row r="183" spans="1:6" x14ac:dyDescent="0.2">
      <c r="A183">
        <v>2017</v>
      </c>
      <c r="B183" t="s">
        <v>150</v>
      </c>
      <c r="C183">
        <v>960</v>
      </c>
      <c r="D183">
        <v>515</v>
      </c>
      <c r="E183" t="s">
        <v>28</v>
      </c>
      <c r="F183">
        <v>5</v>
      </c>
    </row>
    <row r="184" spans="1:6" x14ac:dyDescent="0.2">
      <c r="A184">
        <v>2018</v>
      </c>
      <c r="B184" t="s">
        <v>150</v>
      </c>
      <c r="C184">
        <v>935</v>
      </c>
      <c r="D184">
        <v>475</v>
      </c>
      <c r="E184" t="s">
        <v>152</v>
      </c>
      <c r="F184">
        <v>5</v>
      </c>
    </row>
    <row r="185" spans="1:6" x14ac:dyDescent="0.2">
      <c r="A185">
        <v>2019</v>
      </c>
      <c r="B185" t="s">
        <v>150</v>
      </c>
      <c r="C185">
        <v>1010</v>
      </c>
      <c r="D185">
        <v>530</v>
      </c>
      <c r="E185" t="s">
        <v>153</v>
      </c>
      <c r="F185">
        <v>5</v>
      </c>
    </row>
    <row r="186" spans="1:6" x14ac:dyDescent="0.2">
      <c r="A186">
        <v>2020</v>
      </c>
      <c r="B186" t="s">
        <v>150</v>
      </c>
      <c r="C186">
        <v>930</v>
      </c>
      <c r="D186">
        <v>485</v>
      </c>
      <c r="E186" t="s">
        <v>154</v>
      </c>
      <c r="F186">
        <v>5</v>
      </c>
    </row>
    <row r="187" spans="1:6" x14ac:dyDescent="0.2">
      <c r="A187">
        <v>2021</v>
      </c>
      <c r="B187" t="s">
        <v>150</v>
      </c>
      <c r="C187">
        <v>615</v>
      </c>
      <c r="D187">
        <v>275</v>
      </c>
      <c r="E187" t="s">
        <v>155</v>
      </c>
      <c r="F187">
        <v>0</v>
      </c>
    </row>
    <row r="188" spans="1:6" x14ac:dyDescent="0.2">
      <c r="A188">
        <v>2022</v>
      </c>
      <c r="B188" t="s">
        <v>150</v>
      </c>
      <c r="C188">
        <v>545</v>
      </c>
      <c r="D188">
        <v>245</v>
      </c>
      <c r="E188" t="s">
        <v>33</v>
      </c>
      <c r="F188">
        <v>0</v>
      </c>
    </row>
    <row r="189" spans="1:6" x14ac:dyDescent="0.2">
      <c r="A189">
        <v>2023</v>
      </c>
      <c r="B189" t="s">
        <v>150</v>
      </c>
      <c r="C189">
        <v>600</v>
      </c>
      <c r="D189">
        <v>275</v>
      </c>
      <c r="E189" t="s">
        <v>32</v>
      </c>
      <c r="F189">
        <v>5</v>
      </c>
    </row>
    <row r="190" spans="1:6" x14ac:dyDescent="0.2">
      <c r="A190">
        <v>2024</v>
      </c>
      <c r="B190" t="s">
        <v>150</v>
      </c>
      <c r="C190">
        <v>585</v>
      </c>
      <c r="D190">
        <v>275</v>
      </c>
      <c r="E190" t="s">
        <v>149</v>
      </c>
      <c r="F190">
        <v>5</v>
      </c>
    </row>
    <row r="191" spans="1:6" x14ac:dyDescent="0.2">
      <c r="A191">
        <v>2025</v>
      </c>
      <c r="B191" t="s">
        <v>150</v>
      </c>
      <c r="C191">
        <v>530</v>
      </c>
      <c r="D191">
        <v>255</v>
      </c>
      <c r="E191" t="s">
        <v>324</v>
      </c>
      <c r="F191">
        <v>5</v>
      </c>
    </row>
    <row r="192" spans="1:6" x14ac:dyDescent="0.2">
      <c r="A192">
        <v>2016</v>
      </c>
      <c r="B192" t="s">
        <v>156</v>
      </c>
      <c r="C192">
        <v>3840</v>
      </c>
      <c r="D192">
        <v>2105</v>
      </c>
      <c r="E192" t="s">
        <v>157</v>
      </c>
      <c r="F192">
        <v>10</v>
      </c>
    </row>
    <row r="193" spans="1:6" x14ac:dyDescent="0.2">
      <c r="A193">
        <v>2017</v>
      </c>
      <c r="B193" t="s">
        <v>156</v>
      </c>
      <c r="C193">
        <v>3820</v>
      </c>
      <c r="D193">
        <v>2220</v>
      </c>
      <c r="E193" t="s">
        <v>138</v>
      </c>
      <c r="F193">
        <v>10</v>
      </c>
    </row>
    <row r="194" spans="1:6" x14ac:dyDescent="0.2">
      <c r="A194">
        <v>2018</v>
      </c>
      <c r="B194" t="s">
        <v>156</v>
      </c>
      <c r="C194">
        <v>4410</v>
      </c>
      <c r="D194">
        <v>2520</v>
      </c>
      <c r="E194" t="s">
        <v>27</v>
      </c>
      <c r="F194">
        <v>5</v>
      </c>
    </row>
    <row r="195" spans="1:6" x14ac:dyDescent="0.2">
      <c r="A195">
        <v>2019</v>
      </c>
      <c r="B195" t="s">
        <v>156</v>
      </c>
      <c r="C195">
        <v>4390</v>
      </c>
      <c r="D195">
        <v>2570</v>
      </c>
      <c r="E195" t="s">
        <v>159</v>
      </c>
      <c r="F195">
        <v>15</v>
      </c>
    </row>
    <row r="196" spans="1:6" x14ac:dyDescent="0.2">
      <c r="A196">
        <v>2020</v>
      </c>
      <c r="B196" t="s">
        <v>156</v>
      </c>
      <c r="C196">
        <v>4860</v>
      </c>
      <c r="D196">
        <v>2955</v>
      </c>
      <c r="E196" t="s">
        <v>160</v>
      </c>
      <c r="F196">
        <v>35</v>
      </c>
    </row>
    <row r="197" spans="1:6" x14ac:dyDescent="0.2">
      <c r="A197">
        <v>2021</v>
      </c>
      <c r="B197" t="s">
        <v>156</v>
      </c>
      <c r="C197">
        <v>1355</v>
      </c>
      <c r="D197">
        <v>580</v>
      </c>
      <c r="E197" t="s">
        <v>161</v>
      </c>
      <c r="F197">
        <v>10</v>
      </c>
    </row>
    <row r="198" spans="1:6" x14ac:dyDescent="0.2">
      <c r="A198">
        <v>2022</v>
      </c>
      <c r="B198" t="s">
        <v>156</v>
      </c>
      <c r="C198">
        <v>830</v>
      </c>
      <c r="D198">
        <v>365</v>
      </c>
      <c r="E198" t="s">
        <v>162</v>
      </c>
      <c r="F198">
        <v>0</v>
      </c>
    </row>
    <row r="199" spans="1:6" x14ac:dyDescent="0.2">
      <c r="A199">
        <v>2023</v>
      </c>
      <c r="B199" t="s">
        <v>156</v>
      </c>
      <c r="C199">
        <v>750</v>
      </c>
      <c r="D199">
        <v>300</v>
      </c>
      <c r="E199" t="s">
        <v>62</v>
      </c>
      <c r="F199">
        <v>5</v>
      </c>
    </row>
    <row r="200" spans="1:6" x14ac:dyDescent="0.2">
      <c r="A200">
        <v>2024</v>
      </c>
      <c r="B200" t="s">
        <v>156</v>
      </c>
      <c r="C200">
        <v>685</v>
      </c>
      <c r="D200">
        <v>295</v>
      </c>
      <c r="E200" t="s">
        <v>163</v>
      </c>
      <c r="F200">
        <v>5</v>
      </c>
    </row>
    <row r="201" spans="1:6" x14ac:dyDescent="0.2">
      <c r="A201">
        <v>2025</v>
      </c>
      <c r="B201" t="s">
        <v>156</v>
      </c>
      <c r="C201">
        <v>640</v>
      </c>
      <c r="D201">
        <v>275</v>
      </c>
      <c r="E201" t="s">
        <v>178</v>
      </c>
      <c r="F201">
        <v>5</v>
      </c>
    </row>
    <row r="202" spans="1:6" x14ac:dyDescent="0.2">
      <c r="A202">
        <v>2016</v>
      </c>
      <c r="B202" t="s">
        <v>164</v>
      </c>
      <c r="C202">
        <v>1540</v>
      </c>
      <c r="D202">
        <v>965</v>
      </c>
      <c r="E202" t="s">
        <v>165</v>
      </c>
      <c r="F202">
        <v>5</v>
      </c>
    </row>
    <row r="203" spans="1:6" x14ac:dyDescent="0.2">
      <c r="A203">
        <v>2017</v>
      </c>
      <c r="B203" t="s">
        <v>164</v>
      </c>
      <c r="C203">
        <v>1840</v>
      </c>
      <c r="D203">
        <v>1195</v>
      </c>
      <c r="E203" t="s">
        <v>167</v>
      </c>
      <c r="F203">
        <v>5</v>
      </c>
    </row>
    <row r="204" spans="1:6" x14ac:dyDescent="0.2">
      <c r="A204">
        <v>2018</v>
      </c>
      <c r="B204" t="s">
        <v>164</v>
      </c>
      <c r="C204">
        <v>2405</v>
      </c>
      <c r="D204">
        <v>1730</v>
      </c>
      <c r="E204" t="s">
        <v>168</v>
      </c>
      <c r="F204">
        <v>5</v>
      </c>
    </row>
    <row r="205" spans="1:6" x14ac:dyDescent="0.2">
      <c r="A205">
        <v>2019</v>
      </c>
      <c r="B205" t="s">
        <v>164</v>
      </c>
      <c r="C205">
        <v>2580</v>
      </c>
      <c r="D205">
        <v>1845</v>
      </c>
      <c r="E205" t="s">
        <v>169</v>
      </c>
      <c r="F205">
        <v>5</v>
      </c>
    </row>
    <row r="206" spans="1:6" x14ac:dyDescent="0.2">
      <c r="A206">
        <v>2020</v>
      </c>
      <c r="B206" t="s">
        <v>164</v>
      </c>
      <c r="C206">
        <v>2610</v>
      </c>
      <c r="D206">
        <v>1915</v>
      </c>
      <c r="E206" t="s">
        <v>170</v>
      </c>
      <c r="F206">
        <v>15</v>
      </c>
    </row>
    <row r="207" spans="1:6" x14ac:dyDescent="0.2">
      <c r="A207">
        <v>2021</v>
      </c>
      <c r="B207" t="s">
        <v>164</v>
      </c>
      <c r="C207">
        <v>3230</v>
      </c>
      <c r="D207">
        <v>2730</v>
      </c>
      <c r="E207" t="s">
        <v>171</v>
      </c>
      <c r="F207">
        <v>5</v>
      </c>
    </row>
    <row r="208" spans="1:6" x14ac:dyDescent="0.2">
      <c r="A208">
        <v>2022</v>
      </c>
      <c r="B208" t="s">
        <v>164</v>
      </c>
      <c r="C208">
        <v>670</v>
      </c>
      <c r="D208">
        <v>345</v>
      </c>
      <c r="E208" t="s">
        <v>71</v>
      </c>
      <c r="F208">
        <v>10</v>
      </c>
    </row>
    <row r="209" spans="1:6" x14ac:dyDescent="0.2">
      <c r="A209">
        <v>2023</v>
      </c>
      <c r="B209" t="s">
        <v>164</v>
      </c>
      <c r="C209">
        <v>600</v>
      </c>
      <c r="D209">
        <v>305</v>
      </c>
      <c r="E209" t="s">
        <v>58</v>
      </c>
      <c r="F209">
        <v>5</v>
      </c>
    </row>
    <row r="210" spans="1:6" x14ac:dyDescent="0.2">
      <c r="A210">
        <v>2024</v>
      </c>
      <c r="B210" t="s">
        <v>164</v>
      </c>
      <c r="C210">
        <v>585</v>
      </c>
      <c r="D210">
        <v>320</v>
      </c>
      <c r="E210" t="s">
        <v>29</v>
      </c>
      <c r="F210">
        <v>5</v>
      </c>
    </row>
    <row r="211" spans="1:6" x14ac:dyDescent="0.2">
      <c r="A211">
        <v>2025</v>
      </c>
      <c r="B211" t="s">
        <v>164</v>
      </c>
      <c r="C211">
        <v>620</v>
      </c>
      <c r="D211">
        <v>340</v>
      </c>
      <c r="E211" t="s">
        <v>29</v>
      </c>
      <c r="F211">
        <v>10</v>
      </c>
    </row>
    <row r="212" spans="1:6" x14ac:dyDescent="0.2">
      <c r="A212">
        <v>2016</v>
      </c>
      <c r="B212" t="s">
        <v>172</v>
      </c>
      <c r="C212">
        <v>3725</v>
      </c>
      <c r="D212">
        <v>2520</v>
      </c>
      <c r="E212" t="s">
        <v>173</v>
      </c>
      <c r="F212">
        <v>10</v>
      </c>
    </row>
    <row r="213" spans="1:6" x14ac:dyDescent="0.2">
      <c r="A213">
        <v>2017</v>
      </c>
      <c r="B213" t="s">
        <v>172</v>
      </c>
      <c r="C213">
        <v>3215</v>
      </c>
      <c r="D213">
        <v>2190</v>
      </c>
      <c r="E213" t="s">
        <v>175</v>
      </c>
      <c r="F213">
        <v>5</v>
      </c>
    </row>
    <row r="214" spans="1:6" x14ac:dyDescent="0.2">
      <c r="A214">
        <v>2018</v>
      </c>
      <c r="B214" t="s">
        <v>172</v>
      </c>
      <c r="C214">
        <v>3415</v>
      </c>
      <c r="D214">
        <v>2500</v>
      </c>
      <c r="E214" t="s">
        <v>176</v>
      </c>
      <c r="F214">
        <v>10</v>
      </c>
    </row>
    <row r="215" spans="1:6" x14ac:dyDescent="0.2">
      <c r="A215">
        <v>2019</v>
      </c>
      <c r="B215" t="s">
        <v>172</v>
      </c>
      <c r="C215">
        <v>3585</v>
      </c>
      <c r="D215">
        <v>2500</v>
      </c>
      <c r="E215" t="s">
        <v>177</v>
      </c>
      <c r="F215">
        <v>10</v>
      </c>
    </row>
    <row r="216" spans="1:6" x14ac:dyDescent="0.2">
      <c r="A216">
        <v>2020</v>
      </c>
      <c r="B216" t="s">
        <v>172</v>
      </c>
      <c r="C216">
        <v>3740</v>
      </c>
      <c r="D216">
        <v>2685</v>
      </c>
      <c r="E216" t="s">
        <v>48</v>
      </c>
      <c r="F216">
        <v>20</v>
      </c>
    </row>
    <row r="217" spans="1:6" x14ac:dyDescent="0.2">
      <c r="A217">
        <v>2021</v>
      </c>
      <c r="B217" t="s">
        <v>172</v>
      </c>
      <c r="C217">
        <v>1095</v>
      </c>
      <c r="D217">
        <v>510</v>
      </c>
      <c r="E217" t="s">
        <v>132</v>
      </c>
      <c r="F217">
        <v>5</v>
      </c>
    </row>
    <row r="218" spans="1:6" x14ac:dyDescent="0.2">
      <c r="A218">
        <v>2022</v>
      </c>
      <c r="B218" t="s">
        <v>172</v>
      </c>
      <c r="C218">
        <v>605</v>
      </c>
      <c r="D218">
        <v>270</v>
      </c>
      <c r="E218" t="s">
        <v>83</v>
      </c>
      <c r="F218">
        <v>5</v>
      </c>
    </row>
    <row r="219" spans="1:6" x14ac:dyDescent="0.2">
      <c r="A219">
        <v>2023</v>
      </c>
      <c r="B219" t="s">
        <v>172</v>
      </c>
      <c r="C219">
        <v>585</v>
      </c>
      <c r="D219">
        <v>250</v>
      </c>
      <c r="E219" t="s">
        <v>178</v>
      </c>
      <c r="F219">
        <v>0</v>
      </c>
    </row>
    <row r="220" spans="1:6" x14ac:dyDescent="0.2">
      <c r="A220">
        <v>2024</v>
      </c>
      <c r="B220" t="s">
        <v>172</v>
      </c>
      <c r="C220">
        <v>605</v>
      </c>
      <c r="D220">
        <v>280</v>
      </c>
      <c r="E220" t="s">
        <v>179</v>
      </c>
      <c r="F220">
        <v>0</v>
      </c>
    </row>
    <row r="221" spans="1:6" x14ac:dyDescent="0.2">
      <c r="A221">
        <v>2025</v>
      </c>
      <c r="B221" t="s">
        <v>172</v>
      </c>
      <c r="C221">
        <v>505</v>
      </c>
      <c r="D221">
        <v>230</v>
      </c>
      <c r="E221" t="s">
        <v>348</v>
      </c>
      <c r="F221">
        <v>5</v>
      </c>
    </row>
    <row r="222" spans="1:6" x14ac:dyDescent="0.2">
      <c r="A222">
        <v>2016</v>
      </c>
      <c r="B222" t="s">
        <v>180</v>
      </c>
      <c r="C222">
        <v>3515</v>
      </c>
      <c r="D222">
        <v>2120</v>
      </c>
      <c r="E222" t="s">
        <v>140</v>
      </c>
      <c r="F222">
        <v>10</v>
      </c>
    </row>
    <row r="223" spans="1:6" x14ac:dyDescent="0.2">
      <c r="A223">
        <v>2017</v>
      </c>
      <c r="B223" t="s">
        <v>180</v>
      </c>
      <c r="C223">
        <v>3615</v>
      </c>
      <c r="D223">
        <v>2250</v>
      </c>
      <c r="E223" t="s">
        <v>110</v>
      </c>
      <c r="F223">
        <v>15</v>
      </c>
    </row>
    <row r="224" spans="1:6" x14ac:dyDescent="0.2">
      <c r="A224">
        <v>2018</v>
      </c>
      <c r="B224" t="s">
        <v>180</v>
      </c>
      <c r="C224">
        <v>4030</v>
      </c>
      <c r="D224">
        <v>2525</v>
      </c>
      <c r="E224" t="s">
        <v>182</v>
      </c>
      <c r="F224">
        <v>15</v>
      </c>
    </row>
    <row r="225" spans="1:6" x14ac:dyDescent="0.2">
      <c r="A225">
        <v>2019</v>
      </c>
      <c r="B225" t="s">
        <v>180</v>
      </c>
      <c r="C225">
        <v>4305</v>
      </c>
      <c r="D225">
        <v>2720</v>
      </c>
      <c r="E225" t="s">
        <v>183</v>
      </c>
      <c r="F225">
        <v>10</v>
      </c>
    </row>
    <row r="226" spans="1:6" x14ac:dyDescent="0.2">
      <c r="A226">
        <v>2020</v>
      </c>
      <c r="B226" t="s">
        <v>180</v>
      </c>
      <c r="C226">
        <v>4620</v>
      </c>
      <c r="D226">
        <v>2985</v>
      </c>
      <c r="E226" t="s">
        <v>184</v>
      </c>
      <c r="F226">
        <v>35</v>
      </c>
    </row>
    <row r="227" spans="1:6" x14ac:dyDescent="0.2">
      <c r="A227">
        <v>2021</v>
      </c>
      <c r="B227" t="s">
        <v>180</v>
      </c>
      <c r="C227">
        <v>3080</v>
      </c>
      <c r="D227">
        <v>1495</v>
      </c>
      <c r="E227" t="s">
        <v>185</v>
      </c>
      <c r="F227">
        <v>10</v>
      </c>
    </row>
    <row r="228" spans="1:6" x14ac:dyDescent="0.2">
      <c r="A228">
        <v>2022</v>
      </c>
      <c r="B228" t="s">
        <v>180</v>
      </c>
      <c r="C228">
        <v>2450</v>
      </c>
      <c r="D228">
        <v>1220</v>
      </c>
      <c r="E228" t="s">
        <v>186</v>
      </c>
      <c r="F228">
        <v>10</v>
      </c>
    </row>
    <row r="229" spans="1:6" x14ac:dyDescent="0.2">
      <c r="A229">
        <v>2023</v>
      </c>
      <c r="B229" t="s">
        <v>180</v>
      </c>
      <c r="C229">
        <v>2270</v>
      </c>
      <c r="D229">
        <v>1135</v>
      </c>
      <c r="E229" t="s">
        <v>187</v>
      </c>
      <c r="F229">
        <v>15</v>
      </c>
    </row>
    <row r="230" spans="1:6" x14ac:dyDescent="0.2">
      <c r="A230">
        <v>2024</v>
      </c>
      <c r="B230" t="s">
        <v>180</v>
      </c>
      <c r="C230">
        <v>2335</v>
      </c>
      <c r="D230">
        <v>1215</v>
      </c>
      <c r="E230" t="s">
        <v>188</v>
      </c>
      <c r="F230">
        <v>10</v>
      </c>
    </row>
    <row r="231" spans="1:6" x14ac:dyDescent="0.2">
      <c r="A231">
        <v>2025</v>
      </c>
      <c r="B231" t="s">
        <v>180</v>
      </c>
      <c r="C231">
        <v>2260</v>
      </c>
      <c r="D231">
        <v>1210</v>
      </c>
      <c r="E231" t="s">
        <v>28</v>
      </c>
      <c r="F231">
        <v>10</v>
      </c>
    </row>
    <row r="232" spans="1:6" x14ac:dyDescent="0.2">
      <c r="A232">
        <v>2016</v>
      </c>
      <c r="B232" t="s">
        <v>189</v>
      </c>
      <c r="C232">
        <v>1430</v>
      </c>
      <c r="D232">
        <v>700</v>
      </c>
      <c r="E232" t="s">
        <v>44</v>
      </c>
      <c r="F232">
        <v>5</v>
      </c>
    </row>
    <row r="233" spans="1:6" x14ac:dyDescent="0.2">
      <c r="A233">
        <v>2017</v>
      </c>
      <c r="B233" t="s">
        <v>189</v>
      </c>
      <c r="C233">
        <v>1280</v>
      </c>
      <c r="D233">
        <v>630</v>
      </c>
      <c r="E233" t="s">
        <v>52</v>
      </c>
      <c r="F233">
        <v>0</v>
      </c>
    </row>
    <row r="234" spans="1:6" x14ac:dyDescent="0.2">
      <c r="A234">
        <v>2018</v>
      </c>
      <c r="B234" t="s">
        <v>189</v>
      </c>
      <c r="C234">
        <v>1295</v>
      </c>
      <c r="D234">
        <v>660</v>
      </c>
      <c r="E234" t="s">
        <v>191</v>
      </c>
      <c r="F234">
        <v>5</v>
      </c>
    </row>
    <row r="235" spans="1:6" x14ac:dyDescent="0.2">
      <c r="A235">
        <v>2019</v>
      </c>
      <c r="B235" t="s">
        <v>189</v>
      </c>
      <c r="C235">
        <v>1245</v>
      </c>
      <c r="D235">
        <v>640</v>
      </c>
      <c r="E235" t="s">
        <v>192</v>
      </c>
      <c r="F235">
        <v>5</v>
      </c>
    </row>
    <row r="236" spans="1:6" x14ac:dyDescent="0.2">
      <c r="A236">
        <v>2020</v>
      </c>
      <c r="B236" t="s">
        <v>189</v>
      </c>
      <c r="C236">
        <v>1185</v>
      </c>
      <c r="D236">
        <v>670</v>
      </c>
      <c r="E236" t="s">
        <v>193</v>
      </c>
      <c r="F236">
        <v>10</v>
      </c>
    </row>
    <row r="237" spans="1:6" x14ac:dyDescent="0.2">
      <c r="A237">
        <v>2021</v>
      </c>
      <c r="B237" t="s">
        <v>189</v>
      </c>
      <c r="C237">
        <v>710</v>
      </c>
      <c r="D237">
        <v>305</v>
      </c>
      <c r="E237" t="s">
        <v>194</v>
      </c>
      <c r="F237">
        <v>5</v>
      </c>
    </row>
    <row r="238" spans="1:6" x14ac:dyDescent="0.2">
      <c r="A238">
        <v>2022</v>
      </c>
      <c r="B238" t="s">
        <v>189</v>
      </c>
      <c r="C238">
        <v>555</v>
      </c>
      <c r="D238">
        <v>215</v>
      </c>
      <c r="E238" t="s">
        <v>195</v>
      </c>
      <c r="F238">
        <v>5</v>
      </c>
    </row>
    <row r="239" spans="1:6" x14ac:dyDescent="0.2">
      <c r="A239">
        <v>2023</v>
      </c>
      <c r="B239" t="s">
        <v>189</v>
      </c>
      <c r="C239">
        <v>490</v>
      </c>
      <c r="D239">
        <v>200</v>
      </c>
      <c r="E239" t="s">
        <v>196</v>
      </c>
      <c r="F239">
        <v>5</v>
      </c>
    </row>
    <row r="240" spans="1:6" x14ac:dyDescent="0.2">
      <c r="A240">
        <v>2024</v>
      </c>
      <c r="B240" t="s">
        <v>189</v>
      </c>
      <c r="C240">
        <v>415</v>
      </c>
      <c r="D240">
        <v>160</v>
      </c>
      <c r="E240" t="s">
        <v>122</v>
      </c>
      <c r="F240">
        <v>0</v>
      </c>
    </row>
    <row r="241" spans="1:6" x14ac:dyDescent="0.2">
      <c r="A241">
        <v>2025</v>
      </c>
      <c r="B241" t="s">
        <v>189</v>
      </c>
      <c r="C241">
        <v>390</v>
      </c>
      <c r="D241">
        <v>160</v>
      </c>
      <c r="E241" t="s">
        <v>124</v>
      </c>
      <c r="F241">
        <v>5</v>
      </c>
    </row>
    <row r="242" spans="1:6" x14ac:dyDescent="0.2">
      <c r="A242">
        <v>2017</v>
      </c>
      <c r="B242" t="s">
        <v>913</v>
      </c>
      <c r="C242">
        <v>5</v>
      </c>
      <c r="D242">
        <v>5</v>
      </c>
      <c r="E242" t="s">
        <v>910</v>
      </c>
      <c r="F242">
        <v>0</v>
      </c>
    </row>
    <row r="243" spans="1:6" x14ac:dyDescent="0.2">
      <c r="A243">
        <v>2019</v>
      </c>
      <c r="B243" t="s">
        <v>913</v>
      </c>
      <c r="C243">
        <v>5</v>
      </c>
      <c r="D243">
        <v>0</v>
      </c>
      <c r="E243" t="s">
        <v>910</v>
      </c>
      <c r="F243">
        <v>0</v>
      </c>
    </row>
    <row r="244" spans="1:6" x14ac:dyDescent="0.2">
      <c r="A244">
        <v>2020</v>
      </c>
      <c r="B244" t="s">
        <v>913</v>
      </c>
      <c r="C244">
        <v>5</v>
      </c>
      <c r="D244">
        <v>5</v>
      </c>
      <c r="E244" t="s">
        <v>910</v>
      </c>
      <c r="F244">
        <v>0</v>
      </c>
    </row>
    <row r="245" spans="1:6" x14ac:dyDescent="0.2">
      <c r="A245">
        <v>2016</v>
      </c>
      <c r="B245" t="s">
        <v>914</v>
      </c>
      <c r="C245">
        <v>5</v>
      </c>
      <c r="D245">
        <v>5</v>
      </c>
      <c r="E245" t="s">
        <v>910</v>
      </c>
      <c r="F245">
        <v>0</v>
      </c>
    </row>
    <row r="246" spans="1:6" x14ac:dyDescent="0.2">
      <c r="A246">
        <v>2019</v>
      </c>
      <c r="B246" t="s">
        <v>914</v>
      </c>
      <c r="C246">
        <v>5</v>
      </c>
      <c r="D246">
        <v>0</v>
      </c>
      <c r="E246" t="s">
        <v>910</v>
      </c>
      <c r="F246">
        <v>0</v>
      </c>
    </row>
    <row r="247" spans="1:6" x14ac:dyDescent="0.2">
      <c r="A247">
        <v>2016</v>
      </c>
      <c r="B247" t="s">
        <v>915</v>
      </c>
      <c r="C247">
        <v>10</v>
      </c>
      <c r="D247">
        <v>5</v>
      </c>
      <c r="E247" t="s">
        <v>910</v>
      </c>
      <c r="F247">
        <v>0</v>
      </c>
    </row>
    <row r="248" spans="1:6" x14ac:dyDescent="0.2">
      <c r="A248">
        <v>2017</v>
      </c>
      <c r="B248" t="s">
        <v>915</v>
      </c>
      <c r="C248">
        <v>10</v>
      </c>
      <c r="D248">
        <v>10</v>
      </c>
      <c r="E248" t="s">
        <v>910</v>
      </c>
      <c r="F248">
        <v>0</v>
      </c>
    </row>
    <row r="249" spans="1:6" x14ac:dyDescent="0.2">
      <c r="A249">
        <v>2018</v>
      </c>
      <c r="B249" t="s">
        <v>915</v>
      </c>
      <c r="C249">
        <v>15</v>
      </c>
      <c r="D249">
        <v>5</v>
      </c>
      <c r="E249" t="s">
        <v>910</v>
      </c>
      <c r="F249">
        <v>0</v>
      </c>
    </row>
    <row r="250" spans="1:6" x14ac:dyDescent="0.2">
      <c r="A250">
        <v>2019</v>
      </c>
      <c r="B250" t="s">
        <v>915</v>
      </c>
      <c r="C250">
        <v>20</v>
      </c>
      <c r="D250">
        <v>5</v>
      </c>
      <c r="E250" t="s">
        <v>910</v>
      </c>
      <c r="F250">
        <v>0</v>
      </c>
    </row>
    <row r="251" spans="1:6" x14ac:dyDescent="0.2">
      <c r="A251">
        <v>2020</v>
      </c>
      <c r="B251" t="s">
        <v>915</v>
      </c>
      <c r="C251">
        <v>10</v>
      </c>
      <c r="D251">
        <v>5</v>
      </c>
      <c r="E251" t="s">
        <v>910</v>
      </c>
      <c r="F251">
        <v>0</v>
      </c>
    </row>
    <row r="252" spans="1:6" x14ac:dyDescent="0.2">
      <c r="A252">
        <v>2021</v>
      </c>
      <c r="B252" t="s">
        <v>915</v>
      </c>
      <c r="C252">
        <v>5</v>
      </c>
      <c r="D252">
        <v>0</v>
      </c>
      <c r="E252" t="s">
        <v>910</v>
      </c>
      <c r="F252">
        <v>0</v>
      </c>
    </row>
    <row r="253" spans="1:6" x14ac:dyDescent="0.2">
      <c r="A253">
        <v>2022</v>
      </c>
      <c r="B253" t="s">
        <v>915</v>
      </c>
      <c r="C253">
        <v>10</v>
      </c>
      <c r="D253">
        <v>5</v>
      </c>
      <c r="E253" t="s">
        <v>910</v>
      </c>
      <c r="F253">
        <v>0</v>
      </c>
    </row>
    <row r="254" spans="1:6" x14ac:dyDescent="0.2">
      <c r="A254">
        <v>2023</v>
      </c>
      <c r="B254" t="s">
        <v>915</v>
      </c>
      <c r="C254">
        <v>5</v>
      </c>
      <c r="D254">
        <v>5</v>
      </c>
      <c r="E254" t="s">
        <v>910</v>
      </c>
      <c r="F254">
        <v>0</v>
      </c>
    </row>
    <row r="255" spans="1:6" x14ac:dyDescent="0.2">
      <c r="A255">
        <v>2024</v>
      </c>
      <c r="B255" t="s">
        <v>915</v>
      </c>
      <c r="C255">
        <v>10</v>
      </c>
      <c r="D255">
        <v>0</v>
      </c>
      <c r="E255" t="s">
        <v>910</v>
      </c>
      <c r="F255">
        <v>0</v>
      </c>
    </row>
    <row r="256" spans="1:6" x14ac:dyDescent="0.2">
      <c r="A256">
        <v>2025</v>
      </c>
      <c r="B256" t="s">
        <v>915</v>
      </c>
      <c r="C256">
        <v>10</v>
      </c>
      <c r="D256">
        <v>5</v>
      </c>
      <c r="E256" t="s">
        <v>910</v>
      </c>
      <c r="F256">
        <v>0</v>
      </c>
    </row>
    <row r="257" spans="1:6" x14ac:dyDescent="0.2">
      <c r="A257">
        <v>2016</v>
      </c>
      <c r="B257" t="s">
        <v>197</v>
      </c>
      <c r="C257">
        <v>470</v>
      </c>
      <c r="D257">
        <v>295</v>
      </c>
      <c r="E257" t="s">
        <v>198</v>
      </c>
      <c r="F257">
        <v>0</v>
      </c>
    </row>
    <row r="258" spans="1:6" x14ac:dyDescent="0.2">
      <c r="A258">
        <v>2017</v>
      </c>
      <c r="B258" t="s">
        <v>197</v>
      </c>
      <c r="C258">
        <v>410</v>
      </c>
      <c r="D258">
        <v>245</v>
      </c>
      <c r="E258" t="s">
        <v>140</v>
      </c>
      <c r="F258">
        <v>0</v>
      </c>
    </row>
    <row r="259" spans="1:6" x14ac:dyDescent="0.2">
      <c r="A259">
        <v>2018</v>
      </c>
      <c r="B259" t="s">
        <v>197</v>
      </c>
      <c r="C259">
        <v>395</v>
      </c>
      <c r="D259">
        <v>225</v>
      </c>
      <c r="E259" t="s">
        <v>200</v>
      </c>
      <c r="F259">
        <v>0</v>
      </c>
    </row>
    <row r="260" spans="1:6" x14ac:dyDescent="0.2">
      <c r="A260">
        <v>2019</v>
      </c>
      <c r="B260" t="s">
        <v>197</v>
      </c>
      <c r="C260">
        <v>410</v>
      </c>
      <c r="D260">
        <v>245</v>
      </c>
      <c r="E260" t="s">
        <v>103</v>
      </c>
      <c r="F260">
        <v>0</v>
      </c>
    </row>
    <row r="261" spans="1:6" x14ac:dyDescent="0.2">
      <c r="A261">
        <v>2020</v>
      </c>
      <c r="B261" t="s">
        <v>197</v>
      </c>
      <c r="C261">
        <v>400</v>
      </c>
      <c r="D261">
        <v>210</v>
      </c>
      <c r="E261" t="s">
        <v>201</v>
      </c>
      <c r="F261">
        <v>0</v>
      </c>
    </row>
    <row r="262" spans="1:6" x14ac:dyDescent="0.2">
      <c r="A262">
        <v>2021</v>
      </c>
      <c r="B262" t="s">
        <v>197</v>
      </c>
      <c r="C262">
        <v>140</v>
      </c>
      <c r="D262">
        <v>55</v>
      </c>
      <c r="E262" t="s">
        <v>118</v>
      </c>
      <c r="F262">
        <v>0</v>
      </c>
    </row>
    <row r="263" spans="1:6" x14ac:dyDescent="0.2">
      <c r="A263">
        <v>2022</v>
      </c>
      <c r="B263" t="s">
        <v>197</v>
      </c>
      <c r="C263">
        <v>105</v>
      </c>
      <c r="D263">
        <v>45</v>
      </c>
      <c r="E263" t="s">
        <v>92</v>
      </c>
      <c r="F263">
        <v>0</v>
      </c>
    </row>
    <row r="264" spans="1:6" x14ac:dyDescent="0.2">
      <c r="A264">
        <v>2023</v>
      </c>
      <c r="B264" t="s">
        <v>197</v>
      </c>
      <c r="C264">
        <v>95</v>
      </c>
      <c r="D264">
        <v>30</v>
      </c>
      <c r="E264" t="s">
        <v>202</v>
      </c>
      <c r="F264">
        <v>0</v>
      </c>
    </row>
    <row r="265" spans="1:6" x14ac:dyDescent="0.2">
      <c r="A265">
        <v>2024</v>
      </c>
      <c r="B265" t="s">
        <v>197</v>
      </c>
      <c r="C265">
        <v>85</v>
      </c>
      <c r="D265">
        <v>35</v>
      </c>
      <c r="E265" t="s">
        <v>163</v>
      </c>
      <c r="F265">
        <v>0</v>
      </c>
    </row>
    <row r="266" spans="1:6" x14ac:dyDescent="0.2">
      <c r="A266">
        <v>2025</v>
      </c>
      <c r="B266" t="s">
        <v>197</v>
      </c>
      <c r="C266">
        <v>85</v>
      </c>
      <c r="D266">
        <v>40</v>
      </c>
      <c r="E266" t="s">
        <v>132</v>
      </c>
      <c r="F266">
        <v>0</v>
      </c>
    </row>
    <row r="267" spans="1:6" x14ac:dyDescent="0.2">
      <c r="A267">
        <v>2016</v>
      </c>
      <c r="B267" t="s">
        <v>203</v>
      </c>
      <c r="C267">
        <v>590</v>
      </c>
      <c r="D267">
        <v>375</v>
      </c>
      <c r="E267" t="s">
        <v>204</v>
      </c>
      <c r="F267">
        <v>0</v>
      </c>
    </row>
    <row r="268" spans="1:6" x14ac:dyDescent="0.2">
      <c r="A268">
        <v>2017</v>
      </c>
      <c r="B268" t="s">
        <v>203</v>
      </c>
      <c r="C268">
        <v>590</v>
      </c>
      <c r="D268">
        <v>385</v>
      </c>
      <c r="E268" t="s">
        <v>206</v>
      </c>
      <c r="F268">
        <v>0</v>
      </c>
    </row>
    <row r="269" spans="1:6" x14ac:dyDescent="0.2">
      <c r="A269">
        <v>2018</v>
      </c>
      <c r="B269" t="s">
        <v>203</v>
      </c>
      <c r="C269">
        <v>575</v>
      </c>
      <c r="D269">
        <v>345</v>
      </c>
      <c r="E269" t="s">
        <v>140</v>
      </c>
      <c r="F269">
        <v>0</v>
      </c>
    </row>
    <row r="270" spans="1:6" x14ac:dyDescent="0.2">
      <c r="A270">
        <v>2019</v>
      </c>
      <c r="B270" t="s">
        <v>203</v>
      </c>
      <c r="C270">
        <v>610</v>
      </c>
      <c r="D270">
        <v>405</v>
      </c>
      <c r="E270" t="s">
        <v>207</v>
      </c>
      <c r="F270">
        <v>5</v>
      </c>
    </row>
    <row r="271" spans="1:6" x14ac:dyDescent="0.2">
      <c r="A271">
        <v>2020</v>
      </c>
      <c r="B271" t="s">
        <v>203</v>
      </c>
      <c r="C271">
        <v>660</v>
      </c>
      <c r="D271">
        <v>425</v>
      </c>
      <c r="E271" t="s">
        <v>208</v>
      </c>
      <c r="F271">
        <v>0</v>
      </c>
    </row>
    <row r="272" spans="1:6" x14ac:dyDescent="0.2">
      <c r="A272">
        <v>2021</v>
      </c>
      <c r="B272" t="s">
        <v>203</v>
      </c>
      <c r="C272">
        <v>220</v>
      </c>
      <c r="D272">
        <v>130</v>
      </c>
      <c r="E272" t="s">
        <v>105</v>
      </c>
      <c r="F272">
        <v>0</v>
      </c>
    </row>
    <row r="273" spans="1:6" x14ac:dyDescent="0.2">
      <c r="A273">
        <v>2022</v>
      </c>
      <c r="B273" t="s">
        <v>203</v>
      </c>
      <c r="C273">
        <v>130</v>
      </c>
      <c r="D273">
        <v>75</v>
      </c>
      <c r="E273" t="s">
        <v>209</v>
      </c>
      <c r="F273">
        <v>0</v>
      </c>
    </row>
    <row r="274" spans="1:6" x14ac:dyDescent="0.2">
      <c r="A274">
        <v>2023</v>
      </c>
      <c r="B274" t="s">
        <v>203</v>
      </c>
      <c r="C274">
        <v>115</v>
      </c>
      <c r="D274">
        <v>50</v>
      </c>
      <c r="E274" t="s">
        <v>92</v>
      </c>
      <c r="F274">
        <v>5</v>
      </c>
    </row>
    <row r="275" spans="1:6" x14ac:dyDescent="0.2">
      <c r="A275">
        <v>2024</v>
      </c>
      <c r="B275" t="s">
        <v>203</v>
      </c>
      <c r="C275">
        <v>125</v>
      </c>
      <c r="D275">
        <v>50</v>
      </c>
      <c r="E275" t="s">
        <v>210</v>
      </c>
      <c r="F275">
        <v>0</v>
      </c>
    </row>
    <row r="276" spans="1:6" x14ac:dyDescent="0.2">
      <c r="A276">
        <v>2025</v>
      </c>
      <c r="B276" t="s">
        <v>203</v>
      </c>
      <c r="C276">
        <v>115</v>
      </c>
      <c r="D276">
        <v>40</v>
      </c>
      <c r="E276" t="s">
        <v>916</v>
      </c>
      <c r="F276">
        <v>0</v>
      </c>
    </row>
    <row r="277" spans="1:6" x14ac:dyDescent="0.2">
      <c r="A277">
        <v>2016</v>
      </c>
      <c r="B277" t="s">
        <v>211</v>
      </c>
      <c r="C277">
        <v>1930</v>
      </c>
      <c r="D277">
        <v>1240</v>
      </c>
      <c r="E277" t="s">
        <v>212</v>
      </c>
      <c r="F277">
        <v>5</v>
      </c>
    </row>
    <row r="278" spans="1:6" x14ac:dyDescent="0.2">
      <c r="A278">
        <v>2017</v>
      </c>
      <c r="B278" t="s">
        <v>211</v>
      </c>
      <c r="C278">
        <v>2065</v>
      </c>
      <c r="D278">
        <v>1395</v>
      </c>
      <c r="E278" t="s">
        <v>214</v>
      </c>
      <c r="F278">
        <v>0</v>
      </c>
    </row>
    <row r="279" spans="1:6" x14ac:dyDescent="0.2">
      <c r="A279">
        <v>2018</v>
      </c>
      <c r="B279" t="s">
        <v>211</v>
      </c>
      <c r="C279">
        <v>2125</v>
      </c>
      <c r="D279">
        <v>1445</v>
      </c>
      <c r="E279" t="s">
        <v>175</v>
      </c>
      <c r="F279">
        <v>5</v>
      </c>
    </row>
    <row r="280" spans="1:6" x14ac:dyDescent="0.2">
      <c r="A280">
        <v>2019</v>
      </c>
      <c r="B280" t="s">
        <v>211</v>
      </c>
      <c r="C280">
        <v>1975</v>
      </c>
      <c r="D280">
        <v>1235</v>
      </c>
      <c r="E280" t="s">
        <v>215</v>
      </c>
      <c r="F280">
        <v>5</v>
      </c>
    </row>
    <row r="281" spans="1:6" x14ac:dyDescent="0.2">
      <c r="A281">
        <v>2020</v>
      </c>
      <c r="B281" t="s">
        <v>211</v>
      </c>
      <c r="C281">
        <v>1745</v>
      </c>
      <c r="D281">
        <v>1105</v>
      </c>
      <c r="E281" t="s">
        <v>216</v>
      </c>
      <c r="F281">
        <v>5</v>
      </c>
    </row>
    <row r="282" spans="1:6" x14ac:dyDescent="0.2">
      <c r="A282">
        <v>2021</v>
      </c>
      <c r="B282" t="s">
        <v>211</v>
      </c>
      <c r="C282">
        <v>545</v>
      </c>
      <c r="D282">
        <v>285</v>
      </c>
      <c r="E282" t="s">
        <v>142</v>
      </c>
      <c r="F282">
        <v>0</v>
      </c>
    </row>
    <row r="283" spans="1:6" x14ac:dyDescent="0.2">
      <c r="A283">
        <v>2022</v>
      </c>
      <c r="B283" t="s">
        <v>211</v>
      </c>
      <c r="C283">
        <v>230</v>
      </c>
      <c r="D283">
        <v>105</v>
      </c>
      <c r="E283" t="s">
        <v>32</v>
      </c>
      <c r="F283">
        <v>0</v>
      </c>
    </row>
    <row r="284" spans="1:6" x14ac:dyDescent="0.2">
      <c r="A284">
        <v>2023</v>
      </c>
      <c r="B284" t="s">
        <v>211</v>
      </c>
      <c r="C284">
        <v>150</v>
      </c>
      <c r="D284">
        <v>55</v>
      </c>
      <c r="E284" t="s">
        <v>217</v>
      </c>
      <c r="F284">
        <v>5</v>
      </c>
    </row>
    <row r="285" spans="1:6" x14ac:dyDescent="0.2">
      <c r="A285">
        <v>2024</v>
      </c>
      <c r="B285" t="s">
        <v>211</v>
      </c>
      <c r="C285">
        <v>155</v>
      </c>
      <c r="D285">
        <v>60</v>
      </c>
      <c r="E285" t="s">
        <v>218</v>
      </c>
      <c r="F285">
        <v>0</v>
      </c>
    </row>
    <row r="286" spans="1:6" x14ac:dyDescent="0.2">
      <c r="A286">
        <v>2025</v>
      </c>
      <c r="B286" t="s">
        <v>211</v>
      </c>
      <c r="C286">
        <v>215</v>
      </c>
      <c r="D286">
        <v>70</v>
      </c>
      <c r="E286" t="s">
        <v>364</v>
      </c>
      <c r="F286">
        <v>0</v>
      </c>
    </row>
    <row r="287" spans="1:6" x14ac:dyDescent="0.2">
      <c r="A287">
        <v>2016</v>
      </c>
      <c r="B287" t="s">
        <v>219</v>
      </c>
      <c r="C287">
        <v>375</v>
      </c>
      <c r="D287">
        <v>250</v>
      </c>
      <c r="E287" t="s">
        <v>220</v>
      </c>
      <c r="F287">
        <v>0</v>
      </c>
    </row>
    <row r="288" spans="1:6" x14ac:dyDescent="0.2">
      <c r="A288">
        <v>2017</v>
      </c>
      <c r="B288" t="s">
        <v>219</v>
      </c>
      <c r="C288">
        <v>335</v>
      </c>
      <c r="D288">
        <v>240</v>
      </c>
      <c r="E288" t="s">
        <v>222</v>
      </c>
      <c r="F288">
        <v>0</v>
      </c>
    </row>
    <row r="289" spans="1:6" x14ac:dyDescent="0.2">
      <c r="A289">
        <v>2018</v>
      </c>
      <c r="B289" t="s">
        <v>219</v>
      </c>
      <c r="C289">
        <v>405</v>
      </c>
      <c r="D289">
        <v>275</v>
      </c>
      <c r="E289" t="s">
        <v>175</v>
      </c>
      <c r="F289">
        <v>0</v>
      </c>
    </row>
    <row r="290" spans="1:6" x14ac:dyDescent="0.2">
      <c r="A290">
        <v>2019</v>
      </c>
      <c r="B290" t="s">
        <v>219</v>
      </c>
      <c r="C290">
        <v>365</v>
      </c>
      <c r="D290">
        <v>250</v>
      </c>
      <c r="E290" t="s">
        <v>223</v>
      </c>
      <c r="F290">
        <v>0</v>
      </c>
    </row>
    <row r="291" spans="1:6" x14ac:dyDescent="0.2">
      <c r="A291">
        <v>2020</v>
      </c>
      <c r="B291" t="s">
        <v>219</v>
      </c>
      <c r="C291">
        <v>355</v>
      </c>
      <c r="D291">
        <v>240</v>
      </c>
      <c r="E291" t="s">
        <v>224</v>
      </c>
      <c r="F291">
        <v>0</v>
      </c>
    </row>
    <row r="292" spans="1:6" x14ac:dyDescent="0.2">
      <c r="A292">
        <v>2021</v>
      </c>
      <c r="B292" t="s">
        <v>219</v>
      </c>
      <c r="C292">
        <v>100</v>
      </c>
      <c r="D292">
        <v>55</v>
      </c>
      <c r="E292" t="s">
        <v>153</v>
      </c>
      <c r="F292">
        <v>0</v>
      </c>
    </row>
    <row r="293" spans="1:6" x14ac:dyDescent="0.2">
      <c r="A293">
        <v>2022</v>
      </c>
      <c r="B293" t="s">
        <v>219</v>
      </c>
      <c r="C293">
        <v>75</v>
      </c>
      <c r="D293">
        <v>35</v>
      </c>
      <c r="E293" t="s">
        <v>225</v>
      </c>
      <c r="F293">
        <v>0</v>
      </c>
    </row>
    <row r="294" spans="1:6" x14ac:dyDescent="0.2">
      <c r="A294">
        <v>2023</v>
      </c>
      <c r="B294" t="s">
        <v>219</v>
      </c>
      <c r="C294">
        <v>60</v>
      </c>
      <c r="D294">
        <v>20</v>
      </c>
      <c r="E294" t="s">
        <v>226</v>
      </c>
      <c r="F294">
        <v>0</v>
      </c>
    </row>
    <row r="295" spans="1:6" x14ac:dyDescent="0.2">
      <c r="A295">
        <v>2024</v>
      </c>
      <c r="B295" t="s">
        <v>219</v>
      </c>
      <c r="C295">
        <v>70</v>
      </c>
      <c r="D295">
        <v>30</v>
      </c>
      <c r="E295" t="s">
        <v>126</v>
      </c>
      <c r="F295">
        <v>0</v>
      </c>
    </row>
    <row r="296" spans="1:6" x14ac:dyDescent="0.2">
      <c r="A296">
        <v>2025</v>
      </c>
      <c r="B296" t="s">
        <v>219</v>
      </c>
      <c r="C296">
        <v>60</v>
      </c>
      <c r="D296">
        <v>25</v>
      </c>
      <c r="E296" t="s">
        <v>92</v>
      </c>
      <c r="F296">
        <v>0</v>
      </c>
    </row>
    <row r="297" spans="1:6" x14ac:dyDescent="0.2">
      <c r="A297">
        <v>2016</v>
      </c>
      <c r="B297" t="s">
        <v>227</v>
      </c>
      <c r="C297">
        <v>155</v>
      </c>
      <c r="D297">
        <v>85</v>
      </c>
      <c r="E297" t="s">
        <v>228</v>
      </c>
      <c r="F297">
        <v>0</v>
      </c>
    </row>
    <row r="298" spans="1:6" x14ac:dyDescent="0.2">
      <c r="A298">
        <v>2017</v>
      </c>
      <c r="B298" t="s">
        <v>227</v>
      </c>
      <c r="C298">
        <v>160</v>
      </c>
      <c r="D298">
        <v>65</v>
      </c>
      <c r="E298" t="s">
        <v>82</v>
      </c>
      <c r="F298">
        <v>0</v>
      </c>
    </row>
    <row r="299" spans="1:6" x14ac:dyDescent="0.2">
      <c r="A299">
        <v>2018</v>
      </c>
      <c r="B299" t="s">
        <v>227</v>
      </c>
      <c r="C299">
        <v>160</v>
      </c>
      <c r="D299">
        <v>90</v>
      </c>
      <c r="E299" t="s">
        <v>230</v>
      </c>
      <c r="F299">
        <v>0</v>
      </c>
    </row>
    <row r="300" spans="1:6" x14ac:dyDescent="0.2">
      <c r="A300">
        <v>2019</v>
      </c>
      <c r="B300" t="s">
        <v>227</v>
      </c>
      <c r="C300">
        <v>140</v>
      </c>
      <c r="D300">
        <v>70</v>
      </c>
      <c r="E300" t="s">
        <v>187</v>
      </c>
      <c r="F300">
        <v>0</v>
      </c>
    </row>
    <row r="301" spans="1:6" x14ac:dyDescent="0.2">
      <c r="A301">
        <v>2020</v>
      </c>
      <c r="B301" t="s">
        <v>227</v>
      </c>
      <c r="C301">
        <v>125</v>
      </c>
      <c r="D301">
        <v>65</v>
      </c>
      <c r="E301" t="s">
        <v>59</v>
      </c>
      <c r="F301">
        <v>0</v>
      </c>
    </row>
    <row r="302" spans="1:6" x14ac:dyDescent="0.2">
      <c r="A302">
        <v>2021</v>
      </c>
      <c r="B302" t="s">
        <v>227</v>
      </c>
      <c r="C302">
        <v>55</v>
      </c>
      <c r="D302">
        <v>20</v>
      </c>
      <c r="E302" t="s">
        <v>231</v>
      </c>
      <c r="F302">
        <v>0</v>
      </c>
    </row>
    <row r="303" spans="1:6" x14ac:dyDescent="0.2">
      <c r="A303">
        <v>2022</v>
      </c>
      <c r="B303" t="s">
        <v>227</v>
      </c>
      <c r="C303">
        <v>45</v>
      </c>
      <c r="D303">
        <v>20</v>
      </c>
      <c r="E303" t="s">
        <v>232</v>
      </c>
      <c r="F303">
        <v>0</v>
      </c>
    </row>
    <row r="304" spans="1:6" x14ac:dyDescent="0.2">
      <c r="A304">
        <v>2023</v>
      </c>
      <c r="B304" t="s">
        <v>227</v>
      </c>
      <c r="C304">
        <v>35</v>
      </c>
      <c r="D304">
        <v>15</v>
      </c>
      <c r="E304" t="s">
        <v>233</v>
      </c>
      <c r="F304">
        <v>0</v>
      </c>
    </row>
    <row r="305" spans="1:6" x14ac:dyDescent="0.2">
      <c r="A305">
        <v>2024</v>
      </c>
      <c r="B305" t="s">
        <v>227</v>
      </c>
      <c r="C305">
        <v>50</v>
      </c>
      <c r="D305">
        <v>15</v>
      </c>
      <c r="E305" t="s">
        <v>234</v>
      </c>
      <c r="F305">
        <v>0</v>
      </c>
    </row>
    <row r="306" spans="1:6" x14ac:dyDescent="0.2">
      <c r="A306">
        <v>2025</v>
      </c>
      <c r="B306" t="s">
        <v>227</v>
      </c>
      <c r="C306">
        <v>30</v>
      </c>
      <c r="D306">
        <v>15</v>
      </c>
      <c r="E306" t="s">
        <v>340</v>
      </c>
      <c r="F306">
        <v>0</v>
      </c>
    </row>
    <row r="307" spans="1:6" x14ac:dyDescent="0.2">
      <c r="A307">
        <v>2016</v>
      </c>
      <c r="B307" t="s">
        <v>235</v>
      </c>
      <c r="C307">
        <v>1115</v>
      </c>
      <c r="D307">
        <v>750</v>
      </c>
      <c r="E307" t="s">
        <v>236</v>
      </c>
      <c r="F307">
        <v>0</v>
      </c>
    </row>
    <row r="308" spans="1:6" x14ac:dyDescent="0.2">
      <c r="A308">
        <v>2017</v>
      </c>
      <c r="B308" t="s">
        <v>235</v>
      </c>
      <c r="C308">
        <v>1095</v>
      </c>
      <c r="D308">
        <v>700</v>
      </c>
      <c r="E308" t="s">
        <v>112</v>
      </c>
      <c r="F308">
        <v>0</v>
      </c>
    </row>
    <row r="309" spans="1:6" x14ac:dyDescent="0.2">
      <c r="A309">
        <v>2018</v>
      </c>
      <c r="B309" t="s">
        <v>235</v>
      </c>
      <c r="C309">
        <v>1100</v>
      </c>
      <c r="D309">
        <v>765</v>
      </c>
      <c r="E309" t="s">
        <v>97</v>
      </c>
      <c r="F309">
        <v>0</v>
      </c>
    </row>
    <row r="310" spans="1:6" x14ac:dyDescent="0.2">
      <c r="A310">
        <v>2019</v>
      </c>
      <c r="B310" t="s">
        <v>235</v>
      </c>
      <c r="C310">
        <v>1190</v>
      </c>
      <c r="D310">
        <v>810</v>
      </c>
      <c r="E310" t="s">
        <v>238</v>
      </c>
      <c r="F310">
        <v>5</v>
      </c>
    </row>
    <row r="311" spans="1:6" x14ac:dyDescent="0.2">
      <c r="A311">
        <v>2020</v>
      </c>
      <c r="B311" t="s">
        <v>235</v>
      </c>
      <c r="C311">
        <v>1320</v>
      </c>
      <c r="D311">
        <v>875</v>
      </c>
      <c r="E311" t="s">
        <v>207</v>
      </c>
      <c r="F311">
        <v>0</v>
      </c>
    </row>
    <row r="312" spans="1:6" x14ac:dyDescent="0.2">
      <c r="A312">
        <v>2021</v>
      </c>
      <c r="B312" t="s">
        <v>235</v>
      </c>
      <c r="C312">
        <v>460</v>
      </c>
      <c r="D312">
        <v>245</v>
      </c>
      <c r="E312" t="s">
        <v>145</v>
      </c>
      <c r="F312">
        <v>0</v>
      </c>
    </row>
    <row r="313" spans="1:6" x14ac:dyDescent="0.2">
      <c r="A313">
        <v>2022</v>
      </c>
      <c r="B313" t="s">
        <v>235</v>
      </c>
      <c r="C313">
        <v>365</v>
      </c>
      <c r="D313">
        <v>180</v>
      </c>
      <c r="E313" t="s">
        <v>43</v>
      </c>
      <c r="F313">
        <v>0</v>
      </c>
    </row>
    <row r="314" spans="1:6" x14ac:dyDescent="0.2">
      <c r="A314">
        <v>2023</v>
      </c>
      <c r="B314" t="s">
        <v>235</v>
      </c>
      <c r="C314">
        <v>365</v>
      </c>
      <c r="D314">
        <v>175</v>
      </c>
      <c r="E314" t="s">
        <v>51</v>
      </c>
      <c r="F314">
        <v>0</v>
      </c>
    </row>
    <row r="315" spans="1:6" x14ac:dyDescent="0.2">
      <c r="A315">
        <v>2024</v>
      </c>
      <c r="B315" t="s">
        <v>235</v>
      </c>
      <c r="C315">
        <v>375</v>
      </c>
      <c r="D315">
        <v>170</v>
      </c>
      <c r="E315" t="s">
        <v>232</v>
      </c>
      <c r="F315">
        <v>0</v>
      </c>
    </row>
    <row r="316" spans="1:6" x14ac:dyDescent="0.2">
      <c r="A316">
        <v>2025</v>
      </c>
      <c r="B316" t="s">
        <v>235</v>
      </c>
      <c r="C316">
        <v>350</v>
      </c>
      <c r="D316">
        <v>170</v>
      </c>
      <c r="E316" t="s">
        <v>398</v>
      </c>
      <c r="F316">
        <v>5</v>
      </c>
    </row>
    <row r="317" spans="1:6" x14ac:dyDescent="0.2">
      <c r="A317">
        <v>2016</v>
      </c>
      <c r="B317" t="s">
        <v>239</v>
      </c>
      <c r="C317">
        <v>830</v>
      </c>
      <c r="D317">
        <v>555</v>
      </c>
      <c r="E317" t="s">
        <v>240</v>
      </c>
      <c r="F317">
        <v>5</v>
      </c>
    </row>
    <row r="318" spans="1:6" x14ac:dyDescent="0.2">
      <c r="A318">
        <v>2017</v>
      </c>
      <c r="B318" t="s">
        <v>239</v>
      </c>
      <c r="C318">
        <v>700</v>
      </c>
      <c r="D318">
        <v>445</v>
      </c>
      <c r="E318" t="s">
        <v>242</v>
      </c>
      <c r="F318">
        <v>0</v>
      </c>
    </row>
    <row r="319" spans="1:6" x14ac:dyDescent="0.2">
      <c r="A319">
        <v>2018</v>
      </c>
      <c r="B319" t="s">
        <v>239</v>
      </c>
      <c r="C319">
        <v>815</v>
      </c>
      <c r="D319">
        <v>480</v>
      </c>
      <c r="E319" t="s">
        <v>105</v>
      </c>
      <c r="F319">
        <v>0</v>
      </c>
    </row>
    <row r="320" spans="1:6" x14ac:dyDescent="0.2">
      <c r="A320">
        <v>2019</v>
      </c>
      <c r="B320" t="s">
        <v>239</v>
      </c>
      <c r="C320">
        <v>1010</v>
      </c>
      <c r="D320">
        <v>640</v>
      </c>
      <c r="E320" t="s">
        <v>216</v>
      </c>
      <c r="F320">
        <v>0</v>
      </c>
    </row>
    <row r="321" spans="1:6" x14ac:dyDescent="0.2">
      <c r="A321">
        <v>2020</v>
      </c>
      <c r="B321" t="s">
        <v>239</v>
      </c>
      <c r="C321">
        <v>1035</v>
      </c>
      <c r="D321">
        <v>605</v>
      </c>
      <c r="E321" t="s">
        <v>243</v>
      </c>
      <c r="F321">
        <v>5</v>
      </c>
    </row>
    <row r="322" spans="1:6" x14ac:dyDescent="0.2">
      <c r="A322">
        <v>2021</v>
      </c>
      <c r="B322" t="s">
        <v>239</v>
      </c>
      <c r="C322">
        <v>270</v>
      </c>
      <c r="D322">
        <v>130</v>
      </c>
      <c r="E322" t="s">
        <v>244</v>
      </c>
      <c r="F322">
        <v>0</v>
      </c>
    </row>
    <row r="323" spans="1:6" x14ac:dyDescent="0.2">
      <c r="A323">
        <v>2022</v>
      </c>
      <c r="B323" t="s">
        <v>239</v>
      </c>
      <c r="C323">
        <v>185</v>
      </c>
      <c r="D323">
        <v>85</v>
      </c>
      <c r="E323" t="s">
        <v>132</v>
      </c>
      <c r="F323">
        <v>0</v>
      </c>
    </row>
    <row r="324" spans="1:6" x14ac:dyDescent="0.2">
      <c r="A324">
        <v>2023</v>
      </c>
      <c r="B324" t="s">
        <v>239</v>
      </c>
      <c r="C324">
        <v>215</v>
      </c>
      <c r="D324">
        <v>95</v>
      </c>
      <c r="E324" t="s">
        <v>245</v>
      </c>
      <c r="F324">
        <v>0</v>
      </c>
    </row>
    <row r="325" spans="1:6" x14ac:dyDescent="0.2">
      <c r="A325">
        <v>2024</v>
      </c>
      <c r="B325" t="s">
        <v>239</v>
      </c>
      <c r="C325">
        <v>165</v>
      </c>
      <c r="D325">
        <v>75</v>
      </c>
      <c r="E325" t="s">
        <v>162</v>
      </c>
      <c r="F325">
        <v>0</v>
      </c>
    </row>
    <row r="326" spans="1:6" x14ac:dyDescent="0.2">
      <c r="A326">
        <v>2025</v>
      </c>
      <c r="B326" t="s">
        <v>239</v>
      </c>
      <c r="C326">
        <v>160</v>
      </c>
      <c r="D326">
        <v>55</v>
      </c>
      <c r="E326" t="s">
        <v>917</v>
      </c>
      <c r="F326">
        <v>0</v>
      </c>
    </row>
    <row r="327" spans="1:6" x14ac:dyDescent="0.2">
      <c r="A327">
        <v>2016</v>
      </c>
      <c r="B327" t="s">
        <v>918</v>
      </c>
      <c r="C327">
        <v>5</v>
      </c>
      <c r="D327">
        <v>0</v>
      </c>
      <c r="E327" t="s">
        <v>910</v>
      </c>
      <c r="F327">
        <v>0</v>
      </c>
    </row>
    <row r="328" spans="1:6" x14ac:dyDescent="0.2">
      <c r="A328">
        <v>2019</v>
      </c>
      <c r="B328" t="s">
        <v>918</v>
      </c>
      <c r="C328">
        <v>5</v>
      </c>
      <c r="D328">
        <v>0</v>
      </c>
      <c r="E328" t="s">
        <v>910</v>
      </c>
      <c r="F328">
        <v>0</v>
      </c>
    </row>
    <row r="329" spans="1:6" x14ac:dyDescent="0.2">
      <c r="A329">
        <v>2020</v>
      </c>
      <c r="B329" t="s">
        <v>918</v>
      </c>
      <c r="C329">
        <v>5</v>
      </c>
      <c r="D329">
        <v>0</v>
      </c>
      <c r="E329" t="s">
        <v>910</v>
      </c>
      <c r="F329">
        <v>0</v>
      </c>
    </row>
    <row r="330" spans="1:6" x14ac:dyDescent="0.2">
      <c r="A330">
        <v>2016</v>
      </c>
      <c r="B330" t="s">
        <v>919</v>
      </c>
      <c r="C330">
        <v>90</v>
      </c>
      <c r="D330">
        <v>70</v>
      </c>
      <c r="E330" t="s">
        <v>920</v>
      </c>
      <c r="F330">
        <v>0</v>
      </c>
    </row>
    <row r="331" spans="1:6" x14ac:dyDescent="0.2">
      <c r="A331">
        <v>2017</v>
      </c>
      <c r="B331" t="s">
        <v>919</v>
      </c>
      <c r="C331">
        <v>75</v>
      </c>
      <c r="D331">
        <v>50</v>
      </c>
      <c r="E331" t="s">
        <v>921</v>
      </c>
      <c r="F331">
        <v>0</v>
      </c>
    </row>
    <row r="332" spans="1:6" x14ac:dyDescent="0.2">
      <c r="A332">
        <v>2018</v>
      </c>
      <c r="B332" t="s">
        <v>919</v>
      </c>
      <c r="C332">
        <v>80</v>
      </c>
      <c r="D332">
        <v>60</v>
      </c>
      <c r="E332" t="s">
        <v>922</v>
      </c>
      <c r="F332">
        <v>0</v>
      </c>
    </row>
    <row r="333" spans="1:6" x14ac:dyDescent="0.2">
      <c r="A333">
        <v>2019</v>
      </c>
      <c r="B333" t="s">
        <v>919</v>
      </c>
      <c r="C333">
        <v>120</v>
      </c>
      <c r="D333">
        <v>100</v>
      </c>
      <c r="E333" t="s">
        <v>923</v>
      </c>
      <c r="F333">
        <v>0</v>
      </c>
    </row>
    <row r="334" spans="1:6" x14ac:dyDescent="0.2">
      <c r="A334">
        <v>2020</v>
      </c>
      <c r="B334" t="s">
        <v>919</v>
      </c>
      <c r="C334">
        <v>100</v>
      </c>
      <c r="D334">
        <v>80</v>
      </c>
      <c r="E334" t="s">
        <v>924</v>
      </c>
      <c r="F334">
        <v>0</v>
      </c>
    </row>
    <row r="335" spans="1:6" x14ac:dyDescent="0.2">
      <c r="A335">
        <v>2021</v>
      </c>
      <c r="B335" t="s">
        <v>919</v>
      </c>
      <c r="C335">
        <v>55</v>
      </c>
      <c r="D335">
        <v>25</v>
      </c>
      <c r="E335" t="s">
        <v>53</v>
      </c>
      <c r="F335">
        <v>0</v>
      </c>
    </row>
    <row r="336" spans="1:6" x14ac:dyDescent="0.2">
      <c r="A336">
        <v>2022</v>
      </c>
      <c r="B336" t="s">
        <v>919</v>
      </c>
      <c r="C336">
        <v>35</v>
      </c>
      <c r="D336">
        <v>20</v>
      </c>
      <c r="E336" t="s">
        <v>368</v>
      </c>
      <c r="F336">
        <v>0</v>
      </c>
    </row>
    <row r="337" spans="1:6" x14ac:dyDescent="0.2">
      <c r="A337">
        <v>2023</v>
      </c>
      <c r="B337" t="s">
        <v>919</v>
      </c>
      <c r="C337">
        <v>35</v>
      </c>
      <c r="D337">
        <v>20</v>
      </c>
      <c r="E337" t="s">
        <v>368</v>
      </c>
      <c r="F337">
        <v>0</v>
      </c>
    </row>
    <row r="338" spans="1:6" x14ac:dyDescent="0.2">
      <c r="A338">
        <v>2024</v>
      </c>
      <c r="B338" t="s">
        <v>919</v>
      </c>
      <c r="C338">
        <v>45</v>
      </c>
      <c r="D338">
        <v>25</v>
      </c>
      <c r="E338" t="s">
        <v>191</v>
      </c>
      <c r="F338">
        <v>0</v>
      </c>
    </row>
    <row r="339" spans="1:6" x14ac:dyDescent="0.2">
      <c r="A339">
        <v>2025</v>
      </c>
      <c r="B339" t="s">
        <v>919</v>
      </c>
      <c r="C339">
        <v>20</v>
      </c>
      <c r="D339">
        <v>15</v>
      </c>
      <c r="E339" t="s">
        <v>925</v>
      </c>
      <c r="F339">
        <v>0</v>
      </c>
    </row>
    <row r="340" spans="1:6" x14ac:dyDescent="0.2">
      <c r="A340">
        <v>2016</v>
      </c>
      <c r="B340" t="s">
        <v>926</v>
      </c>
      <c r="C340">
        <v>5</v>
      </c>
      <c r="D340">
        <v>0</v>
      </c>
      <c r="E340" t="s">
        <v>910</v>
      </c>
      <c r="F340">
        <v>0</v>
      </c>
    </row>
    <row r="341" spans="1:6" x14ac:dyDescent="0.2">
      <c r="A341">
        <v>2017</v>
      </c>
      <c r="B341" t="s">
        <v>926</v>
      </c>
      <c r="C341">
        <v>5</v>
      </c>
      <c r="D341">
        <v>5</v>
      </c>
      <c r="E341" t="s">
        <v>910</v>
      </c>
      <c r="F341">
        <v>0</v>
      </c>
    </row>
    <row r="342" spans="1:6" x14ac:dyDescent="0.2">
      <c r="A342">
        <v>2019</v>
      </c>
      <c r="B342" t="s">
        <v>926</v>
      </c>
      <c r="C342">
        <v>5</v>
      </c>
      <c r="D342">
        <v>0</v>
      </c>
      <c r="E342" t="s">
        <v>910</v>
      </c>
      <c r="F342">
        <v>0</v>
      </c>
    </row>
    <row r="343" spans="1:6" x14ac:dyDescent="0.2">
      <c r="A343">
        <v>2020</v>
      </c>
      <c r="B343" t="s">
        <v>926</v>
      </c>
      <c r="C343">
        <v>5</v>
      </c>
      <c r="D343">
        <v>5</v>
      </c>
      <c r="E343" t="s">
        <v>910</v>
      </c>
      <c r="F343">
        <v>0</v>
      </c>
    </row>
    <row r="344" spans="1:6" x14ac:dyDescent="0.2">
      <c r="A344">
        <v>2016</v>
      </c>
      <c r="B344" t="s">
        <v>927</v>
      </c>
      <c r="C344">
        <v>5</v>
      </c>
      <c r="D344">
        <v>5</v>
      </c>
      <c r="E344" t="s">
        <v>910</v>
      </c>
      <c r="F344">
        <v>0</v>
      </c>
    </row>
    <row r="345" spans="1:6" x14ac:dyDescent="0.2">
      <c r="A345">
        <v>2017</v>
      </c>
      <c r="B345" t="s">
        <v>927</v>
      </c>
      <c r="C345">
        <v>5</v>
      </c>
      <c r="D345">
        <v>5</v>
      </c>
      <c r="E345" t="s">
        <v>910</v>
      </c>
      <c r="F345">
        <v>0</v>
      </c>
    </row>
    <row r="346" spans="1:6" x14ac:dyDescent="0.2">
      <c r="A346">
        <v>2019</v>
      </c>
      <c r="B346" t="s">
        <v>927</v>
      </c>
      <c r="C346">
        <v>5</v>
      </c>
      <c r="D346">
        <v>0</v>
      </c>
      <c r="E346" t="s">
        <v>910</v>
      </c>
      <c r="F346">
        <v>0</v>
      </c>
    </row>
    <row r="347" spans="1:6" x14ac:dyDescent="0.2">
      <c r="A347">
        <v>2020</v>
      </c>
      <c r="B347" t="s">
        <v>927</v>
      </c>
      <c r="C347">
        <v>5</v>
      </c>
      <c r="D347">
        <v>0</v>
      </c>
      <c r="E347" t="s">
        <v>910</v>
      </c>
      <c r="F347">
        <v>0</v>
      </c>
    </row>
    <row r="348" spans="1:6" x14ac:dyDescent="0.2">
      <c r="A348">
        <v>2021</v>
      </c>
      <c r="B348" t="s">
        <v>927</v>
      </c>
      <c r="C348">
        <v>5</v>
      </c>
      <c r="D348">
        <v>0</v>
      </c>
      <c r="E348" t="s">
        <v>910</v>
      </c>
      <c r="F348">
        <v>0</v>
      </c>
    </row>
    <row r="349" spans="1:6" x14ac:dyDescent="0.2">
      <c r="A349">
        <v>2023</v>
      </c>
      <c r="B349" t="s">
        <v>927</v>
      </c>
      <c r="C349">
        <v>5</v>
      </c>
      <c r="D349">
        <v>0</v>
      </c>
      <c r="E349" t="s">
        <v>910</v>
      </c>
      <c r="F349">
        <v>0</v>
      </c>
    </row>
    <row r="350" spans="1:6" x14ac:dyDescent="0.2">
      <c r="A350">
        <v>2016</v>
      </c>
      <c r="B350" t="s">
        <v>246</v>
      </c>
      <c r="C350">
        <v>3140</v>
      </c>
      <c r="D350">
        <v>2340</v>
      </c>
      <c r="E350" t="s">
        <v>247</v>
      </c>
      <c r="F350">
        <v>10</v>
      </c>
    </row>
    <row r="351" spans="1:6" x14ac:dyDescent="0.2">
      <c r="A351">
        <v>2017</v>
      </c>
      <c r="B351" t="s">
        <v>246</v>
      </c>
      <c r="C351">
        <v>3345</v>
      </c>
      <c r="D351">
        <v>2635</v>
      </c>
      <c r="E351" t="s">
        <v>249</v>
      </c>
      <c r="F351">
        <v>10</v>
      </c>
    </row>
    <row r="352" spans="1:6" x14ac:dyDescent="0.2">
      <c r="A352">
        <v>2018</v>
      </c>
      <c r="B352" t="s">
        <v>246</v>
      </c>
      <c r="C352">
        <v>2795</v>
      </c>
      <c r="D352">
        <v>2160</v>
      </c>
      <c r="E352" t="s">
        <v>250</v>
      </c>
      <c r="F352">
        <v>15</v>
      </c>
    </row>
    <row r="353" spans="1:6" x14ac:dyDescent="0.2">
      <c r="A353">
        <v>2019</v>
      </c>
      <c r="B353" t="s">
        <v>246</v>
      </c>
      <c r="C353">
        <v>2705</v>
      </c>
      <c r="D353">
        <v>2070</v>
      </c>
      <c r="E353" t="s">
        <v>251</v>
      </c>
      <c r="F353">
        <v>10</v>
      </c>
    </row>
    <row r="354" spans="1:6" x14ac:dyDescent="0.2">
      <c r="A354">
        <v>2020</v>
      </c>
      <c r="B354" t="s">
        <v>246</v>
      </c>
      <c r="C354">
        <v>2655</v>
      </c>
      <c r="D354">
        <v>2050</v>
      </c>
      <c r="E354" t="s">
        <v>252</v>
      </c>
      <c r="F354">
        <v>10</v>
      </c>
    </row>
    <row r="355" spans="1:6" x14ac:dyDescent="0.2">
      <c r="A355">
        <v>2021</v>
      </c>
      <c r="B355" t="s">
        <v>246</v>
      </c>
      <c r="C355">
        <v>1335</v>
      </c>
      <c r="D355">
        <v>885</v>
      </c>
      <c r="E355" t="s">
        <v>253</v>
      </c>
      <c r="F355">
        <v>5</v>
      </c>
    </row>
    <row r="356" spans="1:6" x14ac:dyDescent="0.2">
      <c r="A356">
        <v>2022</v>
      </c>
      <c r="B356" t="s">
        <v>246</v>
      </c>
      <c r="C356">
        <v>1210</v>
      </c>
      <c r="D356">
        <v>820</v>
      </c>
      <c r="E356" t="s">
        <v>214</v>
      </c>
      <c r="F356">
        <v>5</v>
      </c>
    </row>
    <row r="357" spans="1:6" x14ac:dyDescent="0.2">
      <c r="A357">
        <v>2023</v>
      </c>
      <c r="B357" t="s">
        <v>246</v>
      </c>
      <c r="C357">
        <v>1225</v>
      </c>
      <c r="D357">
        <v>845</v>
      </c>
      <c r="E357" t="s">
        <v>254</v>
      </c>
      <c r="F357">
        <v>5</v>
      </c>
    </row>
    <row r="358" spans="1:6" x14ac:dyDescent="0.2">
      <c r="A358">
        <v>2024</v>
      </c>
      <c r="B358" t="s">
        <v>246</v>
      </c>
      <c r="C358">
        <v>1180</v>
      </c>
      <c r="D358">
        <v>820</v>
      </c>
      <c r="E358" t="s">
        <v>177</v>
      </c>
      <c r="F358">
        <v>0</v>
      </c>
    </row>
    <row r="359" spans="1:6" x14ac:dyDescent="0.2">
      <c r="A359">
        <v>2025</v>
      </c>
      <c r="B359" t="s">
        <v>246</v>
      </c>
      <c r="C359">
        <v>1115</v>
      </c>
      <c r="D359">
        <v>805</v>
      </c>
      <c r="E359" t="s">
        <v>168</v>
      </c>
      <c r="F359">
        <v>0</v>
      </c>
    </row>
    <row r="360" spans="1:6" x14ac:dyDescent="0.2">
      <c r="A360">
        <v>2018</v>
      </c>
      <c r="B360" t="s">
        <v>928</v>
      </c>
      <c r="C360">
        <v>5</v>
      </c>
      <c r="D360">
        <v>0</v>
      </c>
      <c r="E360" t="s">
        <v>910</v>
      </c>
      <c r="F360">
        <v>0</v>
      </c>
    </row>
    <row r="361" spans="1:6" x14ac:dyDescent="0.2">
      <c r="A361">
        <v>2019</v>
      </c>
      <c r="B361" t="s">
        <v>928</v>
      </c>
      <c r="C361">
        <v>5</v>
      </c>
      <c r="D361">
        <v>5</v>
      </c>
      <c r="E361" t="s">
        <v>910</v>
      </c>
      <c r="F361">
        <v>0</v>
      </c>
    </row>
    <row r="362" spans="1:6" x14ac:dyDescent="0.2">
      <c r="A362">
        <v>2020</v>
      </c>
      <c r="B362" t="s">
        <v>928</v>
      </c>
      <c r="C362">
        <v>5</v>
      </c>
      <c r="D362">
        <v>5</v>
      </c>
      <c r="E362" t="s">
        <v>910</v>
      </c>
      <c r="F362">
        <v>0</v>
      </c>
    </row>
    <row r="363" spans="1:6" x14ac:dyDescent="0.2">
      <c r="A363">
        <v>2021</v>
      </c>
      <c r="B363" t="s">
        <v>928</v>
      </c>
      <c r="C363">
        <v>5</v>
      </c>
      <c r="D363">
        <v>0</v>
      </c>
      <c r="E363" t="s">
        <v>910</v>
      </c>
      <c r="F363">
        <v>0</v>
      </c>
    </row>
    <row r="364" spans="1:6" x14ac:dyDescent="0.2">
      <c r="A364">
        <v>2022</v>
      </c>
      <c r="B364" t="s">
        <v>929</v>
      </c>
      <c r="C364">
        <v>5</v>
      </c>
      <c r="D364">
        <v>0</v>
      </c>
      <c r="E364" t="s">
        <v>910</v>
      </c>
      <c r="F364">
        <v>0</v>
      </c>
    </row>
    <row r="365" spans="1:6" x14ac:dyDescent="0.2">
      <c r="A365">
        <v>2025</v>
      </c>
      <c r="B365" t="s">
        <v>929</v>
      </c>
      <c r="C365">
        <v>10</v>
      </c>
      <c r="D365">
        <v>10</v>
      </c>
      <c r="E365" t="s">
        <v>930</v>
      </c>
      <c r="F365">
        <v>0</v>
      </c>
    </row>
    <row r="366" spans="1:6" x14ac:dyDescent="0.2">
      <c r="A366">
        <v>2016</v>
      </c>
      <c r="B366" t="s">
        <v>931</v>
      </c>
      <c r="C366">
        <v>5</v>
      </c>
      <c r="D366">
        <v>5</v>
      </c>
      <c r="E366" t="s">
        <v>910</v>
      </c>
      <c r="F366">
        <v>0</v>
      </c>
    </row>
    <row r="367" spans="1:6" x14ac:dyDescent="0.2">
      <c r="A367">
        <v>2017</v>
      </c>
      <c r="B367" t="s">
        <v>931</v>
      </c>
      <c r="C367">
        <v>5</v>
      </c>
      <c r="D367">
        <v>0</v>
      </c>
      <c r="E367" t="s">
        <v>910</v>
      </c>
      <c r="F367">
        <v>0</v>
      </c>
    </row>
    <row r="368" spans="1:6" x14ac:dyDescent="0.2">
      <c r="A368">
        <v>2018</v>
      </c>
      <c r="B368" t="s">
        <v>931</v>
      </c>
      <c r="C368">
        <v>5</v>
      </c>
      <c r="D368">
        <v>5</v>
      </c>
      <c r="E368" t="s">
        <v>910</v>
      </c>
      <c r="F368">
        <v>0</v>
      </c>
    </row>
    <row r="369" spans="1:6" x14ac:dyDescent="0.2">
      <c r="A369">
        <v>2020</v>
      </c>
      <c r="B369" t="s">
        <v>931</v>
      </c>
      <c r="C369">
        <v>5</v>
      </c>
      <c r="D369">
        <v>0</v>
      </c>
      <c r="E369" t="s">
        <v>910</v>
      </c>
      <c r="F369">
        <v>0</v>
      </c>
    </row>
    <row r="370" spans="1:6" x14ac:dyDescent="0.2">
      <c r="A370">
        <v>2023</v>
      </c>
      <c r="B370" t="s">
        <v>931</v>
      </c>
      <c r="C370">
        <v>5</v>
      </c>
      <c r="D370">
        <v>0</v>
      </c>
      <c r="E370" t="s">
        <v>910</v>
      </c>
      <c r="F370">
        <v>0</v>
      </c>
    </row>
    <row r="371" spans="1:6" x14ac:dyDescent="0.2">
      <c r="A371">
        <v>2024</v>
      </c>
      <c r="B371" t="s">
        <v>931</v>
      </c>
      <c r="C371">
        <v>5</v>
      </c>
      <c r="D371">
        <v>5</v>
      </c>
      <c r="E371" t="s">
        <v>910</v>
      </c>
      <c r="F371">
        <v>0</v>
      </c>
    </row>
    <row r="372" spans="1:6" x14ac:dyDescent="0.2">
      <c r="A372">
        <v>2025</v>
      </c>
      <c r="B372" t="s">
        <v>931</v>
      </c>
      <c r="C372">
        <v>5</v>
      </c>
      <c r="D372">
        <v>5</v>
      </c>
      <c r="E372" t="s">
        <v>910</v>
      </c>
      <c r="F372">
        <v>0</v>
      </c>
    </row>
    <row r="373" spans="1:6" x14ac:dyDescent="0.2">
      <c r="A373">
        <v>2016</v>
      </c>
      <c r="B373" t="s">
        <v>932</v>
      </c>
      <c r="C373">
        <v>335</v>
      </c>
      <c r="D373">
        <v>285</v>
      </c>
      <c r="E373" t="s">
        <v>933</v>
      </c>
      <c r="F373">
        <v>0</v>
      </c>
    </row>
    <row r="374" spans="1:6" x14ac:dyDescent="0.2">
      <c r="A374">
        <v>2017</v>
      </c>
      <c r="B374" t="s">
        <v>932</v>
      </c>
      <c r="C374">
        <v>270</v>
      </c>
      <c r="D374">
        <v>225</v>
      </c>
      <c r="E374" t="s">
        <v>906</v>
      </c>
      <c r="F374">
        <v>0</v>
      </c>
    </row>
    <row r="375" spans="1:6" x14ac:dyDescent="0.2">
      <c r="A375">
        <v>2018</v>
      </c>
      <c r="B375" t="s">
        <v>932</v>
      </c>
      <c r="C375">
        <v>320</v>
      </c>
      <c r="D375">
        <v>260</v>
      </c>
      <c r="E375" t="s">
        <v>895</v>
      </c>
      <c r="F375">
        <v>0</v>
      </c>
    </row>
    <row r="376" spans="1:6" x14ac:dyDescent="0.2">
      <c r="A376">
        <v>2019</v>
      </c>
      <c r="B376" t="s">
        <v>932</v>
      </c>
      <c r="C376">
        <v>305</v>
      </c>
      <c r="D376">
        <v>255</v>
      </c>
      <c r="E376" t="s">
        <v>877</v>
      </c>
      <c r="F376">
        <v>0</v>
      </c>
    </row>
    <row r="377" spans="1:6" x14ac:dyDescent="0.2">
      <c r="A377">
        <v>2020</v>
      </c>
      <c r="B377" t="s">
        <v>932</v>
      </c>
      <c r="C377">
        <v>285</v>
      </c>
      <c r="D377">
        <v>245</v>
      </c>
      <c r="E377" t="s">
        <v>934</v>
      </c>
      <c r="F377">
        <v>0</v>
      </c>
    </row>
    <row r="378" spans="1:6" x14ac:dyDescent="0.2">
      <c r="A378">
        <v>2021</v>
      </c>
      <c r="B378" t="s">
        <v>932</v>
      </c>
      <c r="C378">
        <v>270</v>
      </c>
      <c r="D378">
        <v>230</v>
      </c>
      <c r="E378" t="s">
        <v>878</v>
      </c>
      <c r="F378">
        <v>0</v>
      </c>
    </row>
    <row r="379" spans="1:6" x14ac:dyDescent="0.2">
      <c r="A379">
        <v>2022</v>
      </c>
      <c r="B379" t="s">
        <v>932</v>
      </c>
      <c r="C379">
        <v>300</v>
      </c>
      <c r="D379">
        <v>245</v>
      </c>
      <c r="E379" t="s">
        <v>935</v>
      </c>
      <c r="F379">
        <v>0</v>
      </c>
    </row>
    <row r="380" spans="1:6" x14ac:dyDescent="0.2">
      <c r="A380">
        <v>2023</v>
      </c>
      <c r="B380" t="s">
        <v>932</v>
      </c>
      <c r="C380">
        <v>285</v>
      </c>
      <c r="D380">
        <v>225</v>
      </c>
      <c r="E380" t="s">
        <v>936</v>
      </c>
      <c r="F380">
        <v>0</v>
      </c>
    </row>
    <row r="381" spans="1:6" x14ac:dyDescent="0.2">
      <c r="A381">
        <v>2024</v>
      </c>
      <c r="B381" t="s">
        <v>932</v>
      </c>
      <c r="C381">
        <v>285</v>
      </c>
      <c r="D381">
        <v>255</v>
      </c>
      <c r="E381" t="s">
        <v>937</v>
      </c>
      <c r="F381">
        <v>0</v>
      </c>
    </row>
    <row r="382" spans="1:6" x14ac:dyDescent="0.2">
      <c r="A382">
        <v>2025</v>
      </c>
      <c r="B382" t="s">
        <v>932</v>
      </c>
      <c r="C382">
        <v>270</v>
      </c>
      <c r="D382">
        <v>220</v>
      </c>
      <c r="E382" t="s">
        <v>882</v>
      </c>
      <c r="F382">
        <v>0</v>
      </c>
    </row>
    <row r="383" spans="1:6" x14ac:dyDescent="0.2">
      <c r="A383">
        <v>2016</v>
      </c>
      <c r="B383" t="s">
        <v>938</v>
      </c>
      <c r="C383">
        <v>565</v>
      </c>
      <c r="D383">
        <v>455</v>
      </c>
      <c r="E383" t="s">
        <v>939</v>
      </c>
      <c r="F383">
        <v>0</v>
      </c>
    </row>
    <row r="384" spans="1:6" x14ac:dyDescent="0.2">
      <c r="A384">
        <v>2017</v>
      </c>
      <c r="B384" t="s">
        <v>938</v>
      </c>
      <c r="C384">
        <v>565</v>
      </c>
      <c r="D384">
        <v>460</v>
      </c>
      <c r="E384" t="s">
        <v>874</v>
      </c>
      <c r="F384">
        <v>0</v>
      </c>
    </row>
    <row r="385" spans="1:6" x14ac:dyDescent="0.2">
      <c r="A385">
        <v>2018</v>
      </c>
      <c r="B385" t="s">
        <v>938</v>
      </c>
      <c r="C385">
        <v>555</v>
      </c>
      <c r="D385">
        <v>450</v>
      </c>
      <c r="E385" t="s">
        <v>940</v>
      </c>
      <c r="F385">
        <v>0</v>
      </c>
    </row>
    <row r="386" spans="1:6" x14ac:dyDescent="0.2">
      <c r="A386">
        <v>2019</v>
      </c>
      <c r="B386" t="s">
        <v>938</v>
      </c>
      <c r="C386">
        <v>690</v>
      </c>
      <c r="D386">
        <v>580</v>
      </c>
      <c r="E386" t="s">
        <v>941</v>
      </c>
      <c r="F386">
        <v>0</v>
      </c>
    </row>
    <row r="387" spans="1:6" x14ac:dyDescent="0.2">
      <c r="A387">
        <v>2020</v>
      </c>
      <c r="B387" t="s">
        <v>938</v>
      </c>
      <c r="C387">
        <v>575</v>
      </c>
      <c r="D387">
        <v>495</v>
      </c>
      <c r="E387" t="s">
        <v>878</v>
      </c>
      <c r="F387">
        <v>5</v>
      </c>
    </row>
    <row r="388" spans="1:6" x14ac:dyDescent="0.2">
      <c r="A388">
        <v>2021</v>
      </c>
      <c r="B388" t="s">
        <v>938</v>
      </c>
      <c r="C388">
        <v>655</v>
      </c>
      <c r="D388">
        <v>545</v>
      </c>
      <c r="E388" t="s">
        <v>906</v>
      </c>
      <c r="F388">
        <v>0</v>
      </c>
    </row>
    <row r="389" spans="1:6" x14ac:dyDescent="0.2">
      <c r="A389">
        <v>2022</v>
      </c>
      <c r="B389" t="s">
        <v>938</v>
      </c>
      <c r="C389">
        <v>675</v>
      </c>
      <c r="D389">
        <v>545</v>
      </c>
      <c r="E389" t="s">
        <v>942</v>
      </c>
      <c r="F389">
        <v>0</v>
      </c>
    </row>
    <row r="390" spans="1:6" x14ac:dyDescent="0.2">
      <c r="A390">
        <v>2023</v>
      </c>
      <c r="B390" t="s">
        <v>938</v>
      </c>
      <c r="C390">
        <v>620</v>
      </c>
      <c r="D390">
        <v>480</v>
      </c>
      <c r="E390" t="s">
        <v>250</v>
      </c>
      <c r="F390">
        <v>0</v>
      </c>
    </row>
    <row r="391" spans="1:6" x14ac:dyDescent="0.2">
      <c r="A391">
        <v>2024</v>
      </c>
      <c r="B391" t="s">
        <v>938</v>
      </c>
      <c r="C391">
        <v>620</v>
      </c>
      <c r="D391">
        <v>500</v>
      </c>
      <c r="E391" t="s">
        <v>943</v>
      </c>
      <c r="F391">
        <v>0</v>
      </c>
    </row>
    <row r="392" spans="1:6" x14ac:dyDescent="0.2">
      <c r="A392">
        <v>2025</v>
      </c>
      <c r="B392" t="s">
        <v>938</v>
      </c>
      <c r="C392">
        <v>560</v>
      </c>
      <c r="D392">
        <v>460</v>
      </c>
      <c r="E392" t="s">
        <v>904</v>
      </c>
      <c r="F392">
        <v>0</v>
      </c>
    </row>
    <row r="393" spans="1:6" x14ac:dyDescent="0.2">
      <c r="A393">
        <v>2016</v>
      </c>
      <c r="B393" t="s">
        <v>599</v>
      </c>
      <c r="C393">
        <v>495</v>
      </c>
      <c r="D393">
        <v>405</v>
      </c>
      <c r="E393" t="s">
        <v>923</v>
      </c>
      <c r="F393">
        <v>0</v>
      </c>
    </row>
    <row r="394" spans="1:6" x14ac:dyDescent="0.2">
      <c r="A394">
        <v>2017</v>
      </c>
      <c r="B394" t="s">
        <v>599</v>
      </c>
      <c r="C394">
        <v>500</v>
      </c>
      <c r="D394">
        <v>420</v>
      </c>
      <c r="E394" t="s">
        <v>944</v>
      </c>
      <c r="F394">
        <v>0</v>
      </c>
    </row>
    <row r="395" spans="1:6" x14ac:dyDescent="0.2">
      <c r="A395">
        <v>2018</v>
      </c>
      <c r="B395" t="s">
        <v>599</v>
      </c>
      <c r="C395">
        <v>470</v>
      </c>
      <c r="D395">
        <v>380</v>
      </c>
      <c r="E395" t="s">
        <v>924</v>
      </c>
      <c r="F395">
        <v>0</v>
      </c>
    </row>
    <row r="396" spans="1:6" x14ac:dyDescent="0.2">
      <c r="A396">
        <v>2019</v>
      </c>
      <c r="B396" t="s">
        <v>599</v>
      </c>
      <c r="C396">
        <v>450</v>
      </c>
      <c r="D396">
        <v>355</v>
      </c>
      <c r="E396" t="s">
        <v>249</v>
      </c>
      <c r="F396">
        <v>0</v>
      </c>
    </row>
    <row r="397" spans="1:6" x14ac:dyDescent="0.2">
      <c r="A397">
        <v>2020</v>
      </c>
      <c r="B397" t="s">
        <v>599</v>
      </c>
      <c r="C397">
        <v>445</v>
      </c>
      <c r="D397">
        <v>385</v>
      </c>
      <c r="E397" t="s">
        <v>945</v>
      </c>
      <c r="F397">
        <v>0</v>
      </c>
    </row>
    <row r="398" spans="1:6" x14ac:dyDescent="0.2">
      <c r="A398">
        <v>2021</v>
      </c>
      <c r="B398" t="s">
        <v>599</v>
      </c>
      <c r="C398">
        <v>430</v>
      </c>
      <c r="D398">
        <v>355</v>
      </c>
      <c r="E398" t="s">
        <v>906</v>
      </c>
      <c r="F398">
        <v>0</v>
      </c>
    </row>
    <row r="399" spans="1:6" x14ac:dyDescent="0.2">
      <c r="A399">
        <v>2022</v>
      </c>
      <c r="B399" t="s">
        <v>599</v>
      </c>
      <c r="C399">
        <v>510</v>
      </c>
      <c r="D399">
        <v>410</v>
      </c>
      <c r="E399" t="s">
        <v>943</v>
      </c>
      <c r="F399">
        <v>0</v>
      </c>
    </row>
    <row r="400" spans="1:6" x14ac:dyDescent="0.2">
      <c r="A400">
        <v>2023</v>
      </c>
      <c r="B400" t="s">
        <v>599</v>
      </c>
      <c r="C400">
        <v>445</v>
      </c>
      <c r="D400">
        <v>340</v>
      </c>
      <c r="E400" t="s">
        <v>946</v>
      </c>
      <c r="F400">
        <v>0</v>
      </c>
    </row>
    <row r="401" spans="1:6" x14ac:dyDescent="0.2">
      <c r="A401">
        <v>2024</v>
      </c>
      <c r="B401" t="s">
        <v>599</v>
      </c>
      <c r="C401">
        <v>425</v>
      </c>
      <c r="D401">
        <v>340</v>
      </c>
      <c r="E401" t="s">
        <v>895</v>
      </c>
      <c r="F401">
        <v>0</v>
      </c>
    </row>
    <row r="402" spans="1:6" x14ac:dyDescent="0.2">
      <c r="A402">
        <v>2025</v>
      </c>
      <c r="B402" t="s">
        <v>599</v>
      </c>
      <c r="C402">
        <v>435</v>
      </c>
      <c r="D402">
        <v>345</v>
      </c>
      <c r="E402" t="s">
        <v>936</v>
      </c>
      <c r="F402">
        <v>0</v>
      </c>
    </row>
    <row r="403" spans="1:6" x14ac:dyDescent="0.2">
      <c r="A403">
        <v>2018</v>
      </c>
      <c r="B403" t="s">
        <v>947</v>
      </c>
      <c r="C403">
        <v>5</v>
      </c>
      <c r="D403">
        <v>0</v>
      </c>
      <c r="E403" t="s">
        <v>910</v>
      </c>
      <c r="F403">
        <v>0</v>
      </c>
    </row>
    <row r="404" spans="1:6" x14ac:dyDescent="0.2">
      <c r="A404">
        <v>2021</v>
      </c>
      <c r="B404" t="s">
        <v>947</v>
      </c>
      <c r="C404">
        <v>5</v>
      </c>
      <c r="D404">
        <v>0</v>
      </c>
      <c r="E404" t="s">
        <v>910</v>
      </c>
      <c r="F404">
        <v>0</v>
      </c>
    </row>
    <row r="405" spans="1:6" x14ac:dyDescent="0.2">
      <c r="A405">
        <v>2023</v>
      </c>
      <c r="B405" t="s">
        <v>947</v>
      </c>
      <c r="C405">
        <v>5</v>
      </c>
      <c r="D405">
        <v>0</v>
      </c>
      <c r="E405" t="s">
        <v>910</v>
      </c>
      <c r="F405">
        <v>0</v>
      </c>
    </row>
    <row r="406" spans="1:6" x14ac:dyDescent="0.2">
      <c r="A406">
        <v>2024</v>
      </c>
      <c r="B406" t="s">
        <v>947</v>
      </c>
      <c r="C406">
        <v>5</v>
      </c>
      <c r="D406">
        <v>0</v>
      </c>
      <c r="E406" t="s">
        <v>910</v>
      </c>
      <c r="F406">
        <v>0</v>
      </c>
    </row>
    <row r="407" spans="1:6" x14ac:dyDescent="0.2">
      <c r="A407">
        <v>2025</v>
      </c>
      <c r="B407" t="s">
        <v>947</v>
      </c>
      <c r="C407">
        <v>5</v>
      </c>
      <c r="D407">
        <v>0</v>
      </c>
      <c r="E407" t="s">
        <v>910</v>
      </c>
      <c r="F407">
        <v>0</v>
      </c>
    </row>
    <row r="408" spans="1:6" x14ac:dyDescent="0.2">
      <c r="A408">
        <v>2016</v>
      </c>
      <c r="B408" t="s">
        <v>948</v>
      </c>
      <c r="C408">
        <v>20</v>
      </c>
      <c r="D408">
        <v>10</v>
      </c>
      <c r="E408" t="s">
        <v>910</v>
      </c>
      <c r="F408">
        <v>0</v>
      </c>
    </row>
    <row r="409" spans="1:6" x14ac:dyDescent="0.2">
      <c r="A409">
        <v>2017</v>
      </c>
      <c r="B409" t="s">
        <v>948</v>
      </c>
      <c r="C409">
        <v>15</v>
      </c>
      <c r="D409">
        <v>10</v>
      </c>
      <c r="E409" t="s">
        <v>910</v>
      </c>
      <c r="F409">
        <v>0</v>
      </c>
    </row>
    <row r="410" spans="1:6" x14ac:dyDescent="0.2">
      <c r="A410">
        <v>2018</v>
      </c>
      <c r="B410" t="s">
        <v>948</v>
      </c>
      <c r="C410">
        <v>20</v>
      </c>
      <c r="D410">
        <v>10</v>
      </c>
      <c r="E410" t="s">
        <v>371</v>
      </c>
      <c r="F410">
        <v>0</v>
      </c>
    </row>
    <row r="411" spans="1:6" x14ac:dyDescent="0.2">
      <c r="A411">
        <v>2019</v>
      </c>
      <c r="B411" t="s">
        <v>948</v>
      </c>
      <c r="C411">
        <v>15</v>
      </c>
      <c r="D411">
        <v>15</v>
      </c>
      <c r="E411" t="s">
        <v>949</v>
      </c>
      <c r="F411">
        <v>0</v>
      </c>
    </row>
    <row r="412" spans="1:6" x14ac:dyDescent="0.2">
      <c r="A412">
        <v>2020</v>
      </c>
      <c r="B412" t="s">
        <v>948</v>
      </c>
      <c r="C412">
        <v>30</v>
      </c>
      <c r="D412">
        <v>20</v>
      </c>
      <c r="E412" t="s">
        <v>950</v>
      </c>
      <c r="F412">
        <v>0</v>
      </c>
    </row>
    <row r="413" spans="1:6" x14ac:dyDescent="0.2">
      <c r="A413">
        <v>2021</v>
      </c>
      <c r="B413" t="s">
        <v>948</v>
      </c>
      <c r="C413">
        <v>25</v>
      </c>
      <c r="D413">
        <v>15</v>
      </c>
      <c r="E413" t="s">
        <v>951</v>
      </c>
      <c r="F413">
        <v>0</v>
      </c>
    </row>
    <row r="414" spans="1:6" x14ac:dyDescent="0.2">
      <c r="A414">
        <v>2023</v>
      </c>
      <c r="B414" t="s">
        <v>948</v>
      </c>
      <c r="C414">
        <v>5</v>
      </c>
      <c r="D414">
        <v>0</v>
      </c>
      <c r="E414" t="s">
        <v>910</v>
      </c>
      <c r="F414">
        <v>0</v>
      </c>
    </row>
    <row r="415" spans="1:6" x14ac:dyDescent="0.2">
      <c r="A415">
        <v>2025</v>
      </c>
      <c r="B415" t="s">
        <v>948</v>
      </c>
      <c r="C415">
        <v>5</v>
      </c>
      <c r="D415">
        <v>0</v>
      </c>
      <c r="E415" t="s">
        <v>910</v>
      </c>
      <c r="F415">
        <v>0</v>
      </c>
    </row>
    <row r="416" spans="1:6" x14ac:dyDescent="0.2">
      <c r="A416">
        <v>2020</v>
      </c>
      <c r="B416" t="s">
        <v>781</v>
      </c>
      <c r="C416">
        <v>5</v>
      </c>
      <c r="D416">
        <v>0</v>
      </c>
      <c r="E416" t="s">
        <v>910</v>
      </c>
      <c r="F416">
        <v>0</v>
      </c>
    </row>
    <row r="417" spans="1:6" x14ac:dyDescent="0.2">
      <c r="A417">
        <v>2025</v>
      </c>
      <c r="B417" t="s">
        <v>500</v>
      </c>
      <c r="C417">
        <v>5</v>
      </c>
      <c r="D417">
        <v>0</v>
      </c>
      <c r="E417" t="s">
        <v>910</v>
      </c>
      <c r="F417">
        <v>0</v>
      </c>
    </row>
    <row r="418" spans="1:6" x14ac:dyDescent="0.2">
      <c r="A418">
        <v>2016</v>
      </c>
      <c r="B418" t="s">
        <v>747</v>
      </c>
      <c r="C418">
        <v>5</v>
      </c>
      <c r="D418">
        <v>0</v>
      </c>
      <c r="E418" t="s">
        <v>910</v>
      </c>
      <c r="F418">
        <v>0</v>
      </c>
    </row>
    <row r="419" spans="1:6" x14ac:dyDescent="0.2">
      <c r="A419">
        <v>2019</v>
      </c>
      <c r="B419" t="s">
        <v>747</v>
      </c>
      <c r="C419">
        <v>5</v>
      </c>
      <c r="D419">
        <v>0</v>
      </c>
      <c r="E419" t="s">
        <v>910</v>
      </c>
      <c r="F419">
        <v>0</v>
      </c>
    </row>
    <row r="420" spans="1:6" x14ac:dyDescent="0.2">
      <c r="A420">
        <v>2021</v>
      </c>
      <c r="B420" t="s">
        <v>747</v>
      </c>
      <c r="C420">
        <v>5</v>
      </c>
      <c r="D420">
        <v>0</v>
      </c>
      <c r="E420" t="s">
        <v>910</v>
      </c>
      <c r="F420">
        <v>0</v>
      </c>
    </row>
    <row r="421" spans="1:6" x14ac:dyDescent="0.2">
      <c r="A421">
        <v>2016</v>
      </c>
      <c r="B421" t="s">
        <v>952</v>
      </c>
      <c r="C421">
        <v>20</v>
      </c>
      <c r="D421">
        <v>10</v>
      </c>
      <c r="E421" t="s">
        <v>910</v>
      </c>
      <c r="F421">
        <v>0</v>
      </c>
    </row>
    <row r="422" spans="1:6" x14ac:dyDescent="0.2">
      <c r="A422">
        <v>2017</v>
      </c>
      <c r="B422" t="s">
        <v>952</v>
      </c>
      <c r="C422">
        <v>30</v>
      </c>
      <c r="D422">
        <v>20</v>
      </c>
      <c r="E422" t="s">
        <v>318</v>
      </c>
      <c r="F422">
        <v>0</v>
      </c>
    </row>
    <row r="423" spans="1:6" x14ac:dyDescent="0.2">
      <c r="A423">
        <v>2018</v>
      </c>
      <c r="B423" t="s">
        <v>952</v>
      </c>
      <c r="C423">
        <v>30</v>
      </c>
      <c r="D423">
        <v>20</v>
      </c>
      <c r="E423" t="s">
        <v>258</v>
      </c>
      <c r="F423">
        <v>0</v>
      </c>
    </row>
    <row r="424" spans="1:6" x14ac:dyDescent="0.2">
      <c r="A424">
        <v>2019</v>
      </c>
      <c r="B424" t="s">
        <v>952</v>
      </c>
      <c r="C424">
        <v>15</v>
      </c>
      <c r="D424">
        <v>15</v>
      </c>
      <c r="E424" t="s">
        <v>953</v>
      </c>
      <c r="F424">
        <v>0</v>
      </c>
    </row>
    <row r="425" spans="1:6" x14ac:dyDescent="0.2">
      <c r="A425">
        <v>2020</v>
      </c>
      <c r="B425" t="s">
        <v>952</v>
      </c>
      <c r="C425">
        <v>25</v>
      </c>
      <c r="D425">
        <v>15</v>
      </c>
      <c r="E425" t="s">
        <v>381</v>
      </c>
      <c r="F425">
        <v>0</v>
      </c>
    </row>
    <row r="426" spans="1:6" x14ac:dyDescent="0.2">
      <c r="A426">
        <v>2021</v>
      </c>
      <c r="B426" t="s">
        <v>952</v>
      </c>
      <c r="C426">
        <v>20</v>
      </c>
      <c r="D426">
        <v>10</v>
      </c>
      <c r="E426" t="s">
        <v>910</v>
      </c>
      <c r="F426">
        <v>0</v>
      </c>
    </row>
    <row r="427" spans="1:6" x14ac:dyDescent="0.2">
      <c r="A427">
        <v>2022</v>
      </c>
      <c r="B427" t="s">
        <v>952</v>
      </c>
      <c r="C427">
        <v>20</v>
      </c>
      <c r="D427">
        <v>10</v>
      </c>
      <c r="E427" t="s">
        <v>910</v>
      </c>
      <c r="F427">
        <v>0</v>
      </c>
    </row>
    <row r="428" spans="1:6" x14ac:dyDescent="0.2">
      <c r="A428">
        <v>2023</v>
      </c>
      <c r="B428" t="s">
        <v>952</v>
      </c>
      <c r="C428">
        <v>20</v>
      </c>
      <c r="D428">
        <v>15</v>
      </c>
      <c r="E428" t="s">
        <v>893</v>
      </c>
      <c r="F428">
        <v>0</v>
      </c>
    </row>
    <row r="429" spans="1:6" x14ac:dyDescent="0.2">
      <c r="A429">
        <v>2024</v>
      </c>
      <c r="B429" t="s">
        <v>952</v>
      </c>
      <c r="C429">
        <v>20</v>
      </c>
      <c r="D429">
        <v>10</v>
      </c>
      <c r="E429" t="s">
        <v>371</v>
      </c>
      <c r="F429">
        <v>5</v>
      </c>
    </row>
    <row r="430" spans="1:6" x14ac:dyDescent="0.2">
      <c r="A430">
        <v>2025</v>
      </c>
      <c r="B430" t="s">
        <v>952</v>
      </c>
      <c r="C430">
        <v>25</v>
      </c>
      <c r="D430">
        <v>15</v>
      </c>
      <c r="E430" t="s">
        <v>215</v>
      </c>
      <c r="F430">
        <v>0</v>
      </c>
    </row>
    <row r="431" spans="1:6" x14ac:dyDescent="0.2">
      <c r="A431">
        <v>2016</v>
      </c>
      <c r="B431" t="s">
        <v>665</v>
      </c>
      <c r="C431">
        <v>60</v>
      </c>
      <c r="D431">
        <v>40</v>
      </c>
      <c r="E431" t="s">
        <v>110</v>
      </c>
      <c r="F431">
        <v>0</v>
      </c>
    </row>
    <row r="432" spans="1:6" x14ac:dyDescent="0.2">
      <c r="A432">
        <v>2017</v>
      </c>
      <c r="B432" t="s">
        <v>665</v>
      </c>
      <c r="C432">
        <v>65</v>
      </c>
      <c r="D432">
        <v>40</v>
      </c>
      <c r="E432" t="s">
        <v>159</v>
      </c>
      <c r="F432">
        <v>0</v>
      </c>
    </row>
    <row r="433" spans="1:6" x14ac:dyDescent="0.2">
      <c r="A433">
        <v>2018</v>
      </c>
      <c r="B433" t="s">
        <v>665</v>
      </c>
      <c r="C433">
        <v>70</v>
      </c>
      <c r="D433">
        <v>45</v>
      </c>
      <c r="E433" t="s">
        <v>368</v>
      </c>
      <c r="F433">
        <v>0</v>
      </c>
    </row>
    <row r="434" spans="1:6" x14ac:dyDescent="0.2">
      <c r="A434">
        <v>2019</v>
      </c>
      <c r="B434" t="s">
        <v>665</v>
      </c>
      <c r="C434">
        <v>85</v>
      </c>
      <c r="D434">
        <v>50</v>
      </c>
      <c r="E434" t="s">
        <v>138</v>
      </c>
      <c r="F434">
        <v>0</v>
      </c>
    </row>
    <row r="435" spans="1:6" x14ac:dyDescent="0.2">
      <c r="A435">
        <v>2020</v>
      </c>
      <c r="B435" t="s">
        <v>665</v>
      </c>
      <c r="C435">
        <v>70</v>
      </c>
      <c r="D435">
        <v>40</v>
      </c>
      <c r="E435" t="s">
        <v>27</v>
      </c>
      <c r="F435">
        <v>0</v>
      </c>
    </row>
    <row r="436" spans="1:6" x14ac:dyDescent="0.2">
      <c r="A436">
        <v>2021</v>
      </c>
      <c r="B436" t="s">
        <v>665</v>
      </c>
      <c r="C436">
        <v>65</v>
      </c>
      <c r="D436">
        <v>35</v>
      </c>
      <c r="E436" t="s">
        <v>66</v>
      </c>
      <c r="F436">
        <v>0</v>
      </c>
    </row>
    <row r="437" spans="1:6" x14ac:dyDescent="0.2">
      <c r="A437">
        <v>2022</v>
      </c>
      <c r="B437" t="s">
        <v>665</v>
      </c>
      <c r="C437">
        <v>90</v>
      </c>
      <c r="D437">
        <v>55</v>
      </c>
      <c r="E437" t="s">
        <v>204</v>
      </c>
      <c r="F437">
        <v>0</v>
      </c>
    </row>
    <row r="438" spans="1:6" x14ac:dyDescent="0.2">
      <c r="A438">
        <v>2023</v>
      </c>
      <c r="B438" t="s">
        <v>665</v>
      </c>
      <c r="C438">
        <v>75</v>
      </c>
      <c r="D438">
        <v>40</v>
      </c>
      <c r="E438" t="s">
        <v>954</v>
      </c>
      <c r="F438">
        <v>0</v>
      </c>
    </row>
    <row r="439" spans="1:6" x14ac:dyDescent="0.2">
      <c r="A439">
        <v>2024</v>
      </c>
      <c r="B439" t="s">
        <v>665</v>
      </c>
      <c r="C439">
        <v>90</v>
      </c>
      <c r="D439">
        <v>55</v>
      </c>
      <c r="E439" t="s">
        <v>378</v>
      </c>
      <c r="F439">
        <v>0</v>
      </c>
    </row>
    <row r="440" spans="1:6" x14ac:dyDescent="0.2">
      <c r="A440">
        <v>2025</v>
      </c>
      <c r="B440" t="s">
        <v>665</v>
      </c>
      <c r="C440">
        <v>85</v>
      </c>
      <c r="D440">
        <v>50</v>
      </c>
      <c r="E440" t="s">
        <v>103</v>
      </c>
      <c r="F440">
        <v>0</v>
      </c>
    </row>
    <row r="441" spans="1:6" x14ac:dyDescent="0.2">
      <c r="A441">
        <v>2018</v>
      </c>
      <c r="B441" t="s">
        <v>767</v>
      </c>
      <c r="C441">
        <v>5</v>
      </c>
      <c r="D441">
        <v>0</v>
      </c>
      <c r="E441" t="s">
        <v>910</v>
      </c>
      <c r="F441">
        <v>0</v>
      </c>
    </row>
    <row r="442" spans="1:6" x14ac:dyDescent="0.2">
      <c r="A442">
        <v>2016</v>
      </c>
      <c r="B442" t="s">
        <v>647</v>
      </c>
      <c r="C442">
        <v>5</v>
      </c>
      <c r="D442">
        <v>0</v>
      </c>
      <c r="E442" t="s">
        <v>910</v>
      </c>
      <c r="F442">
        <v>0</v>
      </c>
    </row>
    <row r="443" spans="1:6" x14ac:dyDescent="0.2">
      <c r="A443">
        <v>2017</v>
      </c>
      <c r="B443" t="s">
        <v>647</v>
      </c>
      <c r="C443">
        <v>5</v>
      </c>
      <c r="D443">
        <v>5</v>
      </c>
      <c r="E443" t="s">
        <v>910</v>
      </c>
      <c r="F443">
        <v>0</v>
      </c>
    </row>
    <row r="444" spans="1:6" x14ac:dyDescent="0.2">
      <c r="A444">
        <v>2018</v>
      </c>
      <c r="B444" t="s">
        <v>647</v>
      </c>
      <c r="C444">
        <v>5</v>
      </c>
      <c r="D444">
        <v>5</v>
      </c>
      <c r="E444" t="s">
        <v>910</v>
      </c>
      <c r="F444">
        <v>0</v>
      </c>
    </row>
    <row r="445" spans="1:6" x14ac:dyDescent="0.2">
      <c r="A445">
        <v>2019</v>
      </c>
      <c r="B445" t="s">
        <v>647</v>
      </c>
      <c r="C445">
        <v>5</v>
      </c>
      <c r="D445">
        <v>0</v>
      </c>
      <c r="E445" t="s">
        <v>910</v>
      </c>
      <c r="F445">
        <v>0</v>
      </c>
    </row>
    <row r="446" spans="1:6" x14ac:dyDescent="0.2">
      <c r="A446">
        <v>2020</v>
      </c>
      <c r="B446" t="s">
        <v>647</v>
      </c>
      <c r="C446">
        <v>5</v>
      </c>
      <c r="D446">
        <v>5</v>
      </c>
      <c r="E446" t="s">
        <v>910</v>
      </c>
      <c r="F446">
        <v>0</v>
      </c>
    </row>
    <row r="447" spans="1:6" x14ac:dyDescent="0.2">
      <c r="A447">
        <v>2021</v>
      </c>
      <c r="B447" t="s">
        <v>647</v>
      </c>
      <c r="C447">
        <v>5</v>
      </c>
      <c r="D447">
        <v>5</v>
      </c>
      <c r="E447" t="s">
        <v>910</v>
      </c>
      <c r="F447">
        <v>0</v>
      </c>
    </row>
    <row r="448" spans="1:6" x14ac:dyDescent="0.2">
      <c r="A448">
        <v>2022</v>
      </c>
      <c r="B448" t="s">
        <v>647</v>
      </c>
      <c r="C448">
        <v>5</v>
      </c>
      <c r="D448">
        <v>0</v>
      </c>
      <c r="E448" t="s">
        <v>910</v>
      </c>
      <c r="F448">
        <v>0</v>
      </c>
    </row>
    <row r="449" spans="1:6" x14ac:dyDescent="0.2">
      <c r="A449">
        <v>2023</v>
      </c>
      <c r="B449" t="s">
        <v>647</v>
      </c>
      <c r="C449">
        <v>5</v>
      </c>
      <c r="D449">
        <v>0</v>
      </c>
      <c r="E449" t="s">
        <v>910</v>
      </c>
      <c r="F449">
        <v>0</v>
      </c>
    </row>
    <row r="450" spans="1:6" x14ac:dyDescent="0.2">
      <c r="A450">
        <v>2024</v>
      </c>
      <c r="B450" t="s">
        <v>647</v>
      </c>
      <c r="C450">
        <v>5</v>
      </c>
      <c r="D450">
        <v>0</v>
      </c>
      <c r="E450" t="s">
        <v>910</v>
      </c>
      <c r="F450">
        <v>0</v>
      </c>
    </row>
    <row r="451" spans="1:6" x14ac:dyDescent="0.2">
      <c r="A451">
        <v>2025</v>
      </c>
      <c r="B451" t="s">
        <v>647</v>
      </c>
      <c r="C451">
        <v>5</v>
      </c>
      <c r="D451">
        <v>0</v>
      </c>
      <c r="E451" t="s">
        <v>910</v>
      </c>
      <c r="F451">
        <v>0</v>
      </c>
    </row>
    <row r="452" spans="1:6" x14ac:dyDescent="0.2">
      <c r="A452">
        <v>2017</v>
      </c>
      <c r="B452" t="s">
        <v>955</v>
      </c>
      <c r="C452">
        <v>5</v>
      </c>
      <c r="D452">
        <v>0</v>
      </c>
      <c r="E452" t="s">
        <v>910</v>
      </c>
      <c r="F452">
        <v>0</v>
      </c>
    </row>
    <row r="453" spans="1:6" x14ac:dyDescent="0.2">
      <c r="A453">
        <v>2019</v>
      </c>
      <c r="B453" t="s">
        <v>955</v>
      </c>
      <c r="C453">
        <v>5</v>
      </c>
      <c r="D453">
        <v>5</v>
      </c>
      <c r="E453" t="s">
        <v>910</v>
      </c>
      <c r="F453">
        <v>0</v>
      </c>
    </row>
    <row r="454" spans="1:6" x14ac:dyDescent="0.2">
      <c r="A454">
        <v>2020</v>
      </c>
      <c r="B454" t="s">
        <v>955</v>
      </c>
      <c r="C454">
        <v>5</v>
      </c>
      <c r="D454">
        <v>5</v>
      </c>
      <c r="E454" t="s">
        <v>910</v>
      </c>
      <c r="F454">
        <v>0</v>
      </c>
    </row>
    <row r="455" spans="1:6" x14ac:dyDescent="0.2">
      <c r="A455">
        <v>2021</v>
      </c>
      <c r="B455" t="s">
        <v>955</v>
      </c>
      <c r="C455">
        <v>10</v>
      </c>
      <c r="D455">
        <v>5</v>
      </c>
      <c r="E455" t="s">
        <v>910</v>
      </c>
      <c r="F455">
        <v>0</v>
      </c>
    </row>
    <row r="456" spans="1:6" x14ac:dyDescent="0.2">
      <c r="A456">
        <v>2023</v>
      </c>
      <c r="B456" t="s">
        <v>955</v>
      </c>
      <c r="C456">
        <v>5</v>
      </c>
      <c r="D456">
        <v>5</v>
      </c>
      <c r="E456" t="s">
        <v>910</v>
      </c>
      <c r="F456">
        <v>0</v>
      </c>
    </row>
    <row r="457" spans="1:6" x14ac:dyDescent="0.2">
      <c r="A457">
        <v>2024</v>
      </c>
      <c r="B457" t="s">
        <v>955</v>
      </c>
      <c r="C457">
        <v>5</v>
      </c>
      <c r="D457">
        <v>5</v>
      </c>
      <c r="E457" t="s">
        <v>910</v>
      </c>
      <c r="F457">
        <v>0</v>
      </c>
    </row>
    <row r="458" spans="1:6" x14ac:dyDescent="0.2">
      <c r="A458">
        <v>2025</v>
      </c>
      <c r="B458" t="s">
        <v>955</v>
      </c>
      <c r="C458">
        <v>5</v>
      </c>
      <c r="D458">
        <v>0</v>
      </c>
      <c r="E458" t="s">
        <v>910</v>
      </c>
      <c r="F458">
        <v>0</v>
      </c>
    </row>
    <row r="459" spans="1:6" x14ac:dyDescent="0.2">
      <c r="A459">
        <v>2016</v>
      </c>
      <c r="B459" t="s">
        <v>444</v>
      </c>
      <c r="C459">
        <v>60</v>
      </c>
      <c r="D459">
        <v>30</v>
      </c>
      <c r="E459" t="s">
        <v>956</v>
      </c>
      <c r="F459">
        <v>0</v>
      </c>
    </row>
    <row r="460" spans="1:6" x14ac:dyDescent="0.2">
      <c r="A460">
        <v>2017</v>
      </c>
      <c r="B460" t="s">
        <v>444</v>
      </c>
      <c r="C460">
        <v>50</v>
      </c>
      <c r="D460">
        <v>15</v>
      </c>
      <c r="E460" t="s">
        <v>957</v>
      </c>
      <c r="F460">
        <v>0</v>
      </c>
    </row>
    <row r="461" spans="1:6" x14ac:dyDescent="0.2">
      <c r="A461">
        <v>2018</v>
      </c>
      <c r="B461" t="s">
        <v>444</v>
      </c>
      <c r="C461">
        <v>40</v>
      </c>
      <c r="D461">
        <v>20</v>
      </c>
      <c r="E461" t="s">
        <v>41</v>
      </c>
      <c r="F461">
        <v>0</v>
      </c>
    </row>
    <row r="462" spans="1:6" x14ac:dyDescent="0.2">
      <c r="A462">
        <v>2019</v>
      </c>
      <c r="B462" t="s">
        <v>444</v>
      </c>
      <c r="C462">
        <v>65</v>
      </c>
      <c r="D462">
        <v>30</v>
      </c>
      <c r="E462" t="s">
        <v>956</v>
      </c>
      <c r="F462">
        <v>0</v>
      </c>
    </row>
    <row r="463" spans="1:6" x14ac:dyDescent="0.2">
      <c r="A463">
        <v>2020</v>
      </c>
      <c r="B463" t="s">
        <v>444</v>
      </c>
      <c r="C463">
        <v>60</v>
      </c>
      <c r="D463">
        <v>25</v>
      </c>
      <c r="E463" t="s">
        <v>73</v>
      </c>
      <c r="F463">
        <v>0</v>
      </c>
    </row>
    <row r="464" spans="1:6" x14ac:dyDescent="0.2">
      <c r="A464">
        <v>2021</v>
      </c>
      <c r="B464" t="s">
        <v>444</v>
      </c>
      <c r="C464">
        <v>55</v>
      </c>
      <c r="D464">
        <v>20</v>
      </c>
      <c r="E464" t="s">
        <v>402</v>
      </c>
      <c r="F464">
        <v>0</v>
      </c>
    </row>
    <row r="465" spans="1:6" x14ac:dyDescent="0.2">
      <c r="A465">
        <v>2022</v>
      </c>
      <c r="B465" t="s">
        <v>444</v>
      </c>
      <c r="C465">
        <v>85</v>
      </c>
      <c r="D465">
        <v>20</v>
      </c>
      <c r="E465" t="s">
        <v>958</v>
      </c>
      <c r="F465">
        <v>0</v>
      </c>
    </row>
    <row r="466" spans="1:6" x14ac:dyDescent="0.2">
      <c r="A466">
        <v>2023</v>
      </c>
      <c r="B466" t="s">
        <v>444</v>
      </c>
      <c r="C466">
        <v>70</v>
      </c>
      <c r="D466">
        <v>25</v>
      </c>
      <c r="E466" t="s">
        <v>298</v>
      </c>
      <c r="F466">
        <v>0</v>
      </c>
    </row>
    <row r="467" spans="1:6" x14ac:dyDescent="0.2">
      <c r="A467">
        <v>2024</v>
      </c>
      <c r="B467" t="s">
        <v>444</v>
      </c>
      <c r="C467">
        <v>105</v>
      </c>
      <c r="D467">
        <v>35</v>
      </c>
      <c r="E467" t="s">
        <v>234</v>
      </c>
      <c r="F467">
        <v>0</v>
      </c>
    </row>
    <row r="468" spans="1:6" x14ac:dyDescent="0.2">
      <c r="A468">
        <v>2025</v>
      </c>
      <c r="B468" t="s">
        <v>444</v>
      </c>
      <c r="C468">
        <v>90</v>
      </c>
      <c r="D468">
        <v>35</v>
      </c>
      <c r="E468" t="s">
        <v>959</v>
      </c>
      <c r="F468">
        <v>0</v>
      </c>
    </row>
    <row r="469" spans="1:6" x14ac:dyDescent="0.2">
      <c r="A469">
        <v>2016</v>
      </c>
      <c r="B469" t="s">
        <v>450</v>
      </c>
      <c r="C469">
        <v>180</v>
      </c>
      <c r="D469">
        <v>95</v>
      </c>
      <c r="E469" t="s">
        <v>153</v>
      </c>
      <c r="F469">
        <v>0</v>
      </c>
    </row>
    <row r="470" spans="1:6" x14ac:dyDescent="0.2">
      <c r="A470">
        <v>2017</v>
      </c>
      <c r="B470" t="s">
        <v>450</v>
      </c>
      <c r="C470">
        <v>145</v>
      </c>
      <c r="D470">
        <v>90</v>
      </c>
      <c r="E470" t="s">
        <v>39</v>
      </c>
      <c r="F470">
        <v>0</v>
      </c>
    </row>
    <row r="471" spans="1:6" x14ac:dyDescent="0.2">
      <c r="A471">
        <v>2018</v>
      </c>
      <c r="B471" t="s">
        <v>450</v>
      </c>
      <c r="C471">
        <v>135</v>
      </c>
      <c r="D471">
        <v>60</v>
      </c>
      <c r="E471" t="s">
        <v>147</v>
      </c>
      <c r="F471">
        <v>0</v>
      </c>
    </row>
    <row r="472" spans="1:6" x14ac:dyDescent="0.2">
      <c r="A472">
        <v>2019</v>
      </c>
      <c r="B472" t="s">
        <v>450</v>
      </c>
      <c r="C472">
        <v>175</v>
      </c>
      <c r="D472">
        <v>90</v>
      </c>
      <c r="E472" t="s">
        <v>303</v>
      </c>
      <c r="F472">
        <v>0</v>
      </c>
    </row>
    <row r="473" spans="1:6" x14ac:dyDescent="0.2">
      <c r="A473">
        <v>2020</v>
      </c>
      <c r="B473" t="s">
        <v>450</v>
      </c>
      <c r="C473">
        <v>150</v>
      </c>
      <c r="D473">
        <v>85</v>
      </c>
      <c r="E473" t="s">
        <v>193</v>
      </c>
      <c r="F473">
        <v>0</v>
      </c>
    </row>
    <row r="474" spans="1:6" x14ac:dyDescent="0.2">
      <c r="A474">
        <v>2021</v>
      </c>
      <c r="B474" t="s">
        <v>450</v>
      </c>
      <c r="C474">
        <v>130</v>
      </c>
      <c r="D474">
        <v>75</v>
      </c>
      <c r="E474" t="s">
        <v>36</v>
      </c>
      <c r="F474">
        <v>0</v>
      </c>
    </row>
    <row r="475" spans="1:6" x14ac:dyDescent="0.2">
      <c r="A475">
        <v>2022</v>
      </c>
      <c r="B475" t="s">
        <v>450</v>
      </c>
      <c r="C475">
        <v>180</v>
      </c>
      <c r="D475">
        <v>105</v>
      </c>
      <c r="E475" t="s">
        <v>27</v>
      </c>
      <c r="F475">
        <v>0</v>
      </c>
    </row>
    <row r="476" spans="1:6" x14ac:dyDescent="0.2">
      <c r="A476">
        <v>2023</v>
      </c>
      <c r="B476" t="s">
        <v>450</v>
      </c>
      <c r="C476">
        <v>325</v>
      </c>
      <c r="D476">
        <v>120</v>
      </c>
      <c r="E476" t="s">
        <v>63</v>
      </c>
      <c r="F476">
        <v>0</v>
      </c>
    </row>
    <row r="477" spans="1:6" x14ac:dyDescent="0.2">
      <c r="A477">
        <v>2024</v>
      </c>
      <c r="B477" t="s">
        <v>450</v>
      </c>
      <c r="C477">
        <v>400</v>
      </c>
      <c r="D477">
        <v>135</v>
      </c>
      <c r="E477" t="s">
        <v>960</v>
      </c>
      <c r="F477">
        <v>0</v>
      </c>
    </row>
    <row r="478" spans="1:6" x14ac:dyDescent="0.2">
      <c r="A478">
        <v>2025</v>
      </c>
      <c r="B478" t="s">
        <v>450</v>
      </c>
      <c r="C478">
        <v>480</v>
      </c>
      <c r="D478">
        <v>205</v>
      </c>
      <c r="E478" t="s">
        <v>178</v>
      </c>
      <c r="F478">
        <v>5</v>
      </c>
    </row>
    <row r="479" spans="1:6" x14ac:dyDescent="0.2">
      <c r="A479">
        <v>2016</v>
      </c>
      <c r="B479" t="s">
        <v>466</v>
      </c>
      <c r="C479">
        <v>55</v>
      </c>
      <c r="D479">
        <v>25</v>
      </c>
      <c r="E479" t="s">
        <v>961</v>
      </c>
      <c r="F479">
        <v>0</v>
      </c>
    </row>
    <row r="480" spans="1:6" x14ac:dyDescent="0.2">
      <c r="A480">
        <v>2017</v>
      </c>
      <c r="B480" t="s">
        <v>466</v>
      </c>
      <c r="C480">
        <v>45</v>
      </c>
      <c r="D480">
        <v>30</v>
      </c>
      <c r="E480" t="s">
        <v>167</v>
      </c>
      <c r="F480">
        <v>0</v>
      </c>
    </row>
    <row r="481" spans="1:6" x14ac:dyDescent="0.2">
      <c r="A481">
        <v>2018</v>
      </c>
      <c r="B481" t="s">
        <v>466</v>
      </c>
      <c r="C481">
        <v>30</v>
      </c>
      <c r="D481">
        <v>20</v>
      </c>
      <c r="E481" t="s">
        <v>962</v>
      </c>
      <c r="F481">
        <v>0</v>
      </c>
    </row>
    <row r="482" spans="1:6" x14ac:dyDescent="0.2">
      <c r="A482">
        <v>2019</v>
      </c>
      <c r="B482" t="s">
        <v>466</v>
      </c>
      <c r="C482">
        <v>35</v>
      </c>
      <c r="D482">
        <v>20</v>
      </c>
      <c r="E482" t="s">
        <v>908</v>
      </c>
      <c r="F482">
        <v>0</v>
      </c>
    </row>
    <row r="483" spans="1:6" x14ac:dyDescent="0.2">
      <c r="A483">
        <v>2020</v>
      </c>
      <c r="B483" t="s">
        <v>466</v>
      </c>
      <c r="C483">
        <v>35</v>
      </c>
      <c r="D483">
        <v>15</v>
      </c>
      <c r="E483" t="s">
        <v>149</v>
      </c>
      <c r="F483">
        <v>0</v>
      </c>
    </row>
    <row r="484" spans="1:6" x14ac:dyDescent="0.2">
      <c r="A484">
        <v>2021</v>
      </c>
      <c r="B484" t="s">
        <v>466</v>
      </c>
      <c r="C484">
        <v>35</v>
      </c>
      <c r="D484">
        <v>20</v>
      </c>
      <c r="E484" t="s">
        <v>79</v>
      </c>
      <c r="F484">
        <v>0</v>
      </c>
    </row>
    <row r="485" spans="1:6" x14ac:dyDescent="0.2">
      <c r="A485">
        <v>2022</v>
      </c>
      <c r="B485" t="s">
        <v>466</v>
      </c>
      <c r="C485">
        <v>30</v>
      </c>
      <c r="D485">
        <v>15</v>
      </c>
      <c r="E485" t="s">
        <v>68</v>
      </c>
      <c r="F485">
        <v>0</v>
      </c>
    </row>
    <row r="486" spans="1:6" x14ac:dyDescent="0.2">
      <c r="A486">
        <v>2023</v>
      </c>
      <c r="B486" t="s">
        <v>466</v>
      </c>
      <c r="C486">
        <v>25</v>
      </c>
      <c r="D486">
        <v>10</v>
      </c>
      <c r="E486" t="s">
        <v>963</v>
      </c>
      <c r="F486">
        <v>0</v>
      </c>
    </row>
    <row r="487" spans="1:6" x14ac:dyDescent="0.2">
      <c r="A487">
        <v>2024</v>
      </c>
      <c r="B487" t="s">
        <v>466</v>
      </c>
      <c r="C487">
        <v>35</v>
      </c>
      <c r="D487">
        <v>20</v>
      </c>
      <c r="E487" t="s">
        <v>964</v>
      </c>
      <c r="F487">
        <v>0</v>
      </c>
    </row>
    <row r="488" spans="1:6" x14ac:dyDescent="0.2">
      <c r="A488">
        <v>2025</v>
      </c>
      <c r="B488" t="s">
        <v>466</v>
      </c>
      <c r="C488">
        <v>30</v>
      </c>
      <c r="D488">
        <v>20</v>
      </c>
      <c r="E488" t="s">
        <v>87</v>
      </c>
      <c r="F488">
        <v>0</v>
      </c>
    </row>
    <row r="489" spans="1:6" x14ac:dyDescent="0.2">
      <c r="A489">
        <v>2016</v>
      </c>
      <c r="B489" t="s">
        <v>616</v>
      </c>
      <c r="C489">
        <v>325</v>
      </c>
      <c r="D489">
        <v>205</v>
      </c>
      <c r="E489" t="s">
        <v>198</v>
      </c>
      <c r="F489">
        <v>0</v>
      </c>
    </row>
    <row r="490" spans="1:6" x14ac:dyDescent="0.2">
      <c r="A490">
        <v>2017</v>
      </c>
      <c r="B490" t="s">
        <v>616</v>
      </c>
      <c r="C490">
        <v>260</v>
      </c>
      <c r="D490">
        <v>155</v>
      </c>
      <c r="E490" t="s">
        <v>104</v>
      </c>
      <c r="F490">
        <v>0</v>
      </c>
    </row>
    <row r="491" spans="1:6" x14ac:dyDescent="0.2">
      <c r="A491">
        <v>2018</v>
      </c>
      <c r="B491" t="s">
        <v>616</v>
      </c>
      <c r="C491">
        <v>290</v>
      </c>
      <c r="D491">
        <v>155</v>
      </c>
      <c r="E491" t="s">
        <v>228</v>
      </c>
      <c r="F491">
        <v>5</v>
      </c>
    </row>
    <row r="492" spans="1:6" x14ac:dyDescent="0.2">
      <c r="A492">
        <v>2019</v>
      </c>
      <c r="B492" t="s">
        <v>616</v>
      </c>
      <c r="C492">
        <v>320</v>
      </c>
      <c r="D492">
        <v>150</v>
      </c>
      <c r="E492" t="s">
        <v>384</v>
      </c>
      <c r="F492">
        <v>0</v>
      </c>
    </row>
    <row r="493" spans="1:6" x14ac:dyDescent="0.2">
      <c r="A493">
        <v>2020</v>
      </c>
      <c r="B493" t="s">
        <v>616</v>
      </c>
      <c r="C493">
        <v>320</v>
      </c>
      <c r="D493">
        <v>155</v>
      </c>
      <c r="E493" t="s">
        <v>388</v>
      </c>
      <c r="F493">
        <v>0</v>
      </c>
    </row>
    <row r="494" spans="1:6" x14ac:dyDescent="0.2">
      <c r="A494">
        <v>2021</v>
      </c>
      <c r="B494" t="s">
        <v>616</v>
      </c>
      <c r="C494">
        <v>255</v>
      </c>
      <c r="D494">
        <v>135</v>
      </c>
      <c r="E494" t="s">
        <v>28</v>
      </c>
      <c r="F494">
        <v>0</v>
      </c>
    </row>
    <row r="495" spans="1:6" x14ac:dyDescent="0.2">
      <c r="A495">
        <v>2022</v>
      </c>
      <c r="B495" t="s">
        <v>616</v>
      </c>
      <c r="C495">
        <v>285</v>
      </c>
      <c r="D495">
        <v>155</v>
      </c>
      <c r="E495" t="s">
        <v>372</v>
      </c>
      <c r="F495">
        <v>5</v>
      </c>
    </row>
    <row r="496" spans="1:6" x14ac:dyDescent="0.2">
      <c r="A496">
        <v>2023</v>
      </c>
      <c r="B496" t="s">
        <v>616</v>
      </c>
      <c r="C496">
        <v>405</v>
      </c>
      <c r="D496">
        <v>185</v>
      </c>
      <c r="E496" t="s">
        <v>965</v>
      </c>
      <c r="F496">
        <v>0</v>
      </c>
    </row>
    <row r="497" spans="1:6" x14ac:dyDescent="0.2">
      <c r="A497">
        <v>2024</v>
      </c>
      <c r="B497" t="s">
        <v>616</v>
      </c>
      <c r="C497">
        <v>490</v>
      </c>
      <c r="D497">
        <v>195</v>
      </c>
      <c r="E497" t="s">
        <v>210</v>
      </c>
      <c r="F497">
        <v>0</v>
      </c>
    </row>
    <row r="498" spans="1:6" x14ac:dyDescent="0.2">
      <c r="A498">
        <v>2025</v>
      </c>
      <c r="B498" t="s">
        <v>616</v>
      </c>
      <c r="C498">
        <v>560</v>
      </c>
      <c r="D498">
        <v>270</v>
      </c>
      <c r="E498" t="s">
        <v>267</v>
      </c>
      <c r="F498">
        <v>5</v>
      </c>
    </row>
    <row r="499" spans="1:6" x14ac:dyDescent="0.2">
      <c r="A499">
        <v>2016</v>
      </c>
      <c r="B499" t="s">
        <v>966</v>
      </c>
      <c r="C499">
        <v>20</v>
      </c>
      <c r="D499">
        <v>15</v>
      </c>
      <c r="E499" t="s">
        <v>967</v>
      </c>
      <c r="F499">
        <v>0</v>
      </c>
    </row>
    <row r="500" spans="1:6" x14ac:dyDescent="0.2">
      <c r="A500">
        <v>2017</v>
      </c>
      <c r="B500" t="s">
        <v>966</v>
      </c>
      <c r="C500">
        <v>30</v>
      </c>
      <c r="D500">
        <v>10</v>
      </c>
      <c r="E500" t="s">
        <v>910</v>
      </c>
      <c r="F500">
        <v>0</v>
      </c>
    </row>
    <row r="501" spans="1:6" x14ac:dyDescent="0.2">
      <c r="A501">
        <v>2018</v>
      </c>
      <c r="B501" t="s">
        <v>966</v>
      </c>
      <c r="C501">
        <v>15</v>
      </c>
      <c r="D501">
        <v>5</v>
      </c>
      <c r="E501" t="s">
        <v>910</v>
      </c>
      <c r="F501">
        <v>0</v>
      </c>
    </row>
    <row r="502" spans="1:6" x14ac:dyDescent="0.2">
      <c r="A502">
        <v>2019</v>
      </c>
      <c r="B502" t="s">
        <v>966</v>
      </c>
      <c r="C502">
        <v>25</v>
      </c>
      <c r="D502">
        <v>5</v>
      </c>
      <c r="E502" t="s">
        <v>910</v>
      </c>
      <c r="F502">
        <v>0</v>
      </c>
    </row>
    <row r="503" spans="1:6" x14ac:dyDescent="0.2">
      <c r="A503">
        <v>2020</v>
      </c>
      <c r="B503" t="s">
        <v>966</v>
      </c>
      <c r="C503">
        <v>25</v>
      </c>
      <c r="D503">
        <v>15</v>
      </c>
      <c r="E503" t="s">
        <v>97</v>
      </c>
      <c r="F503">
        <v>0</v>
      </c>
    </row>
    <row r="504" spans="1:6" x14ac:dyDescent="0.2">
      <c r="A504">
        <v>2021</v>
      </c>
      <c r="B504" t="s">
        <v>966</v>
      </c>
      <c r="C504">
        <v>25</v>
      </c>
      <c r="D504">
        <v>15</v>
      </c>
      <c r="E504" t="s">
        <v>89</v>
      </c>
      <c r="F504">
        <v>0</v>
      </c>
    </row>
    <row r="505" spans="1:6" x14ac:dyDescent="0.2">
      <c r="A505">
        <v>2022</v>
      </c>
      <c r="B505" t="s">
        <v>966</v>
      </c>
      <c r="C505">
        <v>30</v>
      </c>
      <c r="D505">
        <v>15</v>
      </c>
      <c r="E505" t="s">
        <v>92</v>
      </c>
      <c r="F505">
        <v>0</v>
      </c>
    </row>
    <row r="506" spans="1:6" x14ac:dyDescent="0.2">
      <c r="A506">
        <v>2023</v>
      </c>
      <c r="B506" t="s">
        <v>966</v>
      </c>
      <c r="C506">
        <v>35</v>
      </c>
      <c r="D506">
        <v>20</v>
      </c>
      <c r="E506" t="s">
        <v>968</v>
      </c>
      <c r="F506">
        <v>0</v>
      </c>
    </row>
    <row r="507" spans="1:6" x14ac:dyDescent="0.2">
      <c r="A507">
        <v>2024</v>
      </c>
      <c r="B507" t="s">
        <v>966</v>
      </c>
      <c r="C507">
        <v>30</v>
      </c>
      <c r="D507">
        <v>10</v>
      </c>
      <c r="E507" t="s">
        <v>349</v>
      </c>
      <c r="F507">
        <v>0</v>
      </c>
    </row>
    <row r="508" spans="1:6" x14ac:dyDescent="0.2">
      <c r="A508">
        <v>2025</v>
      </c>
      <c r="B508" t="s">
        <v>966</v>
      </c>
      <c r="C508">
        <v>45</v>
      </c>
      <c r="D508">
        <v>20</v>
      </c>
      <c r="E508" t="s">
        <v>232</v>
      </c>
      <c r="F508">
        <v>0</v>
      </c>
    </row>
    <row r="509" spans="1:6" x14ac:dyDescent="0.2">
      <c r="A509">
        <v>2016</v>
      </c>
      <c r="B509" t="s">
        <v>667</v>
      </c>
      <c r="C509">
        <v>25</v>
      </c>
      <c r="D509">
        <v>10</v>
      </c>
      <c r="E509" t="s">
        <v>289</v>
      </c>
      <c r="F509">
        <v>0</v>
      </c>
    </row>
    <row r="510" spans="1:6" x14ac:dyDescent="0.2">
      <c r="A510">
        <v>2017</v>
      </c>
      <c r="B510" t="s">
        <v>667</v>
      </c>
      <c r="C510">
        <v>45</v>
      </c>
      <c r="D510">
        <v>15</v>
      </c>
      <c r="E510" t="s">
        <v>289</v>
      </c>
      <c r="F510">
        <v>0</v>
      </c>
    </row>
    <row r="511" spans="1:6" x14ac:dyDescent="0.2">
      <c r="A511">
        <v>2018</v>
      </c>
      <c r="B511" t="s">
        <v>667</v>
      </c>
      <c r="C511">
        <v>30</v>
      </c>
      <c r="D511">
        <v>5</v>
      </c>
      <c r="E511" t="s">
        <v>910</v>
      </c>
      <c r="F511">
        <v>0</v>
      </c>
    </row>
    <row r="512" spans="1:6" x14ac:dyDescent="0.2">
      <c r="A512">
        <v>2019</v>
      </c>
      <c r="B512" t="s">
        <v>667</v>
      </c>
      <c r="C512">
        <v>40</v>
      </c>
      <c r="D512">
        <v>15</v>
      </c>
      <c r="E512" t="s">
        <v>298</v>
      </c>
      <c r="F512">
        <v>0</v>
      </c>
    </row>
    <row r="513" spans="1:6" x14ac:dyDescent="0.2">
      <c r="A513">
        <v>2020</v>
      </c>
      <c r="B513" t="s">
        <v>667</v>
      </c>
      <c r="C513">
        <v>65</v>
      </c>
      <c r="D513">
        <v>25</v>
      </c>
      <c r="E513" t="s">
        <v>31</v>
      </c>
      <c r="F513">
        <v>0</v>
      </c>
    </row>
    <row r="514" spans="1:6" x14ac:dyDescent="0.2">
      <c r="A514">
        <v>2021</v>
      </c>
      <c r="B514" t="s">
        <v>667</v>
      </c>
      <c r="C514">
        <v>35</v>
      </c>
      <c r="D514">
        <v>20</v>
      </c>
      <c r="E514" t="s">
        <v>964</v>
      </c>
      <c r="F514">
        <v>0</v>
      </c>
    </row>
    <row r="515" spans="1:6" x14ac:dyDescent="0.2">
      <c r="A515">
        <v>2022</v>
      </c>
      <c r="B515" t="s">
        <v>667</v>
      </c>
      <c r="C515">
        <v>30</v>
      </c>
      <c r="D515">
        <v>10</v>
      </c>
      <c r="E515" t="s">
        <v>353</v>
      </c>
      <c r="F515">
        <v>0</v>
      </c>
    </row>
    <row r="516" spans="1:6" x14ac:dyDescent="0.2">
      <c r="A516">
        <v>2023</v>
      </c>
      <c r="B516" t="s">
        <v>667</v>
      </c>
      <c r="C516">
        <v>35</v>
      </c>
      <c r="D516">
        <v>10</v>
      </c>
      <c r="E516" t="s">
        <v>969</v>
      </c>
      <c r="F516">
        <v>0</v>
      </c>
    </row>
    <row r="517" spans="1:6" x14ac:dyDescent="0.2">
      <c r="A517">
        <v>2024</v>
      </c>
      <c r="B517" t="s">
        <v>667</v>
      </c>
      <c r="C517">
        <v>35</v>
      </c>
      <c r="D517">
        <v>15</v>
      </c>
      <c r="E517" t="s">
        <v>147</v>
      </c>
      <c r="F517">
        <v>0</v>
      </c>
    </row>
    <row r="518" spans="1:6" x14ac:dyDescent="0.2">
      <c r="A518">
        <v>2025</v>
      </c>
      <c r="B518" t="s">
        <v>667</v>
      </c>
      <c r="C518">
        <v>40</v>
      </c>
      <c r="D518">
        <v>15</v>
      </c>
      <c r="E518" t="s">
        <v>403</v>
      </c>
      <c r="F518">
        <v>0</v>
      </c>
    </row>
    <row r="519" spans="1:6" x14ac:dyDescent="0.2">
      <c r="A519">
        <v>2016</v>
      </c>
      <c r="B519" t="s">
        <v>255</v>
      </c>
      <c r="C519">
        <v>1075</v>
      </c>
      <c r="D519">
        <v>730</v>
      </c>
      <c r="E519" t="s">
        <v>256</v>
      </c>
      <c r="F519">
        <v>0</v>
      </c>
    </row>
    <row r="520" spans="1:6" x14ac:dyDescent="0.2">
      <c r="A520">
        <v>2017</v>
      </c>
      <c r="B520" t="s">
        <v>255</v>
      </c>
      <c r="C520">
        <v>955</v>
      </c>
      <c r="D520">
        <v>645</v>
      </c>
      <c r="E520" t="s">
        <v>258</v>
      </c>
      <c r="F520">
        <v>0</v>
      </c>
    </row>
    <row r="521" spans="1:6" x14ac:dyDescent="0.2">
      <c r="A521">
        <v>2018</v>
      </c>
      <c r="B521" t="s">
        <v>255</v>
      </c>
      <c r="C521">
        <v>890</v>
      </c>
      <c r="D521">
        <v>565</v>
      </c>
      <c r="E521" t="s">
        <v>259</v>
      </c>
      <c r="F521">
        <v>0</v>
      </c>
    </row>
    <row r="522" spans="1:6" x14ac:dyDescent="0.2">
      <c r="A522">
        <v>2019</v>
      </c>
      <c r="B522" t="s">
        <v>255</v>
      </c>
      <c r="C522">
        <v>795</v>
      </c>
      <c r="D522">
        <v>535</v>
      </c>
      <c r="E522" t="s">
        <v>260</v>
      </c>
      <c r="F522">
        <v>0</v>
      </c>
    </row>
    <row r="523" spans="1:6" x14ac:dyDescent="0.2">
      <c r="A523">
        <v>2020</v>
      </c>
      <c r="B523" t="s">
        <v>255</v>
      </c>
      <c r="C523">
        <v>830</v>
      </c>
      <c r="D523">
        <v>565</v>
      </c>
      <c r="E523" t="s">
        <v>258</v>
      </c>
      <c r="F523">
        <v>0</v>
      </c>
    </row>
    <row r="524" spans="1:6" x14ac:dyDescent="0.2">
      <c r="A524">
        <v>2021</v>
      </c>
      <c r="B524" t="s">
        <v>255</v>
      </c>
      <c r="C524">
        <v>885</v>
      </c>
      <c r="D524">
        <v>590</v>
      </c>
      <c r="E524" t="s">
        <v>261</v>
      </c>
      <c r="F524">
        <v>5</v>
      </c>
    </row>
    <row r="525" spans="1:6" x14ac:dyDescent="0.2">
      <c r="A525">
        <v>2022</v>
      </c>
      <c r="B525" t="s">
        <v>255</v>
      </c>
      <c r="C525">
        <v>900</v>
      </c>
      <c r="D525">
        <v>545</v>
      </c>
      <c r="E525" t="s">
        <v>262</v>
      </c>
      <c r="F525">
        <v>5</v>
      </c>
    </row>
    <row r="526" spans="1:6" x14ac:dyDescent="0.2">
      <c r="A526">
        <v>2023</v>
      </c>
      <c r="B526" t="s">
        <v>255</v>
      </c>
      <c r="C526">
        <v>730</v>
      </c>
      <c r="D526">
        <v>435</v>
      </c>
      <c r="E526" t="s">
        <v>263</v>
      </c>
      <c r="F526">
        <v>0</v>
      </c>
    </row>
    <row r="527" spans="1:6" x14ac:dyDescent="0.2">
      <c r="A527">
        <v>2024</v>
      </c>
      <c r="B527" t="s">
        <v>255</v>
      </c>
      <c r="C527">
        <v>665</v>
      </c>
      <c r="D527">
        <v>395</v>
      </c>
      <c r="E527" t="s">
        <v>264</v>
      </c>
      <c r="F527">
        <v>0</v>
      </c>
    </row>
    <row r="528" spans="1:6" x14ac:dyDescent="0.2">
      <c r="A528">
        <v>2025</v>
      </c>
      <c r="B528" t="s">
        <v>255</v>
      </c>
      <c r="C528">
        <v>615</v>
      </c>
      <c r="D528">
        <v>330</v>
      </c>
      <c r="E528" t="s">
        <v>28</v>
      </c>
      <c r="F528">
        <v>5</v>
      </c>
    </row>
    <row r="529" spans="1:6" x14ac:dyDescent="0.2">
      <c r="A529">
        <v>2016</v>
      </c>
      <c r="B529" t="s">
        <v>806</v>
      </c>
      <c r="C529">
        <v>10</v>
      </c>
      <c r="D529">
        <v>5</v>
      </c>
      <c r="E529" t="s">
        <v>910</v>
      </c>
      <c r="F529">
        <v>0</v>
      </c>
    </row>
    <row r="530" spans="1:6" x14ac:dyDescent="0.2">
      <c r="A530">
        <v>2017</v>
      </c>
      <c r="B530" t="s">
        <v>806</v>
      </c>
      <c r="C530">
        <v>10</v>
      </c>
      <c r="D530">
        <v>5</v>
      </c>
      <c r="E530" t="s">
        <v>910</v>
      </c>
      <c r="F530">
        <v>0</v>
      </c>
    </row>
    <row r="531" spans="1:6" x14ac:dyDescent="0.2">
      <c r="A531">
        <v>2018</v>
      </c>
      <c r="B531" t="s">
        <v>806</v>
      </c>
      <c r="C531">
        <v>10</v>
      </c>
      <c r="D531">
        <v>0</v>
      </c>
      <c r="E531" t="s">
        <v>910</v>
      </c>
      <c r="F531">
        <v>0</v>
      </c>
    </row>
    <row r="532" spans="1:6" x14ac:dyDescent="0.2">
      <c r="A532">
        <v>2019</v>
      </c>
      <c r="B532" t="s">
        <v>806</v>
      </c>
      <c r="C532">
        <v>10</v>
      </c>
      <c r="D532">
        <v>5</v>
      </c>
      <c r="E532" t="s">
        <v>910</v>
      </c>
      <c r="F532">
        <v>0</v>
      </c>
    </row>
    <row r="533" spans="1:6" x14ac:dyDescent="0.2">
      <c r="A533">
        <v>2020</v>
      </c>
      <c r="B533" t="s">
        <v>806</v>
      </c>
      <c r="C533">
        <v>10</v>
      </c>
      <c r="D533">
        <v>5</v>
      </c>
      <c r="E533" t="s">
        <v>910</v>
      </c>
      <c r="F533">
        <v>0</v>
      </c>
    </row>
    <row r="534" spans="1:6" x14ac:dyDescent="0.2">
      <c r="A534">
        <v>2021</v>
      </c>
      <c r="B534" t="s">
        <v>806</v>
      </c>
      <c r="C534">
        <v>5</v>
      </c>
      <c r="D534">
        <v>5</v>
      </c>
      <c r="E534" t="s">
        <v>910</v>
      </c>
      <c r="F534">
        <v>0</v>
      </c>
    </row>
    <row r="535" spans="1:6" x14ac:dyDescent="0.2">
      <c r="A535">
        <v>2022</v>
      </c>
      <c r="B535" t="s">
        <v>806</v>
      </c>
      <c r="C535">
        <v>25</v>
      </c>
      <c r="D535">
        <v>10</v>
      </c>
      <c r="E535" t="s">
        <v>910</v>
      </c>
      <c r="F535">
        <v>5</v>
      </c>
    </row>
    <row r="536" spans="1:6" x14ac:dyDescent="0.2">
      <c r="A536">
        <v>2023</v>
      </c>
      <c r="B536" t="s">
        <v>806</v>
      </c>
      <c r="C536">
        <v>15</v>
      </c>
      <c r="D536">
        <v>5</v>
      </c>
      <c r="E536" t="s">
        <v>910</v>
      </c>
      <c r="F536">
        <v>0</v>
      </c>
    </row>
    <row r="537" spans="1:6" x14ac:dyDescent="0.2">
      <c r="A537">
        <v>2024</v>
      </c>
      <c r="B537" t="s">
        <v>806</v>
      </c>
      <c r="C537">
        <v>45</v>
      </c>
      <c r="D537">
        <v>25</v>
      </c>
      <c r="E537" t="s">
        <v>970</v>
      </c>
      <c r="F537">
        <v>0</v>
      </c>
    </row>
    <row r="538" spans="1:6" x14ac:dyDescent="0.2">
      <c r="A538">
        <v>2025</v>
      </c>
      <c r="B538" t="s">
        <v>806</v>
      </c>
      <c r="C538">
        <v>65</v>
      </c>
      <c r="D538">
        <v>15</v>
      </c>
      <c r="E538" t="s">
        <v>971</v>
      </c>
      <c r="F538">
        <v>0</v>
      </c>
    </row>
    <row r="539" spans="1:6" x14ac:dyDescent="0.2">
      <c r="A539">
        <v>2016</v>
      </c>
      <c r="B539" t="s">
        <v>808</v>
      </c>
      <c r="C539">
        <v>5</v>
      </c>
      <c r="D539">
        <v>0</v>
      </c>
      <c r="E539" t="s">
        <v>910</v>
      </c>
      <c r="F539">
        <v>0</v>
      </c>
    </row>
    <row r="540" spans="1:6" x14ac:dyDescent="0.2">
      <c r="A540">
        <v>2017</v>
      </c>
      <c r="B540" t="s">
        <v>808</v>
      </c>
      <c r="C540">
        <v>20</v>
      </c>
      <c r="D540">
        <v>5</v>
      </c>
      <c r="E540" t="s">
        <v>910</v>
      </c>
      <c r="F540">
        <v>0</v>
      </c>
    </row>
    <row r="541" spans="1:6" x14ac:dyDescent="0.2">
      <c r="A541">
        <v>2018</v>
      </c>
      <c r="B541" t="s">
        <v>808</v>
      </c>
      <c r="C541">
        <v>25</v>
      </c>
      <c r="D541">
        <v>5</v>
      </c>
      <c r="E541" t="s">
        <v>910</v>
      </c>
      <c r="F541">
        <v>0</v>
      </c>
    </row>
    <row r="542" spans="1:6" x14ac:dyDescent="0.2">
      <c r="A542">
        <v>2019</v>
      </c>
      <c r="B542" t="s">
        <v>808</v>
      </c>
      <c r="C542">
        <v>15</v>
      </c>
      <c r="D542">
        <v>10</v>
      </c>
      <c r="E542" t="s">
        <v>243</v>
      </c>
      <c r="F542">
        <v>0</v>
      </c>
    </row>
    <row r="543" spans="1:6" x14ac:dyDescent="0.2">
      <c r="A543">
        <v>2020</v>
      </c>
      <c r="B543" t="s">
        <v>808</v>
      </c>
      <c r="C543">
        <v>20</v>
      </c>
      <c r="D543">
        <v>10</v>
      </c>
      <c r="E543" t="s">
        <v>910</v>
      </c>
      <c r="F543">
        <v>0</v>
      </c>
    </row>
    <row r="544" spans="1:6" x14ac:dyDescent="0.2">
      <c r="A544">
        <v>2021</v>
      </c>
      <c r="B544" t="s">
        <v>808</v>
      </c>
      <c r="C544">
        <v>15</v>
      </c>
      <c r="D544">
        <v>10</v>
      </c>
      <c r="E544" t="s">
        <v>910</v>
      </c>
      <c r="F544">
        <v>0</v>
      </c>
    </row>
    <row r="545" spans="1:6" x14ac:dyDescent="0.2">
      <c r="A545">
        <v>2022</v>
      </c>
      <c r="B545" t="s">
        <v>808</v>
      </c>
      <c r="C545">
        <v>10</v>
      </c>
      <c r="D545">
        <v>5</v>
      </c>
      <c r="E545" t="s">
        <v>910</v>
      </c>
      <c r="F545">
        <v>0</v>
      </c>
    </row>
    <row r="546" spans="1:6" x14ac:dyDescent="0.2">
      <c r="A546">
        <v>2023</v>
      </c>
      <c r="B546" t="s">
        <v>808</v>
      </c>
      <c r="C546">
        <v>10</v>
      </c>
      <c r="D546">
        <v>5</v>
      </c>
      <c r="E546" t="s">
        <v>910</v>
      </c>
      <c r="F546">
        <v>0</v>
      </c>
    </row>
    <row r="547" spans="1:6" x14ac:dyDescent="0.2">
      <c r="A547">
        <v>2024</v>
      </c>
      <c r="B547" t="s">
        <v>808</v>
      </c>
      <c r="C547">
        <v>15</v>
      </c>
      <c r="D547">
        <v>10</v>
      </c>
      <c r="E547" t="s">
        <v>910</v>
      </c>
      <c r="F547">
        <v>0</v>
      </c>
    </row>
    <row r="548" spans="1:6" x14ac:dyDescent="0.2">
      <c r="A548">
        <v>2025</v>
      </c>
      <c r="B548" t="s">
        <v>808</v>
      </c>
      <c r="C548">
        <v>30</v>
      </c>
      <c r="D548">
        <v>10</v>
      </c>
      <c r="E548" t="s">
        <v>274</v>
      </c>
      <c r="F548">
        <v>0</v>
      </c>
    </row>
    <row r="549" spans="1:6" x14ac:dyDescent="0.2">
      <c r="A549">
        <v>2016</v>
      </c>
      <c r="B549" t="s">
        <v>828</v>
      </c>
      <c r="C549">
        <v>260</v>
      </c>
      <c r="D549">
        <v>160</v>
      </c>
      <c r="E549" t="s">
        <v>139</v>
      </c>
      <c r="F549">
        <v>0</v>
      </c>
    </row>
    <row r="550" spans="1:6" x14ac:dyDescent="0.2">
      <c r="A550">
        <v>2017</v>
      </c>
      <c r="B550" t="s">
        <v>828</v>
      </c>
      <c r="C550">
        <v>240</v>
      </c>
      <c r="D550">
        <v>145</v>
      </c>
      <c r="E550" t="s">
        <v>262</v>
      </c>
      <c r="F550">
        <v>0</v>
      </c>
    </row>
    <row r="551" spans="1:6" x14ac:dyDescent="0.2">
      <c r="A551">
        <v>2018</v>
      </c>
      <c r="B551" t="s">
        <v>828</v>
      </c>
      <c r="C551">
        <v>230</v>
      </c>
      <c r="D551">
        <v>150</v>
      </c>
      <c r="E551" t="s">
        <v>111</v>
      </c>
      <c r="F551">
        <v>0</v>
      </c>
    </row>
    <row r="552" spans="1:6" x14ac:dyDescent="0.2">
      <c r="A552">
        <v>2019</v>
      </c>
      <c r="B552" t="s">
        <v>828</v>
      </c>
      <c r="C552">
        <v>230</v>
      </c>
      <c r="D552">
        <v>145</v>
      </c>
      <c r="E552" t="s">
        <v>972</v>
      </c>
      <c r="F552">
        <v>0</v>
      </c>
    </row>
    <row r="553" spans="1:6" x14ac:dyDescent="0.2">
      <c r="A553">
        <v>2020</v>
      </c>
      <c r="B553" t="s">
        <v>828</v>
      </c>
      <c r="C553">
        <v>250</v>
      </c>
      <c r="D553">
        <v>150</v>
      </c>
      <c r="E553" t="s">
        <v>292</v>
      </c>
      <c r="F553">
        <v>0</v>
      </c>
    </row>
    <row r="554" spans="1:6" x14ac:dyDescent="0.2">
      <c r="A554">
        <v>2021</v>
      </c>
      <c r="B554" t="s">
        <v>828</v>
      </c>
      <c r="C554">
        <v>275</v>
      </c>
      <c r="D554">
        <v>180</v>
      </c>
      <c r="E554" t="s">
        <v>316</v>
      </c>
      <c r="F554">
        <v>0</v>
      </c>
    </row>
    <row r="555" spans="1:6" x14ac:dyDescent="0.2">
      <c r="A555">
        <v>2022</v>
      </c>
      <c r="B555" t="s">
        <v>828</v>
      </c>
      <c r="C555">
        <v>675</v>
      </c>
      <c r="D555">
        <v>385</v>
      </c>
      <c r="E555" t="s">
        <v>370</v>
      </c>
      <c r="F555">
        <v>35</v>
      </c>
    </row>
    <row r="556" spans="1:6" x14ac:dyDescent="0.2">
      <c r="A556">
        <v>2023</v>
      </c>
      <c r="B556" t="s">
        <v>828</v>
      </c>
      <c r="C556">
        <v>455</v>
      </c>
      <c r="D556">
        <v>270</v>
      </c>
      <c r="E556" t="s">
        <v>264</v>
      </c>
      <c r="F556">
        <v>5</v>
      </c>
    </row>
    <row r="557" spans="1:6" x14ac:dyDescent="0.2">
      <c r="A557">
        <v>2024</v>
      </c>
      <c r="B557" t="s">
        <v>828</v>
      </c>
      <c r="C557">
        <v>510</v>
      </c>
      <c r="D557">
        <v>330</v>
      </c>
      <c r="E557" t="s">
        <v>973</v>
      </c>
      <c r="F557">
        <v>0</v>
      </c>
    </row>
    <row r="558" spans="1:6" x14ac:dyDescent="0.2">
      <c r="A558">
        <v>2025</v>
      </c>
      <c r="B558" t="s">
        <v>828</v>
      </c>
      <c r="C558">
        <v>460</v>
      </c>
      <c r="D558">
        <v>280</v>
      </c>
      <c r="E558" t="s">
        <v>293</v>
      </c>
      <c r="F558">
        <v>5</v>
      </c>
    </row>
    <row r="559" spans="1:6" x14ac:dyDescent="0.2">
      <c r="A559">
        <v>2016</v>
      </c>
      <c r="B559" t="s">
        <v>835</v>
      </c>
      <c r="C559">
        <v>60</v>
      </c>
      <c r="D559">
        <v>30</v>
      </c>
      <c r="E559" t="s">
        <v>51</v>
      </c>
      <c r="F559">
        <v>0</v>
      </c>
    </row>
    <row r="560" spans="1:6" x14ac:dyDescent="0.2">
      <c r="A560">
        <v>2017</v>
      </c>
      <c r="B560" t="s">
        <v>835</v>
      </c>
      <c r="C560">
        <v>65</v>
      </c>
      <c r="D560">
        <v>30</v>
      </c>
      <c r="E560" t="s">
        <v>284</v>
      </c>
      <c r="F560">
        <v>0</v>
      </c>
    </row>
    <row r="561" spans="1:6" x14ac:dyDescent="0.2">
      <c r="A561">
        <v>2018</v>
      </c>
      <c r="B561" t="s">
        <v>835</v>
      </c>
      <c r="C561">
        <v>60</v>
      </c>
      <c r="D561">
        <v>25</v>
      </c>
      <c r="E561" t="s">
        <v>116</v>
      </c>
      <c r="F561">
        <v>0</v>
      </c>
    </row>
    <row r="562" spans="1:6" x14ac:dyDescent="0.2">
      <c r="A562">
        <v>2019</v>
      </c>
      <c r="B562" t="s">
        <v>835</v>
      </c>
      <c r="C562">
        <v>110</v>
      </c>
      <c r="D562">
        <v>35</v>
      </c>
      <c r="E562" t="s">
        <v>974</v>
      </c>
      <c r="F562">
        <v>0</v>
      </c>
    </row>
    <row r="563" spans="1:6" x14ac:dyDescent="0.2">
      <c r="A563">
        <v>2020</v>
      </c>
      <c r="B563" t="s">
        <v>835</v>
      </c>
      <c r="C563">
        <v>110</v>
      </c>
      <c r="D563">
        <v>55</v>
      </c>
      <c r="E563" t="s">
        <v>328</v>
      </c>
      <c r="F563">
        <v>0</v>
      </c>
    </row>
    <row r="564" spans="1:6" x14ac:dyDescent="0.2">
      <c r="A564">
        <v>2021</v>
      </c>
      <c r="B564" t="s">
        <v>835</v>
      </c>
      <c r="C564">
        <v>235</v>
      </c>
      <c r="D564">
        <v>155</v>
      </c>
      <c r="E564" t="s">
        <v>318</v>
      </c>
      <c r="F564">
        <v>0</v>
      </c>
    </row>
    <row r="565" spans="1:6" x14ac:dyDescent="0.2">
      <c r="A565">
        <v>2022</v>
      </c>
      <c r="B565" t="s">
        <v>835</v>
      </c>
      <c r="C565">
        <v>245</v>
      </c>
      <c r="D565">
        <v>90</v>
      </c>
      <c r="E565" t="s">
        <v>72</v>
      </c>
      <c r="F565">
        <v>5</v>
      </c>
    </row>
    <row r="566" spans="1:6" x14ac:dyDescent="0.2">
      <c r="A566">
        <v>2023</v>
      </c>
      <c r="B566" t="s">
        <v>835</v>
      </c>
      <c r="C566">
        <v>305</v>
      </c>
      <c r="D566">
        <v>85</v>
      </c>
      <c r="E566" t="s">
        <v>975</v>
      </c>
      <c r="F566">
        <v>5</v>
      </c>
    </row>
    <row r="567" spans="1:6" x14ac:dyDescent="0.2">
      <c r="A567">
        <v>2024</v>
      </c>
      <c r="B567" t="s">
        <v>835</v>
      </c>
      <c r="C567">
        <v>435</v>
      </c>
      <c r="D567">
        <v>140</v>
      </c>
      <c r="E567" t="s">
        <v>976</v>
      </c>
      <c r="F567">
        <v>5</v>
      </c>
    </row>
    <row r="568" spans="1:6" x14ac:dyDescent="0.2">
      <c r="A568">
        <v>2025</v>
      </c>
      <c r="B568" t="s">
        <v>835</v>
      </c>
      <c r="C568">
        <v>480</v>
      </c>
      <c r="D568">
        <v>165</v>
      </c>
      <c r="E568" t="s">
        <v>977</v>
      </c>
      <c r="F568">
        <v>5</v>
      </c>
    </row>
    <row r="569" spans="1:6" x14ac:dyDescent="0.2">
      <c r="A569">
        <v>2016</v>
      </c>
      <c r="B569" t="s">
        <v>555</v>
      </c>
      <c r="C569">
        <v>50</v>
      </c>
      <c r="D569">
        <v>20</v>
      </c>
      <c r="E569" t="s">
        <v>978</v>
      </c>
      <c r="F569">
        <v>0</v>
      </c>
    </row>
    <row r="570" spans="1:6" x14ac:dyDescent="0.2">
      <c r="A570">
        <v>2017</v>
      </c>
      <c r="B570" t="s">
        <v>555</v>
      </c>
      <c r="C570">
        <v>65</v>
      </c>
      <c r="D570">
        <v>30</v>
      </c>
      <c r="E570" t="s">
        <v>979</v>
      </c>
      <c r="F570">
        <v>0</v>
      </c>
    </row>
    <row r="571" spans="1:6" x14ac:dyDescent="0.2">
      <c r="A571">
        <v>2018</v>
      </c>
      <c r="B571" t="s">
        <v>555</v>
      </c>
      <c r="C571">
        <v>55</v>
      </c>
      <c r="D571">
        <v>20</v>
      </c>
      <c r="E571" t="s">
        <v>980</v>
      </c>
      <c r="F571">
        <v>0</v>
      </c>
    </row>
    <row r="572" spans="1:6" x14ac:dyDescent="0.2">
      <c r="A572">
        <v>2019</v>
      </c>
      <c r="B572" t="s">
        <v>555</v>
      </c>
      <c r="C572">
        <v>60</v>
      </c>
      <c r="D572">
        <v>30</v>
      </c>
      <c r="E572" t="s">
        <v>187</v>
      </c>
      <c r="F572">
        <v>0</v>
      </c>
    </row>
    <row r="573" spans="1:6" x14ac:dyDescent="0.2">
      <c r="A573">
        <v>2020</v>
      </c>
      <c r="B573" t="s">
        <v>555</v>
      </c>
      <c r="C573">
        <v>55</v>
      </c>
      <c r="D573">
        <v>25</v>
      </c>
      <c r="E573" t="s">
        <v>41</v>
      </c>
      <c r="F573">
        <v>0</v>
      </c>
    </row>
    <row r="574" spans="1:6" x14ac:dyDescent="0.2">
      <c r="A574">
        <v>2021</v>
      </c>
      <c r="B574" t="s">
        <v>555</v>
      </c>
      <c r="C574">
        <v>65</v>
      </c>
      <c r="D574">
        <v>25</v>
      </c>
      <c r="E574" t="s">
        <v>305</v>
      </c>
      <c r="F574">
        <v>0</v>
      </c>
    </row>
    <row r="575" spans="1:6" x14ac:dyDescent="0.2">
      <c r="A575">
        <v>2022</v>
      </c>
      <c r="B575" t="s">
        <v>555</v>
      </c>
      <c r="C575">
        <v>50</v>
      </c>
      <c r="D575">
        <v>25</v>
      </c>
      <c r="E575" t="s">
        <v>81</v>
      </c>
      <c r="F575">
        <v>0</v>
      </c>
    </row>
    <row r="576" spans="1:6" x14ac:dyDescent="0.2">
      <c r="A576">
        <v>2023</v>
      </c>
      <c r="B576" t="s">
        <v>555</v>
      </c>
      <c r="C576">
        <v>105</v>
      </c>
      <c r="D576">
        <v>35</v>
      </c>
      <c r="E576" t="s">
        <v>288</v>
      </c>
      <c r="F576">
        <v>0</v>
      </c>
    </row>
    <row r="577" spans="1:6" x14ac:dyDescent="0.2">
      <c r="A577">
        <v>2024</v>
      </c>
      <c r="B577" t="s">
        <v>555</v>
      </c>
      <c r="C577">
        <v>140</v>
      </c>
      <c r="D577">
        <v>60</v>
      </c>
      <c r="E577" t="s">
        <v>981</v>
      </c>
      <c r="F577">
        <v>0</v>
      </c>
    </row>
    <row r="578" spans="1:6" x14ac:dyDescent="0.2">
      <c r="A578">
        <v>2025</v>
      </c>
      <c r="B578" t="s">
        <v>555</v>
      </c>
      <c r="C578">
        <v>120</v>
      </c>
      <c r="D578">
        <v>45</v>
      </c>
      <c r="E578" t="s">
        <v>982</v>
      </c>
      <c r="F578">
        <v>0</v>
      </c>
    </row>
    <row r="579" spans="1:6" x14ac:dyDescent="0.2">
      <c r="A579">
        <v>2016</v>
      </c>
      <c r="B579" t="s">
        <v>464</v>
      </c>
      <c r="C579">
        <v>30</v>
      </c>
      <c r="D579">
        <v>10</v>
      </c>
      <c r="E579" t="s">
        <v>353</v>
      </c>
      <c r="F579">
        <v>0</v>
      </c>
    </row>
    <row r="580" spans="1:6" x14ac:dyDescent="0.2">
      <c r="A580">
        <v>2017</v>
      </c>
      <c r="B580" t="s">
        <v>464</v>
      </c>
      <c r="C580">
        <v>20</v>
      </c>
      <c r="D580">
        <v>5</v>
      </c>
      <c r="E580" t="s">
        <v>910</v>
      </c>
      <c r="F580">
        <v>0</v>
      </c>
    </row>
    <row r="581" spans="1:6" x14ac:dyDescent="0.2">
      <c r="A581">
        <v>2018</v>
      </c>
      <c r="B581" t="s">
        <v>464</v>
      </c>
      <c r="C581">
        <v>25</v>
      </c>
      <c r="D581">
        <v>10</v>
      </c>
      <c r="E581" t="s">
        <v>289</v>
      </c>
      <c r="F581">
        <v>0</v>
      </c>
    </row>
    <row r="582" spans="1:6" x14ac:dyDescent="0.2">
      <c r="A582">
        <v>2019</v>
      </c>
      <c r="B582" t="s">
        <v>464</v>
      </c>
      <c r="C582">
        <v>25</v>
      </c>
      <c r="D582">
        <v>10</v>
      </c>
      <c r="E582" t="s">
        <v>910</v>
      </c>
      <c r="F582">
        <v>0</v>
      </c>
    </row>
    <row r="583" spans="1:6" x14ac:dyDescent="0.2">
      <c r="A583">
        <v>2020</v>
      </c>
      <c r="B583" t="s">
        <v>464</v>
      </c>
      <c r="C583">
        <v>20</v>
      </c>
      <c r="D583">
        <v>10</v>
      </c>
      <c r="E583" t="s">
        <v>147</v>
      </c>
      <c r="F583">
        <v>0</v>
      </c>
    </row>
    <row r="584" spans="1:6" x14ac:dyDescent="0.2">
      <c r="A584">
        <v>2021</v>
      </c>
      <c r="B584" t="s">
        <v>464</v>
      </c>
      <c r="C584">
        <v>25</v>
      </c>
      <c r="D584">
        <v>5</v>
      </c>
      <c r="E584" t="s">
        <v>910</v>
      </c>
      <c r="F584">
        <v>0</v>
      </c>
    </row>
    <row r="585" spans="1:6" x14ac:dyDescent="0.2">
      <c r="A585">
        <v>2022</v>
      </c>
      <c r="B585" t="s">
        <v>464</v>
      </c>
      <c r="C585">
        <v>25</v>
      </c>
      <c r="D585">
        <v>5</v>
      </c>
      <c r="E585" t="s">
        <v>910</v>
      </c>
      <c r="F585">
        <v>0</v>
      </c>
    </row>
    <row r="586" spans="1:6" x14ac:dyDescent="0.2">
      <c r="A586">
        <v>2023</v>
      </c>
      <c r="B586" t="s">
        <v>464</v>
      </c>
      <c r="C586">
        <v>20</v>
      </c>
      <c r="D586">
        <v>5</v>
      </c>
      <c r="E586" t="s">
        <v>910</v>
      </c>
      <c r="F586">
        <v>0</v>
      </c>
    </row>
    <row r="587" spans="1:6" x14ac:dyDescent="0.2">
      <c r="A587">
        <v>2024</v>
      </c>
      <c r="B587" t="s">
        <v>464</v>
      </c>
      <c r="C587">
        <v>25</v>
      </c>
      <c r="D587">
        <v>10</v>
      </c>
      <c r="E587" t="s">
        <v>244</v>
      </c>
      <c r="F587">
        <v>0</v>
      </c>
    </row>
    <row r="588" spans="1:6" x14ac:dyDescent="0.2">
      <c r="A588">
        <v>2025</v>
      </c>
      <c r="B588" t="s">
        <v>464</v>
      </c>
      <c r="C588">
        <v>20</v>
      </c>
      <c r="D588">
        <v>5</v>
      </c>
      <c r="E588" t="s">
        <v>910</v>
      </c>
      <c r="F588">
        <v>0</v>
      </c>
    </row>
    <row r="589" spans="1:6" x14ac:dyDescent="0.2">
      <c r="A589">
        <v>2016</v>
      </c>
      <c r="B589" t="s">
        <v>539</v>
      </c>
      <c r="C589">
        <v>5</v>
      </c>
      <c r="D589">
        <v>5</v>
      </c>
      <c r="E589" t="s">
        <v>910</v>
      </c>
      <c r="F589">
        <v>0</v>
      </c>
    </row>
    <row r="590" spans="1:6" x14ac:dyDescent="0.2">
      <c r="A590">
        <v>2017</v>
      </c>
      <c r="B590" t="s">
        <v>539</v>
      </c>
      <c r="C590">
        <v>10</v>
      </c>
      <c r="D590">
        <v>5</v>
      </c>
      <c r="E590" t="s">
        <v>910</v>
      </c>
      <c r="F590">
        <v>0</v>
      </c>
    </row>
    <row r="591" spans="1:6" x14ac:dyDescent="0.2">
      <c r="A591">
        <v>2018</v>
      </c>
      <c r="B591" t="s">
        <v>539</v>
      </c>
      <c r="C591">
        <v>10</v>
      </c>
      <c r="D591">
        <v>5</v>
      </c>
      <c r="E591" t="s">
        <v>910</v>
      </c>
      <c r="F591">
        <v>0</v>
      </c>
    </row>
    <row r="592" spans="1:6" x14ac:dyDescent="0.2">
      <c r="A592">
        <v>2019</v>
      </c>
      <c r="B592" t="s">
        <v>539</v>
      </c>
      <c r="C592">
        <v>5</v>
      </c>
      <c r="D592">
        <v>0</v>
      </c>
      <c r="E592" t="s">
        <v>910</v>
      </c>
      <c r="F592">
        <v>0</v>
      </c>
    </row>
    <row r="593" spans="1:6" x14ac:dyDescent="0.2">
      <c r="A593">
        <v>2020</v>
      </c>
      <c r="B593" t="s">
        <v>539</v>
      </c>
      <c r="C593">
        <v>5</v>
      </c>
      <c r="D593">
        <v>5</v>
      </c>
      <c r="E593" t="s">
        <v>910</v>
      </c>
      <c r="F593">
        <v>0</v>
      </c>
    </row>
    <row r="594" spans="1:6" x14ac:dyDescent="0.2">
      <c r="A594">
        <v>2021</v>
      </c>
      <c r="B594" t="s">
        <v>539</v>
      </c>
      <c r="C594">
        <v>5</v>
      </c>
      <c r="D594">
        <v>0</v>
      </c>
      <c r="E594" t="s">
        <v>910</v>
      </c>
      <c r="F594">
        <v>0</v>
      </c>
    </row>
    <row r="595" spans="1:6" x14ac:dyDescent="0.2">
      <c r="A595">
        <v>2024</v>
      </c>
      <c r="B595" t="s">
        <v>539</v>
      </c>
      <c r="C595">
        <v>5</v>
      </c>
      <c r="D595">
        <v>0</v>
      </c>
      <c r="E595" t="s">
        <v>910</v>
      </c>
      <c r="F595">
        <v>0</v>
      </c>
    </row>
    <row r="596" spans="1:6" x14ac:dyDescent="0.2">
      <c r="A596">
        <v>2025</v>
      </c>
      <c r="B596" t="s">
        <v>539</v>
      </c>
      <c r="C596">
        <v>5</v>
      </c>
      <c r="D596">
        <v>0</v>
      </c>
      <c r="E596" t="s">
        <v>910</v>
      </c>
      <c r="F596">
        <v>0</v>
      </c>
    </row>
    <row r="597" spans="1:6" x14ac:dyDescent="0.2">
      <c r="A597">
        <v>2016</v>
      </c>
      <c r="B597" t="s">
        <v>679</v>
      </c>
      <c r="C597">
        <v>55</v>
      </c>
      <c r="D597">
        <v>25</v>
      </c>
      <c r="E597" t="s">
        <v>133</v>
      </c>
      <c r="F597">
        <v>0</v>
      </c>
    </row>
    <row r="598" spans="1:6" x14ac:dyDescent="0.2">
      <c r="A598">
        <v>2017</v>
      </c>
      <c r="B598" t="s">
        <v>679</v>
      </c>
      <c r="C598">
        <v>50</v>
      </c>
      <c r="D598">
        <v>15</v>
      </c>
      <c r="E598" t="s">
        <v>983</v>
      </c>
      <c r="F598">
        <v>0</v>
      </c>
    </row>
    <row r="599" spans="1:6" x14ac:dyDescent="0.2">
      <c r="A599">
        <v>2018</v>
      </c>
      <c r="B599" t="s">
        <v>679</v>
      </c>
      <c r="C599">
        <v>60</v>
      </c>
      <c r="D599">
        <v>20</v>
      </c>
      <c r="E599" t="s">
        <v>976</v>
      </c>
      <c r="F599">
        <v>0</v>
      </c>
    </row>
    <row r="600" spans="1:6" x14ac:dyDescent="0.2">
      <c r="A600">
        <v>2019</v>
      </c>
      <c r="B600" t="s">
        <v>679</v>
      </c>
      <c r="C600">
        <v>55</v>
      </c>
      <c r="D600">
        <v>30</v>
      </c>
      <c r="E600" t="s">
        <v>193</v>
      </c>
      <c r="F600">
        <v>0</v>
      </c>
    </row>
    <row r="601" spans="1:6" x14ac:dyDescent="0.2">
      <c r="A601">
        <v>2020</v>
      </c>
      <c r="B601" t="s">
        <v>679</v>
      </c>
      <c r="C601">
        <v>50</v>
      </c>
      <c r="D601">
        <v>20</v>
      </c>
      <c r="E601" t="s">
        <v>984</v>
      </c>
      <c r="F601">
        <v>0</v>
      </c>
    </row>
    <row r="602" spans="1:6" x14ac:dyDescent="0.2">
      <c r="A602">
        <v>2021</v>
      </c>
      <c r="B602" t="s">
        <v>679</v>
      </c>
      <c r="C602">
        <v>60</v>
      </c>
      <c r="D602">
        <v>15</v>
      </c>
      <c r="E602" t="s">
        <v>971</v>
      </c>
      <c r="F602">
        <v>0</v>
      </c>
    </row>
    <row r="603" spans="1:6" x14ac:dyDescent="0.2">
      <c r="A603">
        <v>2022</v>
      </c>
      <c r="B603" t="s">
        <v>679</v>
      </c>
      <c r="C603">
        <v>85</v>
      </c>
      <c r="D603">
        <v>25</v>
      </c>
      <c r="E603" t="s">
        <v>985</v>
      </c>
      <c r="F603">
        <v>0</v>
      </c>
    </row>
    <row r="604" spans="1:6" x14ac:dyDescent="0.2">
      <c r="A604">
        <v>2023</v>
      </c>
      <c r="B604" t="s">
        <v>679</v>
      </c>
      <c r="C604">
        <v>65</v>
      </c>
      <c r="D604">
        <v>15</v>
      </c>
      <c r="E604" t="s">
        <v>986</v>
      </c>
      <c r="F604">
        <v>0</v>
      </c>
    </row>
    <row r="605" spans="1:6" x14ac:dyDescent="0.2">
      <c r="A605">
        <v>2024</v>
      </c>
      <c r="B605" t="s">
        <v>679</v>
      </c>
      <c r="C605">
        <v>60</v>
      </c>
      <c r="D605">
        <v>15</v>
      </c>
      <c r="E605" t="s">
        <v>987</v>
      </c>
      <c r="F605">
        <v>0</v>
      </c>
    </row>
    <row r="606" spans="1:6" x14ac:dyDescent="0.2">
      <c r="A606">
        <v>2025</v>
      </c>
      <c r="B606" t="s">
        <v>679</v>
      </c>
      <c r="C606">
        <v>65</v>
      </c>
      <c r="D606">
        <v>25</v>
      </c>
      <c r="E606" t="s">
        <v>988</v>
      </c>
      <c r="F606">
        <v>0</v>
      </c>
    </row>
    <row r="607" spans="1:6" x14ac:dyDescent="0.2">
      <c r="A607">
        <v>2016</v>
      </c>
      <c r="B607" t="s">
        <v>426</v>
      </c>
      <c r="C607">
        <v>10</v>
      </c>
      <c r="D607">
        <v>5</v>
      </c>
      <c r="E607" t="s">
        <v>910</v>
      </c>
      <c r="F607">
        <v>0</v>
      </c>
    </row>
    <row r="608" spans="1:6" x14ac:dyDescent="0.2">
      <c r="A608">
        <v>2019</v>
      </c>
      <c r="B608" t="s">
        <v>426</v>
      </c>
      <c r="C608">
        <v>5</v>
      </c>
      <c r="D608">
        <v>0</v>
      </c>
      <c r="E608" t="s">
        <v>910</v>
      </c>
      <c r="F608">
        <v>0</v>
      </c>
    </row>
    <row r="609" spans="1:6" x14ac:dyDescent="0.2">
      <c r="A609">
        <v>2025</v>
      </c>
      <c r="B609" t="s">
        <v>675</v>
      </c>
      <c r="C609">
        <v>5</v>
      </c>
      <c r="D609">
        <v>5</v>
      </c>
      <c r="E609" t="s">
        <v>910</v>
      </c>
      <c r="F609">
        <v>0</v>
      </c>
    </row>
    <row r="610" spans="1:6" x14ac:dyDescent="0.2">
      <c r="A610">
        <v>2016</v>
      </c>
      <c r="B610" t="s">
        <v>687</v>
      </c>
      <c r="C610">
        <v>25</v>
      </c>
      <c r="D610">
        <v>10</v>
      </c>
      <c r="E610" t="s">
        <v>910</v>
      </c>
      <c r="F610">
        <v>0</v>
      </c>
    </row>
    <row r="611" spans="1:6" x14ac:dyDescent="0.2">
      <c r="A611">
        <v>2017</v>
      </c>
      <c r="B611" t="s">
        <v>687</v>
      </c>
      <c r="C611">
        <v>25</v>
      </c>
      <c r="D611">
        <v>10</v>
      </c>
      <c r="E611" t="s">
        <v>979</v>
      </c>
      <c r="F611">
        <v>0</v>
      </c>
    </row>
    <row r="612" spans="1:6" x14ac:dyDescent="0.2">
      <c r="A612">
        <v>2018</v>
      </c>
      <c r="B612" t="s">
        <v>687</v>
      </c>
      <c r="C612">
        <v>20</v>
      </c>
      <c r="D612">
        <v>10</v>
      </c>
      <c r="E612" t="s">
        <v>910</v>
      </c>
      <c r="F612">
        <v>0</v>
      </c>
    </row>
    <row r="613" spans="1:6" x14ac:dyDescent="0.2">
      <c r="A613">
        <v>2019</v>
      </c>
      <c r="B613" t="s">
        <v>687</v>
      </c>
      <c r="C613">
        <v>15</v>
      </c>
      <c r="D613">
        <v>5</v>
      </c>
      <c r="E613" t="s">
        <v>910</v>
      </c>
      <c r="F613">
        <v>0</v>
      </c>
    </row>
    <row r="614" spans="1:6" x14ac:dyDescent="0.2">
      <c r="A614">
        <v>2020</v>
      </c>
      <c r="B614" t="s">
        <v>687</v>
      </c>
      <c r="C614">
        <v>20</v>
      </c>
      <c r="D614">
        <v>5</v>
      </c>
      <c r="E614" t="s">
        <v>910</v>
      </c>
      <c r="F614">
        <v>0</v>
      </c>
    </row>
    <row r="615" spans="1:6" x14ac:dyDescent="0.2">
      <c r="A615">
        <v>2021</v>
      </c>
      <c r="B615" t="s">
        <v>687</v>
      </c>
      <c r="C615">
        <v>15</v>
      </c>
      <c r="D615">
        <v>5</v>
      </c>
      <c r="E615" t="s">
        <v>910</v>
      </c>
      <c r="F615">
        <v>0</v>
      </c>
    </row>
    <row r="616" spans="1:6" x14ac:dyDescent="0.2">
      <c r="A616">
        <v>2022</v>
      </c>
      <c r="B616" t="s">
        <v>687</v>
      </c>
      <c r="C616">
        <v>20</v>
      </c>
      <c r="D616">
        <v>5</v>
      </c>
      <c r="E616" t="s">
        <v>910</v>
      </c>
      <c r="F616">
        <v>0</v>
      </c>
    </row>
    <row r="617" spans="1:6" x14ac:dyDescent="0.2">
      <c r="A617">
        <v>2023</v>
      </c>
      <c r="B617" t="s">
        <v>687</v>
      </c>
      <c r="C617">
        <v>20</v>
      </c>
      <c r="D617">
        <v>5</v>
      </c>
      <c r="E617" t="s">
        <v>910</v>
      </c>
      <c r="F617">
        <v>0</v>
      </c>
    </row>
    <row r="618" spans="1:6" x14ac:dyDescent="0.2">
      <c r="A618">
        <v>2024</v>
      </c>
      <c r="B618" t="s">
        <v>687</v>
      </c>
      <c r="C618">
        <v>20</v>
      </c>
      <c r="D618">
        <v>10</v>
      </c>
      <c r="E618" t="s">
        <v>910</v>
      </c>
      <c r="F618">
        <v>0</v>
      </c>
    </row>
    <row r="619" spans="1:6" x14ac:dyDescent="0.2">
      <c r="A619">
        <v>2025</v>
      </c>
      <c r="B619" t="s">
        <v>687</v>
      </c>
      <c r="C619">
        <v>30</v>
      </c>
      <c r="D619">
        <v>10</v>
      </c>
      <c r="E619" t="s">
        <v>133</v>
      </c>
      <c r="F619">
        <v>0</v>
      </c>
    </row>
    <row r="620" spans="1:6" x14ac:dyDescent="0.2">
      <c r="A620">
        <v>2016</v>
      </c>
      <c r="B620" t="s">
        <v>547</v>
      </c>
      <c r="C620">
        <v>35</v>
      </c>
      <c r="D620">
        <v>20</v>
      </c>
      <c r="E620" t="s">
        <v>27</v>
      </c>
      <c r="F620">
        <v>0</v>
      </c>
    </row>
    <row r="621" spans="1:6" x14ac:dyDescent="0.2">
      <c r="A621">
        <v>2017</v>
      </c>
      <c r="B621" t="s">
        <v>547</v>
      </c>
      <c r="C621">
        <v>40</v>
      </c>
      <c r="D621">
        <v>25</v>
      </c>
      <c r="E621" t="s">
        <v>989</v>
      </c>
      <c r="F621">
        <v>0</v>
      </c>
    </row>
    <row r="622" spans="1:6" x14ac:dyDescent="0.2">
      <c r="A622">
        <v>2018</v>
      </c>
      <c r="B622" t="s">
        <v>547</v>
      </c>
      <c r="C622">
        <v>30</v>
      </c>
      <c r="D622">
        <v>20</v>
      </c>
      <c r="E622" t="s">
        <v>990</v>
      </c>
      <c r="F622">
        <v>0</v>
      </c>
    </row>
    <row r="623" spans="1:6" x14ac:dyDescent="0.2">
      <c r="A623">
        <v>2019</v>
      </c>
      <c r="B623" t="s">
        <v>547</v>
      </c>
      <c r="C623">
        <v>30</v>
      </c>
      <c r="D623">
        <v>25</v>
      </c>
      <c r="E623" t="s">
        <v>891</v>
      </c>
      <c r="F623">
        <v>0</v>
      </c>
    </row>
    <row r="624" spans="1:6" x14ac:dyDescent="0.2">
      <c r="A624">
        <v>2020</v>
      </c>
      <c r="B624" t="s">
        <v>547</v>
      </c>
      <c r="C624">
        <v>15</v>
      </c>
      <c r="D624">
        <v>10</v>
      </c>
      <c r="E624" t="s">
        <v>910</v>
      </c>
      <c r="F624">
        <v>0</v>
      </c>
    </row>
    <row r="625" spans="1:6" x14ac:dyDescent="0.2">
      <c r="A625">
        <v>2021</v>
      </c>
      <c r="B625" t="s">
        <v>547</v>
      </c>
      <c r="C625">
        <v>10</v>
      </c>
      <c r="D625">
        <v>5</v>
      </c>
      <c r="E625" t="s">
        <v>910</v>
      </c>
      <c r="F625">
        <v>0</v>
      </c>
    </row>
    <row r="626" spans="1:6" x14ac:dyDescent="0.2">
      <c r="A626">
        <v>2022</v>
      </c>
      <c r="B626" t="s">
        <v>547</v>
      </c>
      <c r="C626">
        <v>5</v>
      </c>
      <c r="D626">
        <v>0</v>
      </c>
      <c r="E626" t="s">
        <v>910</v>
      </c>
      <c r="F626">
        <v>0</v>
      </c>
    </row>
    <row r="627" spans="1:6" x14ac:dyDescent="0.2">
      <c r="A627">
        <v>2023</v>
      </c>
      <c r="B627" t="s">
        <v>547</v>
      </c>
      <c r="C627">
        <v>15</v>
      </c>
      <c r="D627">
        <v>5</v>
      </c>
      <c r="E627" t="s">
        <v>910</v>
      </c>
      <c r="F627">
        <v>0</v>
      </c>
    </row>
    <row r="628" spans="1:6" x14ac:dyDescent="0.2">
      <c r="A628">
        <v>2024</v>
      </c>
      <c r="B628" t="s">
        <v>547</v>
      </c>
      <c r="C628">
        <v>10</v>
      </c>
      <c r="D628">
        <v>0</v>
      </c>
      <c r="E628" t="s">
        <v>910</v>
      </c>
      <c r="F628">
        <v>0</v>
      </c>
    </row>
    <row r="629" spans="1:6" x14ac:dyDescent="0.2">
      <c r="A629">
        <v>2025</v>
      </c>
      <c r="B629" t="s">
        <v>547</v>
      </c>
      <c r="C629">
        <v>5</v>
      </c>
      <c r="D629">
        <v>0</v>
      </c>
      <c r="E629" t="s">
        <v>910</v>
      </c>
      <c r="F629">
        <v>0</v>
      </c>
    </row>
    <row r="630" spans="1:6" x14ac:dyDescent="0.2">
      <c r="A630">
        <v>2016</v>
      </c>
      <c r="B630" t="s">
        <v>991</v>
      </c>
      <c r="C630">
        <v>45</v>
      </c>
      <c r="D630">
        <v>15</v>
      </c>
      <c r="E630" t="s">
        <v>992</v>
      </c>
      <c r="F630">
        <v>0</v>
      </c>
    </row>
    <row r="631" spans="1:6" x14ac:dyDescent="0.2">
      <c r="A631">
        <v>2017</v>
      </c>
      <c r="B631" t="s">
        <v>991</v>
      </c>
      <c r="C631">
        <v>55</v>
      </c>
      <c r="D631">
        <v>25</v>
      </c>
      <c r="E631" t="s">
        <v>115</v>
      </c>
      <c r="F631">
        <v>0</v>
      </c>
    </row>
    <row r="632" spans="1:6" x14ac:dyDescent="0.2">
      <c r="A632">
        <v>2018</v>
      </c>
      <c r="B632" t="s">
        <v>991</v>
      </c>
      <c r="C632">
        <v>60</v>
      </c>
      <c r="D632">
        <v>15</v>
      </c>
      <c r="E632" t="s">
        <v>993</v>
      </c>
      <c r="F632">
        <v>0</v>
      </c>
    </row>
    <row r="633" spans="1:6" x14ac:dyDescent="0.2">
      <c r="A633">
        <v>2019</v>
      </c>
      <c r="B633" t="s">
        <v>991</v>
      </c>
      <c r="C633">
        <v>50</v>
      </c>
      <c r="D633">
        <v>15</v>
      </c>
      <c r="E633" t="s">
        <v>356</v>
      </c>
      <c r="F633">
        <v>0</v>
      </c>
    </row>
    <row r="634" spans="1:6" x14ac:dyDescent="0.2">
      <c r="A634">
        <v>2020</v>
      </c>
      <c r="B634" t="s">
        <v>991</v>
      </c>
      <c r="C634">
        <v>55</v>
      </c>
      <c r="D634">
        <v>20</v>
      </c>
      <c r="E634" t="s">
        <v>402</v>
      </c>
      <c r="F634">
        <v>0</v>
      </c>
    </row>
    <row r="635" spans="1:6" x14ac:dyDescent="0.2">
      <c r="A635">
        <v>2021</v>
      </c>
      <c r="B635" t="s">
        <v>991</v>
      </c>
      <c r="C635">
        <v>50</v>
      </c>
      <c r="D635">
        <v>20</v>
      </c>
      <c r="E635" t="s">
        <v>349</v>
      </c>
      <c r="F635">
        <v>0</v>
      </c>
    </row>
    <row r="636" spans="1:6" x14ac:dyDescent="0.2">
      <c r="A636">
        <v>2022</v>
      </c>
      <c r="B636" t="s">
        <v>991</v>
      </c>
      <c r="C636">
        <v>45</v>
      </c>
      <c r="D636">
        <v>15</v>
      </c>
      <c r="E636" t="s">
        <v>330</v>
      </c>
      <c r="F636">
        <v>0</v>
      </c>
    </row>
    <row r="637" spans="1:6" x14ac:dyDescent="0.2">
      <c r="A637">
        <v>2023</v>
      </c>
      <c r="B637" t="s">
        <v>991</v>
      </c>
      <c r="C637">
        <v>60</v>
      </c>
      <c r="D637">
        <v>20</v>
      </c>
      <c r="E637" t="s">
        <v>279</v>
      </c>
      <c r="F637">
        <v>0</v>
      </c>
    </row>
    <row r="638" spans="1:6" x14ac:dyDescent="0.2">
      <c r="A638">
        <v>2024</v>
      </c>
      <c r="B638" t="s">
        <v>991</v>
      </c>
      <c r="C638">
        <v>110</v>
      </c>
      <c r="D638">
        <v>15</v>
      </c>
      <c r="E638" t="s">
        <v>994</v>
      </c>
      <c r="F638">
        <v>10</v>
      </c>
    </row>
    <row r="639" spans="1:6" x14ac:dyDescent="0.2">
      <c r="A639">
        <v>2025</v>
      </c>
      <c r="B639" t="s">
        <v>991</v>
      </c>
      <c r="C639">
        <v>155</v>
      </c>
      <c r="D639">
        <v>50</v>
      </c>
      <c r="E639" t="s">
        <v>995</v>
      </c>
      <c r="F639">
        <v>10</v>
      </c>
    </row>
    <row r="640" spans="1:6" x14ac:dyDescent="0.2">
      <c r="A640">
        <v>2021</v>
      </c>
      <c r="B640" t="s">
        <v>996</v>
      </c>
      <c r="C640">
        <v>10</v>
      </c>
      <c r="D640">
        <v>5</v>
      </c>
      <c r="E640" t="s">
        <v>910</v>
      </c>
      <c r="F640">
        <v>0</v>
      </c>
    </row>
    <row r="641" spans="1:6" x14ac:dyDescent="0.2">
      <c r="A641">
        <v>2022</v>
      </c>
      <c r="B641" t="s">
        <v>996</v>
      </c>
      <c r="C641">
        <v>5</v>
      </c>
      <c r="D641">
        <v>5</v>
      </c>
      <c r="E641" t="s">
        <v>910</v>
      </c>
      <c r="F641">
        <v>0</v>
      </c>
    </row>
    <row r="642" spans="1:6" x14ac:dyDescent="0.2">
      <c r="A642">
        <v>2019</v>
      </c>
      <c r="B642" t="s">
        <v>691</v>
      </c>
      <c r="C642">
        <v>5</v>
      </c>
      <c r="D642">
        <v>5</v>
      </c>
      <c r="E642" t="s">
        <v>910</v>
      </c>
      <c r="F642">
        <v>0</v>
      </c>
    </row>
    <row r="643" spans="1:6" x14ac:dyDescent="0.2">
      <c r="A643">
        <v>2018</v>
      </c>
      <c r="B643" t="s">
        <v>729</v>
      </c>
      <c r="C643">
        <v>5</v>
      </c>
      <c r="D643">
        <v>5</v>
      </c>
      <c r="E643" t="s">
        <v>910</v>
      </c>
      <c r="F643">
        <v>0</v>
      </c>
    </row>
    <row r="644" spans="1:6" x14ac:dyDescent="0.2">
      <c r="A644">
        <v>2016</v>
      </c>
      <c r="B644" t="s">
        <v>853</v>
      </c>
      <c r="C644">
        <v>25</v>
      </c>
      <c r="D644">
        <v>5</v>
      </c>
      <c r="E644" t="s">
        <v>910</v>
      </c>
      <c r="F644">
        <v>0</v>
      </c>
    </row>
    <row r="645" spans="1:6" x14ac:dyDescent="0.2">
      <c r="A645">
        <v>2017</v>
      </c>
      <c r="B645" t="s">
        <v>853</v>
      </c>
      <c r="C645">
        <v>25</v>
      </c>
      <c r="D645">
        <v>5</v>
      </c>
      <c r="E645" t="s">
        <v>910</v>
      </c>
      <c r="F645">
        <v>0</v>
      </c>
    </row>
    <row r="646" spans="1:6" x14ac:dyDescent="0.2">
      <c r="A646">
        <v>2018</v>
      </c>
      <c r="B646" t="s">
        <v>853</v>
      </c>
      <c r="C646">
        <v>20</v>
      </c>
      <c r="D646">
        <v>10</v>
      </c>
      <c r="E646" t="s">
        <v>27</v>
      </c>
      <c r="F646">
        <v>0</v>
      </c>
    </row>
    <row r="647" spans="1:6" x14ac:dyDescent="0.2">
      <c r="A647">
        <v>2019</v>
      </c>
      <c r="B647" t="s">
        <v>853</v>
      </c>
      <c r="C647">
        <v>30</v>
      </c>
      <c r="D647">
        <v>10</v>
      </c>
      <c r="E647" t="s">
        <v>274</v>
      </c>
      <c r="F647">
        <v>0</v>
      </c>
    </row>
    <row r="648" spans="1:6" x14ac:dyDescent="0.2">
      <c r="A648">
        <v>2020</v>
      </c>
      <c r="B648" t="s">
        <v>853</v>
      </c>
      <c r="C648">
        <v>30</v>
      </c>
      <c r="D648">
        <v>10</v>
      </c>
      <c r="E648" t="s">
        <v>977</v>
      </c>
      <c r="F648">
        <v>0</v>
      </c>
    </row>
    <row r="649" spans="1:6" x14ac:dyDescent="0.2">
      <c r="A649">
        <v>2021</v>
      </c>
      <c r="B649" t="s">
        <v>853</v>
      </c>
      <c r="C649">
        <v>35</v>
      </c>
      <c r="D649">
        <v>10</v>
      </c>
      <c r="E649" t="s">
        <v>910</v>
      </c>
      <c r="F649">
        <v>0</v>
      </c>
    </row>
    <row r="650" spans="1:6" x14ac:dyDescent="0.2">
      <c r="A650">
        <v>2022</v>
      </c>
      <c r="B650" t="s">
        <v>853</v>
      </c>
      <c r="C650">
        <v>40</v>
      </c>
      <c r="D650">
        <v>15</v>
      </c>
      <c r="E650" t="s">
        <v>218</v>
      </c>
      <c r="F650">
        <v>0</v>
      </c>
    </row>
    <row r="651" spans="1:6" x14ac:dyDescent="0.2">
      <c r="A651">
        <v>2023</v>
      </c>
      <c r="B651" t="s">
        <v>853</v>
      </c>
      <c r="C651">
        <v>25</v>
      </c>
      <c r="D651">
        <v>10</v>
      </c>
      <c r="E651" t="s">
        <v>997</v>
      </c>
      <c r="F651">
        <v>0</v>
      </c>
    </row>
    <row r="652" spans="1:6" x14ac:dyDescent="0.2">
      <c r="A652">
        <v>2024</v>
      </c>
      <c r="B652" t="s">
        <v>853</v>
      </c>
      <c r="C652">
        <v>30</v>
      </c>
      <c r="D652">
        <v>5</v>
      </c>
      <c r="E652" t="s">
        <v>910</v>
      </c>
      <c r="F652">
        <v>0</v>
      </c>
    </row>
    <row r="653" spans="1:6" x14ac:dyDescent="0.2">
      <c r="A653">
        <v>2025</v>
      </c>
      <c r="B653" t="s">
        <v>853</v>
      </c>
      <c r="C653">
        <v>25</v>
      </c>
      <c r="D653">
        <v>5</v>
      </c>
      <c r="E653" t="s">
        <v>910</v>
      </c>
      <c r="F653">
        <v>0</v>
      </c>
    </row>
    <row r="654" spans="1:6" x14ac:dyDescent="0.2">
      <c r="A654">
        <v>2016</v>
      </c>
      <c r="B654" t="s">
        <v>998</v>
      </c>
      <c r="C654">
        <v>30</v>
      </c>
      <c r="D654">
        <v>15</v>
      </c>
      <c r="E654" t="s">
        <v>157</v>
      </c>
      <c r="F654">
        <v>0</v>
      </c>
    </row>
    <row r="655" spans="1:6" x14ac:dyDescent="0.2">
      <c r="A655">
        <v>2017</v>
      </c>
      <c r="B655" t="s">
        <v>998</v>
      </c>
      <c r="C655">
        <v>20</v>
      </c>
      <c r="D655">
        <v>10</v>
      </c>
      <c r="E655" t="s">
        <v>187</v>
      </c>
      <c r="F655">
        <v>0</v>
      </c>
    </row>
    <row r="656" spans="1:6" x14ac:dyDescent="0.2">
      <c r="A656">
        <v>2018</v>
      </c>
      <c r="B656" t="s">
        <v>998</v>
      </c>
      <c r="C656">
        <v>40</v>
      </c>
      <c r="D656">
        <v>25</v>
      </c>
      <c r="E656" t="s">
        <v>215</v>
      </c>
      <c r="F656">
        <v>0</v>
      </c>
    </row>
    <row r="657" spans="1:6" x14ac:dyDescent="0.2">
      <c r="A657">
        <v>2019</v>
      </c>
      <c r="B657" t="s">
        <v>998</v>
      </c>
      <c r="C657">
        <v>25</v>
      </c>
      <c r="D657">
        <v>15</v>
      </c>
      <c r="E657" t="s">
        <v>187</v>
      </c>
      <c r="F657">
        <v>0</v>
      </c>
    </row>
    <row r="658" spans="1:6" x14ac:dyDescent="0.2">
      <c r="A658">
        <v>2020</v>
      </c>
      <c r="B658" t="s">
        <v>998</v>
      </c>
      <c r="C658">
        <v>25</v>
      </c>
      <c r="D658">
        <v>10</v>
      </c>
      <c r="E658" t="s">
        <v>910</v>
      </c>
      <c r="F658">
        <v>0</v>
      </c>
    </row>
    <row r="659" spans="1:6" x14ac:dyDescent="0.2">
      <c r="A659">
        <v>2021</v>
      </c>
      <c r="B659" t="s">
        <v>998</v>
      </c>
      <c r="C659">
        <v>10</v>
      </c>
      <c r="D659">
        <v>5</v>
      </c>
      <c r="E659" t="s">
        <v>910</v>
      </c>
      <c r="F659">
        <v>0</v>
      </c>
    </row>
    <row r="660" spans="1:6" x14ac:dyDescent="0.2">
      <c r="A660">
        <v>2022</v>
      </c>
      <c r="B660" t="s">
        <v>998</v>
      </c>
      <c r="C660">
        <v>25</v>
      </c>
      <c r="D660">
        <v>15</v>
      </c>
      <c r="E660" t="s">
        <v>999</v>
      </c>
      <c r="F660">
        <v>0</v>
      </c>
    </row>
    <row r="661" spans="1:6" x14ac:dyDescent="0.2">
      <c r="A661">
        <v>2023</v>
      </c>
      <c r="B661" t="s">
        <v>998</v>
      </c>
      <c r="C661">
        <v>40</v>
      </c>
      <c r="D661">
        <v>10</v>
      </c>
      <c r="E661" t="s">
        <v>1000</v>
      </c>
      <c r="F661">
        <v>0</v>
      </c>
    </row>
    <row r="662" spans="1:6" x14ac:dyDescent="0.2">
      <c r="A662">
        <v>2024</v>
      </c>
      <c r="B662" t="s">
        <v>998</v>
      </c>
      <c r="C662">
        <v>45</v>
      </c>
      <c r="D662">
        <v>30</v>
      </c>
      <c r="E662" t="s">
        <v>377</v>
      </c>
      <c r="F662">
        <v>0</v>
      </c>
    </row>
    <row r="663" spans="1:6" x14ac:dyDescent="0.2">
      <c r="A663">
        <v>2025</v>
      </c>
      <c r="B663" t="s">
        <v>998</v>
      </c>
      <c r="C663">
        <v>55</v>
      </c>
      <c r="D663">
        <v>40</v>
      </c>
      <c r="E663" t="s">
        <v>889</v>
      </c>
      <c r="F663">
        <v>0</v>
      </c>
    </row>
    <row r="664" spans="1:6" x14ac:dyDescent="0.2">
      <c r="A664">
        <v>2016</v>
      </c>
      <c r="B664" t="s">
        <v>775</v>
      </c>
      <c r="C664">
        <v>10</v>
      </c>
      <c r="D664">
        <v>0</v>
      </c>
      <c r="E664" t="s">
        <v>910</v>
      </c>
      <c r="F664">
        <v>0</v>
      </c>
    </row>
    <row r="665" spans="1:6" x14ac:dyDescent="0.2">
      <c r="A665">
        <v>2017</v>
      </c>
      <c r="B665" t="s">
        <v>775</v>
      </c>
      <c r="C665">
        <v>10</v>
      </c>
      <c r="D665">
        <v>0</v>
      </c>
      <c r="E665" t="s">
        <v>910</v>
      </c>
      <c r="F665">
        <v>0</v>
      </c>
    </row>
    <row r="666" spans="1:6" x14ac:dyDescent="0.2">
      <c r="A666">
        <v>2018</v>
      </c>
      <c r="B666" t="s">
        <v>775</v>
      </c>
      <c r="C666">
        <v>10</v>
      </c>
      <c r="D666">
        <v>5</v>
      </c>
      <c r="E666" t="s">
        <v>910</v>
      </c>
      <c r="F666">
        <v>0</v>
      </c>
    </row>
    <row r="667" spans="1:6" x14ac:dyDescent="0.2">
      <c r="A667">
        <v>2019</v>
      </c>
      <c r="B667" t="s">
        <v>775</v>
      </c>
      <c r="C667">
        <v>5</v>
      </c>
      <c r="D667">
        <v>5</v>
      </c>
      <c r="E667" t="s">
        <v>910</v>
      </c>
      <c r="F667">
        <v>0</v>
      </c>
    </row>
    <row r="668" spans="1:6" x14ac:dyDescent="0.2">
      <c r="A668">
        <v>2020</v>
      </c>
      <c r="B668" t="s">
        <v>775</v>
      </c>
      <c r="C668">
        <v>5</v>
      </c>
      <c r="D668">
        <v>0</v>
      </c>
      <c r="E668" t="s">
        <v>910</v>
      </c>
      <c r="F668">
        <v>0</v>
      </c>
    </row>
    <row r="669" spans="1:6" x14ac:dyDescent="0.2">
      <c r="A669">
        <v>2021</v>
      </c>
      <c r="B669" t="s">
        <v>775</v>
      </c>
      <c r="C669">
        <v>5</v>
      </c>
      <c r="D669">
        <v>0</v>
      </c>
      <c r="E669" t="s">
        <v>910</v>
      </c>
      <c r="F669">
        <v>0</v>
      </c>
    </row>
    <row r="670" spans="1:6" x14ac:dyDescent="0.2">
      <c r="A670">
        <v>2022</v>
      </c>
      <c r="B670" t="s">
        <v>775</v>
      </c>
      <c r="C670">
        <v>15</v>
      </c>
      <c r="D670">
        <v>5</v>
      </c>
      <c r="E670" t="s">
        <v>910</v>
      </c>
      <c r="F670">
        <v>0</v>
      </c>
    </row>
    <row r="671" spans="1:6" x14ac:dyDescent="0.2">
      <c r="A671">
        <v>2023</v>
      </c>
      <c r="B671" t="s">
        <v>775</v>
      </c>
      <c r="C671">
        <v>5</v>
      </c>
      <c r="D671">
        <v>0</v>
      </c>
      <c r="E671" t="s">
        <v>910</v>
      </c>
      <c r="F671">
        <v>0</v>
      </c>
    </row>
    <row r="672" spans="1:6" x14ac:dyDescent="0.2">
      <c r="A672">
        <v>2024</v>
      </c>
      <c r="B672" t="s">
        <v>775</v>
      </c>
      <c r="C672">
        <v>15</v>
      </c>
      <c r="D672">
        <v>5</v>
      </c>
      <c r="E672" t="s">
        <v>910</v>
      </c>
      <c r="F672">
        <v>0</v>
      </c>
    </row>
    <row r="673" spans="1:6" x14ac:dyDescent="0.2">
      <c r="A673">
        <v>2025</v>
      </c>
      <c r="B673" t="s">
        <v>775</v>
      </c>
      <c r="C673">
        <v>15</v>
      </c>
      <c r="D673">
        <v>0</v>
      </c>
      <c r="E673" t="s">
        <v>910</v>
      </c>
      <c r="F673">
        <v>0</v>
      </c>
    </row>
    <row r="674" spans="1:6" x14ac:dyDescent="0.2">
      <c r="A674">
        <v>2016</v>
      </c>
      <c r="B674" t="s">
        <v>510</v>
      </c>
      <c r="C674">
        <v>5</v>
      </c>
      <c r="D674">
        <v>5</v>
      </c>
      <c r="E674" t="s">
        <v>910</v>
      </c>
      <c r="F674">
        <v>0</v>
      </c>
    </row>
    <row r="675" spans="1:6" x14ac:dyDescent="0.2">
      <c r="A675">
        <v>2017</v>
      </c>
      <c r="B675" t="s">
        <v>510</v>
      </c>
      <c r="C675">
        <v>5</v>
      </c>
      <c r="D675">
        <v>0</v>
      </c>
      <c r="E675" t="s">
        <v>910</v>
      </c>
      <c r="F675">
        <v>0</v>
      </c>
    </row>
    <row r="676" spans="1:6" x14ac:dyDescent="0.2">
      <c r="A676">
        <v>2019</v>
      </c>
      <c r="B676" t="s">
        <v>510</v>
      </c>
      <c r="C676">
        <v>5</v>
      </c>
      <c r="D676">
        <v>0</v>
      </c>
      <c r="E676" t="s">
        <v>910</v>
      </c>
      <c r="F676">
        <v>0</v>
      </c>
    </row>
    <row r="677" spans="1:6" x14ac:dyDescent="0.2">
      <c r="A677">
        <v>2020</v>
      </c>
      <c r="B677" t="s">
        <v>510</v>
      </c>
      <c r="C677">
        <v>5</v>
      </c>
      <c r="D677">
        <v>5</v>
      </c>
      <c r="E677" t="s">
        <v>910</v>
      </c>
      <c r="F677">
        <v>0</v>
      </c>
    </row>
    <row r="678" spans="1:6" x14ac:dyDescent="0.2">
      <c r="A678">
        <v>2021</v>
      </c>
      <c r="B678" t="s">
        <v>510</v>
      </c>
      <c r="C678">
        <v>5</v>
      </c>
      <c r="D678">
        <v>0</v>
      </c>
      <c r="E678" t="s">
        <v>910</v>
      </c>
      <c r="F678">
        <v>0</v>
      </c>
    </row>
    <row r="679" spans="1:6" x14ac:dyDescent="0.2">
      <c r="A679">
        <v>2023</v>
      </c>
      <c r="B679" t="s">
        <v>510</v>
      </c>
      <c r="C679">
        <v>5</v>
      </c>
      <c r="D679">
        <v>0</v>
      </c>
      <c r="E679" t="s">
        <v>910</v>
      </c>
      <c r="F679">
        <v>0</v>
      </c>
    </row>
    <row r="680" spans="1:6" x14ac:dyDescent="0.2">
      <c r="A680">
        <v>2024</v>
      </c>
      <c r="B680" t="s">
        <v>510</v>
      </c>
      <c r="C680">
        <v>5</v>
      </c>
      <c r="D680">
        <v>0</v>
      </c>
      <c r="E680" t="s">
        <v>910</v>
      </c>
      <c r="F680">
        <v>0</v>
      </c>
    </row>
    <row r="681" spans="1:6" x14ac:dyDescent="0.2">
      <c r="A681">
        <v>2016</v>
      </c>
      <c r="B681" t="s">
        <v>1001</v>
      </c>
      <c r="C681">
        <v>15</v>
      </c>
      <c r="D681">
        <v>5</v>
      </c>
      <c r="E681" t="s">
        <v>910</v>
      </c>
      <c r="F681">
        <v>0</v>
      </c>
    </row>
    <row r="682" spans="1:6" x14ac:dyDescent="0.2">
      <c r="A682">
        <v>2017</v>
      </c>
      <c r="B682" t="s">
        <v>1001</v>
      </c>
      <c r="C682">
        <v>20</v>
      </c>
      <c r="D682">
        <v>10</v>
      </c>
      <c r="E682" t="s">
        <v>910</v>
      </c>
      <c r="F682">
        <v>0</v>
      </c>
    </row>
    <row r="683" spans="1:6" x14ac:dyDescent="0.2">
      <c r="A683">
        <v>2018</v>
      </c>
      <c r="B683" t="s">
        <v>1001</v>
      </c>
      <c r="C683">
        <v>20</v>
      </c>
      <c r="D683">
        <v>10</v>
      </c>
      <c r="E683" t="s">
        <v>187</v>
      </c>
      <c r="F683">
        <v>0</v>
      </c>
    </row>
    <row r="684" spans="1:6" x14ac:dyDescent="0.2">
      <c r="A684">
        <v>2019</v>
      </c>
      <c r="B684" t="s">
        <v>1001</v>
      </c>
      <c r="C684">
        <v>15</v>
      </c>
      <c r="D684">
        <v>5</v>
      </c>
      <c r="E684" t="s">
        <v>910</v>
      </c>
      <c r="F684">
        <v>0</v>
      </c>
    </row>
    <row r="685" spans="1:6" x14ac:dyDescent="0.2">
      <c r="A685">
        <v>2020</v>
      </c>
      <c r="B685" t="s">
        <v>1001</v>
      </c>
      <c r="C685">
        <v>15</v>
      </c>
      <c r="D685">
        <v>5</v>
      </c>
      <c r="E685" t="s">
        <v>910</v>
      </c>
      <c r="F685">
        <v>0</v>
      </c>
    </row>
    <row r="686" spans="1:6" x14ac:dyDescent="0.2">
      <c r="A686">
        <v>2021</v>
      </c>
      <c r="B686" t="s">
        <v>1001</v>
      </c>
      <c r="C686">
        <v>10</v>
      </c>
      <c r="D686">
        <v>5</v>
      </c>
      <c r="E686" t="s">
        <v>910</v>
      </c>
      <c r="F686">
        <v>0</v>
      </c>
    </row>
    <row r="687" spans="1:6" x14ac:dyDescent="0.2">
      <c r="A687">
        <v>2022</v>
      </c>
      <c r="B687" t="s">
        <v>1001</v>
      </c>
      <c r="C687">
        <v>5</v>
      </c>
      <c r="D687">
        <v>0</v>
      </c>
      <c r="E687" t="s">
        <v>910</v>
      </c>
      <c r="F687">
        <v>0</v>
      </c>
    </row>
    <row r="688" spans="1:6" x14ac:dyDescent="0.2">
      <c r="A688">
        <v>2024</v>
      </c>
      <c r="B688" t="s">
        <v>1001</v>
      </c>
      <c r="C688">
        <v>5</v>
      </c>
      <c r="D688">
        <v>5</v>
      </c>
      <c r="E688" t="s">
        <v>910</v>
      </c>
      <c r="F688">
        <v>0</v>
      </c>
    </row>
    <row r="689" spans="1:6" x14ac:dyDescent="0.2">
      <c r="A689">
        <v>2025</v>
      </c>
      <c r="B689" t="s">
        <v>1001</v>
      </c>
      <c r="C689">
        <v>10</v>
      </c>
      <c r="D689">
        <v>0</v>
      </c>
      <c r="E689" t="s">
        <v>910</v>
      </c>
      <c r="F689">
        <v>0</v>
      </c>
    </row>
    <row r="690" spans="1:6" x14ac:dyDescent="0.2">
      <c r="A690">
        <v>2017</v>
      </c>
      <c r="B690" t="s">
        <v>1002</v>
      </c>
      <c r="C690">
        <v>10</v>
      </c>
      <c r="D690">
        <v>10</v>
      </c>
      <c r="E690" t="s">
        <v>930</v>
      </c>
      <c r="F690">
        <v>0</v>
      </c>
    </row>
    <row r="691" spans="1:6" x14ac:dyDescent="0.2">
      <c r="A691">
        <v>2020</v>
      </c>
      <c r="B691" t="s">
        <v>1002</v>
      </c>
      <c r="C691">
        <v>195</v>
      </c>
      <c r="D691">
        <v>190</v>
      </c>
      <c r="E691" t="s">
        <v>1003</v>
      </c>
      <c r="F691">
        <v>0</v>
      </c>
    </row>
    <row r="692" spans="1:6" x14ac:dyDescent="0.2">
      <c r="A692">
        <v>2016</v>
      </c>
      <c r="B692" t="s">
        <v>695</v>
      </c>
      <c r="C692">
        <v>20</v>
      </c>
      <c r="D692">
        <v>5</v>
      </c>
      <c r="E692" t="s">
        <v>910</v>
      </c>
      <c r="F692">
        <v>0</v>
      </c>
    </row>
    <row r="693" spans="1:6" x14ac:dyDescent="0.2">
      <c r="A693">
        <v>2017</v>
      </c>
      <c r="B693" t="s">
        <v>695</v>
      </c>
      <c r="C693">
        <v>5</v>
      </c>
      <c r="D693">
        <v>5</v>
      </c>
      <c r="E693" t="s">
        <v>910</v>
      </c>
      <c r="F693">
        <v>0</v>
      </c>
    </row>
    <row r="694" spans="1:6" x14ac:dyDescent="0.2">
      <c r="A694">
        <v>2018</v>
      </c>
      <c r="B694" t="s">
        <v>695</v>
      </c>
      <c r="C694">
        <v>5</v>
      </c>
      <c r="D694">
        <v>5</v>
      </c>
      <c r="E694" t="s">
        <v>910</v>
      </c>
      <c r="F694">
        <v>0</v>
      </c>
    </row>
    <row r="695" spans="1:6" x14ac:dyDescent="0.2">
      <c r="A695">
        <v>2019</v>
      </c>
      <c r="B695" t="s">
        <v>695</v>
      </c>
      <c r="C695">
        <v>15</v>
      </c>
      <c r="D695">
        <v>5</v>
      </c>
      <c r="E695" t="s">
        <v>910</v>
      </c>
      <c r="F695">
        <v>0</v>
      </c>
    </row>
    <row r="696" spans="1:6" x14ac:dyDescent="0.2">
      <c r="A696">
        <v>2020</v>
      </c>
      <c r="B696" t="s">
        <v>695</v>
      </c>
      <c r="C696">
        <v>10</v>
      </c>
      <c r="D696">
        <v>5</v>
      </c>
      <c r="E696" t="s">
        <v>910</v>
      </c>
      <c r="F696">
        <v>0</v>
      </c>
    </row>
    <row r="697" spans="1:6" x14ac:dyDescent="0.2">
      <c r="A697">
        <v>2021</v>
      </c>
      <c r="B697" t="s">
        <v>695</v>
      </c>
      <c r="C697">
        <v>10</v>
      </c>
      <c r="D697">
        <v>0</v>
      </c>
      <c r="E697" t="s">
        <v>910</v>
      </c>
      <c r="F697">
        <v>0</v>
      </c>
    </row>
    <row r="698" spans="1:6" x14ac:dyDescent="0.2">
      <c r="A698">
        <v>2022</v>
      </c>
      <c r="B698" t="s">
        <v>695</v>
      </c>
      <c r="C698">
        <v>10</v>
      </c>
      <c r="D698">
        <v>5</v>
      </c>
      <c r="E698" t="s">
        <v>910</v>
      </c>
      <c r="F698">
        <v>0</v>
      </c>
    </row>
    <row r="699" spans="1:6" x14ac:dyDescent="0.2">
      <c r="A699">
        <v>2023</v>
      </c>
      <c r="B699" t="s">
        <v>695</v>
      </c>
      <c r="C699">
        <v>15</v>
      </c>
      <c r="D699">
        <v>5</v>
      </c>
      <c r="E699" t="s">
        <v>910</v>
      </c>
      <c r="F699">
        <v>0</v>
      </c>
    </row>
    <row r="700" spans="1:6" x14ac:dyDescent="0.2">
      <c r="A700">
        <v>2024</v>
      </c>
      <c r="B700" t="s">
        <v>695</v>
      </c>
      <c r="C700">
        <v>10</v>
      </c>
      <c r="D700">
        <v>5</v>
      </c>
      <c r="E700" t="s">
        <v>910</v>
      </c>
      <c r="F700">
        <v>0</v>
      </c>
    </row>
    <row r="701" spans="1:6" x14ac:dyDescent="0.2">
      <c r="A701">
        <v>2025</v>
      </c>
      <c r="B701" t="s">
        <v>695</v>
      </c>
      <c r="C701">
        <v>30</v>
      </c>
      <c r="D701">
        <v>10</v>
      </c>
      <c r="E701" t="s">
        <v>910</v>
      </c>
      <c r="F701">
        <v>0</v>
      </c>
    </row>
    <row r="702" spans="1:6" x14ac:dyDescent="0.2">
      <c r="A702">
        <v>2016</v>
      </c>
      <c r="B702" t="s">
        <v>265</v>
      </c>
      <c r="C702">
        <v>420</v>
      </c>
      <c r="D702">
        <v>190</v>
      </c>
      <c r="E702" t="s">
        <v>232</v>
      </c>
      <c r="F702">
        <v>0</v>
      </c>
    </row>
    <row r="703" spans="1:6" x14ac:dyDescent="0.2">
      <c r="A703">
        <v>2017</v>
      </c>
      <c r="B703" t="s">
        <v>265</v>
      </c>
      <c r="C703">
        <v>380</v>
      </c>
      <c r="D703">
        <v>185</v>
      </c>
      <c r="E703" t="s">
        <v>267</v>
      </c>
      <c r="F703">
        <v>0</v>
      </c>
    </row>
    <row r="704" spans="1:6" x14ac:dyDescent="0.2">
      <c r="A704">
        <v>2018</v>
      </c>
      <c r="B704" t="s">
        <v>265</v>
      </c>
      <c r="C704">
        <v>365</v>
      </c>
      <c r="D704">
        <v>175</v>
      </c>
      <c r="E704" t="s">
        <v>268</v>
      </c>
      <c r="F704">
        <v>0</v>
      </c>
    </row>
    <row r="705" spans="1:6" x14ac:dyDescent="0.2">
      <c r="A705">
        <v>2019</v>
      </c>
      <c r="B705" t="s">
        <v>265</v>
      </c>
      <c r="C705">
        <v>345</v>
      </c>
      <c r="D705">
        <v>145</v>
      </c>
      <c r="E705" t="s">
        <v>269</v>
      </c>
      <c r="F705">
        <v>5</v>
      </c>
    </row>
    <row r="706" spans="1:6" x14ac:dyDescent="0.2">
      <c r="A706">
        <v>2020</v>
      </c>
      <c r="B706" t="s">
        <v>265</v>
      </c>
      <c r="C706">
        <v>335</v>
      </c>
      <c r="D706">
        <v>160</v>
      </c>
      <c r="E706" t="s">
        <v>185</v>
      </c>
      <c r="F706">
        <v>0</v>
      </c>
    </row>
    <row r="707" spans="1:6" x14ac:dyDescent="0.2">
      <c r="A707">
        <v>2021</v>
      </c>
      <c r="B707" t="s">
        <v>265</v>
      </c>
      <c r="C707">
        <v>290</v>
      </c>
      <c r="D707">
        <v>155</v>
      </c>
      <c r="E707" t="s">
        <v>228</v>
      </c>
      <c r="F707">
        <v>0</v>
      </c>
    </row>
    <row r="708" spans="1:6" x14ac:dyDescent="0.2">
      <c r="A708">
        <v>2022</v>
      </c>
      <c r="B708" t="s">
        <v>265</v>
      </c>
      <c r="C708">
        <v>305</v>
      </c>
      <c r="D708">
        <v>145</v>
      </c>
      <c r="E708" t="s">
        <v>270</v>
      </c>
      <c r="F708">
        <v>5</v>
      </c>
    </row>
    <row r="709" spans="1:6" x14ac:dyDescent="0.2">
      <c r="A709">
        <v>2023</v>
      </c>
      <c r="B709" t="s">
        <v>265</v>
      </c>
      <c r="C709">
        <v>335</v>
      </c>
      <c r="D709">
        <v>140</v>
      </c>
      <c r="E709" t="s">
        <v>123</v>
      </c>
      <c r="F709">
        <v>0</v>
      </c>
    </row>
    <row r="710" spans="1:6" x14ac:dyDescent="0.2">
      <c r="A710">
        <v>2024</v>
      </c>
      <c r="B710" t="s">
        <v>265</v>
      </c>
      <c r="C710">
        <v>395</v>
      </c>
      <c r="D710">
        <v>175</v>
      </c>
      <c r="E710" t="s">
        <v>83</v>
      </c>
      <c r="F710">
        <v>5</v>
      </c>
    </row>
    <row r="711" spans="1:6" x14ac:dyDescent="0.2">
      <c r="A711">
        <v>2025</v>
      </c>
      <c r="B711" t="s">
        <v>265</v>
      </c>
      <c r="C711">
        <v>355</v>
      </c>
      <c r="D711">
        <v>160</v>
      </c>
      <c r="E711" t="s">
        <v>341</v>
      </c>
      <c r="F711">
        <v>5</v>
      </c>
    </row>
    <row r="712" spans="1:6" x14ac:dyDescent="0.2">
      <c r="A712">
        <v>2016</v>
      </c>
      <c r="B712" t="s">
        <v>271</v>
      </c>
      <c r="C712">
        <v>210</v>
      </c>
      <c r="D712">
        <v>70</v>
      </c>
      <c r="E712" t="s">
        <v>272</v>
      </c>
      <c r="F712">
        <v>0</v>
      </c>
    </row>
    <row r="713" spans="1:6" x14ac:dyDescent="0.2">
      <c r="A713">
        <v>2017</v>
      </c>
      <c r="B713" t="s">
        <v>271</v>
      </c>
      <c r="C713">
        <v>175</v>
      </c>
      <c r="D713">
        <v>65</v>
      </c>
      <c r="E713" t="s">
        <v>274</v>
      </c>
      <c r="F713">
        <v>0</v>
      </c>
    </row>
    <row r="714" spans="1:6" x14ac:dyDescent="0.2">
      <c r="A714">
        <v>2018</v>
      </c>
      <c r="B714" t="s">
        <v>271</v>
      </c>
      <c r="C714">
        <v>245</v>
      </c>
      <c r="D714">
        <v>95</v>
      </c>
      <c r="E714" t="s">
        <v>210</v>
      </c>
      <c r="F714">
        <v>0</v>
      </c>
    </row>
    <row r="715" spans="1:6" x14ac:dyDescent="0.2">
      <c r="A715">
        <v>2019</v>
      </c>
      <c r="B715" t="s">
        <v>271</v>
      </c>
      <c r="C715">
        <v>265</v>
      </c>
      <c r="D715">
        <v>110</v>
      </c>
      <c r="E715" t="s">
        <v>275</v>
      </c>
      <c r="F715">
        <v>0</v>
      </c>
    </row>
    <row r="716" spans="1:6" x14ac:dyDescent="0.2">
      <c r="A716">
        <v>2020</v>
      </c>
      <c r="B716" t="s">
        <v>271</v>
      </c>
      <c r="C716">
        <v>255</v>
      </c>
      <c r="D716">
        <v>90</v>
      </c>
      <c r="E716" t="s">
        <v>276</v>
      </c>
      <c r="F716">
        <v>0</v>
      </c>
    </row>
    <row r="717" spans="1:6" x14ac:dyDescent="0.2">
      <c r="A717">
        <v>2021</v>
      </c>
      <c r="B717" t="s">
        <v>271</v>
      </c>
      <c r="C717">
        <v>290</v>
      </c>
      <c r="D717">
        <v>110</v>
      </c>
      <c r="E717" t="s">
        <v>277</v>
      </c>
      <c r="F717">
        <v>0</v>
      </c>
    </row>
    <row r="718" spans="1:6" x14ac:dyDescent="0.2">
      <c r="A718">
        <v>2022</v>
      </c>
      <c r="B718" t="s">
        <v>271</v>
      </c>
      <c r="C718">
        <v>295</v>
      </c>
      <c r="D718">
        <v>115</v>
      </c>
      <c r="E718" t="s">
        <v>278</v>
      </c>
      <c r="F718">
        <v>0</v>
      </c>
    </row>
    <row r="719" spans="1:6" x14ac:dyDescent="0.2">
      <c r="A719">
        <v>2023</v>
      </c>
      <c r="B719" t="s">
        <v>271</v>
      </c>
      <c r="C719">
        <v>390</v>
      </c>
      <c r="D719">
        <v>140</v>
      </c>
      <c r="E719" t="s">
        <v>279</v>
      </c>
      <c r="F719">
        <v>0</v>
      </c>
    </row>
    <row r="720" spans="1:6" x14ac:dyDescent="0.2">
      <c r="A720">
        <v>2024</v>
      </c>
      <c r="B720" t="s">
        <v>271</v>
      </c>
      <c r="C720">
        <v>340</v>
      </c>
      <c r="D720">
        <v>110</v>
      </c>
      <c r="E720" t="s">
        <v>280</v>
      </c>
      <c r="F720">
        <v>0</v>
      </c>
    </row>
    <row r="721" spans="1:6" x14ac:dyDescent="0.2">
      <c r="A721">
        <v>2025</v>
      </c>
      <c r="B721" t="s">
        <v>271</v>
      </c>
      <c r="C721">
        <v>355</v>
      </c>
      <c r="D721">
        <v>130</v>
      </c>
      <c r="E721" t="s">
        <v>308</v>
      </c>
      <c r="F721">
        <v>5</v>
      </c>
    </row>
    <row r="722" spans="1:6" x14ac:dyDescent="0.2">
      <c r="A722">
        <v>2016</v>
      </c>
      <c r="B722" t="s">
        <v>689</v>
      </c>
      <c r="C722">
        <v>50</v>
      </c>
      <c r="D722">
        <v>20</v>
      </c>
      <c r="E722" t="s">
        <v>351</v>
      </c>
      <c r="F722">
        <v>0</v>
      </c>
    </row>
    <row r="723" spans="1:6" x14ac:dyDescent="0.2">
      <c r="A723">
        <v>2017</v>
      </c>
      <c r="B723" t="s">
        <v>689</v>
      </c>
      <c r="C723">
        <v>70</v>
      </c>
      <c r="D723">
        <v>30</v>
      </c>
      <c r="E723" t="s">
        <v>149</v>
      </c>
      <c r="F723">
        <v>0</v>
      </c>
    </row>
    <row r="724" spans="1:6" x14ac:dyDescent="0.2">
      <c r="A724">
        <v>2018</v>
      </c>
      <c r="B724" t="s">
        <v>689</v>
      </c>
      <c r="C724">
        <v>70</v>
      </c>
      <c r="D724">
        <v>30</v>
      </c>
      <c r="E724" t="s">
        <v>304</v>
      </c>
      <c r="F724">
        <v>0</v>
      </c>
    </row>
    <row r="725" spans="1:6" x14ac:dyDescent="0.2">
      <c r="A725">
        <v>2019</v>
      </c>
      <c r="B725" t="s">
        <v>689</v>
      </c>
      <c r="C725">
        <v>75</v>
      </c>
      <c r="D725">
        <v>35</v>
      </c>
      <c r="E725" t="s">
        <v>155</v>
      </c>
      <c r="F725">
        <v>0</v>
      </c>
    </row>
    <row r="726" spans="1:6" x14ac:dyDescent="0.2">
      <c r="A726">
        <v>2020</v>
      </c>
      <c r="B726" t="s">
        <v>689</v>
      </c>
      <c r="C726">
        <v>65</v>
      </c>
      <c r="D726">
        <v>20</v>
      </c>
      <c r="E726" t="s">
        <v>1004</v>
      </c>
      <c r="F726">
        <v>0</v>
      </c>
    </row>
    <row r="727" spans="1:6" x14ac:dyDescent="0.2">
      <c r="A727">
        <v>2021</v>
      </c>
      <c r="B727" t="s">
        <v>689</v>
      </c>
      <c r="C727">
        <v>95</v>
      </c>
      <c r="D727">
        <v>30</v>
      </c>
      <c r="E727" t="s">
        <v>202</v>
      </c>
      <c r="F727">
        <v>0</v>
      </c>
    </row>
    <row r="728" spans="1:6" x14ac:dyDescent="0.2">
      <c r="A728">
        <v>2022</v>
      </c>
      <c r="B728" t="s">
        <v>689</v>
      </c>
      <c r="C728">
        <v>95</v>
      </c>
      <c r="D728">
        <v>25</v>
      </c>
      <c r="E728" t="s">
        <v>1005</v>
      </c>
      <c r="F728">
        <v>0</v>
      </c>
    </row>
    <row r="729" spans="1:6" x14ac:dyDescent="0.2">
      <c r="A729">
        <v>2023</v>
      </c>
      <c r="B729" t="s">
        <v>689</v>
      </c>
      <c r="C729">
        <v>100</v>
      </c>
      <c r="D729">
        <v>40</v>
      </c>
      <c r="E729" t="s">
        <v>62</v>
      </c>
      <c r="F729">
        <v>5</v>
      </c>
    </row>
    <row r="730" spans="1:6" x14ac:dyDescent="0.2">
      <c r="A730">
        <v>2024</v>
      </c>
      <c r="B730" t="s">
        <v>689</v>
      </c>
      <c r="C730">
        <v>175</v>
      </c>
      <c r="D730">
        <v>55</v>
      </c>
      <c r="E730" t="s">
        <v>1006</v>
      </c>
      <c r="F730">
        <v>0</v>
      </c>
    </row>
    <row r="731" spans="1:6" x14ac:dyDescent="0.2">
      <c r="A731">
        <v>2025</v>
      </c>
      <c r="B731" t="s">
        <v>689</v>
      </c>
      <c r="C731">
        <v>165</v>
      </c>
      <c r="D731">
        <v>40</v>
      </c>
      <c r="E731" t="s">
        <v>1007</v>
      </c>
      <c r="F731">
        <v>5</v>
      </c>
    </row>
    <row r="732" spans="1:6" x14ac:dyDescent="0.2">
      <c r="A732">
        <v>2016</v>
      </c>
      <c r="B732" t="s">
        <v>1008</v>
      </c>
      <c r="C732">
        <v>5</v>
      </c>
      <c r="D732">
        <v>5</v>
      </c>
      <c r="E732" t="s">
        <v>910</v>
      </c>
      <c r="F732">
        <v>0</v>
      </c>
    </row>
    <row r="733" spans="1:6" x14ac:dyDescent="0.2">
      <c r="A733">
        <v>2017</v>
      </c>
      <c r="B733" t="s">
        <v>1008</v>
      </c>
      <c r="C733">
        <v>5</v>
      </c>
      <c r="D733">
        <v>0</v>
      </c>
      <c r="E733" t="s">
        <v>910</v>
      </c>
      <c r="F733">
        <v>0</v>
      </c>
    </row>
    <row r="734" spans="1:6" x14ac:dyDescent="0.2">
      <c r="A734">
        <v>2018</v>
      </c>
      <c r="B734" t="s">
        <v>1008</v>
      </c>
      <c r="C734">
        <v>15</v>
      </c>
      <c r="D734">
        <v>5</v>
      </c>
      <c r="E734" t="s">
        <v>910</v>
      </c>
      <c r="F734">
        <v>0</v>
      </c>
    </row>
    <row r="735" spans="1:6" x14ac:dyDescent="0.2">
      <c r="A735">
        <v>2019</v>
      </c>
      <c r="B735" t="s">
        <v>1008</v>
      </c>
      <c r="C735">
        <v>10</v>
      </c>
      <c r="D735">
        <v>5</v>
      </c>
      <c r="E735" t="s">
        <v>910</v>
      </c>
      <c r="F735">
        <v>0</v>
      </c>
    </row>
    <row r="736" spans="1:6" x14ac:dyDescent="0.2">
      <c r="A736">
        <v>2020</v>
      </c>
      <c r="B736" t="s">
        <v>1008</v>
      </c>
      <c r="C736">
        <v>5</v>
      </c>
      <c r="D736">
        <v>5</v>
      </c>
      <c r="E736" t="s">
        <v>910</v>
      </c>
      <c r="F736">
        <v>0</v>
      </c>
    </row>
    <row r="737" spans="1:6" x14ac:dyDescent="0.2">
      <c r="A737">
        <v>2021</v>
      </c>
      <c r="B737" t="s">
        <v>1008</v>
      </c>
      <c r="C737">
        <v>10</v>
      </c>
      <c r="D737">
        <v>5</v>
      </c>
      <c r="E737" t="s">
        <v>910</v>
      </c>
      <c r="F737">
        <v>0</v>
      </c>
    </row>
    <row r="738" spans="1:6" x14ac:dyDescent="0.2">
      <c r="A738">
        <v>2022</v>
      </c>
      <c r="B738" t="s">
        <v>1008</v>
      </c>
      <c r="C738">
        <v>10</v>
      </c>
      <c r="D738">
        <v>5</v>
      </c>
      <c r="E738" t="s">
        <v>910</v>
      </c>
      <c r="F738">
        <v>0</v>
      </c>
    </row>
    <row r="739" spans="1:6" x14ac:dyDescent="0.2">
      <c r="A739">
        <v>2023</v>
      </c>
      <c r="B739" t="s">
        <v>1008</v>
      </c>
      <c r="C739">
        <v>20</v>
      </c>
      <c r="D739">
        <v>10</v>
      </c>
      <c r="E739" t="s">
        <v>27</v>
      </c>
      <c r="F739">
        <v>0</v>
      </c>
    </row>
    <row r="740" spans="1:6" x14ac:dyDescent="0.2">
      <c r="A740">
        <v>2024</v>
      </c>
      <c r="B740" t="s">
        <v>1008</v>
      </c>
      <c r="C740">
        <v>10</v>
      </c>
      <c r="D740">
        <v>10</v>
      </c>
      <c r="E740" t="s">
        <v>930</v>
      </c>
      <c r="F740">
        <v>0</v>
      </c>
    </row>
    <row r="741" spans="1:6" x14ac:dyDescent="0.2">
      <c r="A741">
        <v>2025</v>
      </c>
      <c r="B741" t="s">
        <v>1008</v>
      </c>
      <c r="C741">
        <v>5</v>
      </c>
      <c r="D741">
        <v>0</v>
      </c>
      <c r="E741" t="s">
        <v>910</v>
      </c>
      <c r="F741">
        <v>0</v>
      </c>
    </row>
    <row r="742" spans="1:6" x14ac:dyDescent="0.2">
      <c r="A742">
        <v>2016</v>
      </c>
      <c r="B742" t="s">
        <v>663</v>
      </c>
      <c r="C742">
        <v>340</v>
      </c>
      <c r="D742">
        <v>115</v>
      </c>
      <c r="E742" t="s">
        <v>1009</v>
      </c>
      <c r="F742">
        <v>0</v>
      </c>
    </row>
    <row r="743" spans="1:6" x14ac:dyDescent="0.2">
      <c r="A743">
        <v>2017</v>
      </c>
      <c r="B743" t="s">
        <v>663</v>
      </c>
      <c r="C743">
        <v>365</v>
      </c>
      <c r="D743">
        <v>115</v>
      </c>
      <c r="E743" t="s">
        <v>1010</v>
      </c>
      <c r="F743">
        <v>0</v>
      </c>
    </row>
    <row r="744" spans="1:6" x14ac:dyDescent="0.2">
      <c r="A744">
        <v>2018</v>
      </c>
      <c r="B744" t="s">
        <v>663</v>
      </c>
      <c r="C744">
        <v>420</v>
      </c>
      <c r="D744">
        <v>140</v>
      </c>
      <c r="E744" t="s">
        <v>1011</v>
      </c>
      <c r="F744">
        <v>0</v>
      </c>
    </row>
    <row r="745" spans="1:6" x14ac:dyDescent="0.2">
      <c r="A745">
        <v>2019</v>
      </c>
      <c r="B745" t="s">
        <v>663</v>
      </c>
      <c r="C745">
        <v>430</v>
      </c>
      <c r="D745">
        <v>150</v>
      </c>
      <c r="E745" t="s">
        <v>1012</v>
      </c>
      <c r="F745">
        <v>0</v>
      </c>
    </row>
    <row r="746" spans="1:6" x14ac:dyDescent="0.2">
      <c r="A746">
        <v>2020</v>
      </c>
      <c r="B746" t="s">
        <v>663</v>
      </c>
      <c r="C746">
        <v>450</v>
      </c>
      <c r="D746">
        <v>155</v>
      </c>
      <c r="E746" t="s">
        <v>992</v>
      </c>
      <c r="F746">
        <v>5</v>
      </c>
    </row>
    <row r="747" spans="1:6" x14ac:dyDescent="0.2">
      <c r="A747">
        <v>2021</v>
      </c>
      <c r="B747" t="s">
        <v>663</v>
      </c>
      <c r="C747">
        <v>490</v>
      </c>
      <c r="D747">
        <v>175</v>
      </c>
      <c r="E747" t="s">
        <v>1012</v>
      </c>
      <c r="F747">
        <v>0</v>
      </c>
    </row>
    <row r="748" spans="1:6" x14ac:dyDescent="0.2">
      <c r="A748">
        <v>2022</v>
      </c>
      <c r="B748" t="s">
        <v>663</v>
      </c>
      <c r="C748">
        <v>555</v>
      </c>
      <c r="D748">
        <v>165</v>
      </c>
      <c r="E748" t="s">
        <v>1013</v>
      </c>
      <c r="F748">
        <v>5</v>
      </c>
    </row>
    <row r="749" spans="1:6" x14ac:dyDescent="0.2">
      <c r="A749">
        <v>2023</v>
      </c>
      <c r="B749" t="s">
        <v>663</v>
      </c>
      <c r="C749">
        <v>655</v>
      </c>
      <c r="D749">
        <v>185</v>
      </c>
      <c r="E749" t="s">
        <v>1014</v>
      </c>
      <c r="F749">
        <v>5</v>
      </c>
    </row>
    <row r="750" spans="1:6" x14ac:dyDescent="0.2">
      <c r="A750">
        <v>2024</v>
      </c>
      <c r="B750" t="s">
        <v>663</v>
      </c>
      <c r="C750">
        <v>730</v>
      </c>
      <c r="D750">
        <v>235</v>
      </c>
      <c r="E750" t="s">
        <v>1015</v>
      </c>
      <c r="F750">
        <v>10</v>
      </c>
    </row>
    <row r="751" spans="1:6" x14ac:dyDescent="0.2">
      <c r="A751">
        <v>2025</v>
      </c>
      <c r="B751" t="s">
        <v>663</v>
      </c>
      <c r="C751">
        <v>605</v>
      </c>
      <c r="D751">
        <v>210</v>
      </c>
      <c r="E751" t="s">
        <v>288</v>
      </c>
      <c r="F751">
        <v>5</v>
      </c>
    </row>
    <row r="752" spans="1:6" x14ac:dyDescent="0.2">
      <c r="A752">
        <v>2016</v>
      </c>
      <c r="B752" t="s">
        <v>693</v>
      </c>
      <c r="C752">
        <v>50</v>
      </c>
      <c r="D752">
        <v>20</v>
      </c>
      <c r="E752" t="s">
        <v>978</v>
      </c>
      <c r="F752">
        <v>0</v>
      </c>
    </row>
    <row r="753" spans="1:6" x14ac:dyDescent="0.2">
      <c r="A753">
        <v>2017</v>
      </c>
      <c r="B753" t="s">
        <v>693</v>
      </c>
      <c r="C753">
        <v>40</v>
      </c>
      <c r="D753">
        <v>20</v>
      </c>
      <c r="E753" t="s">
        <v>335</v>
      </c>
      <c r="F753">
        <v>0</v>
      </c>
    </row>
    <row r="754" spans="1:6" x14ac:dyDescent="0.2">
      <c r="A754">
        <v>2018</v>
      </c>
      <c r="B754" t="s">
        <v>693</v>
      </c>
      <c r="C754">
        <v>40</v>
      </c>
      <c r="D754">
        <v>15</v>
      </c>
      <c r="E754" t="s">
        <v>218</v>
      </c>
      <c r="F754">
        <v>0</v>
      </c>
    </row>
    <row r="755" spans="1:6" x14ac:dyDescent="0.2">
      <c r="A755">
        <v>2019</v>
      </c>
      <c r="B755" t="s">
        <v>693</v>
      </c>
      <c r="C755">
        <v>50</v>
      </c>
      <c r="D755">
        <v>25</v>
      </c>
      <c r="E755" t="s">
        <v>81</v>
      </c>
      <c r="F755">
        <v>0</v>
      </c>
    </row>
    <row r="756" spans="1:6" x14ac:dyDescent="0.2">
      <c r="A756">
        <v>2020</v>
      </c>
      <c r="B756" t="s">
        <v>693</v>
      </c>
      <c r="C756">
        <v>50</v>
      </c>
      <c r="D756">
        <v>15</v>
      </c>
      <c r="E756" t="s">
        <v>1016</v>
      </c>
      <c r="F756">
        <v>0</v>
      </c>
    </row>
    <row r="757" spans="1:6" x14ac:dyDescent="0.2">
      <c r="A757">
        <v>2021</v>
      </c>
      <c r="B757" t="s">
        <v>693</v>
      </c>
      <c r="C757">
        <v>45</v>
      </c>
      <c r="D757">
        <v>20</v>
      </c>
      <c r="E757" t="s">
        <v>1017</v>
      </c>
      <c r="F757">
        <v>0</v>
      </c>
    </row>
    <row r="758" spans="1:6" x14ac:dyDescent="0.2">
      <c r="A758">
        <v>2022</v>
      </c>
      <c r="B758" t="s">
        <v>693</v>
      </c>
      <c r="C758">
        <v>45</v>
      </c>
      <c r="D758">
        <v>15</v>
      </c>
      <c r="E758" t="s">
        <v>985</v>
      </c>
      <c r="F758">
        <v>0</v>
      </c>
    </row>
    <row r="759" spans="1:6" x14ac:dyDescent="0.2">
      <c r="A759">
        <v>2023</v>
      </c>
      <c r="B759" t="s">
        <v>693</v>
      </c>
      <c r="C759">
        <v>65</v>
      </c>
      <c r="D759">
        <v>25</v>
      </c>
      <c r="E759" t="s">
        <v>274</v>
      </c>
      <c r="F759">
        <v>0</v>
      </c>
    </row>
    <row r="760" spans="1:6" x14ac:dyDescent="0.2">
      <c r="A760">
        <v>2024</v>
      </c>
      <c r="B760" t="s">
        <v>693</v>
      </c>
      <c r="C760">
        <v>65</v>
      </c>
      <c r="D760">
        <v>20</v>
      </c>
      <c r="E760" t="s">
        <v>1018</v>
      </c>
      <c r="F760">
        <v>0</v>
      </c>
    </row>
    <row r="761" spans="1:6" x14ac:dyDescent="0.2">
      <c r="A761">
        <v>2025</v>
      </c>
      <c r="B761" t="s">
        <v>693</v>
      </c>
      <c r="C761">
        <v>65</v>
      </c>
      <c r="D761">
        <v>25</v>
      </c>
      <c r="E761" t="s">
        <v>118</v>
      </c>
      <c r="F761">
        <v>0</v>
      </c>
    </row>
    <row r="762" spans="1:6" x14ac:dyDescent="0.2">
      <c r="A762">
        <v>2016</v>
      </c>
      <c r="B762" t="s">
        <v>717</v>
      </c>
      <c r="C762">
        <v>365</v>
      </c>
      <c r="D762">
        <v>195</v>
      </c>
      <c r="E762" t="s">
        <v>68</v>
      </c>
      <c r="F762">
        <v>10</v>
      </c>
    </row>
    <row r="763" spans="1:6" x14ac:dyDescent="0.2">
      <c r="A763">
        <v>2017</v>
      </c>
      <c r="B763" t="s">
        <v>717</v>
      </c>
      <c r="C763">
        <v>420</v>
      </c>
      <c r="D763">
        <v>245</v>
      </c>
      <c r="E763" t="s">
        <v>200</v>
      </c>
      <c r="F763">
        <v>5</v>
      </c>
    </row>
    <row r="764" spans="1:6" x14ac:dyDescent="0.2">
      <c r="A764">
        <v>2018</v>
      </c>
      <c r="B764" t="s">
        <v>717</v>
      </c>
      <c r="C764">
        <v>425</v>
      </c>
      <c r="D764">
        <v>270</v>
      </c>
      <c r="E764" t="s">
        <v>139</v>
      </c>
      <c r="F764">
        <v>5</v>
      </c>
    </row>
    <row r="765" spans="1:6" x14ac:dyDescent="0.2">
      <c r="A765">
        <v>2019</v>
      </c>
      <c r="B765" t="s">
        <v>717</v>
      </c>
      <c r="C765">
        <v>430</v>
      </c>
      <c r="D765">
        <v>275</v>
      </c>
      <c r="E765" t="s">
        <v>242</v>
      </c>
      <c r="F765">
        <v>10</v>
      </c>
    </row>
    <row r="766" spans="1:6" x14ac:dyDescent="0.2">
      <c r="A766">
        <v>2020</v>
      </c>
      <c r="B766" t="s">
        <v>717</v>
      </c>
      <c r="C766">
        <v>430</v>
      </c>
      <c r="D766">
        <v>250</v>
      </c>
      <c r="E766" t="s">
        <v>138</v>
      </c>
      <c r="F766">
        <v>15</v>
      </c>
    </row>
    <row r="767" spans="1:6" x14ac:dyDescent="0.2">
      <c r="A767">
        <v>2021</v>
      </c>
      <c r="B767" t="s">
        <v>717</v>
      </c>
      <c r="C767">
        <v>515</v>
      </c>
      <c r="D767">
        <v>325</v>
      </c>
      <c r="E767" t="s">
        <v>183</v>
      </c>
      <c r="F767">
        <v>15</v>
      </c>
    </row>
    <row r="768" spans="1:6" x14ac:dyDescent="0.2">
      <c r="A768">
        <v>2022</v>
      </c>
      <c r="B768" t="s">
        <v>717</v>
      </c>
      <c r="C768">
        <v>590</v>
      </c>
      <c r="D768">
        <v>300</v>
      </c>
      <c r="E768" t="s">
        <v>325</v>
      </c>
      <c r="F768">
        <v>10</v>
      </c>
    </row>
    <row r="769" spans="1:6" x14ac:dyDescent="0.2">
      <c r="A769">
        <v>2023</v>
      </c>
      <c r="B769" t="s">
        <v>717</v>
      </c>
      <c r="C769">
        <v>490</v>
      </c>
      <c r="D769">
        <v>255</v>
      </c>
      <c r="E769" t="s">
        <v>90</v>
      </c>
      <c r="F769">
        <v>10</v>
      </c>
    </row>
    <row r="770" spans="1:6" x14ac:dyDescent="0.2">
      <c r="A770">
        <v>2024</v>
      </c>
      <c r="B770" t="s">
        <v>717</v>
      </c>
      <c r="C770">
        <v>540</v>
      </c>
      <c r="D770">
        <v>265</v>
      </c>
      <c r="E770" t="s">
        <v>1019</v>
      </c>
      <c r="F770">
        <v>5</v>
      </c>
    </row>
    <row r="771" spans="1:6" x14ac:dyDescent="0.2">
      <c r="A771">
        <v>2025</v>
      </c>
      <c r="B771" t="s">
        <v>717</v>
      </c>
      <c r="C771">
        <v>500</v>
      </c>
      <c r="D771">
        <v>275</v>
      </c>
      <c r="E771" t="s">
        <v>230</v>
      </c>
      <c r="F771">
        <v>5</v>
      </c>
    </row>
    <row r="772" spans="1:6" x14ac:dyDescent="0.2">
      <c r="A772">
        <v>2016</v>
      </c>
      <c r="B772" t="s">
        <v>711</v>
      </c>
      <c r="C772">
        <v>75</v>
      </c>
      <c r="D772">
        <v>35</v>
      </c>
      <c r="E772" t="s">
        <v>147</v>
      </c>
      <c r="F772">
        <v>0</v>
      </c>
    </row>
    <row r="773" spans="1:6" x14ac:dyDescent="0.2">
      <c r="A773">
        <v>2017</v>
      </c>
      <c r="B773" t="s">
        <v>711</v>
      </c>
      <c r="C773">
        <v>80</v>
      </c>
      <c r="D773">
        <v>35</v>
      </c>
      <c r="E773" t="s">
        <v>300</v>
      </c>
      <c r="F773">
        <v>5</v>
      </c>
    </row>
    <row r="774" spans="1:6" x14ac:dyDescent="0.2">
      <c r="A774">
        <v>2018</v>
      </c>
      <c r="B774" t="s">
        <v>711</v>
      </c>
      <c r="C774">
        <v>95</v>
      </c>
      <c r="D774">
        <v>35</v>
      </c>
      <c r="E774" t="s">
        <v>298</v>
      </c>
      <c r="F774">
        <v>5</v>
      </c>
    </row>
    <row r="775" spans="1:6" x14ac:dyDescent="0.2">
      <c r="A775">
        <v>2019</v>
      </c>
      <c r="B775" t="s">
        <v>711</v>
      </c>
      <c r="C775">
        <v>115</v>
      </c>
      <c r="D775">
        <v>60</v>
      </c>
      <c r="E775" t="s">
        <v>328</v>
      </c>
      <c r="F775">
        <v>5</v>
      </c>
    </row>
    <row r="776" spans="1:6" x14ac:dyDescent="0.2">
      <c r="A776">
        <v>2020</v>
      </c>
      <c r="B776" t="s">
        <v>711</v>
      </c>
      <c r="C776">
        <v>135</v>
      </c>
      <c r="D776">
        <v>60</v>
      </c>
      <c r="E776" t="s">
        <v>83</v>
      </c>
      <c r="F776">
        <v>0</v>
      </c>
    </row>
    <row r="777" spans="1:6" x14ac:dyDescent="0.2">
      <c r="A777">
        <v>2021</v>
      </c>
      <c r="B777" t="s">
        <v>711</v>
      </c>
      <c r="C777">
        <v>220</v>
      </c>
      <c r="D777">
        <v>110</v>
      </c>
      <c r="E777" t="s">
        <v>961</v>
      </c>
      <c r="F777">
        <v>5</v>
      </c>
    </row>
    <row r="778" spans="1:6" x14ac:dyDescent="0.2">
      <c r="A778">
        <v>2022</v>
      </c>
      <c r="B778" t="s">
        <v>711</v>
      </c>
      <c r="C778">
        <v>330</v>
      </c>
      <c r="D778">
        <v>180</v>
      </c>
      <c r="E778" t="s">
        <v>230</v>
      </c>
      <c r="F778">
        <v>5</v>
      </c>
    </row>
    <row r="779" spans="1:6" x14ac:dyDescent="0.2">
      <c r="A779">
        <v>2023</v>
      </c>
      <c r="B779" t="s">
        <v>711</v>
      </c>
      <c r="C779">
        <v>885</v>
      </c>
      <c r="D779">
        <v>765</v>
      </c>
      <c r="E779" t="s">
        <v>1020</v>
      </c>
      <c r="F779">
        <v>0</v>
      </c>
    </row>
    <row r="780" spans="1:6" x14ac:dyDescent="0.2">
      <c r="A780">
        <v>2024</v>
      </c>
      <c r="B780" t="s">
        <v>711</v>
      </c>
      <c r="C780">
        <v>1030</v>
      </c>
      <c r="D780">
        <v>910</v>
      </c>
      <c r="E780" t="s">
        <v>1021</v>
      </c>
      <c r="F780">
        <v>0</v>
      </c>
    </row>
    <row r="781" spans="1:6" x14ac:dyDescent="0.2">
      <c r="A781">
        <v>2025</v>
      </c>
      <c r="B781" t="s">
        <v>711</v>
      </c>
      <c r="C781">
        <v>2260</v>
      </c>
      <c r="D781">
        <v>2120</v>
      </c>
      <c r="E781" t="s">
        <v>1022</v>
      </c>
      <c r="F781">
        <v>5</v>
      </c>
    </row>
    <row r="782" spans="1:6" x14ac:dyDescent="0.2">
      <c r="A782">
        <v>2016</v>
      </c>
      <c r="B782" t="s">
        <v>703</v>
      </c>
      <c r="C782">
        <v>5</v>
      </c>
      <c r="D782">
        <v>5</v>
      </c>
      <c r="E782" t="s">
        <v>910</v>
      </c>
      <c r="F782">
        <v>0</v>
      </c>
    </row>
    <row r="783" spans="1:6" x14ac:dyDescent="0.2">
      <c r="A783">
        <v>2017</v>
      </c>
      <c r="B783" t="s">
        <v>703</v>
      </c>
      <c r="C783">
        <v>5</v>
      </c>
      <c r="D783">
        <v>5</v>
      </c>
      <c r="E783" t="s">
        <v>910</v>
      </c>
      <c r="F783">
        <v>0</v>
      </c>
    </row>
    <row r="784" spans="1:6" x14ac:dyDescent="0.2">
      <c r="A784">
        <v>2019</v>
      </c>
      <c r="B784" t="s">
        <v>703</v>
      </c>
      <c r="C784">
        <v>5</v>
      </c>
      <c r="D784">
        <v>0</v>
      </c>
      <c r="E784" t="s">
        <v>910</v>
      </c>
      <c r="F784">
        <v>0</v>
      </c>
    </row>
    <row r="785" spans="1:6" x14ac:dyDescent="0.2">
      <c r="A785">
        <v>2021</v>
      </c>
      <c r="B785" t="s">
        <v>703</v>
      </c>
      <c r="C785">
        <v>5</v>
      </c>
      <c r="D785">
        <v>0</v>
      </c>
      <c r="E785" t="s">
        <v>910</v>
      </c>
      <c r="F785">
        <v>0</v>
      </c>
    </row>
    <row r="786" spans="1:6" x14ac:dyDescent="0.2">
      <c r="A786">
        <v>2022</v>
      </c>
      <c r="B786" t="s">
        <v>703</v>
      </c>
      <c r="C786">
        <v>5</v>
      </c>
      <c r="D786">
        <v>0</v>
      </c>
      <c r="E786" t="s">
        <v>910</v>
      </c>
      <c r="F786">
        <v>0</v>
      </c>
    </row>
    <row r="787" spans="1:6" x14ac:dyDescent="0.2">
      <c r="A787">
        <v>2019</v>
      </c>
      <c r="B787" t="s">
        <v>847</v>
      </c>
      <c r="C787">
        <v>5</v>
      </c>
      <c r="D787">
        <v>0</v>
      </c>
      <c r="E787" t="s">
        <v>910</v>
      </c>
      <c r="F787">
        <v>0</v>
      </c>
    </row>
    <row r="788" spans="1:6" x14ac:dyDescent="0.2">
      <c r="A788">
        <v>2016</v>
      </c>
      <c r="B788" t="s">
        <v>281</v>
      </c>
      <c r="C788">
        <v>205</v>
      </c>
      <c r="D788">
        <v>60</v>
      </c>
      <c r="E788" t="s">
        <v>282</v>
      </c>
      <c r="F788">
        <v>0</v>
      </c>
    </row>
    <row r="789" spans="1:6" x14ac:dyDescent="0.2">
      <c r="A789">
        <v>2017</v>
      </c>
      <c r="B789" t="s">
        <v>281</v>
      </c>
      <c r="C789">
        <v>190</v>
      </c>
      <c r="D789">
        <v>60</v>
      </c>
      <c r="E789" t="s">
        <v>231</v>
      </c>
      <c r="F789">
        <v>0</v>
      </c>
    </row>
    <row r="790" spans="1:6" x14ac:dyDescent="0.2">
      <c r="A790">
        <v>2018</v>
      </c>
      <c r="B790" t="s">
        <v>281</v>
      </c>
      <c r="C790">
        <v>210</v>
      </c>
      <c r="D790">
        <v>75</v>
      </c>
      <c r="E790" t="s">
        <v>63</v>
      </c>
      <c r="F790">
        <v>0</v>
      </c>
    </row>
    <row r="791" spans="1:6" x14ac:dyDescent="0.2">
      <c r="A791">
        <v>2019</v>
      </c>
      <c r="B791" t="s">
        <v>281</v>
      </c>
      <c r="C791">
        <v>205</v>
      </c>
      <c r="D791">
        <v>85</v>
      </c>
      <c r="E791" t="s">
        <v>284</v>
      </c>
      <c r="F791">
        <v>0</v>
      </c>
    </row>
    <row r="792" spans="1:6" x14ac:dyDescent="0.2">
      <c r="A792">
        <v>2020</v>
      </c>
      <c r="B792" t="s">
        <v>281</v>
      </c>
      <c r="C792">
        <v>175</v>
      </c>
      <c r="D792">
        <v>65</v>
      </c>
      <c r="E792" t="s">
        <v>285</v>
      </c>
      <c r="F792">
        <v>0</v>
      </c>
    </row>
    <row r="793" spans="1:6" x14ac:dyDescent="0.2">
      <c r="A793">
        <v>2021</v>
      </c>
      <c r="B793" t="s">
        <v>281</v>
      </c>
      <c r="C793">
        <v>195</v>
      </c>
      <c r="D793">
        <v>55</v>
      </c>
      <c r="E793" t="s">
        <v>286</v>
      </c>
      <c r="F793">
        <v>0</v>
      </c>
    </row>
    <row r="794" spans="1:6" x14ac:dyDescent="0.2">
      <c r="A794">
        <v>2022</v>
      </c>
      <c r="B794" t="s">
        <v>281</v>
      </c>
      <c r="C794">
        <v>260</v>
      </c>
      <c r="D794">
        <v>90</v>
      </c>
      <c r="E794" t="s">
        <v>287</v>
      </c>
      <c r="F794">
        <v>0</v>
      </c>
    </row>
    <row r="795" spans="1:6" x14ac:dyDescent="0.2">
      <c r="A795">
        <v>2023</v>
      </c>
      <c r="B795" t="s">
        <v>281</v>
      </c>
      <c r="C795">
        <v>310</v>
      </c>
      <c r="D795">
        <v>110</v>
      </c>
      <c r="E795" t="s">
        <v>288</v>
      </c>
      <c r="F795">
        <v>0</v>
      </c>
    </row>
    <row r="796" spans="1:6" x14ac:dyDescent="0.2">
      <c r="A796">
        <v>2024</v>
      </c>
      <c r="B796" t="s">
        <v>281</v>
      </c>
      <c r="C796">
        <v>225</v>
      </c>
      <c r="D796">
        <v>85</v>
      </c>
      <c r="E796" t="s">
        <v>289</v>
      </c>
      <c r="F796">
        <v>0</v>
      </c>
    </row>
    <row r="797" spans="1:6" x14ac:dyDescent="0.2">
      <c r="A797">
        <v>2025</v>
      </c>
      <c r="B797" t="s">
        <v>281</v>
      </c>
      <c r="C797">
        <v>230</v>
      </c>
      <c r="D797">
        <v>70</v>
      </c>
      <c r="E797" t="s">
        <v>1023</v>
      </c>
      <c r="F797">
        <v>0</v>
      </c>
    </row>
    <row r="798" spans="1:6" x14ac:dyDescent="0.2">
      <c r="A798">
        <v>2016</v>
      </c>
      <c r="B798" t="s">
        <v>709</v>
      </c>
      <c r="C798">
        <v>5</v>
      </c>
      <c r="D798">
        <v>0</v>
      </c>
      <c r="E798" t="s">
        <v>910</v>
      </c>
      <c r="F798">
        <v>0</v>
      </c>
    </row>
    <row r="799" spans="1:6" x14ac:dyDescent="0.2">
      <c r="A799">
        <v>2017</v>
      </c>
      <c r="B799" t="s">
        <v>709</v>
      </c>
      <c r="C799">
        <v>5</v>
      </c>
      <c r="D799">
        <v>0</v>
      </c>
      <c r="E799" t="s">
        <v>910</v>
      </c>
      <c r="F799">
        <v>0</v>
      </c>
    </row>
    <row r="800" spans="1:6" x14ac:dyDescent="0.2">
      <c r="A800">
        <v>2018</v>
      </c>
      <c r="B800" t="s">
        <v>709</v>
      </c>
      <c r="C800">
        <v>5</v>
      </c>
      <c r="D800">
        <v>0</v>
      </c>
      <c r="E800" t="s">
        <v>910</v>
      </c>
      <c r="F800">
        <v>0</v>
      </c>
    </row>
    <row r="801" spans="1:6" x14ac:dyDescent="0.2">
      <c r="A801">
        <v>2019</v>
      </c>
      <c r="B801" t="s">
        <v>709</v>
      </c>
      <c r="C801">
        <v>5</v>
      </c>
      <c r="D801">
        <v>0</v>
      </c>
      <c r="E801" t="s">
        <v>910</v>
      </c>
      <c r="F801">
        <v>0</v>
      </c>
    </row>
    <row r="802" spans="1:6" x14ac:dyDescent="0.2">
      <c r="A802">
        <v>2020</v>
      </c>
      <c r="B802" t="s">
        <v>709</v>
      </c>
      <c r="C802">
        <v>5</v>
      </c>
      <c r="D802">
        <v>0</v>
      </c>
      <c r="E802" t="s">
        <v>910</v>
      </c>
      <c r="F802">
        <v>0</v>
      </c>
    </row>
    <row r="803" spans="1:6" x14ac:dyDescent="0.2">
      <c r="A803">
        <v>2023</v>
      </c>
      <c r="B803" t="s">
        <v>709</v>
      </c>
      <c r="C803">
        <v>5</v>
      </c>
      <c r="D803">
        <v>5</v>
      </c>
      <c r="E803" t="s">
        <v>910</v>
      </c>
      <c r="F803">
        <v>0</v>
      </c>
    </row>
    <row r="804" spans="1:6" x14ac:dyDescent="0.2">
      <c r="A804">
        <v>2024</v>
      </c>
      <c r="B804" t="s">
        <v>709</v>
      </c>
      <c r="C804">
        <v>5</v>
      </c>
      <c r="D804">
        <v>0</v>
      </c>
      <c r="E804" t="s">
        <v>910</v>
      </c>
      <c r="F804">
        <v>0</v>
      </c>
    </row>
    <row r="805" spans="1:6" x14ac:dyDescent="0.2">
      <c r="A805">
        <v>2025</v>
      </c>
      <c r="B805" t="s">
        <v>709</v>
      </c>
      <c r="C805">
        <v>5</v>
      </c>
      <c r="D805">
        <v>0</v>
      </c>
      <c r="E805" t="s">
        <v>910</v>
      </c>
      <c r="F805">
        <v>0</v>
      </c>
    </row>
    <row r="806" spans="1:6" x14ac:dyDescent="0.2">
      <c r="A806">
        <v>2016</v>
      </c>
      <c r="B806" t="s">
        <v>705</v>
      </c>
      <c r="C806">
        <v>5</v>
      </c>
      <c r="D806">
        <v>0</v>
      </c>
      <c r="E806" t="s">
        <v>910</v>
      </c>
      <c r="F806">
        <v>0</v>
      </c>
    </row>
    <row r="807" spans="1:6" x14ac:dyDescent="0.2">
      <c r="A807">
        <v>2017</v>
      </c>
      <c r="B807" t="s">
        <v>705</v>
      </c>
      <c r="C807">
        <v>5</v>
      </c>
      <c r="D807">
        <v>0</v>
      </c>
      <c r="E807" t="s">
        <v>910</v>
      </c>
      <c r="F807">
        <v>0</v>
      </c>
    </row>
    <row r="808" spans="1:6" x14ac:dyDescent="0.2">
      <c r="A808">
        <v>2019</v>
      </c>
      <c r="B808" t="s">
        <v>705</v>
      </c>
      <c r="C808">
        <v>5</v>
      </c>
      <c r="D808">
        <v>0</v>
      </c>
      <c r="E808" t="s">
        <v>910</v>
      </c>
      <c r="F808">
        <v>0</v>
      </c>
    </row>
    <row r="809" spans="1:6" x14ac:dyDescent="0.2">
      <c r="A809">
        <v>2020</v>
      </c>
      <c r="B809" t="s">
        <v>705</v>
      </c>
      <c r="C809">
        <v>5</v>
      </c>
      <c r="D809">
        <v>0</v>
      </c>
      <c r="E809" t="s">
        <v>910</v>
      </c>
      <c r="F809">
        <v>0</v>
      </c>
    </row>
    <row r="810" spans="1:6" x14ac:dyDescent="0.2">
      <c r="A810">
        <v>2021</v>
      </c>
      <c r="B810" t="s">
        <v>705</v>
      </c>
      <c r="C810">
        <v>5</v>
      </c>
      <c r="D810">
        <v>0</v>
      </c>
      <c r="E810" t="s">
        <v>910</v>
      </c>
      <c r="F810">
        <v>0</v>
      </c>
    </row>
    <row r="811" spans="1:6" x14ac:dyDescent="0.2">
      <c r="A811">
        <v>2024</v>
      </c>
      <c r="B811" t="s">
        <v>705</v>
      </c>
      <c r="C811">
        <v>5</v>
      </c>
      <c r="D811">
        <v>0</v>
      </c>
      <c r="E811" t="s">
        <v>910</v>
      </c>
      <c r="F811">
        <v>0</v>
      </c>
    </row>
    <row r="812" spans="1:6" x14ac:dyDescent="0.2">
      <c r="A812">
        <v>2025</v>
      </c>
      <c r="B812" t="s">
        <v>705</v>
      </c>
      <c r="C812">
        <v>5</v>
      </c>
      <c r="D812">
        <v>0</v>
      </c>
      <c r="E812" t="s">
        <v>910</v>
      </c>
      <c r="F812">
        <v>0</v>
      </c>
    </row>
    <row r="813" spans="1:6" x14ac:dyDescent="0.2">
      <c r="A813">
        <v>2016</v>
      </c>
      <c r="B813" t="s">
        <v>707</v>
      </c>
      <c r="C813">
        <v>1810</v>
      </c>
      <c r="D813">
        <v>965</v>
      </c>
      <c r="E813" t="s">
        <v>295</v>
      </c>
      <c r="F813">
        <v>35</v>
      </c>
    </row>
    <row r="814" spans="1:6" x14ac:dyDescent="0.2">
      <c r="A814">
        <v>2017</v>
      </c>
      <c r="B814" t="s">
        <v>707</v>
      </c>
      <c r="C814">
        <v>1665</v>
      </c>
      <c r="D814">
        <v>935</v>
      </c>
      <c r="E814" t="s">
        <v>1024</v>
      </c>
      <c r="F814">
        <v>40</v>
      </c>
    </row>
    <row r="815" spans="1:6" x14ac:dyDescent="0.2">
      <c r="A815">
        <v>2018</v>
      </c>
      <c r="B815" t="s">
        <v>707</v>
      </c>
      <c r="C815">
        <v>1660</v>
      </c>
      <c r="D815">
        <v>820</v>
      </c>
      <c r="E815" t="s">
        <v>52</v>
      </c>
      <c r="F815">
        <v>25</v>
      </c>
    </row>
    <row r="816" spans="1:6" x14ac:dyDescent="0.2">
      <c r="A816">
        <v>2019</v>
      </c>
      <c r="B816" t="s">
        <v>707</v>
      </c>
      <c r="C816">
        <v>1825</v>
      </c>
      <c r="D816">
        <v>905</v>
      </c>
      <c r="E816" t="s">
        <v>1019</v>
      </c>
      <c r="F816">
        <v>45</v>
      </c>
    </row>
    <row r="817" spans="1:6" x14ac:dyDescent="0.2">
      <c r="A817">
        <v>2020</v>
      </c>
      <c r="B817" t="s">
        <v>707</v>
      </c>
      <c r="C817">
        <v>2290</v>
      </c>
      <c r="D817">
        <v>1125</v>
      </c>
      <c r="E817" t="s">
        <v>44</v>
      </c>
      <c r="F817">
        <v>55</v>
      </c>
    </row>
    <row r="818" spans="1:6" x14ac:dyDescent="0.2">
      <c r="A818">
        <v>2021</v>
      </c>
      <c r="B818" t="s">
        <v>707</v>
      </c>
      <c r="C818">
        <v>3775</v>
      </c>
      <c r="D818">
        <v>1500</v>
      </c>
      <c r="E818" t="s">
        <v>1025</v>
      </c>
      <c r="F818">
        <v>80</v>
      </c>
    </row>
    <row r="819" spans="1:6" x14ac:dyDescent="0.2">
      <c r="A819">
        <v>2022</v>
      </c>
      <c r="B819" t="s">
        <v>707</v>
      </c>
      <c r="C819">
        <v>6015</v>
      </c>
      <c r="D819">
        <v>1990</v>
      </c>
      <c r="E819" t="s">
        <v>1026</v>
      </c>
      <c r="F819">
        <v>175</v>
      </c>
    </row>
    <row r="820" spans="1:6" x14ac:dyDescent="0.2">
      <c r="A820">
        <v>2023</v>
      </c>
      <c r="B820" t="s">
        <v>707</v>
      </c>
      <c r="C820">
        <v>5505</v>
      </c>
      <c r="D820">
        <v>1735</v>
      </c>
      <c r="E820" t="s">
        <v>1027</v>
      </c>
      <c r="F820">
        <v>80</v>
      </c>
    </row>
    <row r="821" spans="1:6" x14ac:dyDescent="0.2">
      <c r="A821">
        <v>2024</v>
      </c>
      <c r="B821" t="s">
        <v>707</v>
      </c>
      <c r="C821">
        <v>2990</v>
      </c>
      <c r="D821">
        <v>1250</v>
      </c>
      <c r="E821" t="s">
        <v>113</v>
      </c>
      <c r="F821">
        <v>80</v>
      </c>
    </row>
    <row r="822" spans="1:6" x14ac:dyDescent="0.2">
      <c r="A822">
        <v>2025</v>
      </c>
      <c r="B822" t="s">
        <v>707</v>
      </c>
      <c r="C822">
        <v>3595</v>
      </c>
      <c r="D822">
        <v>1375</v>
      </c>
      <c r="E822" t="s">
        <v>277</v>
      </c>
      <c r="F822">
        <v>120</v>
      </c>
    </row>
    <row r="823" spans="1:6" x14ac:dyDescent="0.2">
      <c r="A823">
        <v>2016</v>
      </c>
      <c r="B823" t="s">
        <v>290</v>
      </c>
      <c r="C823">
        <v>1555</v>
      </c>
      <c r="D823">
        <v>995</v>
      </c>
      <c r="E823" t="s">
        <v>242</v>
      </c>
      <c r="F823">
        <v>5</v>
      </c>
    </row>
    <row r="824" spans="1:6" x14ac:dyDescent="0.2">
      <c r="A824">
        <v>2017</v>
      </c>
      <c r="B824" t="s">
        <v>290</v>
      </c>
      <c r="C824">
        <v>1610</v>
      </c>
      <c r="D824">
        <v>1055</v>
      </c>
      <c r="E824" t="s">
        <v>206</v>
      </c>
      <c r="F824">
        <v>10</v>
      </c>
    </row>
    <row r="825" spans="1:6" x14ac:dyDescent="0.2">
      <c r="A825">
        <v>2018</v>
      </c>
      <c r="B825" t="s">
        <v>290</v>
      </c>
      <c r="C825">
        <v>1615</v>
      </c>
      <c r="D825">
        <v>975</v>
      </c>
      <c r="E825" t="s">
        <v>292</v>
      </c>
      <c r="F825">
        <v>10</v>
      </c>
    </row>
    <row r="826" spans="1:6" x14ac:dyDescent="0.2">
      <c r="A826">
        <v>2019</v>
      </c>
      <c r="B826" t="s">
        <v>290</v>
      </c>
      <c r="C826">
        <v>1545</v>
      </c>
      <c r="D826">
        <v>930</v>
      </c>
      <c r="E826" t="s">
        <v>140</v>
      </c>
      <c r="F826">
        <v>10</v>
      </c>
    </row>
    <row r="827" spans="1:6" x14ac:dyDescent="0.2">
      <c r="A827">
        <v>2020</v>
      </c>
      <c r="B827" t="s">
        <v>290</v>
      </c>
      <c r="C827">
        <v>1425</v>
      </c>
      <c r="D827">
        <v>860</v>
      </c>
      <c r="E827" t="s">
        <v>293</v>
      </c>
      <c r="F827">
        <v>5</v>
      </c>
    </row>
    <row r="828" spans="1:6" x14ac:dyDescent="0.2">
      <c r="A828">
        <v>2021</v>
      </c>
      <c r="B828" t="s">
        <v>290</v>
      </c>
      <c r="C828">
        <v>1295</v>
      </c>
      <c r="D828">
        <v>705</v>
      </c>
      <c r="E828" t="s">
        <v>294</v>
      </c>
      <c r="F828">
        <v>5</v>
      </c>
    </row>
    <row r="829" spans="1:6" x14ac:dyDescent="0.2">
      <c r="A829">
        <v>2022</v>
      </c>
      <c r="B829" t="s">
        <v>290</v>
      </c>
      <c r="C829">
        <v>1120</v>
      </c>
      <c r="D829">
        <v>595</v>
      </c>
      <c r="E829" t="s">
        <v>295</v>
      </c>
      <c r="F829">
        <v>5</v>
      </c>
    </row>
    <row r="830" spans="1:6" x14ac:dyDescent="0.2">
      <c r="A830">
        <v>2023</v>
      </c>
      <c r="B830" t="s">
        <v>290</v>
      </c>
      <c r="C830">
        <v>965</v>
      </c>
      <c r="D830">
        <v>530</v>
      </c>
      <c r="E830" t="s">
        <v>29</v>
      </c>
      <c r="F830">
        <v>10</v>
      </c>
    </row>
    <row r="831" spans="1:6" x14ac:dyDescent="0.2">
      <c r="A831">
        <v>2024</v>
      </c>
      <c r="B831" t="s">
        <v>290</v>
      </c>
      <c r="C831">
        <v>790</v>
      </c>
      <c r="D831">
        <v>390</v>
      </c>
      <c r="E831" t="s">
        <v>296</v>
      </c>
      <c r="F831">
        <v>5</v>
      </c>
    </row>
    <row r="832" spans="1:6" x14ac:dyDescent="0.2">
      <c r="A832">
        <v>2025</v>
      </c>
      <c r="B832" t="s">
        <v>290</v>
      </c>
      <c r="C832">
        <v>670</v>
      </c>
      <c r="D832">
        <v>350</v>
      </c>
      <c r="E832" t="s">
        <v>153</v>
      </c>
      <c r="F832">
        <v>5</v>
      </c>
    </row>
    <row r="833" spans="1:6" x14ac:dyDescent="0.2">
      <c r="A833">
        <v>2016</v>
      </c>
      <c r="B833" t="s">
        <v>721</v>
      </c>
      <c r="C833">
        <v>1940</v>
      </c>
      <c r="D833">
        <v>665</v>
      </c>
      <c r="E833" t="s">
        <v>1028</v>
      </c>
      <c r="F833">
        <v>20</v>
      </c>
    </row>
    <row r="834" spans="1:6" x14ac:dyDescent="0.2">
      <c r="A834">
        <v>2017</v>
      </c>
      <c r="B834" t="s">
        <v>721</v>
      </c>
      <c r="C834">
        <v>2095</v>
      </c>
      <c r="D834">
        <v>720</v>
      </c>
      <c r="E834" t="s">
        <v>916</v>
      </c>
      <c r="F834">
        <v>30</v>
      </c>
    </row>
    <row r="835" spans="1:6" x14ac:dyDescent="0.2">
      <c r="A835">
        <v>2018</v>
      </c>
      <c r="B835" t="s">
        <v>721</v>
      </c>
      <c r="C835">
        <v>2305</v>
      </c>
      <c r="D835">
        <v>770</v>
      </c>
      <c r="E835" t="s">
        <v>355</v>
      </c>
      <c r="F835">
        <v>25</v>
      </c>
    </row>
    <row r="836" spans="1:6" x14ac:dyDescent="0.2">
      <c r="A836">
        <v>2019</v>
      </c>
      <c r="B836" t="s">
        <v>721</v>
      </c>
      <c r="C836">
        <v>2410</v>
      </c>
      <c r="D836">
        <v>815</v>
      </c>
      <c r="E836" t="s">
        <v>226</v>
      </c>
      <c r="F836">
        <v>25</v>
      </c>
    </row>
    <row r="837" spans="1:6" x14ac:dyDescent="0.2">
      <c r="A837">
        <v>2020</v>
      </c>
      <c r="B837" t="s">
        <v>721</v>
      </c>
      <c r="C837">
        <v>2575</v>
      </c>
      <c r="D837">
        <v>955</v>
      </c>
      <c r="E837" t="s">
        <v>72</v>
      </c>
      <c r="F837">
        <v>35</v>
      </c>
    </row>
    <row r="838" spans="1:6" x14ac:dyDescent="0.2">
      <c r="A838">
        <v>2021</v>
      </c>
      <c r="B838" t="s">
        <v>721</v>
      </c>
      <c r="C838">
        <v>3195</v>
      </c>
      <c r="D838">
        <v>955</v>
      </c>
      <c r="E838" t="s">
        <v>1013</v>
      </c>
      <c r="F838">
        <v>45</v>
      </c>
    </row>
    <row r="839" spans="1:6" x14ac:dyDescent="0.2">
      <c r="A839">
        <v>2022</v>
      </c>
      <c r="B839" t="s">
        <v>721</v>
      </c>
      <c r="C839">
        <v>3320</v>
      </c>
      <c r="D839">
        <v>1335</v>
      </c>
      <c r="E839" t="s">
        <v>305</v>
      </c>
      <c r="F839">
        <v>60</v>
      </c>
    </row>
    <row r="840" spans="1:6" x14ac:dyDescent="0.2">
      <c r="A840">
        <v>2023</v>
      </c>
      <c r="B840" t="s">
        <v>721</v>
      </c>
      <c r="C840">
        <v>3905</v>
      </c>
      <c r="D840">
        <v>1595</v>
      </c>
      <c r="E840" t="s">
        <v>196</v>
      </c>
      <c r="F840">
        <v>55</v>
      </c>
    </row>
    <row r="841" spans="1:6" x14ac:dyDescent="0.2">
      <c r="A841">
        <v>2024</v>
      </c>
      <c r="B841" t="s">
        <v>721</v>
      </c>
      <c r="C841">
        <v>3370</v>
      </c>
      <c r="D841">
        <v>1340</v>
      </c>
      <c r="E841" t="s">
        <v>1025</v>
      </c>
      <c r="F841">
        <v>45</v>
      </c>
    </row>
    <row r="842" spans="1:6" x14ac:dyDescent="0.2">
      <c r="A842">
        <v>2025</v>
      </c>
      <c r="B842" t="s">
        <v>721</v>
      </c>
      <c r="C842">
        <v>4215</v>
      </c>
      <c r="D842">
        <v>2275</v>
      </c>
      <c r="E842" t="s">
        <v>81</v>
      </c>
      <c r="F842">
        <v>70</v>
      </c>
    </row>
    <row r="843" spans="1:6" x14ac:dyDescent="0.2">
      <c r="A843">
        <v>2016</v>
      </c>
      <c r="B843" t="s">
        <v>723</v>
      </c>
      <c r="C843">
        <v>25</v>
      </c>
      <c r="D843">
        <v>10</v>
      </c>
      <c r="E843" t="s">
        <v>124</v>
      </c>
      <c r="F843">
        <v>0</v>
      </c>
    </row>
    <row r="844" spans="1:6" x14ac:dyDescent="0.2">
      <c r="A844">
        <v>2017</v>
      </c>
      <c r="B844" t="s">
        <v>723</v>
      </c>
      <c r="C844">
        <v>30</v>
      </c>
      <c r="D844">
        <v>15</v>
      </c>
      <c r="E844" t="s">
        <v>94</v>
      </c>
      <c r="F844">
        <v>0</v>
      </c>
    </row>
    <row r="845" spans="1:6" x14ac:dyDescent="0.2">
      <c r="A845">
        <v>2018</v>
      </c>
      <c r="B845" t="s">
        <v>723</v>
      </c>
      <c r="C845">
        <v>45</v>
      </c>
      <c r="D845">
        <v>20</v>
      </c>
      <c r="E845" t="s">
        <v>1029</v>
      </c>
      <c r="F845">
        <v>0</v>
      </c>
    </row>
    <row r="846" spans="1:6" x14ac:dyDescent="0.2">
      <c r="A846">
        <v>2019</v>
      </c>
      <c r="B846" t="s">
        <v>723</v>
      </c>
      <c r="C846">
        <v>50</v>
      </c>
      <c r="D846">
        <v>20</v>
      </c>
      <c r="E846" t="s">
        <v>278</v>
      </c>
      <c r="F846">
        <v>0</v>
      </c>
    </row>
    <row r="847" spans="1:6" x14ac:dyDescent="0.2">
      <c r="A847">
        <v>2020</v>
      </c>
      <c r="B847" t="s">
        <v>723</v>
      </c>
      <c r="C847">
        <v>45</v>
      </c>
      <c r="D847">
        <v>20</v>
      </c>
      <c r="E847" t="s">
        <v>194</v>
      </c>
      <c r="F847">
        <v>0</v>
      </c>
    </row>
    <row r="848" spans="1:6" x14ac:dyDescent="0.2">
      <c r="A848">
        <v>2021</v>
      </c>
      <c r="B848" t="s">
        <v>723</v>
      </c>
      <c r="C848">
        <v>60</v>
      </c>
      <c r="D848">
        <v>20</v>
      </c>
      <c r="E848" t="s">
        <v>118</v>
      </c>
      <c r="F848">
        <v>0</v>
      </c>
    </row>
    <row r="849" spans="1:6" x14ac:dyDescent="0.2">
      <c r="A849">
        <v>2022</v>
      </c>
      <c r="B849" t="s">
        <v>723</v>
      </c>
      <c r="C849">
        <v>45</v>
      </c>
      <c r="D849">
        <v>20</v>
      </c>
      <c r="E849" t="s">
        <v>73</v>
      </c>
      <c r="F849">
        <v>0</v>
      </c>
    </row>
    <row r="850" spans="1:6" x14ac:dyDescent="0.2">
      <c r="A850">
        <v>2023</v>
      </c>
      <c r="B850" t="s">
        <v>723</v>
      </c>
      <c r="C850">
        <v>55</v>
      </c>
      <c r="D850">
        <v>20</v>
      </c>
      <c r="E850" t="s">
        <v>231</v>
      </c>
      <c r="F850">
        <v>0</v>
      </c>
    </row>
    <row r="851" spans="1:6" x14ac:dyDescent="0.2">
      <c r="A851">
        <v>2024</v>
      </c>
      <c r="B851" t="s">
        <v>723</v>
      </c>
      <c r="C851">
        <v>45</v>
      </c>
      <c r="D851">
        <v>20</v>
      </c>
      <c r="E851" t="s">
        <v>115</v>
      </c>
      <c r="F851">
        <v>0</v>
      </c>
    </row>
    <row r="852" spans="1:6" x14ac:dyDescent="0.2">
      <c r="A852">
        <v>2025</v>
      </c>
      <c r="B852" t="s">
        <v>723</v>
      </c>
      <c r="C852">
        <v>50</v>
      </c>
      <c r="D852">
        <v>20</v>
      </c>
      <c r="E852" t="s">
        <v>34</v>
      </c>
      <c r="F852">
        <v>0</v>
      </c>
    </row>
    <row r="853" spans="1:6" x14ac:dyDescent="0.2">
      <c r="A853">
        <v>2016</v>
      </c>
      <c r="B853" t="s">
        <v>731</v>
      </c>
      <c r="C853">
        <v>5</v>
      </c>
      <c r="D853">
        <v>0</v>
      </c>
      <c r="E853" t="s">
        <v>910</v>
      </c>
      <c r="F853">
        <v>0</v>
      </c>
    </row>
    <row r="854" spans="1:6" x14ac:dyDescent="0.2">
      <c r="A854">
        <v>2018</v>
      </c>
      <c r="B854" t="s">
        <v>731</v>
      </c>
      <c r="C854">
        <v>5</v>
      </c>
      <c r="D854">
        <v>5</v>
      </c>
      <c r="E854" t="s">
        <v>910</v>
      </c>
      <c r="F854">
        <v>0</v>
      </c>
    </row>
    <row r="855" spans="1:6" x14ac:dyDescent="0.2">
      <c r="A855">
        <v>2019</v>
      </c>
      <c r="B855" t="s">
        <v>731</v>
      </c>
      <c r="C855">
        <v>5</v>
      </c>
      <c r="D855">
        <v>0</v>
      </c>
      <c r="E855" t="s">
        <v>910</v>
      </c>
      <c r="F855">
        <v>0</v>
      </c>
    </row>
    <row r="856" spans="1:6" x14ac:dyDescent="0.2">
      <c r="A856">
        <v>2020</v>
      </c>
      <c r="B856" t="s">
        <v>731</v>
      </c>
      <c r="C856">
        <v>5</v>
      </c>
      <c r="D856">
        <v>0</v>
      </c>
      <c r="E856" t="s">
        <v>910</v>
      </c>
      <c r="F856">
        <v>0</v>
      </c>
    </row>
    <row r="857" spans="1:6" x14ac:dyDescent="0.2">
      <c r="A857">
        <v>2023</v>
      </c>
      <c r="B857" t="s">
        <v>731</v>
      </c>
      <c r="C857">
        <v>5</v>
      </c>
      <c r="D857">
        <v>0</v>
      </c>
      <c r="E857" t="s">
        <v>910</v>
      </c>
      <c r="F857">
        <v>0</v>
      </c>
    </row>
    <row r="858" spans="1:6" x14ac:dyDescent="0.2">
      <c r="A858">
        <v>2024</v>
      </c>
      <c r="B858" t="s">
        <v>731</v>
      </c>
      <c r="C858">
        <v>5</v>
      </c>
      <c r="D858">
        <v>0</v>
      </c>
      <c r="E858" t="s">
        <v>910</v>
      </c>
      <c r="F858">
        <v>0</v>
      </c>
    </row>
    <row r="859" spans="1:6" x14ac:dyDescent="0.2">
      <c r="A859">
        <v>2025</v>
      </c>
      <c r="B859" t="s">
        <v>731</v>
      </c>
      <c r="C859">
        <v>5</v>
      </c>
      <c r="D859">
        <v>0</v>
      </c>
      <c r="E859" t="s">
        <v>910</v>
      </c>
      <c r="F859">
        <v>0</v>
      </c>
    </row>
    <row r="860" spans="1:6" x14ac:dyDescent="0.2">
      <c r="A860">
        <v>2016</v>
      </c>
      <c r="B860" t="s">
        <v>739</v>
      </c>
      <c r="C860">
        <v>10</v>
      </c>
      <c r="D860">
        <v>5</v>
      </c>
      <c r="E860" t="s">
        <v>910</v>
      </c>
      <c r="F860">
        <v>0</v>
      </c>
    </row>
    <row r="861" spans="1:6" x14ac:dyDescent="0.2">
      <c r="A861">
        <v>2017</v>
      </c>
      <c r="B861" t="s">
        <v>739</v>
      </c>
      <c r="C861">
        <v>5</v>
      </c>
      <c r="D861">
        <v>0</v>
      </c>
      <c r="E861" t="s">
        <v>910</v>
      </c>
      <c r="F861">
        <v>0</v>
      </c>
    </row>
    <row r="862" spans="1:6" x14ac:dyDescent="0.2">
      <c r="A862">
        <v>2018</v>
      </c>
      <c r="B862" t="s">
        <v>739</v>
      </c>
      <c r="C862">
        <v>10</v>
      </c>
      <c r="D862">
        <v>5</v>
      </c>
      <c r="E862" t="s">
        <v>910</v>
      </c>
      <c r="F862">
        <v>0</v>
      </c>
    </row>
    <row r="863" spans="1:6" x14ac:dyDescent="0.2">
      <c r="A863">
        <v>2019</v>
      </c>
      <c r="B863" t="s">
        <v>739</v>
      </c>
      <c r="C863">
        <v>5</v>
      </c>
      <c r="D863">
        <v>0</v>
      </c>
      <c r="E863" t="s">
        <v>910</v>
      </c>
      <c r="F863">
        <v>0</v>
      </c>
    </row>
    <row r="864" spans="1:6" x14ac:dyDescent="0.2">
      <c r="A864">
        <v>2020</v>
      </c>
      <c r="B864" t="s">
        <v>739</v>
      </c>
      <c r="C864">
        <v>10</v>
      </c>
      <c r="D864">
        <v>5</v>
      </c>
      <c r="E864" t="s">
        <v>910</v>
      </c>
      <c r="F864">
        <v>0</v>
      </c>
    </row>
    <row r="865" spans="1:6" x14ac:dyDescent="0.2">
      <c r="A865">
        <v>2021</v>
      </c>
      <c r="B865" t="s">
        <v>739</v>
      </c>
      <c r="C865">
        <v>5</v>
      </c>
      <c r="D865">
        <v>0</v>
      </c>
      <c r="E865" t="s">
        <v>910</v>
      </c>
      <c r="F865">
        <v>0</v>
      </c>
    </row>
    <row r="866" spans="1:6" x14ac:dyDescent="0.2">
      <c r="A866">
        <v>2022</v>
      </c>
      <c r="B866" t="s">
        <v>739</v>
      </c>
      <c r="C866">
        <v>5</v>
      </c>
      <c r="D866">
        <v>0</v>
      </c>
      <c r="E866" t="s">
        <v>910</v>
      </c>
      <c r="F866">
        <v>0</v>
      </c>
    </row>
    <row r="867" spans="1:6" x14ac:dyDescent="0.2">
      <c r="A867">
        <v>2023</v>
      </c>
      <c r="B867" t="s">
        <v>739</v>
      </c>
      <c r="C867">
        <v>10</v>
      </c>
      <c r="D867">
        <v>0</v>
      </c>
      <c r="E867" t="s">
        <v>910</v>
      </c>
      <c r="F867">
        <v>0</v>
      </c>
    </row>
    <row r="868" spans="1:6" x14ac:dyDescent="0.2">
      <c r="A868">
        <v>2024</v>
      </c>
      <c r="B868" t="s">
        <v>739</v>
      </c>
      <c r="C868">
        <v>5</v>
      </c>
      <c r="D868">
        <v>0</v>
      </c>
      <c r="E868" t="s">
        <v>910</v>
      </c>
      <c r="F868">
        <v>0</v>
      </c>
    </row>
    <row r="869" spans="1:6" x14ac:dyDescent="0.2">
      <c r="A869">
        <v>2025</v>
      </c>
      <c r="B869" t="s">
        <v>739</v>
      </c>
      <c r="C869">
        <v>15</v>
      </c>
      <c r="D869">
        <v>5</v>
      </c>
      <c r="E869" t="s">
        <v>910</v>
      </c>
      <c r="F869">
        <v>0</v>
      </c>
    </row>
    <row r="870" spans="1:6" x14ac:dyDescent="0.2">
      <c r="A870">
        <v>2016</v>
      </c>
      <c r="B870" t="s">
        <v>725</v>
      </c>
      <c r="C870">
        <v>90</v>
      </c>
      <c r="D870">
        <v>40</v>
      </c>
      <c r="E870" t="s">
        <v>33</v>
      </c>
      <c r="F870">
        <v>0</v>
      </c>
    </row>
    <row r="871" spans="1:6" x14ac:dyDescent="0.2">
      <c r="A871">
        <v>2017</v>
      </c>
      <c r="B871" t="s">
        <v>725</v>
      </c>
      <c r="C871">
        <v>100</v>
      </c>
      <c r="D871">
        <v>55</v>
      </c>
      <c r="E871" t="s">
        <v>193</v>
      </c>
      <c r="F871">
        <v>0</v>
      </c>
    </row>
    <row r="872" spans="1:6" x14ac:dyDescent="0.2">
      <c r="A872">
        <v>2018</v>
      </c>
      <c r="B872" t="s">
        <v>725</v>
      </c>
      <c r="C872">
        <v>110</v>
      </c>
      <c r="D872">
        <v>60</v>
      </c>
      <c r="E872" t="s">
        <v>1030</v>
      </c>
      <c r="F872">
        <v>0</v>
      </c>
    </row>
    <row r="873" spans="1:6" x14ac:dyDescent="0.2">
      <c r="A873">
        <v>2019</v>
      </c>
      <c r="B873" t="s">
        <v>725</v>
      </c>
      <c r="C873">
        <v>140</v>
      </c>
      <c r="D873">
        <v>80</v>
      </c>
      <c r="E873" t="s">
        <v>40</v>
      </c>
      <c r="F873">
        <v>0</v>
      </c>
    </row>
    <row r="874" spans="1:6" x14ac:dyDescent="0.2">
      <c r="A874">
        <v>2020</v>
      </c>
      <c r="B874" t="s">
        <v>725</v>
      </c>
      <c r="C874">
        <v>195</v>
      </c>
      <c r="D874">
        <v>100</v>
      </c>
      <c r="E874" t="s">
        <v>1031</v>
      </c>
      <c r="F874">
        <v>0</v>
      </c>
    </row>
    <row r="875" spans="1:6" x14ac:dyDescent="0.2">
      <c r="A875">
        <v>2021</v>
      </c>
      <c r="B875" t="s">
        <v>725</v>
      </c>
      <c r="C875">
        <v>240</v>
      </c>
      <c r="D875">
        <v>130</v>
      </c>
      <c r="E875" t="s">
        <v>201</v>
      </c>
      <c r="F875">
        <v>0</v>
      </c>
    </row>
    <row r="876" spans="1:6" x14ac:dyDescent="0.2">
      <c r="A876">
        <v>2022</v>
      </c>
      <c r="B876" t="s">
        <v>725</v>
      </c>
      <c r="C876">
        <v>250</v>
      </c>
      <c r="D876">
        <v>110</v>
      </c>
      <c r="E876" t="s">
        <v>322</v>
      </c>
      <c r="F876">
        <v>0</v>
      </c>
    </row>
    <row r="877" spans="1:6" x14ac:dyDescent="0.2">
      <c r="A877">
        <v>2023</v>
      </c>
      <c r="B877" t="s">
        <v>725</v>
      </c>
      <c r="C877">
        <v>225</v>
      </c>
      <c r="D877">
        <v>95</v>
      </c>
      <c r="E877" t="s">
        <v>981</v>
      </c>
      <c r="F877">
        <v>0</v>
      </c>
    </row>
    <row r="878" spans="1:6" x14ac:dyDescent="0.2">
      <c r="A878">
        <v>2024</v>
      </c>
      <c r="B878" t="s">
        <v>725</v>
      </c>
      <c r="C878">
        <v>240</v>
      </c>
      <c r="D878">
        <v>105</v>
      </c>
      <c r="E878" t="s">
        <v>341</v>
      </c>
      <c r="F878">
        <v>5</v>
      </c>
    </row>
    <row r="879" spans="1:6" x14ac:dyDescent="0.2">
      <c r="A879">
        <v>2025</v>
      </c>
      <c r="B879" t="s">
        <v>725</v>
      </c>
      <c r="C879">
        <v>235</v>
      </c>
      <c r="D879">
        <v>125</v>
      </c>
      <c r="E879" t="s">
        <v>153</v>
      </c>
      <c r="F879">
        <v>0</v>
      </c>
    </row>
    <row r="880" spans="1:6" x14ac:dyDescent="0.2">
      <c r="A880">
        <v>2016</v>
      </c>
      <c r="B880" t="s">
        <v>727</v>
      </c>
      <c r="C880">
        <v>140</v>
      </c>
      <c r="D880">
        <v>65</v>
      </c>
      <c r="E880" t="s">
        <v>179</v>
      </c>
      <c r="F880">
        <v>0</v>
      </c>
    </row>
    <row r="881" spans="1:6" x14ac:dyDescent="0.2">
      <c r="A881">
        <v>2017</v>
      </c>
      <c r="B881" t="s">
        <v>727</v>
      </c>
      <c r="C881">
        <v>150</v>
      </c>
      <c r="D881">
        <v>65</v>
      </c>
      <c r="E881" t="s">
        <v>161</v>
      </c>
      <c r="F881">
        <v>0</v>
      </c>
    </row>
    <row r="882" spans="1:6" x14ac:dyDescent="0.2">
      <c r="A882">
        <v>2018</v>
      </c>
      <c r="B882" t="s">
        <v>727</v>
      </c>
      <c r="C882">
        <v>175</v>
      </c>
      <c r="D882">
        <v>80</v>
      </c>
      <c r="E882" t="s">
        <v>1032</v>
      </c>
      <c r="F882">
        <v>0</v>
      </c>
    </row>
    <row r="883" spans="1:6" x14ac:dyDescent="0.2">
      <c r="A883">
        <v>2019</v>
      </c>
      <c r="B883" t="s">
        <v>727</v>
      </c>
      <c r="C883">
        <v>210</v>
      </c>
      <c r="D883">
        <v>85</v>
      </c>
      <c r="E883" t="s">
        <v>1025</v>
      </c>
      <c r="F883">
        <v>0</v>
      </c>
    </row>
    <row r="884" spans="1:6" x14ac:dyDescent="0.2">
      <c r="A884">
        <v>2020</v>
      </c>
      <c r="B884" t="s">
        <v>727</v>
      </c>
      <c r="C884">
        <v>215</v>
      </c>
      <c r="D884">
        <v>100</v>
      </c>
      <c r="E884" t="s">
        <v>339</v>
      </c>
      <c r="F884">
        <v>0</v>
      </c>
    </row>
    <row r="885" spans="1:6" x14ac:dyDescent="0.2">
      <c r="A885">
        <v>2021</v>
      </c>
      <c r="B885" t="s">
        <v>727</v>
      </c>
      <c r="C885">
        <v>230</v>
      </c>
      <c r="D885">
        <v>100</v>
      </c>
      <c r="E885" t="s">
        <v>997</v>
      </c>
      <c r="F885">
        <v>0</v>
      </c>
    </row>
    <row r="886" spans="1:6" x14ac:dyDescent="0.2">
      <c r="A886">
        <v>2022</v>
      </c>
      <c r="B886" t="s">
        <v>727</v>
      </c>
      <c r="C886">
        <v>225</v>
      </c>
      <c r="D886">
        <v>85</v>
      </c>
      <c r="E886" t="s">
        <v>274</v>
      </c>
      <c r="F886">
        <v>5</v>
      </c>
    </row>
    <row r="887" spans="1:6" x14ac:dyDescent="0.2">
      <c r="A887">
        <v>2023</v>
      </c>
      <c r="B887" t="s">
        <v>727</v>
      </c>
      <c r="C887">
        <v>270</v>
      </c>
      <c r="D887">
        <v>115</v>
      </c>
      <c r="E887" t="s">
        <v>284</v>
      </c>
      <c r="F887">
        <v>5</v>
      </c>
    </row>
    <row r="888" spans="1:6" x14ac:dyDescent="0.2">
      <c r="A888">
        <v>2024</v>
      </c>
      <c r="B888" t="s">
        <v>727</v>
      </c>
      <c r="C888">
        <v>290</v>
      </c>
      <c r="D888">
        <v>110</v>
      </c>
      <c r="E888" t="s">
        <v>390</v>
      </c>
      <c r="F888">
        <v>0</v>
      </c>
    </row>
    <row r="889" spans="1:6" x14ac:dyDescent="0.2">
      <c r="A889">
        <v>2025</v>
      </c>
      <c r="B889" t="s">
        <v>727</v>
      </c>
      <c r="C889">
        <v>310</v>
      </c>
      <c r="D889">
        <v>115</v>
      </c>
      <c r="E889" t="s">
        <v>351</v>
      </c>
      <c r="F889">
        <v>5</v>
      </c>
    </row>
    <row r="890" spans="1:6" x14ac:dyDescent="0.2">
      <c r="A890">
        <v>2016</v>
      </c>
      <c r="B890" t="s">
        <v>1033</v>
      </c>
      <c r="C890">
        <v>10</v>
      </c>
      <c r="D890">
        <v>5</v>
      </c>
      <c r="E890" t="s">
        <v>910</v>
      </c>
      <c r="F890">
        <v>0</v>
      </c>
    </row>
    <row r="891" spans="1:6" x14ac:dyDescent="0.2">
      <c r="A891">
        <v>2017</v>
      </c>
      <c r="B891" t="s">
        <v>1033</v>
      </c>
      <c r="C891">
        <v>10</v>
      </c>
      <c r="D891">
        <v>5</v>
      </c>
      <c r="E891" t="s">
        <v>910</v>
      </c>
      <c r="F891">
        <v>0</v>
      </c>
    </row>
    <row r="892" spans="1:6" x14ac:dyDescent="0.2">
      <c r="A892">
        <v>2018</v>
      </c>
      <c r="B892" t="s">
        <v>1033</v>
      </c>
      <c r="C892">
        <v>5</v>
      </c>
      <c r="D892">
        <v>0</v>
      </c>
      <c r="E892" t="s">
        <v>910</v>
      </c>
      <c r="F892">
        <v>0</v>
      </c>
    </row>
    <row r="893" spans="1:6" x14ac:dyDescent="0.2">
      <c r="A893">
        <v>2019</v>
      </c>
      <c r="B893" t="s">
        <v>1033</v>
      </c>
      <c r="C893">
        <v>10</v>
      </c>
      <c r="D893">
        <v>5</v>
      </c>
      <c r="E893" t="s">
        <v>910</v>
      </c>
      <c r="F893">
        <v>0</v>
      </c>
    </row>
    <row r="894" spans="1:6" x14ac:dyDescent="0.2">
      <c r="A894">
        <v>2020</v>
      </c>
      <c r="B894" t="s">
        <v>1033</v>
      </c>
      <c r="C894">
        <v>10</v>
      </c>
      <c r="D894">
        <v>5</v>
      </c>
      <c r="E894" t="s">
        <v>910</v>
      </c>
      <c r="F894">
        <v>0</v>
      </c>
    </row>
    <row r="895" spans="1:6" x14ac:dyDescent="0.2">
      <c r="A895">
        <v>2021</v>
      </c>
      <c r="B895" t="s">
        <v>1033</v>
      </c>
      <c r="C895">
        <v>25</v>
      </c>
      <c r="D895">
        <v>10</v>
      </c>
      <c r="E895" t="s">
        <v>1034</v>
      </c>
      <c r="F895">
        <v>0</v>
      </c>
    </row>
    <row r="896" spans="1:6" x14ac:dyDescent="0.2">
      <c r="A896">
        <v>2022</v>
      </c>
      <c r="B896" t="s">
        <v>1033</v>
      </c>
      <c r="C896">
        <v>15</v>
      </c>
      <c r="D896">
        <v>5</v>
      </c>
      <c r="E896" t="s">
        <v>910</v>
      </c>
      <c r="F896">
        <v>0</v>
      </c>
    </row>
    <row r="897" spans="1:6" x14ac:dyDescent="0.2">
      <c r="A897">
        <v>2023</v>
      </c>
      <c r="B897" t="s">
        <v>1033</v>
      </c>
      <c r="C897">
        <v>15</v>
      </c>
      <c r="D897">
        <v>5</v>
      </c>
      <c r="E897" t="s">
        <v>910</v>
      </c>
      <c r="F897">
        <v>0</v>
      </c>
    </row>
    <row r="898" spans="1:6" x14ac:dyDescent="0.2">
      <c r="A898">
        <v>2024</v>
      </c>
      <c r="B898" t="s">
        <v>1033</v>
      </c>
      <c r="C898">
        <v>10</v>
      </c>
      <c r="D898">
        <v>5</v>
      </c>
      <c r="E898" t="s">
        <v>910</v>
      </c>
      <c r="F898">
        <v>0</v>
      </c>
    </row>
    <row r="899" spans="1:6" x14ac:dyDescent="0.2">
      <c r="A899">
        <v>2025</v>
      </c>
      <c r="B899" t="s">
        <v>1033</v>
      </c>
      <c r="C899">
        <v>15</v>
      </c>
      <c r="D899">
        <v>5</v>
      </c>
      <c r="E899" t="s">
        <v>910</v>
      </c>
      <c r="F899">
        <v>0</v>
      </c>
    </row>
    <row r="900" spans="1:6" x14ac:dyDescent="0.2">
      <c r="A900">
        <v>2016</v>
      </c>
      <c r="B900" t="s">
        <v>297</v>
      </c>
      <c r="C900">
        <v>610</v>
      </c>
      <c r="D900">
        <v>225</v>
      </c>
      <c r="E900" t="s">
        <v>298</v>
      </c>
      <c r="F900">
        <v>15</v>
      </c>
    </row>
    <row r="901" spans="1:6" x14ac:dyDescent="0.2">
      <c r="A901">
        <v>2017</v>
      </c>
      <c r="B901" t="s">
        <v>297</v>
      </c>
      <c r="C901">
        <v>590</v>
      </c>
      <c r="D901">
        <v>245</v>
      </c>
      <c r="E901" t="s">
        <v>300</v>
      </c>
      <c r="F901">
        <v>20</v>
      </c>
    </row>
    <row r="902" spans="1:6" x14ac:dyDescent="0.2">
      <c r="A902">
        <v>2018</v>
      </c>
      <c r="B902" t="s">
        <v>297</v>
      </c>
      <c r="C902">
        <v>705</v>
      </c>
      <c r="D902">
        <v>325</v>
      </c>
      <c r="E902" t="s">
        <v>301</v>
      </c>
      <c r="F902">
        <v>15</v>
      </c>
    </row>
    <row r="903" spans="1:6" x14ac:dyDescent="0.2">
      <c r="A903">
        <v>2019</v>
      </c>
      <c r="B903" t="s">
        <v>297</v>
      </c>
      <c r="C903">
        <v>650</v>
      </c>
      <c r="D903">
        <v>285</v>
      </c>
      <c r="E903" t="s">
        <v>302</v>
      </c>
      <c r="F903">
        <v>10</v>
      </c>
    </row>
    <row r="904" spans="1:6" x14ac:dyDescent="0.2">
      <c r="A904">
        <v>2020</v>
      </c>
      <c r="B904" t="s">
        <v>297</v>
      </c>
      <c r="C904">
        <v>640</v>
      </c>
      <c r="D904">
        <v>325</v>
      </c>
      <c r="E904" t="s">
        <v>303</v>
      </c>
      <c r="F904">
        <v>10</v>
      </c>
    </row>
    <row r="905" spans="1:6" x14ac:dyDescent="0.2">
      <c r="A905">
        <v>2021</v>
      </c>
      <c r="B905" t="s">
        <v>297</v>
      </c>
      <c r="C905">
        <v>775</v>
      </c>
      <c r="D905">
        <v>345</v>
      </c>
      <c r="E905" t="s">
        <v>83</v>
      </c>
      <c r="F905">
        <v>20</v>
      </c>
    </row>
    <row r="906" spans="1:6" x14ac:dyDescent="0.2">
      <c r="A906">
        <v>2022</v>
      </c>
      <c r="B906" t="s">
        <v>297</v>
      </c>
      <c r="C906">
        <v>880</v>
      </c>
      <c r="D906">
        <v>365</v>
      </c>
      <c r="E906" t="s">
        <v>304</v>
      </c>
      <c r="F906">
        <v>10</v>
      </c>
    </row>
    <row r="907" spans="1:6" x14ac:dyDescent="0.2">
      <c r="A907">
        <v>2023</v>
      </c>
      <c r="B907" t="s">
        <v>297</v>
      </c>
      <c r="C907">
        <v>825</v>
      </c>
      <c r="D907">
        <v>330</v>
      </c>
      <c r="E907" t="s">
        <v>305</v>
      </c>
      <c r="F907">
        <v>20</v>
      </c>
    </row>
    <row r="908" spans="1:6" x14ac:dyDescent="0.2">
      <c r="A908">
        <v>2024</v>
      </c>
      <c r="B908" t="s">
        <v>297</v>
      </c>
      <c r="C908">
        <v>890</v>
      </c>
      <c r="D908">
        <v>395</v>
      </c>
      <c r="E908" t="s">
        <v>306</v>
      </c>
      <c r="F908">
        <v>20</v>
      </c>
    </row>
    <row r="909" spans="1:6" x14ac:dyDescent="0.2">
      <c r="A909">
        <v>2025</v>
      </c>
      <c r="B909" t="s">
        <v>297</v>
      </c>
      <c r="C909">
        <v>820</v>
      </c>
      <c r="D909">
        <v>320</v>
      </c>
      <c r="E909" t="s">
        <v>344</v>
      </c>
      <c r="F909">
        <v>20</v>
      </c>
    </row>
    <row r="910" spans="1:6" x14ac:dyDescent="0.2">
      <c r="A910">
        <v>2016</v>
      </c>
      <c r="B910" t="s">
        <v>307</v>
      </c>
      <c r="C910">
        <v>465</v>
      </c>
      <c r="D910">
        <v>170</v>
      </c>
      <c r="E910" t="s">
        <v>308</v>
      </c>
      <c r="F910">
        <v>5</v>
      </c>
    </row>
    <row r="911" spans="1:6" x14ac:dyDescent="0.2">
      <c r="A911">
        <v>2017</v>
      </c>
      <c r="B911" t="s">
        <v>307</v>
      </c>
      <c r="C911">
        <v>495</v>
      </c>
      <c r="D911">
        <v>180</v>
      </c>
      <c r="E911" t="s">
        <v>217</v>
      </c>
      <c r="F911">
        <v>10</v>
      </c>
    </row>
    <row r="912" spans="1:6" x14ac:dyDescent="0.2">
      <c r="A912">
        <v>2018</v>
      </c>
      <c r="B912" t="s">
        <v>307</v>
      </c>
      <c r="C912">
        <v>515</v>
      </c>
      <c r="D912">
        <v>200</v>
      </c>
      <c r="E912" t="s">
        <v>310</v>
      </c>
      <c r="F912">
        <v>15</v>
      </c>
    </row>
    <row r="913" spans="1:6" x14ac:dyDescent="0.2">
      <c r="A913">
        <v>2019</v>
      </c>
      <c r="B913" t="s">
        <v>307</v>
      </c>
      <c r="C913">
        <v>560</v>
      </c>
      <c r="D913">
        <v>205</v>
      </c>
      <c r="E913" t="s">
        <v>72</v>
      </c>
      <c r="F913">
        <v>10</v>
      </c>
    </row>
    <row r="914" spans="1:6" x14ac:dyDescent="0.2">
      <c r="A914">
        <v>2020</v>
      </c>
      <c r="B914" t="s">
        <v>307</v>
      </c>
      <c r="C914">
        <v>670</v>
      </c>
      <c r="D914">
        <v>255</v>
      </c>
      <c r="E914" t="s">
        <v>274</v>
      </c>
      <c r="F914">
        <v>20</v>
      </c>
    </row>
    <row r="915" spans="1:6" x14ac:dyDescent="0.2">
      <c r="A915">
        <v>2021</v>
      </c>
      <c r="B915" t="s">
        <v>307</v>
      </c>
      <c r="C915">
        <v>805</v>
      </c>
      <c r="D915">
        <v>295</v>
      </c>
      <c r="E915" t="s">
        <v>311</v>
      </c>
      <c r="F915">
        <v>10</v>
      </c>
    </row>
    <row r="916" spans="1:6" x14ac:dyDescent="0.2">
      <c r="A916">
        <v>2022</v>
      </c>
      <c r="B916" t="s">
        <v>307</v>
      </c>
      <c r="C916">
        <v>665</v>
      </c>
      <c r="D916">
        <v>210</v>
      </c>
      <c r="E916" t="s">
        <v>312</v>
      </c>
      <c r="F916">
        <v>20</v>
      </c>
    </row>
    <row r="917" spans="1:6" x14ac:dyDescent="0.2">
      <c r="A917">
        <v>2023</v>
      </c>
      <c r="B917" t="s">
        <v>307</v>
      </c>
      <c r="C917">
        <v>750</v>
      </c>
      <c r="D917">
        <v>285</v>
      </c>
      <c r="E917" t="s">
        <v>285</v>
      </c>
      <c r="F917">
        <v>10</v>
      </c>
    </row>
    <row r="918" spans="1:6" x14ac:dyDescent="0.2">
      <c r="A918">
        <v>2024</v>
      </c>
      <c r="B918" t="s">
        <v>307</v>
      </c>
      <c r="C918">
        <v>640</v>
      </c>
      <c r="D918">
        <v>265</v>
      </c>
      <c r="E918" t="s">
        <v>123</v>
      </c>
      <c r="F918">
        <v>15</v>
      </c>
    </row>
    <row r="919" spans="1:6" x14ac:dyDescent="0.2">
      <c r="A919">
        <v>2025</v>
      </c>
      <c r="B919" t="s">
        <v>307</v>
      </c>
      <c r="C919">
        <v>675</v>
      </c>
      <c r="D919">
        <v>235</v>
      </c>
      <c r="E919" t="s">
        <v>992</v>
      </c>
      <c r="F919">
        <v>25</v>
      </c>
    </row>
    <row r="920" spans="1:6" x14ac:dyDescent="0.2">
      <c r="A920">
        <v>2016</v>
      </c>
      <c r="B920" t="s">
        <v>749</v>
      </c>
      <c r="C920">
        <v>25</v>
      </c>
      <c r="D920">
        <v>5</v>
      </c>
      <c r="E920" t="s">
        <v>910</v>
      </c>
      <c r="F920">
        <v>0</v>
      </c>
    </row>
    <row r="921" spans="1:6" x14ac:dyDescent="0.2">
      <c r="A921">
        <v>2017</v>
      </c>
      <c r="B921" t="s">
        <v>749</v>
      </c>
      <c r="C921">
        <v>25</v>
      </c>
      <c r="D921">
        <v>5</v>
      </c>
      <c r="E921" t="s">
        <v>910</v>
      </c>
      <c r="F921">
        <v>0</v>
      </c>
    </row>
    <row r="922" spans="1:6" x14ac:dyDescent="0.2">
      <c r="A922">
        <v>2018</v>
      </c>
      <c r="B922" t="s">
        <v>749</v>
      </c>
      <c r="C922">
        <v>30</v>
      </c>
      <c r="D922">
        <v>10</v>
      </c>
      <c r="E922" t="s">
        <v>977</v>
      </c>
      <c r="F922">
        <v>0</v>
      </c>
    </row>
    <row r="923" spans="1:6" x14ac:dyDescent="0.2">
      <c r="A923">
        <v>2019</v>
      </c>
      <c r="B923" t="s">
        <v>749</v>
      </c>
      <c r="C923">
        <v>40</v>
      </c>
      <c r="D923">
        <v>15</v>
      </c>
      <c r="E923" t="s">
        <v>960</v>
      </c>
      <c r="F923">
        <v>5</v>
      </c>
    </row>
    <row r="924" spans="1:6" x14ac:dyDescent="0.2">
      <c r="A924">
        <v>2020</v>
      </c>
      <c r="B924" t="s">
        <v>749</v>
      </c>
      <c r="C924">
        <v>50</v>
      </c>
      <c r="D924">
        <v>20</v>
      </c>
      <c r="E924" t="s">
        <v>34</v>
      </c>
      <c r="F924">
        <v>0</v>
      </c>
    </row>
    <row r="925" spans="1:6" x14ac:dyDescent="0.2">
      <c r="A925">
        <v>2021</v>
      </c>
      <c r="B925" t="s">
        <v>749</v>
      </c>
      <c r="C925">
        <v>45</v>
      </c>
      <c r="D925">
        <v>15</v>
      </c>
      <c r="E925" t="s">
        <v>363</v>
      </c>
      <c r="F925">
        <v>0</v>
      </c>
    </row>
    <row r="926" spans="1:6" x14ac:dyDescent="0.2">
      <c r="A926">
        <v>2022</v>
      </c>
      <c r="B926" t="s">
        <v>749</v>
      </c>
      <c r="C926">
        <v>75</v>
      </c>
      <c r="D926">
        <v>20</v>
      </c>
      <c r="E926" t="s">
        <v>1035</v>
      </c>
      <c r="F926">
        <v>5</v>
      </c>
    </row>
    <row r="927" spans="1:6" x14ac:dyDescent="0.2">
      <c r="A927">
        <v>2023</v>
      </c>
      <c r="B927" t="s">
        <v>749</v>
      </c>
      <c r="C927">
        <v>90</v>
      </c>
      <c r="D927">
        <v>15</v>
      </c>
      <c r="E927" t="s">
        <v>1036</v>
      </c>
      <c r="F927">
        <v>0</v>
      </c>
    </row>
    <row r="928" spans="1:6" x14ac:dyDescent="0.2">
      <c r="A928">
        <v>2024</v>
      </c>
      <c r="B928" t="s">
        <v>749</v>
      </c>
      <c r="C928">
        <v>80</v>
      </c>
      <c r="D928">
        <v>30</v>
      </c>
      <c r="E928" t="s">
        <v>310</v>
      </c>
      <c r="F928">
        <v>5</v>
      </c>
    </row>
    <row r="929" spans="1:6" x14ac:dyDescent="0.2">
      <c r="A929">
        <v>2025</v>
      </c>
      <c r="B929" t="s">
        <v>749</v>
      </c>
      <c r="C929">
        <v>80</v>
      </c>
      <c r="D929">
        <v>20</v>
      </c>
      <c r="E929" t="s">
        <v>1037</v>
      </c>
      <c r="F929">
        <v>0</v>
      </c>
    </row>
    <row r="930" spans="1:6" x14ac:dyDescent="0.2">
      <c r="A930">
        <v>2016</v>
      </c>
      <c r="B930" t="s">
        <v>1038</v>
      </c>
      <c r="C930">
        <v>10</v>
      </c>
      <c r="D930">
        <v>5</v>
      </c>
      <c r="E930" t="s">
        <v>910</v>
      </c>
      <c r="F930">
        <v>0</v>
      </c>
    </row>
    <row r="931" spans="1:6" x14ac:dyDescent="0.2">
      <c r="A931">
        <v>2018</v>
      </c>
      <c r="B931" t="s">
        <v>1038</v>
      </c>
      <c r="C931">
        <v>10</v>
      </c>
      <c r="D931">
        <v>5</v>
      </c>
      <c r="E931" t="s">
        <v>910</v>
      </c>
      <c r="F931">
        <v>0</v>
      </c>
    </row>
    <row r="932" spans="1:6" x14ac:dyDescent="0.2">
      <c r="A932">
        <v>2019</v>
      </c>
      <c r="B932" t="s">
        <v>1038</v>
      </c>
      <c r="C932">
        <v>5</v>
      </c>
      <c r="D932">
        <v>5</v>
      </c>
      <c r="E932" t="s">
        <v>910</v>
      </c>
      <c r="F932">
        <v>0</v>
      </c>
    </row>
    <row r="933" spans="1:6" x14ac:dyDescent="0.2">
      <c r="A933">
        <v>2020</v>
      </c>
      <c r="B933" t="s">
        <v>1038</v>
      </c>
      <c r="C933">
        <v>5</v>
      </c>
      <c r="D933">
        <v>5</v>
      </c>
      <c r="E933" t="s">
        <v>910</v>
      </c>
      <c r="F933">
        <v>0</v>
      </c>
    </row>
    <row r="934" spans="1:6" x14ac:dyDescent="0.2">
      <c r="A934">
        <v>2021</v>
      </c>
      <c r="B934" t="s">
        <v>1038</v>
      </c>
      <c r="C934">
        <v>5</v>
      </c>
      <c r="D934">
        <v>5</v>
      </c>
      <c r="E934" t="s">
        <v>910</v>
      </c>
      <c r="F934">
        <v>0</v>
      </c>
    </row>
    <row r="935" spans="1:6" x14ac:dyDescent="0.2">
      <c r="A935">
        <v>2022</v>
      </c>
      <c r="B935" t="s">
        <v>1038</v>
      </c>
      <c r="C935">
        <v>5</v>
      </c>
      <c r="D935">
        <v>5</v>
      </c>
      <c r="E935" t="s">
        <v>910</v>
      </c>
      <c r="F935">
        <v>0</v>
      </c>
    </row>
    <row r="936" spans="1:6" x14ac:dyDescent="0.2">
      <c r="A936">
        <v>2023</v>
      </c>
      <c r="B936" t="s">
        <v>1038</v>
      </c>
      <c r="C936">
        <v>10</v>
      </c>
      <c r="D936">
        <v>10</v>
      </c>
      <c r="E936" t="s">
        <v>910</v>
      </c>
      <c r="F936">
        <v>0</v>
      </c>
    </row>
    <row r="937" spans="1:6" x14ac:dyDescent="0.2">
      <c r="A937">
        <v>2024</v>
      </c>
      <c r="B937" t="s">
        <v>1038</v>
      </c>
      <c r="C937">
        <v>10</v>
      </c>
      <c r="D937">
        <v>10</v>
      </c>
      <c r="E937" t="s">
        <v>910</v>
      </c>
      <c r="F937">
        <v>0</v>
      </c>
    </row>
    <row r="938" spans="1:6" x14ac:dyDescent="0.2">
      <c r="A938">
        <v>2025</v>
      </c>
      <c r="B938" t="s">
        <v>1038</v>
      </c>
      <c r="C938">
        <v>5</v>
      </c>
      <c r="D938">
        <v>5</v>
      </c>
      <c r="E938" t="s">
        <v>910</v>
      </c>
      <c r="F938">
        <v>0</v>
      </c>
    </row>
    <row r="939" spans="1:6" x14ac:dyDescent="0.2">
      <c r="A939">
        <v>2016</v>
      </c>
      <c r="B939" t="s">
        <v>1039</v>
      </c>
      <c r="C939">
        <v>15</v>
      </c>
      <c r="D939">
        <v>5</v>
      </c>
      <c r="E939" t="s">
        <v>910</v>
      </c>
      <c r="F939">
        <v>0</v>
      </c>
    </row>
    <row r="940" spans="1:6" x14ac:dyDescent="0.2">
      <c r="A940">
        <v>2017</v>
      </c>
      <c r="B940" t="s">
        <v>1039</v>
      </c>
      <c r="C940">
        <v>15</v>
      </c>
      <c r="D940">
        <v>5</v>
      </c>
      <c r="E940" t="s">
        <v>910</v>
      </c>
      <c r="F940">
        <v>0</v>
      </c>
    </row>
    <row r="941" spans="1:6" x14ac:dyDescent="0.2">
      <c r="A941">
        <v>2018</v>
      </c>
      <c r="B941" t="s">
        <v>1039</v>
      </c>
      <c r="C941">
        <v>5</v>
      </c>
      <c r="D941">
        <v>5</v>
      </c>
      <c r="E941" t="s">
        <v>910</v>
      </c>
      <c r="F941">
        <v>0</v>
      </c>
    </row>
    <row r="942" spans="1:6" x14ac:dyDescent="0.2">
      <c r="A942">
        <v>2019</v>
      </c>
      <c r="B942" t="s">
        <v>1039</v>
      </c>
      <c r="C942">
        <v>10</v>
      </c>
      <c r="D942">
        <v>5</v>
      </c>
      <c r="E942" t="s">
        <v>910</v>
      </c>
      <c r="F942">
        <v>0</v>
      </c>
    </row>
    <row r="943" spans="1:6" x14ac:dyDescent="0.2">
      <c r="A943">
        <v>2020</v>
      </c>
      <c r="B943" t="s">
        <v>1039</v>
      </c>
      <c r="C943">
        <v>10</v>
      </c>
      <c r="D943">
        <v>5</v>
      </c>
      <c r="E943" t="s">
        <v>910</v>
      </c>
      <c r="F943">
        <v>0</v>
      </c>
    </row>
    <row r="944" spans="1:6" x14ac:dyDescent="0.2">
      <c r="A944">
        <v>2021</v>
      </c>
      <c r="B944" t="s">
        <v>1039</v>
      </c>
      <c r="C944">
        <v>10</v>
      </c>
      <c r="D944">
        <v>5</v>
      </c>
      <c r="E944" t="s">
        <v>910</v>
      </c>
      <c r="F944">
        <v>0</v>
      </c>
    </row>
    <row r="945" spans="1:6" x14ac:dyDescent="0.2">
      <c r="A945">
        <v>2022</v>
      </c>
      <c r="B945" t="s">
        <v>1039</v>
      </c>
      <c r="C945">
        <v>15</v>
      </c>
      <c r="D945">
        <v>5</v>
      </c>
      <c r="E945" t="s">
        <v>910</v>
      </c>
      <c r="F945">
        <v>0</v>
      </c>
    </row>
    <row r="946" spans="1:6" x14ac:dyDescent="0.2">
      <c r="A946">
        <v>2023</v>
      </c>
      <c r="B946" t="s">
        <v>1039</v>
      </c>
      <c r="C946">
        <v>15</v>
      </c>
      <c r="D946">
        <v>10</v>
      </c>
      <c r="E946" t="s">
        <v>910</v>
      </c>
      <c r="F946">
        <v>0</v>
      </c>
    </row>
    <row r="947" spans="1:6" x14ac:dyDescent="0.2">
      <c r="A947">
        <v>2024</v>
      </c>
      <c r="B947" t="s">
        <v>1039</v>
      </c>
      <c r="C947">
        <v>10</v>
      </c>
      <c r="D947">
        <v>5</v>
      </c>
      <c r="E947" t="s">
        <v>910</v>
      </c>
      <c r="F947">
        <v>0</v>
      </c>
    </row>
    <row r="948" spans="1:6" x14ac:dyDescent="0.2">
      <c r="A948">
        <v>2025</v>
      </c>
      <c r="B948" t="s">
        <v>1039</v>
      </c>
      <c r="C948">
        <v>20</v>
      </c>
      <c r="D948">
        <v>10</v>
      </c>
      <c r="E948" t="s">
        <v>371</v>
      </c>
      <c r="F948">
        <v>0</v>
      </c>
    </row>
    <row r="949" spans="1:6" x14ac:dyDescent="0.2">
      <c r="A949">
        <v>2016</v>
      </c>
      <c r="B949" t="s">
        <v>1040</v>
      </c>
      <c r="C949">
        <v>45</v>
      </c>
      <c r="D949">
        <v>20</v>
      </c>
      <c r="E949" t="s">
        <v>997</v>
      </c>
      <c r="F949">
        <v>0</v>
      </c>
    </row>
    <row r="950" spans="1:6" x14ac:dyDescent="0.2">
      <c r="A950">
        <v>2017</v>
      </c>
      <c r="B950" t="s">
        <v>1040</v>
      </c>
      <c r="C950">
        <v>45</v>
      </c>
      <c r="D950">
        <v>20</v>
      </c>
      <c r="E950" t="s">
        <v>155</v>
      </c>
      <c r="F950">
        <v>0</v>
      </c>
    </row>
    <row r="951" spans="1:6" x14ac:dyDescent="0.2">
      <c r="A951">
        <v>2018</v>
      </c>
      <c r="B951" t="s">
        <v>1040</v>
      </c>
      <c r="C951">
        <v>40</v>
      </c>
      <c r="D951">
        <v>15</v>
      </c>
      <c r="E951" t="s">
        <v>1009</v>
      </c>
      <c r="F951">
        <v>0</v>
      </c>
    </row>
    <row r="952" spans="1:6" x14ac:dyDescent="0.2">
      <c r="A952">
        <v>2019</v>
      </c>
      <c r="B952" t="s">
        <v>1040</v>
      </c>
      <c r="C952">
        <v>30</v>
      </c>
      <c r="D952">
        <v>10</v>
      </c>
      <c r="E952" t="s">
        <v>916</v>
      </c>
      <c r="F952">
        <v>5</v>
      </c>
    </row>
    <row r="953" spans="1:6" x14ac:dyDescent="0.2">
      <c r="A953">
        <v>2020</v>
      </c>
      <c r="B953" t="s">
        <v>1040</v>
      </c>
      <c r="C953">
        <v>20</v>
      </c>
      <c r="D953">
        <v>10</v>
      </c>
      <c r="E953" t="s">
        <v>910</v>
      </c>
      <c r="F953">
        <v>0</v>
      </c>
    </row>
    <row r="954" spans="1:6" x14ac:dyDescent="0.2">
      <c r="A954">
        <v>2021</v>
      </c>
      <c r="B954" t="s">
        <v>1040</v>
      </c>
      <c r="C954">
        <v>20</v>
      </c>
      <c r="D954">
        <v>10</v>
      </c>
      <c r="E954" t="s">
        <v>910</v>
      </c>
      <c r="F954">
        <v>0</v>
      </c>
    </row>
    <row r="955" spans="1:6" x14ac:dyDescent="0.2">
      <c r="A955">
        <v>2022</v>
      </c>
      <c r="B955" t="s">
        <v>1040</v>
      </c>
      <c r="C955">
        <v>30</v>
      </c>
      <c r="D955">
        <v>10</v>
      </c>
      <c r="E955" t="s">
        <v>133</v>
      </c>
      <c r="F955">
        <v>0</v>
      </c>
    </row>
    <row r="956" spans="1:6" x14ac:dyDescent="0.2">
      <c r="A956">
        <v>2023</v>
      </c>
      <c r="B956" t="s">
        <v>1040</v>
      </c>
      <c r="C956">
        <v>30</v>
      </c>
      <c r="D956">
        <v>10</v>
      </c>
      <c r="E956" t="s">
        <v>287</v>
      </c>
      <c r="F956">
        <v>0</v>
      </c>
    </row>
    <row r="957" spans="1:6" x14ac:dyDescent="0.2">
      <c r="A957">
        <v>2024</v>
      </c>
      <c r="B957" t="s">
        <v>1040</v>
      </c>
      <c r="C957">
        <v>30</v>
      </c>
      <c r="D957">
        <v>10</v>
      </c>
      <c r="E957" t="s">
        <v>910</v>
      </c>
      <c r="F957">
        <v>0</v>
      </c>
    </row>
    <row r="958" spans="1:6" x14ac:dyDescent="0.2">
      <c r="A958">
        <v>2025</v>
      </c>
      <c r="B958" t="s">
        <v>1040</v>
      </c>
      <c r="C958">
        <v>25</v>
      </c>
      <c r="D958">
        <v>10</v>
      </c>
      <c r="E958" t="s">
        <v>910</v>
      </c>
      <c r="F958">
        <v>0</v>
      </c>
    </row>
    <row r="959" spans="1:6" x14ac:dyDescent="0.2">
      <c r="A959">
        <v>2016</v>
      </c>
      <c r="B959" t="s">
        <v>1041</v>
      </c>
      <c r="C959">
        <v>20</v>
      </c>
      <c r="D959">
        <v>5</v>
      </c>
      <c r="E959" t="s">
        <v>910</v>
      </c>
      <c r="F959">
        <v>0</v>
      </c>
    </row>
    <row r="960" spans="1:6" x14ac:dyDescent="0.2">
      <c r="A960">
        <v>2017</v>
      </c>
      <c r="B960" t="s">
        <v>1041</v>
      </c>
      <c r="C960">
        <v>25</v>
      </c>
      <c r="D960">
        <v>10</v>
      </c>
      <c r="E960" t="s">
        <v>910</v>
      </c>
      <c r="F960">
        <v>0</v>
      </c>
    </row>
    <row r="961" spans="1:6" x14ac:dyDescent="0.2">
      <c r="A961">
        <v>2018</v>
      </c>
      <c r="B961" t="s">
        <v>1041</v>
      </c>
      <c r="C961">
        <v>10</v>
      </c>
      <c r="D961">
        <v>5</v>
      </c>
      <c r="E961" t="s">
        <v>910</v>
      </c>
      <c r="F961">
        <v>0</v>
      </c>
    </row>
    <row r="962" spans="1:6" x14ac:dyDescent="0.2">
      <c r="A962">
        <v>2019</v>
      </c>
      <c r="B962" t="s">
        <v>1041</v>
      </c>
      <c r="C962">
        <v>10</v>
      </c>
      <c r="D962">
        <v>5</v>
      </c>
      <c r="E962" t="s">
        <v>910</v>
      </c>
      <c r="F962">
        <v>0</v>
      </c>
    </row>
    <row r="963" spans="1:6" x14ac:dyDescent="0.2">
      <c r="A963">
        <v>2020</v>
      </c>
      <c r="B963" t="s">
        <v>1041</v>
      </c>
      <c r="C963">
        <v>10</v>
      </c>
      <c r="D963">
        <v>5</v>
      </c>
      <c r="E963" t="s">
        <v>910</v>
      </c>
      <c r="F963">
        <v>0</v>
      </c>
    </row>
    <row r="964" spans="1:6" x14ac:dyDescent="0.2">
      <c r="A964">
        <v>2021</v>
      </c>
      <c r="B964" t="s">
        <v>1041</v>
      </c>
      <c r="C964">
        <v>10</v>
      </c>
      <c r="D964">
        <v>5</v>
      </c>
      <c r="E964" t="s">
        <v>910</v>
      </c>
      <c r="F964">
        <v>5</v>
      </c>
    </row>
    <row r="965" spans="1:6" x14ac:dyDescent="0.2">
      <c r="A965">
        <v>2022</v>
      </c>
      <c r="B965" t="s">
        <v>1041</v>
      </c>
      <c r="C965">
        <v>10</v>
      </c>
      <c r="D965">
        <v>0</v>
      </c>
      <c r="E965" t="s">
        <v>910</v>
      </c>
      <c r="F965">
        <v>0</v>
      </c>
    </row>
    <row r="966" spans="1:6" x14ac:dyDescent="0.2">
      <c r="A966">
        <v>2023</v>
      </c>
      <c r="B966" t="s">
        <v>1041</v>
      </c>
      <c r="C966">
        <v>20</v>
      </c>
      <c r="D966">
        <v>5</v>
      </c>
      <c r="E966" t="s">
        <v>910</v>
      </c>
      <c r="F966">
        <v>0</v>
      </c>
    </row>
    <row r="967" spans="1:6" x14ac:dyDescent="0.2">
      <c r="A967">
        <v>2024</v>
      </c>
      <c r="B967" t="s">
        <v>1041</v>
      </c>
      <c r="C967">
        <v>25</v>
      </c>
      <c r="D967">
        <v>5</v>
      </c>
      <c r="E967" t="s">
        <v>910</v>
      </c>
      <c r="F967">
        <v>0</v>
      </c>
    </row>
    <row r="968" spans="1:6" x14ac:dyDescent="0.2">
      <c r="A968">
        <v>2025</v>
      </c>
      <c r="B968" t="s">
        <v>1041</v>
      </c>
      <c r="C968">
        <v>25</v>
      </c>
      <c r="D968">
        <v>5</v>
      </c>
      <c r="E968" t="s">
        <v>910</v>
      </c>
      <c r="F968">
        <v>0</v>
      </c>
    </row>
    <row r="969" spans="1:6" x14ac:dyDescent="0.2">
      <c r="A969">
        <v>2016</v>
      </c>
      <c r="B969" t="s">
        <v>753</v>
      </c>
      <c r="C969">
        <v>1180</v>
      </c>
      <c r="D969">
        <v>455</v>
      </c>
      <c r="E969" t="s">
        <v>195</v>
      </c>
      <c r="F969">
        <v>30</v>
      </c>
    </row>
    <row r="970" spans="1:6" x14ac:dyDescent="0.2">
      <c r="A970">
        <v>2017</v>
      </c>
      <c r="B970" t="s">
        <v>753</v>
      </c>
      <c r="C970">
        <v>1100</v>
      </c>
      <c r="D970">
        <v>440</v>
      </c>
      <c r="E970" t="s">
        <v>74</v>
      </c>
      <c r="F970">
        <v>25</v>
      </c>
    </row>
    <row r="971" spans="1:6" x14ac:dyDescent="0.2">
      <c r="A971">
        <v>2018</v>
      </c>
      <c r="B971" t="s">
        <v>753</v>
      </c>
      <c r="C971">
        <v>1215</v>
      </c>
      <c r="D971">
        <v>470</v>
      </c>
      <c r="E971" t="s">
        <v>353</v>
      </c>
      <c r="F971">
        <v>40</v>
      </c>
    </row>
    <row r="972" spans="1:6" x14ac:dyDescent="0.2">
      <c r="A972">
        <v>2019</v>
      </c>
      <c r="B972" t="s">
        <v>753</v>
      </c>
      <c r="C972">
        <v>1360</v>
      </c>
      <c r="D972">
        <v>475</v>
      </c>
      <c r="E972" t="s">
        <v>1042</v>
      </c>
      <c r="F972">
        <v>30</v>
      </c>
    </row>
    <row r="973" spans="1:6" x14ac:dyDescent="0.2">
      <c r="A973">
        <v>2020</v>
      </c>
      <c r="B973" t="s">
        <v>753</v>
      </c>
      <c r="C973">
        <v>1445</v>
      </c>
      <c r="D973">
        <v>615</v>
      </c>
      <c r="E973" t="s">
        <v>284</v>
      </c>
      <c r="F973">
        <v>45</v>
      </c>
    </row>
    <row r="974" spans="1:6" x14ac:dyDescent="0.2">
      <c r="A974">
        <v>2021</v>
      </c>
      <c r="B974" t="s">
        <v>753</v>
      </c>
      <c r="C974">
        <v>1675</v>
      </c>
      <c r="D974">
        <v>605</v>
      </c>
      <c r="E974" t="s">
        <v>308</v>
      </c>
      <c r="F974">
        <v>45</v>
      </c>
    </row>
    <row r="975" spans="1:6" x14ac:dyDescent="0.2">
      <c r="A975">
        <v>2022</v>
      </c>
      <c r="B975" t="s">
        <v>753</v>
      </c>
      <c r="C975">
        <v>2035</v>
      </c>
      <c r="D975">
        <v>680</v>
      </c>
      <c r="E975" t="s">
        <v>362</v>
      </c>
      <c r="F975">
        <v>75</v>
      </c>
    </row>
    <row r="976" spans="1:6" x14ac:dyDescent="0.2">
      <c r="A976">
        <v>2023</v>
      </c>
      <c r="B976" t="s">
        <v>753</v>
      </c>
      <c r="C976">
        <v>2815</v>
      </c>
      <c r="D976">
        <v>995</v>
      </c>
      <c r="E976" t="s">
        <v>401</v>
      </c>
      <c r="F976">
        <v>80</v>
      </c>
    </row>
    <row r="977" spans="1:6" x14ac:dyDescent="0.2">
      <c r="A977">
        <v>2024</v>
      </c>
      <c r="B977" t="s">
        <v>753</v>
      </c>
      <c r="C977">
        <v>3010</v>
      </c>
      <c r="D977">
        <v>930</v>
      </c>
      <c r="E977" t="s">
        <v>202</v>
      </c>
      <c r="F977">
        <v>100</v>
      </c>
    </row>
    <row r="978" spans="1:6" x14ac:dyDescent="0.2">
      <c r="A978">
        <v>2025</v>
      </c>
      <c r="B978" t="s">
        <v>753</v>
      </c>
      <c r="C978">
        <v>3315</v>
      </c>
      <c r="D978">
        <v>995</v>
      </c>
      <c r="E978" t="s">
        <v>282</v>
      </c>
      <c r="F978">
        <v>105</v>
      </c>
    </row>
    <row r="979" spans="1:6" x14ac:dyDescent="0.2">
      <c r="A979">
        <v>2016</v>
      </c>
      <c r="B979" t="s">
        <v>790</v>
      </c>
      <c r="C979">
        <v>45</v>
      </c>
      <c r="D979">
        <v>35</v>
      </c>
      <c r="E979" t="s">
        <v>909</v>
      </c>
      <c r="F979">
        <v>0</v>
      </c>
    </row>
    <row r="980" spans="1:6" x14ac:dyDescent="0.2">
      <c r="A980">
        <v>2017</v>
      </c>
      <c r="B980" t="s">
        <v>790</v>
      </c>
      <c r="C980">
        <v>45</v>
      </c>
      <c r="D980">
        <v>25</v>
      </c>
      <c r="E980" t="s">
        <v>370</v>
      </c>
      <c r="F980">
        <v>0</v>
      </c>
    </row>
    <row r="981" spans="1:6" x14ac:dyDescent="0.2">
      <c r="A981">
        <v>2018</v>
      </c>
      <c r="B981" t="s">
        <v>790</v>
      </c>
      <c r="C981">
        <v>50</v>
      </c>
      <c r="D981">
        <v>35</v>
      </c>
      <c r="E981" t="s">
        <v>921</v>
      </c>
      <c r="F981">
        <v>0</v>
      </c>
    </row>
    <row r="982" spans="1:6" x14ac:dyDescent="0.2">
      <c r="A982">
        <v>2019</v>
      </c>
      <c r="B982" t="s">
        <v>790</v>
      </c>
      <c r="C982">
        <v>75</v>
      </c>
      <c r="D982">
        <v>45</v>
      </c>
      <c r="E982" t="s">
        <v>160</v>
      </c>
      <c r="F982">
        <v>0</v>
      </c>
    </row>
    <row r="983" spans="1:6" x14ac:dyDescent="0.2">
      <c r="A983">
        <v>2020</v>
      </c>
      <c r="B983" t="s">
        <v>790</v>
      </c>
      <c r="C983">
        <v>55</v>
      </c>
      <c r="D983">
        <v>35</v>
      </c>
      <c r="E983" t="s">
        <v>110</v>
      </c>
      <c r="F983">
        <v>0</v>
      </c>
    </row>
    <row r="984" spans="1:6" x14ac:dyDescent="0.2">
      <c r="A984">
        <v>2021</v>
      </c>
      <c r="B984" t="s">
        <v>790</v>
      </c>
      <c r="C984">
        <v>55</v>
      </c>
      <c r="D984">
        <v>30</v>
      </c>
      <c r="E984" t="s">
        <v>159</v>
      </c>
      <c r="F984">
        <v>0</v>
      </c>
    </row>
    <row r="985" spans="1:6" x14ac:dyDescent="0.2">
      <c r="A985">
        <v>2022</v>
      </c>
      <c r="B985" t="s">
        <v>790</v>
      </c>
      <c r="C985">
        <v>55</v>
      </c>
      <c r="D985">
        <v>30</v>
      </c>
      <c r="E985" t="s">
        <v>294</v>
      </c>
      <c r="F985">
        <v>0</v>
      </c>
    </row>
    <row r="986" spans="1:6" x14ac:dyDescent="0.2">
      <c r="A986">
        <v>2023</v>
      </c>
      <c r="B986" t="s">
        <v>790</v>
      </c>
      <c r="C986">
        <v>60</v>
      </c>
      <c r="D986">
        <v>45</v>
      </c>
      <c r="E986" t="s">
        <v>1043</v>
      </c>
      <c r="F986">
        <v>0</v>
      </c>
    </row>
    <row r="987" spans="1:6" x14ac:dyDescent="0.2">
      <c r="A987">
        <v>2024</v>
      </c>
      <c r="B987" t="s">
        <v>790</v>
      </c>
      <c r="C987">
        <v>45</v>
      </c>
      <c r="D987">
        <v>25</v>
      </c>
      <c r="E987" t="s">
        <v>200</v>
      </c>
      <c r="F987">
        <v>0</v>
      </c>
    </row>
    <row r="988" spans="1:6" x14ac:dyDescent="0.2">
      <c r="A988">
        <v>2025</v>
      </c>
      <c r="B988" t="s">
        <v>790</v>
      </c>
      <c r="C988">
        <v>40</v>
      </c>
      <c r="D988">
        <v>25</v>
      </c>
      <c r="E988" t="s">
        <v>375</v>
      </c>
      <c r="F988">
        <v>0</v>
      </c>
    </row>
    <row r="989" spans="1:6" x14ac:dyDescent="0.2">
      <c r="A989">
        <v>2016</v>
      </c>
      <c r="B989" t="s">
        <v>763</v>
      </c>
      <c r="C989">
        <v>25</v>
      </c>
      <c r="D989">
        <v>10</v>
      </c>
      <c r="E989" t="s">
        <v>963</v>
      </c>
      <c r="F989">
        <v>0</v>
      </c>
    </row>
    <row r="990" spans="1:6" x14ac:dyDescent="0.2">
      <c r="A990">
        <v>2017</v>
      </c>
      <c r="B990" t="s">
        <v>763</v>
      </c>
      <c r="C990">
        <v>25</v>
      </c>
      <c r="D990">
        <v>5</v>
      </c>
      <c r="E990" t="s">
        <v>910</v>
      </c>
      <c r="F990">
        <v>0</v>
      </c>
    </row>
    <row r="991" spans="1:6" x14ac:dyDescent="0.2">
      <c r="A991">
        <v>2018</v>
      </c>
      <c r="B991" t="s">
        <v>763</v>
      </c>
      <c r="C991">
        <v>30</v>
      </c>
      <c r="D991">
        <v>15</v>
      </c>
      <c r="E991" t="s">
        <v>66</v>
      </c>
      <c r="F991">
        <v>0</v>
      </c>
    </row>
    <row r="992" spans="1:6" x14ac:dyDescent="0.2">
      <c r="A992">
        <v>2019</v>
      </c>
      <c r="B992" t="s">
        <v>763</v>
      </c>
      <c r="C992">
        <v>25</v>
      </c>
      <c r="D992">
        <v>15</v>
      </c>
      <c r="E992" t="s">
        <v>388</v>
      </c>
      <c r="F992">
        <v>0</v>
      </c>
    </row>
    <row r="993" spans="1:6" x14ac:dyDescent="0.2">
      <c r="A993">
        <v>2020</v>
      </c>
      <c r="B993" t="s">
        <v>763</v>
      </c>
      <c r="C993">
        <v>45</v>
      </c>
      <c r="D993">
        <v>15</v>
      </c>
      <c r="E993" t="s">
        <v>289</v>
      </c>
      <c r="F993">
        <v>0</v>
      </c>
    </row>
    <row r="994" spans="1:6" x14ac:dyDescent="0.2">
      <c r="A994">
        <v>2021</v>
      </c>
      <c r="B994" t="s">
        <v>763</v>
      </c>
      <c r="C994">
        <v>55</v>
      </c>
      <c r="D994">
        <v>25</v>
      </c>
      <c r="E994" t="s">
        <v>163</v>
      </c>
      <c r="F994">
        <v>5</v>
      </c>
    </row>
    <row r="995" spans="1:6" x14ac:dyDescent="0.2">
      <c r="A995">
        <v>2022</v>
      </c>
      <c r="B995" t="s">
        <v>763</v>
      </c>
      <c r="C995">
        <v>50</v>
      </c>
      <c r="D995">
        <v>10</v>
      </c>
      <c r="E995" t="s">
        <v>910</v>
      </c>
      <c r="F995">
        <v>5</v>
      </c>
    </row>
    <row r="996" spans="1:6" x14ac:dyDescent="0.2">
      <c r="A996">
        <v>2023</v>
      </c>
      <c r="B996" t="s">
        <v>763</v>
      </c>
      <c r="C996">
        <v>55</v>
      </c>
      <c r="D996">
        <v>15</v>
      </c>
      <c r="E996" t="s">
        <v>986</v>
      </c>
      <c r="F996">
        <v>0</v>
      </c>
    </row>
    <row r="997" spans="1:6" x14ac:dyDescent="0.2">
      <c r="A997">
        <v>2024</v>
      </c>
      <c r="B997" t="s">
        <v>763</v>
      </c>
      <c r="C997">
        <v>45</v>
      </c>
      <c r="D997">
        <v>15</v>
      </c>
      <c r="E997" t="s">
        <v>980</v>
      </c>
      <c r="F997">
        <v>0</v>
      </c>
    </row>
    <row r="998" spans="1:6" x14ac:dyDescent="0.2">
      <c r="A998">
        <v>2025</v>
      </c>
      <c r="B998" t="s">
        <v>763</v>
      </c>
      <c r="C998">
        <v>50</v>
      </c>
      <c r="D998">
        <v>15</v>
      </c>
      <c r="E998" t="s">
        <v>356</v>
      </c>
      <c r="F998">
        <v>0</v>
      </c>
    </row>
    <row r="999" spans="1:6" x14ac:dyDescent="0.2">
      <c r="A999">
        <v>2016</v>
      </c>
      <c r="B999" t="s">
        <v>759</v>
      </c>
      <c r="C999">
        <v>3700</v>
      </c>
      <c r="D999">
        <v>1625</v>
      </c>
      <c r="E999" t="s">
        <v>127</v>
      </c>
      <c r="F999">
        <v>5</v>
      </c>
    </row>
    <row r="1000" spans="1:6" x14ac:dyDescent="0.2">
      <c r="A1000">
        <v>2017</v>
      </c>
      <c r="B1000" t="s">
        <v>759</v>
      </c>
      <c r="C1000">
        <v>3530</v>
      </c>
      <c r="D1000">
        <v>1630</v>
      </c>
      <c r="E1000" t="s">
        <v>963</v>
      </c>
      <c r="F1000">
        <v>10</v>
      </c>
    </row>
    <row r="1001" spans="1:6" x14ac:dyDescent="0.2">
      <c r="A1001">
        <v>2018</v>
      </c>
      <c r="B1001" t="s">
        <v>759</v>
      </c>
      <c r="C1001">
        <v>3520</v>
      </c>
      <c r="D1001">
        <v>1565</v>
      </c>
      <c r="E1001" t="s">
        <v>341</v>
      </c>
      <c r="F1001">
        <v>5</v>
      </c>
    </row>
    <row r="1002" spans="1:6" x14ac:dyDescent="0.2">
      <c r="A1002">
        <v>2019</v>
      </c>
      <c r="B1002" t="s">
        <v>759</v>
      </c>
      <c r="C1002">
        <v>3505</v>
      </c>
      <c r="D1002">
        <v>1530</v>
      </c>
      <c r="E1002" t="s">
        <v>345</v>
      </c>
      <c r="F1002">
        <v>5</v>
      </c>
    </row>
    <row r="1003" spans="1:6" x14ac:dyDescent="0.2">
      <c r="A1003">
        <v>2020</v>
      </c>
      <c r="B1003" t="s">
        <v>759</v>
      </c>
      <c r="C1003">
        <v>3625</v>
      </c>
      <c r="D1003">
        <v>1490</v>
      </c>
      <c r="E1003" t="s">
        <v>82</v>
      </c>
      <c r="F1003">
        <v>5</v>
      </c>
    </row>
    <row r="1004" spans="1:6" x14ac:dyDescent="0.2">
      <c r="A1004">
        <v>2021</v>
      </c>
      <c r="B1004" t="s">
        <v>759</v>
      </c>
      <c r="C1004">
        <v>3460</v>
      </c>
      <c r="D1004">
        <v>1300</v>
      </c>
      <c r="E1004" t="s">
        <v>1044</v>
      </c>
      <c r="F1004">
        <v>5</v>
      </c>
    </row>
    <row r="1005" spans="1:6" x14ac:dyDescent="0.2">
      <c r="A1005">
        <v>2022</v>
      </c>
      <c r="B1005" t="s">
        <v>759</v>
      </c>
      <c r="C1005">
        <v>3690</v>
      </c>
      <c r="D1005">
        <v>1535</v>
      </c>
      <c r="E1005" t="s">
        <v>123</v>
      </c>
      <c r="F1005">
        <v>5</v>
      </c>
    </row>
    <row r="1006" spans="1:6" x14ac:dyDescent="0.2">
      <c r="A1006">
        <v>2023</v>
      </c>
      <c r="B1006" t="s">
        <v>759</v>
      </c>
      <c r="C1006">
        <v>3905</v>
      </c>
      <c r="D1006">
        <v>1580</v>
      </c>
      <c r="E1006" t="s">
        <v>115</v>
      </c>
      <c r="F1006">
        <v>5</v>
      </c>
    </row>
    <row r="1007" spans="1:6" x14ac:dyDescent="0.2">
      <c r="A1007">
        <v>2024</v>
      </c>
      <c r="B1007" t="s">
        <v>759</v>
      </c>
      <c r="C1007">
        <v>4020</v>
      </c>
      <c r="D1007">
        <v>1685</v>
      </c>
      <c r="E1007" t="s">
        <v>92</v>
      </c>
      <c r="F1007">
        <v>10</v>
      </c>
    </row>
    <row r="1008" spans="1:6" x14ac:dyDescent="0.2">
      <c r="A1008">
        <v>2025</v>
      </c>
      <c r="B1008" t="s">
        <v>759</v>
      </c>
      <c r="C1008">
        <v>3890</v>
      </c>
      <c r="D1008">
        <v>1675</v>
      </c>
      <c r="E1008" t="s">
        <v>981</v>
      </c>
      <c r="F1008">
        <v>5</v>
      </c>
    </row>
    <row r="1009" spans="1:6" x14ac:dyDescent="0.2">
      <c r="A1009">
        <v>2016</v>
      </c>
      <c r="B1009" t="s">
        <v>1045</v>
      </c>
      <c r="C1009">
        <v>5</v>
      </c>
      <c r="D1009">
        <v>5</v>
      </c>
      <c r="E1009" t="s">
        <v>910</v>
      </c>
      <c r="F1009">
        <v>0</v>
      </c>
    </row>
    <row r="1010" spans="1:6" x14ac:dyDescent="0.2">
      <c r="A1010">
        <v>2017</v>
      </c>
      <c r="B1010" t="s">
        <v>1045</v>
      </c>
      <c r="C1010">
        <v>5</v>
      </c>
      <c r="D1010">
        <v>0</v>
      </c>
      <c r="E1010" t="s">
        <v>910</v>
      </c>
      <c r="F1010">
        <v>0</v>
      </c>
    </row>
    <row r="1011" spans="1:6" x14ac:dyDescent="0.2">
      <c r="A1011">
        <v>2019</v>
      </c>
      <c r="B1011" t="s">
        <v>1045</v>
      </c>
      <c r="C1011">
        <v>10</v>
      </c>
      <c r="D1011">
        <v>5</v>
      </c>
      <c r="E1011" t="s">
        <v>910</v>
      </c>
      <c r="F1011">
        <v>0</v>
      </c>
    </row>
    <row r="1012" spans="1:6" x14ac:dyDescent="0.2">
      <c r="A1012">
        <v>2020</v>
      </c>
      <c r="B1012" t="s">
        <v>1045</v>
      </c>
      <c r="C1012">
        <v>10</v>
      </c>
      <c r="D1012">
        <v>5</v>
      </c>
      <c r="E1012" t="s">
        <v>910</v>
      </c>
      <c r="F1012">
        <v>0</v>
      </c>
    </row>
    <row r="1013" spans="1:6" x14ac:dyDescent="0.2">
      <c r="A1013">
        <v>2021</v>
      </c>
      <c r="B1013" t="s">
        <v>1045</v>
      </c>
      <c r="C1013">
        <v>10</v>
      </c>
      <c r="D1013">
        <v>0</v>
      </c>
      <c r="E1013" t="s">
        <v>910</v>
      </c>
      <c r="F1013">
        <v>0</v>
      </c>
    </row>
    <row r="1014" spans="1:6" x14ac:dyDescent="0.2">
      <c r="A1014">
        <v>2022</v>
      </c>
      <c r="B1014" t="s">
        <v>1045</v>
      </c>
      <c r="C1014">
        <v>5</v>
      </c>
      <c r="D1014">
        <v>0</v>
      </c>
      <c r="E1014" t="s">
        <v>910</v>
      </c>
      <c r="F1014">
        <v>0</v>
      </c>
    </row>
    <row r="1015" spans="1:6" x14ac:dyDescent="0.2">
      <c r="A1015">
        <v>2023</v>
      </c>
      <c r="B1015" t="s">
        <v>1045</v>
      </c>
      <c r="C1015">
        <v>5</v>
      </c>
      <c r="D1015">
        <v>0</v>
      </c>
      <c r="E1015" t="s">
        <v>910</v>
      </c>
      <c r="F1015">
        <v>0</v>
      </c>
    </row>
    <row r="1016" spans="1:6" x14ac:dyDescent="0.2">
      <c r="A1016">
        <v>2024</v>
      </c>
      <c r="B1016" t="s">
        <v>1045</v>
      </c>
      <c r="C1016">
        <v>10</v>
      </c>
      <c r="D1016">
        <v>0</v>
      </c>
      <c r="E1016" t="s">
        <v>910</v>
      </c>
      <c r="F1016">
        <v>0</v>
      </c>
    </row>
    <row r="1017" spans="1:6" x14ac:dyDescent="0.2">
      <c r="A1017">
        <v>2025</v>
      </c>
      <c r="B1017" t="s">
        <v>1045</v>
      </c>
      <c r="C1017">
        <v>10</v>
      </c>
      <c r="D1017">
        <v>0</v>
      </c>
      <c r="E1017" t="s">
        <v>910</v>
      </c>
      <c r="F1017">
        <v>0</v>
      </c>
    </row>
    <row r="1018" spans="1:6" x14ac:dyDescent="0.2">
      <c r="A1018">
        <v>2016</v>
      </c>
      <c r="B1018" t="s">
        <v>516</v>
      </c>
      <c r="C1018">
        <v>5</v>
      </c>
      <c r="D1018">
        <v>0</v>
      </c>
      <c r="E1018" t="s">
        <v>910</v>
      </c>
      <c r="F1018">
        <v>0</v>
      </c>
    </row>
    <row r="1019" spans="1:6" x14ac:dyDescent="0.2">
      <c r="A1019">
        <v>2018</v>
      </c>
      <c r="B1019" t="s">
        <v>516</v>
      </c>
      <c r="C1019">
        <v>5</v>
      </c>
      <c r="D1019">
        <v>0</v>
      </c>
      <c r="E1019" t="s">
        <v>910</v>
      </c>
      <c r="F1019">
        <v>0</v>
      </c>
    </row>
    <row r="1020" spans="1:6" x14ac:dyDescent="0.2">
      <c r="A1020">
        <v>2021</v>
      </c>
      <c r="B1020" t="s">
        <v>516</v>
      </c>
      <c r="C1020">
        <v>5</v>
      </c>
      <c r="D1020">
        <v>0</v>
      </c>
      <c r="E1020" t="s">
        <v>910</v>
      </c>
      <c r="F1020">
        <v>0</v>
      </c>
    </row>
    <row r="1021" spans="1:6" x14ac:dyDescent="0.2">
      <c r="A1021">
        <v>2022</v>
      </c>
      <c r="B1021" t="s">
        <v>516</v>
      </c>
      <c r="C1021">
        <v>5</v>
      </c>
      <c r="D1021">
        <v>0</v>
      </c>
      <c r="E1021" t="s">
        <v>910</v>
      </c>
      <c r="F1021">
        <v>0</v>
      </c>
    </row>
    <row r="1022" spans="1:6" x14ac:dyDescent="0.2">
      <c r="A1022">
        <v>2025</v>
      </c>
      <c r="B1022" t="s">
        <v>516</v>
      </c>
      <c r="C1022">
        <v>5</v>
      </c>
      <c r="D1022">
        <v>0</v>
      </c>
      <c r="E1022" t="s">
        <v>910</v>
      </c>
      <c r="F1022">
        <v>0</v>
      </c>
    </row>
    <row r="1023" spans="1:6" x14ac:dyDescent="0.2">
      <c r="A1023">
        <v>2016</v>
      </c>
      <c r="B1023" t="s">
        <v>857</v>
      </c>
      <c r="C1023">
        <v>485</v>
      </c>
      <c r="D1023">
        <v>215</v>
      </c>
      <c r="E1023" t="s">
        <v>83</v>
      </c>
      <c r="F1023">
        <v>5</v>
      </c>
    </row>
    <row r="1024" spans="1:6" x14ac:dyDescent="0.2">
      <c r="A1024">
        <v>2017</v>
      </c>
      <c r="B1024" t="s">
        <v>857</v>
      </c>
      <c r="C1024">
        <v>735</v>
      </c>
      <c r="D1024">
        <v>330</v>
      </c>
      <c r="E1024" t="s">
        <v>393</v>
      </c>
      <c r="F1024">
        <v>5</v>
      </c>
    </row>
    <row r="1025" spans="1:6" x14ac:dyDescent="0.2">
      <c r="A1025">
        <v>2018</v>
      </c>
      <c r="B1025" t="s">
        <v>857</v>
      </c>
      <c r="C1025">
        <v>580</v>
      </c>
      <c r="D1025">
        <v>290</v>
      </c>
      <c r="E1025" t="s">
        <v>386</v>
      </c>
      <c r="F1025">
        <v>5</v>
      </c>
    </row>
    <row r="1026" spans="1:6" x14ac:dyDescent="0.2">
      <c r="A1026">
        <v>2019</v>
      </c>
      <c r="B1026" t="s">
        <v>857</v>
      </c>
      <c r="C1026">
        <v>675</v>
      </c>
      <c r="D1026">
        <v>305</v>
      </c>
      <c r="E1026" t="s">
        <v>33</v>
      </c>
      <c r="F1026">
        <v>10</v>
      </c>
    </row>
    <row r="1027" spans="1:6" x14ac:dyDescent="0.2">
      <c r="A1027">
        <v>2020</v>
      </c>
      <c r="B1027" t="s">
        <v>857</v>
      </c>
      <c r="C1027">
        <v>735</v>
      </c>
      <c r="D1027">
        <v>380</v>
      </c>
      <c r="E1027" t="s">
        <v>154</v>
      </c>
      <c r="F1027">
        <v>10</v>
      </c>
    </row>
    <row r="1028" spans="1:6" x14ac:dyDescent="0.2">
      <c r="A1028">
        <v>2021</v>
      </c>
      <c r="B1028" t="s">
        <v>857</v>
      </c>
      <c r="C1028">
        <v>890</v>
      </c>
      <c r="D1028">
        <v>415</v>
      </c>
      <c r="E1028" t="s">
        <v>225</v>
      </c>
      <c r="F1028">
        <v>5</v>
      </c>
    </row>
    <row r="1029" spans="1:6" x14ac:dyDescent="0.2">
      <c r="A1029">
        <v>2022</v>
      </c>
      <c r="B1029" t="s">
        <v>857</v>
      </c>
      <c r="C1029">
        <v>1015</v>
      </c>
      <c r="D1029">
        <v>420</v>
      </c>
      <c r="E1029" t="s">
        <v>300</v>
      </c>
      <c r="F1029">
        <v>10</v>
      </c>
    </row>
    <row r="1030" spans="1:6" x14ac:dyDescent="0.2">
      <c r="A1030">
        <v>2023</v>
      </c>
      <c r="B1030" t="s">
        <v>857</v>
      </c>
      <c r="C1030">
        <v>1050</v>
      </c>
      <c r="D1030">
        <v>420</v>
      </c>
      <c r="E1030" t="s">
        <v>95</v>
      </c>
      <c r="F1030">
        <v>10</v>
      </c>
    </row>
    <row r="1031" spans="1:6" x14ac:dyDescent="0.2">
      <c r="A1031">
        <v>2024</v>
      </c>
      <c r="B1031" t="s">
        <v>857</v>
      </c>
      <c r="C1031">
        <v>940</v>
      </c>
      <c r="D1031">
        <v>380</v>
      </c>
      <c r="E1031" t="s">
        <v>115</v>
      </c>
      <c r="F1031">
        <v>5</v>
      </c>
    </row>
    <row r="1032" spans="1:6" x14ac:dyDescent="0.2">
      <c r="A1032">
        <v>2025</v>
      </c>
      <c r="B1032" t="s">
        <v>857</v>
      </c>
      <c r="C1032">
        <v>790</v>
      </c>
      <c r="D1032">
        <v>300</v>
      </c>
      <c r="E1032" t="s">
        <v>390</v>
      </c>
      <c r="F1032">
        <v>20</v>
      </c>
    </row>
    <row r="1033" spans="1:6" x14ac:dyDescent="0.2">
      <c r="A1033">
        <v>2016</v>
      </c>
      <c r="B1033" t="s">
        <v>755</v>
      </c>
      <c r="C1033">
        <v>60</v>
      </c>
      <c r="D1033">
        <v>30</v>
      </c>
      <c r="E1033" t="s">
        <v>51</v>
      </c>
      <c r="F1033">
        <v>0</v>
      </c>
    </row>
    <row r="1034" spans="1:6" x14ac:dyDescent="0.2">
      <c r="A1034">
        <v>2017</v>
      </c>
      <c r="B1034" t="s">
        <v>755</v>
      </c>
      <c r="C1034">
        <v>60</v>
      </c>
      <c r="D1034">
        <v>30</v>
      </c>
      <c r="E1034" t="s">
        <v>1017</v>
      </c>
      <c r="F1034">
        <v>0</v>
      </c>
    </row>
    <row r="1035" spans="1:6" x14ac:dyDescent="0.2">
      <c r="A1035">
        <v>2018</v>
      </c>
      <c r="B1035" t="s">
        <v>755</v>
      </c>
      <c r="C1035">
        <v>65</v>
      </c>
      <c r="D1035">
        <v>35</v>
      </c>
      <c r="E1035" t="s">
        <v>66</v>
      </c>
      <c r="F1035">
        <v>5</v>
      </c>
    </row>
    <row r="1036" spans="1:6" x14ac:dyDescent="0.2">
      <c r="A1036">
        <v>2019</v>
      </c>
      <c r="B1036" t="s">
        <v>755</v>
      </c>
      <c r="C1036">
        <v>90</v>
      </c>
      <c r="D1036">
        <v>45</v>
      </c>
      <c r="E1036" t="s">
        <v>51</v>
      </c>
      <c r="F1036">
        <v>5</v>
      </c>
    </row>
    <row r="1037" spans="1:6" x14ac:dyDescent="0.2">
      <c r="A1037">
        <v>2020</v>
      </c>
      <c r="B1037" t="s">
        <v>755</v>
      </c>
      <c r="C1037">
        <v>65</v>
      </c>
      <c r="D1037">
        <v>35</v>
      </c>
      <c r="E1037" t="s">
        <v>1046</v>
      </c>
      <c r="F1037">
        <v>5</v>
      </c>
    </row>
    <row r="1038" spans="1:6" x14ac:dyDescent="0.2">
      <c r="A1038">
        <v>2021</v>
      </c>
      <c r="B1038" t="s">
        <v>755</v>
      </c>
      <c r="C1038">
        <v>80</v>
      </c>
      <c r="D1038">
        <v>25</v>
      </c>
      <c r="E1038" t="s">
        <v>978</v>
      </c>
      <c r="F1038">
        <v>0</v>
      </c>
    </row>
    <row r="1039" spans="1:6" x14ac:dyDescent="0.2">
      <c r="A1039">
        <v>2022</v>
      </c>
      <c r="B1039" t="s">
        <v>755</v>
      </c>
      <c r="C1039">
        <v>65</v>
      </c>
      <c r="D1039">
        <v>30</v>
      </c>
      <c r="E1039" t="s">
        <v>348</v>
      </c>
      <c r="F1039">
        <v>0</v>
      </c>
    </row>
    <row r="1040" spans="1:6" x14ac:dyDescent="0.2">
      <c r="A1040">
        <v>2023</v>
      </c>
      <c r="B1040" t="s">
        <v>755</v>
      </c>
      <c r="C1040">
        <v>75</v>
      </c>
      <c r="D1040">
        <v>25</v>
      </c>
      <c r="E1040" t="s">
        <v>272</v>
      </c>
      <c r="F1040">
        <v>5</v>
      </c>
    </row>
    <row r="1041" spans="1:6" x14ac:dyDescent="0.2">
      <c r="A1041">
        <v>2024</v>
      </c>
      <c r="B1041" t="s">
        <v>755</v>
      </c>
      <c r="C1041">
        <v>95</v>
      </c>
      <c r="D1041">
        <v>15</v>
      </c>
      <c r="E1041" t="s">
        <v>1047</v>
      </c>
      <c r="F1041">
        <v>0</v>
      </c>
    </row>
    <row r="1042" spans="1:6" x14ac:dyDescent="0.2">
      <c r="A1042">
        <v>2025</v>
      </c>
      <c r="B1042" t="s">
        <v>755</v>
      </c>
      <c r="C1042">
        <v>155</v>
      </c>
      <c r="D1042">
        <v>20</v>
      </c>
      <c r="E1042" t="s">
        <v>1048</v>
      </c>
      <c r="F1042">
        <v>5</v>
      </c>
    </row>
    <row r="1043" spans="1:6" x14ac:dyDescent="0.2">
      <c r="A1043">
        <v>2021</v>
      </c>
      <c r="B1043" t="s">
        <v>783</v>
      </c>
      <c r="C1043">
        <v>5</v>
      </c>
      <c r="D1043">
        <v>0</v>
      </c>
      <c r="E1043" t="s">
        <v>910</v>
      </c>
      <c r="F1043">
        <v>0</v>
      </c>
    </row>
    <row r="1044" spans="1:6" x14ac:dyDescent="0.2">
      <c r="A1044">
        <v>2024</v>
      </c>
      <c r="B1044" t="s">
        <v>783</v>
      </c>
      <c r="C1044">
        <v>5</v>
      </c>
      <c r="D1044">
        <v>0</v>
      </c>
      <c r="E1044" t="s">
        <v>910</v>
      </c>
      <c r="F1044">
        <v>0</v>
      </c>
    </row>
    <row r="1045" spans="1:6" x14ac:dyDescent="0.2">
      <c r="A1045">
        <v>2016</v>
      </c>
      <c r="B1045" t="s">
        <v>786</v>
      </c>
      <c r="C1045">
        <v>20</v>
      </c>
      <c r="D1045">
        <v>5</v>
      </c>
      <c r="E1045" t="s">
        <v>910</v>
      </c>
      <c r="F1045">
        <v>0</v>
      </c>
    </row>
    <row r="1046" spans="1:6" x14ac:dyDescent="0.2">
      <c r="A1046">
        <v>2017</v>
      </c>
      <c r="B1046" t="s">
        <v>786</v>
      </c>
      <c r="C1046">
        <v>15</v>
      </c>
      <c r="D1046">
        <v>0</v>
      </c>
      <c r="E1046" t="s">
        <v>910</v>
      </c>
      <c r="F1046">
        <v>0</v>
      </c>
    </row>
    <row r="1047" spans="1:6" x14ac:dyDescent="0.2">
      <c r="A1047">
        <v>2018</v>
      </c>
      <c r="B1047" t="s">
        <v>786</v>
      </c>
      <c r="C1047">
        <v>20</v>
      </c>
      <c r="D1047">
        <v>10</v>
      </c>
      <c r="E1047" t="s">
        <v>910</v>
      </c>
      <c r="F1047">
        <v>0</v>
      </c>
    </row>
    <row r="1048" spans="1:6" x14ac:dyDescent="0.2">
      <c r="A1048">
        <v>2019</v>
      </c>
      <c r="B1048" t="s">
        <v>786</v>
      </c>
      <c r="C1048">
        <v>10</v>
      </c>
      <c r="D1048">
        <v>0</v>
      </c>
      <c r="E1048" t="s">
        <v>910</v>
      </c>
      <c r="F1048">
        <v>0</v>
      </c>
    </row>
    <row r="1049" spans="1:6" x14ac:dyDescent="0.2">
      <c r="A1049">
        <v>2020</v>
      </c>
      <c r="B1049" t="s">
        <v>786</v>
      </c>
      <c r="C1049">
        <v>20</v>
      </c>
      <c r="D1049">
        <v>5</v>
      </c>
      <c r="E1049" t="s">
        <v>910</v>
      </c>
      <c r="F1049">
        <v>0</v>
      </c>
    </row>
    <row r="1050" spans="1:6" x14ac:dyDescent="0.2">
      <c r="A1050">
        <v>2021</v>
      </c>
      <c r="B1050" t="s">
        <v>786</v>
      </c>
      <c r="C1050">
        <v>30</v>
      </c>
      <c r="D1050">
        <v>10</v>
      </c>
      <c r="E1050" t="s">
        <v>304</v>
      </c>
      <c r="F1050">
        <v>0</v>
      </c>
    </row>
    <row r="1051" spans="1:6" x14ac:dyDescent="0.2">
      <c r="A1051">
        <v>2022</v>
      </c>
      <c r="B1051" t="s">
        <v>786</v>
      </c>
      <c r="C1051">
        <v>30</v>
      </c>
      <c r="D1051">
        <v>10</v>
      </c>
      <c r="E1051" t="s">
        <v>910</v>
      </c>
      <c r="F1051">
        <v>0</v>
      </c>
    </row>
    <row r="1052" spans="1:6" x14ac:dyDescent="0.2">
      <c r="A1052">
        <v>2023</v>
      </c>
      <c r="B1052" t="s">
        <v>786</v>
      </c>
      <c r="C1052">
        <v>25</v>
      </c>
      <c r="D1052">
        <v>5</v>
      </c>
      <c r="E1052" t="s">
        <v>910</v>
      </c>
      <c r="F1052">
        <v>0</v>
      </c>
    </row>
    <row r="1053" spans="1:6" x14ac:dyDescent="0.2">
      <c r="A1053">
        <v>2024</v>
      </c>
      <c r="B1053" t="s">
        <v>786</v>
      </c>
      <c r="C1053">
        <v>30</v>
      </c>
      <c r="D1053">
        <v>5</v>
      </c>
      <c r="E1053" t="s">
        <v>910</v>
      </c>
      <c r="F1053">
        <v>0</v>
      </c>
    </row>
    <row r="1054" spans="1:6" x14ac:dyDescent="0.2">
      <c r="A1054">
        <v>2025</v>
      </c>
      <c r="B1054" t="s">
        <v>786</v>
      </c>
      <c r="C1054">
        <v>20</v>
      </c>
      <c r="D1054">
        <v>5</v>
      </c>
      <c r="E1054" t="s">
        <v>910</v>
      </c>
      <c r="F1054">
        <v>0</v>
      </c>
    </row>
    <row r="1055" spans="1:6" x14ac:dyDescent="0.2">
      <c r="A1055">
        <v>2016</v>
      </c>
      <c r="B1055" t="s">
        <v>313</v>
      </c>
      <c r="C1055">
        <v>1335</v>
      </c>
      <c r="D1055">
        <v>850</v>
      </c>
      <c r="E1055" t="s">
        <v>314</v>
      </c>
      <c r="F1055">
        <v>0</v>
      </c>
    </row>
    <row r="1056" spans="1:6" x14ac:dyDescent="0.2">
      <c r="A1056">
        <v>2017</v>
      </c>
      <c r="B1056" t="s">
        <v>313</v>
      </c>
      <c r="C1056">
        <v>1305</v>
      </c>
      <c r="D1056">
        <v>860</v>
      </c>
      <c r="E1056" t="s">
        <v>316</v>
      </c>
      <c r="F1056">
        <v>5</v>
      </c>
    </row>
    <row r="1057" spans="1:6" x14ac:dyDescent="0.2">
      <c r="A1057">
        <v>2018</v>
      </c>
      <c r="B1057" t="s">
        <v>313</v>
      </c>
      <c r="C1057">
        <v>1435</v>
      </c>
      <c r="D1057">
        <v>905</v>
      </c>
      <c r="E1057" t="s">
        <v>216</v>
      </c>
      <c r="F1057">
        <v>5</v>
      </c>
    </row>
    <row r="1058" spans="1:6" x14ac:dyDescent="0.2">
      <c r="A1058">
        <v>2019</v>
      </c>
      <c r="B1058" t="s">
        <v>313</v>
      </c>
      <c r="C1058">
        <v>1380</v>
      </c>
      <c r="D1058">
        <v>885</v>
      </c>
      <c r="E1058" t="s">
        <v>317</v>
      </c>
      <c r="F1058">
        <v>5</v>
      </c>
    </row>
    <row r="1059" spans="1:6" x14ac:dyDescent="0.2">
      <c r="A1059">
        <v>2020</v>
      </c>
      <c r="B1059" t="s">
        <v>313</v>
      </c>
      <c r="C1059">
        <v>1420</v>
      </c>
      <c r="D1059">
        <v>930</v>
      </c>
      <c r="E1059" t="s">
        <v>318</v>
      </c>
      <c r="F1059">
        <v>10</v>
      </c>
    </row>
    <row r="1060" spans="1:6" x14ac:dyDescent="0.2">
      <c r="A1060">
        <v>2021</v>
      </c>
      <c r="B1060" t="s">
        <v>313</v>
      </c>
      <c r="C1060">
        <v>1320</v>
      </c>
      <c r="D1060">
        <v>745</v>
      </c>
      <c r="E1060" t="s">
        <v>193</v>
      </c>
      <c r="F1060">
        <v>5</v>
      </c>
    </row>
    <row r="1061" spans="1:6" x14ac:dyDescent="0.2">
      <c r="A1061">
        <v>2022</v>
      </c>
      <c r="B1061" t="s">
        <v>313</v>
      </c>
      <c r="C1061">
        <v>1365</v>
      </c>
      <c r="D1061">
        <v>795</v>
      </c>
      <c r="E1061" t="s">
        <v>319</v>
      </c>
      <c r="F1061">
        <v>5</v>
      </c>
    </row>
    <row r="1062" spans="1:6" x14ac:dyDescent="0.2">
      <c r="A1062">
        <v>2023</v>
      </c>
      <c r="B1062" t="s">
        <v>313</v>
      </c>
      <c r="C1062">
        <v>1330</v>
      </c>
      <c r="D1062">
        <v>770</v>
      </c>
      <c r="E1062" t="s">
        <v>200</v>
      </c>
      <c r="F1062">
        <v>5</v>
      </c>
    </row>
    <row r="1063" spans="1:6" x14ac:dyDescent="0.2">
      <c r="A1063">
        <v>2024</v>
      </c>
      <c r="B1063" t="s">
        <v>313</v>
      </c>
      <c r="C1063">
        <v>1335</v>
      </c>
      <c r="D1063">
        <v>750</v>
      </c>
      <c r="E1063" t="s">
        <v>320</v>
      </c>
      <c r="F1063">
        <v>5</v>
      </c>
    </row>
    <row r="1064" spans="1:6" x14ac:dyDescent="0.2">
      <c r="A1064">
        <v>2025</v>
      </c>
      <c r="B1064" t="s">
        <v>313</v>
      </c>
      <c r="C1064">
        <v>1195</v>
      </c>
      <c r="D1064">
        <v>690</v>
      </c>
      <c r="E1064" t="s">
        <v>200</v>
      </c>
      <c r="F1064">
        <v>10</v>
      </c>
    </row>
    <row r="1065" spans="1:6" x14ac:dyDescent="0.2">
      <c r="A1065">
        <v>2016</v>
      </c>
      <c r="B1065" t="s">
        <v>1049</v>
      </c>
      <c r="C1065">
        <v>30</v>
      </c>
      <c r="D1065">
        <v>10</v>
      </c>
      <c r="E1065" t="s">
        <v>287</v>
      </c>
      <c r="F1065">
        <v>0</v>
      </c>
    </row>
    <row r="1066" spans="1:6" x14ac:dyDescent="0.2">
      <c r="A1066">
        <v>2017</v>
      </c>
      <c r="B1066" t="s">
        <v>1049</v>
      </c>
      <c r="C1066">
        <v>70</v>
      </c>
      <c r="D1066">
        <v>15</v>
      </c>
      <c r="E1066" t="s">
        <v>1050</v>
      </c>
      <c r="F1066">
        <v>0</v>
      </c>
    </row>
    <row r="1067" spans="1:6" x14ac:dyDescent="0.2">
      <c r="A1067">
        <v>2018</v>
      </c>
      <c r="B1067" t="s">
        <v>1049</v>
      </c>
      <c r="C1067">
        <v>40</v>
      </c>
      <c r="D1067">
        <v>15</v>
      </c>
      <c r="E1067" t="s">
        <v>330</v>
      </c>
      <c r="F1067">
        <v>0</v>
      </c>
    </row>
    <row r="1068" spans="1:6" x14ac:dyDescent="0.2">
      <c r="A1068">
        <v>2019</v>
      </c>
      <c r="B1068" t="s">
        <v>1049</v>
      </c>
      <c r="C1068">
        <v>40</v>
      </c>
      <c r="D1068">
        <v>15</v>
      </c>
      <c r="E1068" t="s">
        <v>288</v>
      </c>
      <c r="F1068">
        <v>0</v>
      </c>
    </row>
    <row r="1069" spans="1:6" x14ac:dyDescent="0.2">
      <c r="A1069">
        <v>2020</v>
      </c>
      <c r="B1069" t="s">
        <v>1049</v>
      </c>
      <c r="C1069">
        <v>50</v>
      </c>
      <c r="D1069">
        <v>10</v>
      </c>
      <c r="E1069" t="s">
        <v>1051</v>
      </c>
      <c r="F1069">
        <v>0</v>
      </c>
    </row>
    <row r="1070" spans="1:6" x14ac:dyDescent="0.2">
      <c r="A1070">
        <v>2021</v>
      </c>
      <c r="B1070" t="s">
        <v>1049</v>
      </c>
      <c r="C1070">
        <v>70</v>
      </c>
      <c r="D1070">
        <v>25</v>
      </c>
      <c r="E1070" t="s">
        <v>272</v>
      </c>
      <c r="F1070">
        <v>0</v>
      </c>
    </row>
    <row r="1071" spans="1:6" x14ac:dyDescent="0.2">
      <c r="A1071">
        <v>2022</v>
      </c>
      <c r="B1071" t="s">
        <v>1049</v>
      </c>
      <c r="C1071">
        <v>35</v>
      </c>
      <c r="D1071">
        <v>15</v>
      </c>
      <c r="E1071" t="s">
        <v>232</v>
      </c>
      <c r="F1071">
        <v>0</v>
      </c>
    </row>
    <row r="1072" spans="1:6" x14ac:dyDescent="0.2">
      <c r="A1072">
        <v>2023</v>
      </c>
      <c r="B1072" t="s">
        <v>1049</v>
      </c>
      <c r="C1072">
        <v>35</v>
      </c>
      <c r="D1072">
        <v>5</v>
      </c>
      <c r="E1072" t="s">
        <v>910</v>
      </c>
      <c r="F1072">
        <v>0</v>
      </c>
    </row>
    <row r="1073" spans="1:6" x14ac:dyDescent="0.2">
      <c r="A1073">
        <v>2024</v>
      </c>
      <c r="B1073" t="s">
        <v>1049</v>
      </c>
      <c r="C1073">
        <v>30</v>
      </c>
      <c r="D1073">
        <v>15</v>
      </c>
      <c r="E1073" t="s">
        <v>187</v>
      </c>
      <c r="F1073">
        <v>0</v>
      </c>
    </row>
    <row r="1074" spans="1:6" x14ac:dyDescent="0.2">
      <c r="A1074">
        <v>2025</v>
      </c>
      <c r="B1074" t="s">
        <v>1049</v>
      </c>
      <c r="C1074">
        <v>30</v>
      </c>
      <c r="D1074">
        <v>10</v>
      </c>
      <c r="E1074" t="s">
        <v>910</v>
      </c>
      <c r="F1074">
        <v>5</v>
      </c>
    </row>
    <row r="1075" spans="1:6" x14ac:dyDescent="0.2">
      <c r="A1075">
        <v>2016</v>
      </c>
      <c r="B1075" t="s">
        <v>321</v>
      </c>
      <c r="C1075">
        <v>165</v>
      </c>
      <c r="D1075">
        <v>75</v>
      </c>
      <c r="E1075" t="s">
        <v>322</v>
      </c>
      <c r="F1075">
        <v>0</v>
      </c>
    </row>
    <row r="1076" spans="1:6" x14ac:dyDescent="0.2">
      <c r="A1076">
        <v>2017</v>
      </c>
      <c r="B1076" t="s">
        <v>321</v>
      </c>
      <c r="C1076">
        <v>150</v>
      </c>
      <c r="D1076">
        <v>75</v>
      </c>
      <c r="E1076" t="s">
        <v>324</v>
      </c>
      <c r="F1076">
        <v>5</v>
      </c>
    </row>
    <row r="1077" spans="1:6" x14ac:dyDescent="0.2">
      <c r="A1077">
        <v>2018</v>
      </c>
      <c r="B1077" t="s">
        <v>321</v>
      </c>
      <c r="C1077">
        <v>165</v>
      </c>
      <c r="D1077">
        <v>85</v>
      </c>
      <c r="E1077" t="s">
        <v>148</v>
      </c>
      <c r="F1077">
        <v>5</v>
      </c>
    </row>
    <row r="1078" spans="1:6" x14ac:dyDescent="0.2">
      <c r="A1078">
        <v>2019</v>
      </c>
      <c r="B1078" t="s">
        <v>321</v>
      </c>
      <c r="C1078">
        <v>170</v>
      </c>
      <c r="D1078">
        <v>70</v>
      </c>
      <c r="E1078" t="s">
        <v>133</v>
      </c>
      <c r="F1078">
        <v>0</v>
      </c>
    </row>
    <row r="1079" spans="1:6" x14ac:dyDescent="0.2">
      <c r="A1079">
        <v>2020</v>
      </c>
      <c r="B1079" t="s">
        <v>321</v>
      </c>
      <c r="C1079">
        <v>145</v>
      </c>
      <c r="D1079">
        <v>60</v>
      </c>
      <c r="E1079" t="s">
        <v>275</v>
      </c>
      <c r="F1079">
        <v>0</v>
      </c>
    </row>
    <row r="1080" spans="1:6" x14ac:dyDescent="0.2">
      <c r="A1080">
        <v>2021</v>
      </c>
      <c r="B1080" t="s">
        <v>321</v>
      </c>
      <c r="C1080">
        <v>145</v>
      </c>
      <c r="D1080">
        <v>75</v>
      </c>
      <c r="E1080" t="s">
        <v>325</v>
      </c>
      <c r="F1080">
        <v>0</v>
      </c>
    </row>
    <row r="1081" spans="1:6" x14ac:dyDescent="0.2">
      <c r="A1081">
        <v>2022</v>
      </c>
      <c r="B1081" t="s">
        <v>321</v>
      </c>
      <c r="C1081">
        <v>155</v>
      </c>
      <c r="D1081">
        <v>85</v>
      </c>
      <c r="E1081" t="s">
        <v>131</v>
      </c>
      <c r="F1081">
        <v>5</v>
      </c>
    </row>
    <row r="1082" spans="1:6" x14ac:dyDescent="0.2">
      <c r="A1082">
        <v>2023</v>
      </c>
      <c r="B1082" t="s">
        <v>321</v>
      </c>
      <c r="C1082">
        <v>195</v>
      </c>
      <c r="D1082">
        <v>95</v>
      </c>
      <c r="E1082" t="s">
        <v>41</v>
      </c>
      <c r="F1082">
        <v>5</v>
      </c>
    </row>
    <row r="1083" spans="1:6" x14ac:dyDescent="0.2">
      <c r="A1083">
        <v>2024</v>
      </c>
      <c r="B1083" t="s">
        <v>321</v>
      </c>
      <c r="C1083">
        <v>175</v>
      </c>
      <c r="D1083">
        <v>75</v>
      </c>
      <c r="E1083" t="s">
        <v>133</v>
      </c>
      <c r="F1083">
        <v>0</v>
      </c>
    </row>
    <row r="1084" spans="1:6" x14ac:dyDescent="0.2">
      <c r="A1084">
        <v>2025</v>
      </c>
      <c r="B1084" t="s">
        <v>321</v>
      </c>
      <c r="C1084">
        <v>245</v>
      </c>
      <c r="D1084">
        <v>110</v>
      </c>
      <c r="E1084" t="s">
        <v>348</v>
      </c>
      <c r="F1084">
        <v>10</v>
      </c>
    </row>
    <row r="1085" spans="1:6" x14ac:dyDescent="0.2">
      <c r="A1085">
        <v>2016</v>
      </c>
      <c r="B1085" t="s">
        <v>804</v>
      </c>
      <c r="C1085">
        <v>845</v>
      </c>
      <c r="D1085">
        <v>560</v>
      </c>
      <c r="E1085" t="s">
        <v>1052</v>
      </c>
      <c r="F1085">
        <v>0</v>
      </c>
    </row>
    <row r="1086" spans="1:6" x14ac:dyDescent="0.2">
      <c r="A1086">
        <v>2017</v>
      </c>
      <c r="B1086" t="s">
        <v>804</v>
      </c>
      <c r="C1086">
        <v>850</v>
      </c>
      <c r="D1086">
        <v>585</v>
      </c>
      <c r="E1086" t="s">
        <v>1053</v>
      </c>
      <c r="F1086">
        <v>0</v>
      </c>
    </row>
    <row r="1087" spans="1:6" x14ac:dyDescent="0.2">
      <c r="A1087">
        <v>2018</v>
      </c>
      <c r="B1087" t="s">
        <v>804</v>
      </c>
      <c r="C1087">
        <v>960</v>
      </c>
      <c r="D1087">
        <v>575</v>
      </c>
      <c r="E1087" t="s">
        <v>106</v>
      </c>
      <c r="F1087">
        <v>0</v>
      </c>
    </row>
    <row r="1088" spans="1:6" x14ac:dyDescent="0.2">
      <c r="A1088">
        <v>2019</v>
      </c>
      <c r="B1088" t="s">
        <v>804</v>
      </c>
      <c r="C1088">
        <v>1030</v>
      </c>
      <c r="D1088">
        <v>645</v>
      </c>
      <c r="E1088" t="s">
        <v>110</v>
      </c>
      <c r="F1088">
        <v>5</v>
      </c>
    </row>
    <row r="1089" spans="1:6" x14ac:dyDescent="0.2">
      <c r="A1089">
        <v>2020</v>
      </c>
      <c r="B1089" t="s">
        <v>804</v>
      </c>
      <c r="C1089">
        <v>1000</v>
      </c>
      <c r="D1089">
        <v>615</v>
      </c>
      <c r="E1089" t="s">
        <v>1054</v>
      </c>
      <c r="F1089">
        <v>5</v>
      </c>
    </row>
    <row r="1090" spans="1:6" x14ac:dyDescent="0.2">
      <c r="A1090">
        <v>2021</v>
      </c>
      <c r="B1090" t="s">
        <v>804</v>
      </c>
      <c r="C1090">
        <v>985</v>
      </c>
      <c r="D1090">
        <v>595</v>
      </c>
      <c r="E1090" t="s">
        <v>292</v>
      </c>
      <c r="F1090">
        <v>0</v>
      </c>
    </row>
    <row r="1091" spans="1:6" x14ac:dyDescent="0.2">
      <c r="A1091">
        <v>2022</v>
      </c>
      <c r="B1091" t="s">
        <v>804</v>
      </c>
      <c r="C1091">
        <v>1210</v>
      </c>
      <c r="D1091">
        <v>695</v>
      </c>
      <c r="E1091" t="s">
        <v>999</v>
      </c>
      <c r="F1091">
        <v>5</v>
      </c>
    </row>
    <row r="1092" spans="1:6" x14ac:dyDescent="0.2">
      <c r="A1092">
        <v>2023</v>
      </c>
      <c r="B1092" t="s">
        <v>804</v>
      </c>
      <c r="C1092">
        <v>1135</v>
      </c>
      <c r="D1092">
        <v>665</v>
      </c>
      <c r="E1092" t="s">
        <v>319</v>
      </c>
      <c r="F1092">
        <v>0</v>
      </c>
    </row>
    <row r="1093" spans="1:6" x14ac:dyDescent="0.2">
      <c r="A1093">
        <v>2024</v>
      </c>
      <c r="B1093" t="s">
        <v>804</v>
      </c>
      <c r="C1093">
        <v>1165</v>
      </c>
      <c r="D1093">
        <v>690</v>
      </c>
      <c r="E1093" t="s">
        <v>408</v>
      </c>
      <c r="F1093">
        <v>0</v>
      </c>
    </row>
    <row r="1094" spans="1:6" x14ac:dyDescent="0.2">
      <c r="A1094">
        <v>2025</v>
      </c>
      <c r="B1094" t="s">
        <v>804</v>
      </c>
      <c r="C1094">
        <v>1045</v>
      </c>
      <c r="D1094">
        <v>580</v>
      </c>
      <c r="E1094" t="s">
        <v>80</v>
      </c>
      <c r="F1094">
        <v>5</v>
      </c>
    </row>
    <row r="1095" spans="1:6" x14ac:dyDescent="0.2">
      <c r="A1095">
        <v>2016</v>
      </c>
      <c r="B1095" t="s">
        <v>802</v>
      </c>
      <c r="C1095">
        <v>5</v>
      </c>
      <c r="D1095">
        <v>5</v>
      </c>
      <c r="E1095" t="s">
        <v>910</v>
      </c>
      <c r="F1095">
        <v>0</v>
      </c>
    </row>
    <row r="1096" spans="1:6" x14ac:dyDescent="0.2">
      <c r="A1096">
        <v>2017</v>
      </c>
      <c r="B1096" t="s">
        <v>802</v>
      </c>
      <c r="C1096">
        <v>10</v>
      </c>
      <c r="D1096">
        <v>5</v>
      </c>
      <c r="E1096" t="s">
        <v>910</v>
      </c>
      <c r="F1096">
        <v>0</v>
      </c>
    </row>
    <row r="1097" spans="1:6" x14ac:dyDescent="0.2">
      <c r="A1097">
        <v>2018</v>
      </c>
      <c r="B1097" t="s">
        <v>802</v>
      </c>
      <c r="C1097">
        <v>5</v>
      </c>
      <c r="D1097">
        <v>5</v>
      </c>
      <c r="E1097" t="s">
        <v>910</v>
      </c>
      <c r="F1097">
        <v>0</v>
      </c>
    </row>
    <row r="1098" spans="1:6" x14ac:dyDescent="0.2">
      <c r="A1098">
        <v>2019</v>
      </c>
      <c r="B1098" t="s">
        <v>802</v>
      </c>
      <c r="C1098">
        <v>10</v>
      </c>
      <c r="D1098">
        <v>5</v>
      </c>
      <c r="E1098" t="s">
        <v>910</v>
      </c>
      <c r="F1098">
        <v>0</v>
      </c>
    </row>
    <row r="1099" spans="1:6" x14ac:dyDescent="0.2">
      <c r="A1099">
        <v>2020</v>
      </c>
      <c r="B1099" t="s">
        <v>802</v>
      </c>
      <c r="C1099">
        <v>10</v>
      </c>
      <c r="D1099">
        <v>5</v>
      </c>
      <c r="E1099" t="s">
        <v>910</v>
      </c>
      <c r="F1099">
        <v>0</v>
      </c>
    </row>
    <row r="1100" spans="1:6" x14ac:dyDescent="0.2">
      <c r="A1100">
        <v>2021</v>
      </c>
      <c r="B1100" t="s">
        <v>802</v>
      </c>
      <c r="C1100">
        <v>10</v>
      </c>
      <c r="D1100">
        <v>5</v>
      </c>
      <c r="E1100" t="s">
        <v>910</v>
      </c>
      <c r="F1100">
        <v>0</v>
      </c>
    </row>
    <row r="1101" spans="1:6" x14ac:dyDescent="0.2">
      <c r="A1101">
        <v>2022</v>
      </c>
      <c r="B1101" t="s">
        <v>802</v>
      </c>
      <c r="C1101">
        <v>20</v>
      </c>
      <c r="D1101">
        <v>10</v>
      </c>
      <c r="E1101" t="s">
        <v>379</v>
      </c>
      <c r="F1101">
        <v>0</v>
      </c>
    </row>
    <row r="1102" spans="1:6" x14ac:dyDescent="0.2">
      <c r="A1102">
        <v>2023</v>
      </c>
      <c r="B1102" t="s">
        <v>802</v>
      </c>
      <c r="C1102">
        <v>20</v>
      </c>
      <c r="D1102">
        <v>5</v>
      </c>
      <c r="E1102" t="s">
        <v>910</v>
      </c>
      <c r="F1102">
        <v>0</v>
      </c>
    </row>
    <row r="1103" spans="1:6" x14ac:dyDescent="0.2">
      <c r="A1103">
        <v>2024</v>
      </c>
      <c r="B1103" t="s">
        <v>802</v>
      </c>
      <c r="C1103">
        <v>25</v>
      </c>
      <c r="D1103">
        <v>5</v>
      </c>
      <c r="E1103" t="s">
        <v>910</v>
      </c>
      <c r="F1103">
        <v>0</v>
      </c>
    </row>
    <row r="1104" spans="1:6" x14ac:dyDescent="0.2">
      <c r="A1104">
        <v>2025</v>
      </c>
      <c r="B1104" t="s">
        <v>802</v>
      </c>
      <c r="C1104">
        <v>30</v>
      </c>
      <c r="D1104">
        <v>10</v>
      </c>
      <c r="E1104" t="s">
        <v>960</v>
      </c>
      <c r="F1104">
        <v>0</v>
      </c>
    </row>
    <row r="1105" spans="1:6" x14ac:dyDescent="0.2">
      <c r="A1105">
        <v>2016</v>
      </c>
      <c r="B1105" t="s">
        <v>326</v>
      </c>
      <c r="C1105">
        <v>205</v>
      </c>
      <c r="D1105">
        <v>95</v>
      </c>
      <c r="E1105" t="s">
        <v>149</v>
      </c>
      <c r="F1105">
        <v>0</v>
      </c>
    </row>
    <row r="1106" spans="1:6" x14ac:dyDescent="0.2">
      <c r="A1106">
        <v>2017</v>
      </c>
      <c r="B1106" t="s">
        <v>326</v>
      </c>
      <c r="C1106">
        <v>185</v>
      </c>
      <c r="D1106">
        <v>100</v>
      </c>
      <c r="E1106" t="s">
        <v>143</v>
      </c>
      <c r="F1106">
        <v>5</v>
      </c>
    </row>
    <row r="1107" spans="1:6" x14ac:dyDescent="0.2">
      <c r="A1107">
        <v>2018</v>
      </c>
      <c r="B1107" t="s">
        <v>326</v>
      </c>
      <c r="C1107">
        <v>210</v>
      </c>
      <c r="D1107">
        <v>100</v>
      </c>
      <c r="E1107" t="s">
        <v>41</v>
      </c>
      <c r="F1107">
        <v>0</v>
      </c>
    </row>
    <row r="1108" spans="1:6" x14ac:dyDescent="0.2">
      <c r="A1108">
        <v>2019</v>
      </c>
      <c r="B1108" t="s">
        <v>326</v>
      </c>
      <c r="C1108">
        <v>195</v>
      </c>
      <c r="D1108">
        <v>100</v>
      </c>
      <c r="E1108" t="s">
        <v>328</v>
      </c>
      <c r="F1108">
        <v>0</v>
      </c>
    </row>
    <row r="1109" spans="1:6" x14ac:dyDescent="0.2">
      <c r="A1109">
        <v>2020</v>
      </c>
      <c r="B1109" t="s">
        <v>326</v>
      </c>
      <c r="C1109">
        <v>175</v>
      </c>
      <c r="D1109">
        <v>70</v>
      </c>
      <c r="E1109" t="s">
        <v>210</v>
      </c>
      <c r="F1109">
        <v>0</v>
      </c>
    </row>
    <row r="1110" spans="1:6" x14ac:dyDescent="0.2">
      <c r="A1110">
        <v>2021</v>
      </c>
      <c r="B1110" t="s">
        <v>326</v>
      </c>
      <c r="C1110">
        <v>140</v>
      </c>
      <c r="D1110">
        <v>55</v>
      </c>
      <c r="E1110" t="s">
        <v>329</v>
      </c>
      <c r="F1110">
        <v>0</v>
      </c>
    </row>
    <row r="1111" spans="1:6" x14ac:dyDescent="0.2">
      <c r="A1111">
        <v>2022</v>
      </c>
      <c r="B1111" t="s">
        <v>326</v>
      </c>
      <c r="C1111">
        <v>130</v>
      </c>
      <c r="D1111">
        <v>50</v>
      </c>
      <c r="E1111" t="s">
        <v>330</v>
      </c>
      <c r="F1111">
        <v>5</v>
      </c>
    </row>
    <row r="1112" spans="1:6" x14ac:dyDescent="0.2">
      <c r="A1112">
        <v>2023</v>
      </c>
      <c r="B1112" t="s">
        <v>326</v>
      </c>
      <c r="C1112">
        <v>165</v>
      </c>
      <c r="D1112">
        <v>75</v>
      </c>
      <c r="E1112" t="s">
        <v>331</v>
      </c>
      <c r="F1112">
        <v>0</v>
      </c>
    </row>
    <row r="1113" spans="1:6" x14ac:dyDescent="0.2">
      <c r="A1113">
        <v>2024</v>
      </c>
      <c r="B1113" t="s">
        <v>326</v>
      </c>
      <c r="C1113">
        <v>160</v>
      </c>
      <c r="D1113">
        <v>60</v>
      </c>
      <c r="E1113" t="s">
        <v>118</v>
      </c>
      <c r="F1113">
        <v>0</v>
      </c>
    </row>
    <row r="1114" spans="1:6" x14ac:dyDescent="0.2">
      <c r="A1114">
        <v>2025</v>
      </c>
      <c r="B1114" t="s">
        <v>326</v>
      </c>
      <c r="C1114">
        <v>135</v>
      </c>
      <c r="D1114">
        <v>50</v>
      </c>
      <c r="E1114" t="s">
        <v>1055</v>
      </c>
      <c r="F1114">
        <v>0</v>
      </c>
    </row>
    <row r="1115" spans="1:6" x14ac:dyDescent="0.2">
      <c r="A1115">
        <v>2016</v>
      </c>
      <c r="B1115" t="s">
        <v>332</v>
      </c>
      <c r="C1115">
        <v>1575</v>
      </c>
      <c r="D1115">
        <v>755</v>
      </c>
      <c r="E1115" t="s">
        <v>244</v>
      </c>
      <c r="F1115">
        <v>20</v>
      </c>
    </row>
    <row r="1116" spans="1:6" x14ac:dyDescent="0.2">
      <c r="A1116">
        <v>2017</v>
      </c>
      <c r="B1116" t="s">
        <v>332</v>
      </c>
      <c r="C1116">
        <v>2060</v>
      </c>
      <c r="D1116">
        <v>1005</v>
      </c>
      <c r="E1116" t="s">
        <v>334</v>
      </c>
      <c r="F1116">
        <v>25</v>
      </c>
    </row>
    <row r="1117" spans="1:6" x14ac:dyDescent="0.2">
      <c r="A1117">
        <v>2018</v>
      </c>
      <c r="B1117" t="s">
        <v>332</v>
      </c>
      <c r="C1117">
        <v>2335</v>
      </c>
      <c r="D1117">
        <v>1185</v>
      </c>
      <c r="E1117" t="s">
        <v>54</v>
      </c>
      <c r="F1117">
        <v>20</v>
      </c>
    </row>
    <row r="1118" spans="1:6" x14ac:dyDescent="0.2">
      <c r="A1118">
        <v>2019</v>
      </c>
      <c r="B1118" t="s">
        <v>332</v>
      </c>
      <c r="C1118">
        <v>2460</v>
      </c>
      <c r="D1118">
        <v>1255</v>
      </c>
      <c r="E1118" t="s">
        <v>191</v>
      </c>
      <c r="F1118">
        <v>25</v>
      </c>
    </row>
    <row r="1119" spans="1:6" x14ac:dyDescent="0.2">
      <c r="A1119">
        <v>2020</v>
      </c>
      <c r="B1119" t="s">
        <v>332</v>
      </c>
      <c r="C1119">
        <v>2830</v>
      </c>
      <c r="D1119">
        <v>1450</v>
      </c>
      <c r="E1119" t="s">
        <v>335</v>
      </c>
      <c r="F1119">
        <v>20</v>
      </c>
    </row>
    <row r="1120" spans="1:6" x14ac:dyDescent="0.2">
      <c r="A1120">
        <v>2021</v>
      </c>
      <c r="B1120" t="s">
        <v>332</v>
      </c>
      <c r="C1120">
        <v>3035</v>
      </c>
      <c r="D1120">
        <v>1465</v>
      </c>
      <c r="E1120" t="s">
        <v>324</v>
      </c>
      <c r="F1120">
        <v>25</v>
      </c>
    </row>
    <row r="1121" spans="1:6" x14ac:dyDescent="0.2">
      <c r="A1121">
        <v>2022</v>
      </c>
      <c r="B1121" t="s">
        <v>332</v>
      </c>
      <c r="C1121">
        <v>3555</v>
      </c>
      <c r="D1121">
        <v>1500</v>
      </c>
      <c r="E1121" t="s">
        <v>336</v>
      </c>
      <c r="F1121">
        <v>40</v>
      </c>
    </row>
    <row r="1122" spans="1:6" x14ac:dyDescent="0.2">
      <c r="A1122">
        <v>2023</v>
      </c>
      <c r="B1122" t="s">
        <v>332</v>
      </c>
      <c r="C1122">
        <v>4150</v>
      </c>
      <c r="D1122">
        <v>1780</v>
      </c>
      <c r="E1122" t="s">
        <v>178</v>
      </c>
      <c r="F1122">
        <v>35</v>
      </c>
    </row>
    <row r="1123" spans="1:6" x14ac:dyDescent="0.2">
      <c r="A1123">
        <v>2024</v>
      </c>
      <c r="B1123" t="s">
        <v>332</v>
      </c>
      <c r="C1123">
        <v>4260</v>
      </c>
      <c r="D1123">
        <v>1875</v>
      </c>
      <c r="E1123" t="s">
        <v>34</v>
      </c>
      <c r="F1123">
        <v>40</v>
      </c>
    </row>
    <row r="1124" spans="1:6" x14ac:dyDescent="0.2">
      <c r="A1124">
        <v>2025</v>
      </c>
      <c r="B1124" t="s">
        <v>332</v>
      </c>
      <c r="C1124">
        <v>4110</v>
      </c>
      <c r="D1124">
        <v>1920</v>
      </c>
      <c r="E1124" t="s">
        <v>1017</v>
      </c>
      <c r="F1124">
        <v>35</v>
      </c>
    </row>
    <row r="1125" spans="1:6" x14ac:dyDescent="0.2">
      <c r="A1125">
        <v>2016</v>
      </c>
      <c r="B1125" t="s">
        <v>822</v>
      </c>
      <c r="C1125">
        <v>70</v>
      </c>
      <c r="D1125">
        <v>25</v>
      </c>
      <c r="E1125" t="s">
        <v>1042</v>
      </c>
      <c r="F1125">
        <v>0</v>
      </c>
    </row>
    <row r="1126" spans="1:6" x14ac:dyDescent="0.2">
      <c r="A1126">
        <v>2017</v>
      </c>
      <c r="B1126" t="s">
        <v>822</v>
      </c>
      <c r="C1126">
        <v>70</v>
      </c>
      <c r="D1126">
        <v>20</v>
      </c>
      <c r="E1126" t="s">
        <v>969</v>
      </c>
      <c r="F1126">
        <v>0</v>
      </c>
    </row>
    <row r="1127" spans="1:6" x14ac:dyDescent="0.2">
      <c r="A1127">
        <v>2018</v>
      </c>
      <c r="B1127" t="s">
        <v>822</v>
      </c>
      <c r="C1127">
        <v>85</v>
      </c>
      <c r="D1127">
        <v>40</v>
      </c>
      <c r="E1127" t="s">
        <v>324</v>
      </c>
      <c r="F1127">
        <v>0</v>
      </c>
    </row>
    <row r="1128" spans="1:6" x14ac:dyDescent="0.2">
      <c r="A1128">
        <v>2019</v>
      </c>
      <c r="B1128" t="s">
        <v>822</v>
      </c>
      <c r="C1128">
        <v>85</v>
      </c>
      <c r="D1128">
        <v>35</v>
      </c>
      <c r="E1128" t="s">
        <v>122</v>
      </c>
      <c r="F1128">
        <v>0</v>
      </c>
    </row>
    <row r="1129" spans="1:6" x14ac:dyDescent="0.2">
      <c r="A1129">
        <v>2020</v>
      </c>
      <c r="B1129" t="s">
        <v>822</v>
      </c>
      <c r="C1129">
        <v>80</v>
      </c>
      <c r="D1129">
        <v>30</v>
      </c>
      <c r="E1129" t="s">
        <v>288</v>
      </c>
      <c r="F1129">
        <v>0</v>
      </c>
    </row>
    <row r="1130" spans="1:6" x14ac:dyDescent="0.2">
      <c r="A1130">
        <v>2021</v>
      </c>
      <c r="B1130" t="s">
        <v>822</v>
      </c>
      <c r="C1130">
        <v>75</v>
      </c>
      <c r="D1130">
        <v>20</v>
      </c>
      <c r="E1130" t="s">
        <v>1056</v>
      </c>
      <c r="F1130">
        <v>0</v>
      </c>
    </row>
    <row r="1131" spans="1:6" x14ac:dyDescent="0.2">
      <c r="A1131">
        <v>2022</v>
      </c>
      <c r="B1131" t="s">
        <v>822</v>
      </c>
      <c r="C1131">
        <v>105</v>
      </c>
      <c r="D1131">
        <v>40</v>
      </c>
      <c r="E1131" t="s">
        <v>1057</v>
      </c>
      <c r="F1131">
        <v>0</v>
      </c>
    </row>
    <row r="1132" spans="1:6" x14ac:dyDescent="0.2">
      <c r="A1132">
        <v>2023</v>
      </c>
      <c r="B1132" t="s">
        <v>822</v>
      </c>
      <c r="C1132">
        <v>80</v>
      </c>
      <c r="D1132">
        <v>25</v>
      </c>
      <c r="E1132" t="s">
        <v>960</v>
      </c>
      <c r="F1132">
        <v>0</v>
      </c>
    </row>
    <row r="1133" spans="1:6" x14ac:dyDescent="0.2">
      <c r="A1133">
        <v>2024</v>
      </c>
      <c r="B1133" t="s">
        <v>822</v>
      </c>
      <c r="C1133">
        <v>100</v>
      </c>
      <c r="D1133">
        <v>30</v>
      </c>
      <c r="E1133" t="s">
        <v>231</v>
      </c>
      <c r="F1133">
        <v>0</v>
      </c>
    </row>
    <row r="1134" spans="1:6" x14ac:dyDescent="0.2">
      <c r="A1134">
        <v>2025</v>
      </c>
      <c r="B1134" t="s">
        <v>822</v>
      </c>
      <c r="C1134">
        <v>90</v>
      </c>
      <c r="D1134">
        <v>30</v>
      </c>
      <c r="E1134" t="s">
        <v>960</v>
      </c>
      <c r="F1134">
        <v>0</v>
      </c>
    </row>
    <row r="1135" spans="1:6" x14ac:dyDescent="0.2">
      <c r="A1135">
        <v>2016</v>
      </c>
      <c r="B1135" t="s">
        <v>337</v>
      </c>
      <c r="C1135">
        <v>845</v>
      </c>
      <c r="D1135">
        <v>345</v>
      </c>
      <c r="E1135" t="s">
        <v>124</v>
      </c>
      <c r="F1135">
        <v>5</v>
      </c>
    </row>
    <row r="1136" spans="1:6" x14ac:dyDescent="0.2">
      <c r="A1136">
        <v>2017</v>
      </c>
      <c r="B1136" t="s">
        <v>337</v>
      </c>
      <c r="C1136">
        <v>1055</v>
      </c>
      <c r="D1136">
        <v>430</v>
      </c>
      <c r="E1136" t="s">
        <v>196</v>
      </c>
      <c r="F1136">
        <v>5</v>
      </c>
    </row>
    <row r="1137" spans="1:6" x14ac:dyDescent="0.2">
      <c r="A1137">
        <v>2018</v>
      </c>
      <c r="B1137" t="s">
        <v>337</v>
      </c>
      <c r="C1137">
        <v>1335</v>
      </c>
      <c r="D1137">
        <v>610</v>
      </c>
      <c r="E1137" t="s">
        <v>232</v>
      </c>
      <c r="F1137">
        <v>5</v>
      </c>
    </row>
    <row r="1138" spans="1:6" x14ac:dyDescent="0.2">
      <c r="A1138">
        <v>2019</v>
      </c>
      <c r="B1138" t="s">
        <v>337</v>
      </c>
      <c r="C1138">
        <v>1300</v>
      </c>
      <c r="D1138">
        <v>625</v>
      </c>
      <c r="E1138" t="s">
        <v>244</v>
      </c>
      <c r="F1138">
        <v>10</v>
      </c>
    </row>
    <row r="1139" spans="1:6" x14ac:dyDescent="0.2">
      <c r="A1139">
        <v>2020</v>
      </c>
      <c r="B1139" t="s">
        <v>337</v>
      </c>
      <c r="C1139">
        <v>1375</v>
      </c>
      <c r="D1139">
        <v>645</v>
      </c>
      <c r="E1139" t="s">
        <v>339</v>
      </c>
      <c r="F1139">
        <v>5</v>
      </c>
    </row>
    <row r="1140" spans="1:6" x14ac:dyDescent="0.2">
      <c r="A1140">
        <v>2021</v>
      </c>
      <c r="B1140" t="s">
        <v>337</v>
      </c>
      <c r="C1140">
        <v>1555</v>
      </c>
      <c r="D1140">
        <v>705</v>
      </c>
      <c r="E1140" t="s">
        <v>340</v>
      </c>
      <c r="F1140">
        <v>5</v>
      </c>
    </row>
    <row r="1141" spans="1:6" x14ac:dyDescent="0.2">
      <c r="A1141">
        <v>2022</v>
      </c>
      <c r="B1141" t="s">
        <v>337</v>
      </c>
      <c r="C1141">
        <v>1725</v>
      </c>
      <c r="D1141">
        <v>745</v>
      </c>
      <c r="E1141" t="s">
        <v>194</v>
      </c>
      <c r="F1141">
        <v>10</v>
      </c>
    </row>
    <row r="1142" spans="1:6" x14ac:dyDescent="0.2">
      <c r="A1142">
        <v>2023</v>
      </c>
      <c r="B1142" t="s">
        <v>337</v>
      </c>
      <c r="C1142">
        <v>2440</v>
      </c>
      <c r="D1142">
        <v>1085</v>
      </c>
      <c r="E1142" t="s">
        <v>341</v>
      </c>
      <c r="F1142">
        <v>20</v>
      </c>
    </row>
    <row r="1143" spans="1:6" x14ac:dyDescent="0.2">
      <c r="A1143">
        <v>2024</v>
      </c>
      <c r="B1143" t="s">
        <v>337</v>
      </c>
      <c r="C1143">
        <v>3135</v>
      </c>
      <c r="D1143">
        <v>1440</v>
      </c>
      <c r="E1143" t="s">
        <v>301</v>
      </c>
      <c r="F1143">
        <v>15</v>
      </c>
    </row>
    <row r="1144" spans="1:6" x14ac:dyDescent="0.2">
      <c r="A1144">
        <v>2025</v>
      </c>
      <c r="B1144" t="s">
        <v>337</v>
      </c>
      <c r="C1144">
        <v>3890</v>
      </c>
      <c r="D1144">
        <v>1815</v>
      </c>
      <c r="E1144" t="s">
        <v>225</v>
      </c>
      <c r="F1144">
        <v>30</v>
      </c>
    </row>
    <row r="1145" spans="1:6" x14ac:dyDescent="0.2">
      <c r="A1145">
        <v>2016</v>
      </c>
      <c r="B1145" t="s">
        <v>342</v>
      </c>
      <c r="C1145">
        <v>170</v>
      </c>
      <c r="D1145">
        <v>65</v>
      </c>
      <c r="E1145" t="s">
        <v>122</v>
      </c>
      <c r="F1145">
        <v>5</v>
      </c>
    </row>
    <row r="1146" spans="1:6" x14ac:dyDescent="0.2">
      <c r="A1146">
        <v>2017</v>
      </c>
      <c r="B1146" t="s">
        <v>342</v>
      </c>
      <c r="C1146">
        <v>190</v>
      </c>
      <c r="D1146">
        <v>80</v>
      </c>
      <c r="E1146" t="s">
        <v>133</v>
      </c>
      <c r="F1146">
        <v>0</v>
      </c>
    </row>
    <row r="1147" spans="1:6" x14ac:dyDescent="0.2">
      <c r="A1147">
        <v>2018</v>
      </c>
      <c r="B1147" t="s">
        <v>342</v>
      </c>
      <c r="C1147">
        <v>210</v>
      </c>
      <c r="D1147">
        <v>85</v>
      </c>
      <c r="E1147" t="s">
        <v>124</v>
      </c>
      <c r="F1147">
        <v>5</v>
      </c>
    </row>
    <row r="1148" spans="1:6" x14ac:dyDescent="0.2">
      <c r="A1148">
        <v>2019</v>
      </c>
      <c r="B1148" t="s">
        <v>342</v>
      </c>
      <c r="C1148">
        <v>200</v>
      </c>
      <c r="D1148">
        <v>85</v>
      </c>
      <c r="E1148" t="s">
        <v>245</v>
      </c>
      <c r="F1148">
        <v>5</v>
      </c>
    </row>
    <row r="1149" spans="1:6" x14ac:dyDescent="0.2">
      <c r="A1149">
        <v>2020</v>
      </c>
      <c r="B1149" t="s">
        <v>342</v>
      </c>
      <c r="C1149">
        <v>230</v>
      </c>
      <c r="D1149">
        <v>100</v>
      </c>
      <c r="E1149" t="s">
        <v>85</v>
      </c>
      <c r="F1149">
        <v>0</v>
      </c>
    </row>
    <row r="1150" spans="1:6" x14ac:dyDescent="0.2">
      <c r="A1150">
        <v>2021</v>
      </c>
      <c r="B1150" t="s">
        <v>342</v>
      </c>
      <c r="C1150">
        <v>265</v>
      </c>
      <c r="D1150">
        <v>105</v>
      </c>
      <c r="E1150" t="s">
        <v>344</v>
      </c>
      <c r="F1150">
        <v>0</v>
      </c>
    </row>
    <row r="1151" spans="1:6" x14ac:dyDescent="0.2">
      <c r="A1151">
        <v>2022</v>
      </c>
      <c r="B1151" t="s">
        <v>342</v>
      </c>
      <c r="C1151">
        <v>275</v>
      </c>
      <c r="D1151">
        <v>120</v>
      </c>
      <c r="E1151" t="s">
        <v>345</v>
      </c>
      <c r="F1151">
        <v>5</v>
      </c>
    </row>
    <row r="1152" spans="1:6" x14ac:dyDescent="0.2">
      <c r="A1152">
        <v>2023</v>
      </c>
      <c r="B1152" t="s">
        <v>342</v>
      </c>
      <c r="C1152">
        <v>340</v>
      </c>
      <c r="D1152">
        <v>140</v>
      </c>
      <c r="E1152" t="s">
        <v>75</v>
      </c>
      <c r="F1152">
        <v>10</v>
      </c>
    </row>
    <row r="1153" spans="1:6" x14ac:dyDescent="0.2">
      <c r="A1153">
        <v>2024</v>
      </c>
      <c r="B1153" t="s">
        <v>342</v>
      </c>
      <c r="C1153">
        <v>375</v>
      </c>
      <c r="D1153">
        <v>160</v>
      </c>
      <c r="E1153" t="s">
        <v>73</v>
      </c>
      <c r="F1153">
        <v>10</v>
      </c>
    </row>
    <row r="1154" spans="1:6" x14ac:dyDescent="0.2">
      <c r="A1154">
        <v>2025</v>
      </c>
      <c r="B1154" t="s">
        <v>342</v>
      </c>
      <c r="C1154">
        <v>460</v>
      </c>
      <c r="D1154">
        <v>205</v>
      </c>
      <c r="E1154" t="s">
        <v>306</v>
      </c>
      <c r="F1154">
        <v>5</v>
      </c>
    </row>
    <row r="1155" spans="1:6" x14ac:dyDescent="0.2">
      <c r="A1155">
        <v>2016</v>
      </c>
      <c r="B1155" t="s">
        <v>346</v>
      </c>
      <c r="C1155">
        <v>900</v>
      </c>
      <c r="D1155">
        <v>405</v>
      </c>
      <c r="E1155" t="s">
        <v>322</v>
      </c>
      <c r="F1155">
        <v>20</v>
      </c>
    </row>
    <row r="1156" spans="1:6" x14ac:dyDescent="0.2">
      <c r="A1156">
        <v>2017</v>
      </c>
      <c r="B1156" t="s">
        <v>346</v>
      </c>
      <c r="C1156">
        <v>880</v>
      </c>
      <c r="D1156">
        <v>395</v>
      </c>
      <c r="E1156" t="s">
        <v>33</v>
      </c>
      <c r="F1156">
        <v>15</v>
      </c>
    </row>
    <row r="1157" spans="1:6" x14ac:dyDescent="0.2">
      <c r="A1157">
        <v>2018</v>
      </c>
      <c r="B1157" t="s">
        <v>346</v>
      </c>
      <c r="C1157">
        <v>785</v>
      </c>
      <c r="D1157">
        <v>345</v>
      </c>
      <c r="E1157" t="s">
        <v>345</v>
      </c>
      <c r="F1157">
        <v>10</v>
      </c>
    </row>
    <row r="1158" spans="1:6" x14ac:dyDescent="0.2">
      <c r="A1158">
        <v>2019</v>
      </c>
      <c r="B1158" t="s">
        <v>346</v>
      </c>
      <c r="C1158">
        <v>850</v>
      </c>
      <c r="D1158">
        <v>385</v>
      </c>
      <c r="E1158" t="s">
        <v>348</v>
      </c>
      <c r="F1158">
        <v>10</v>
      </c>
    </row>
    <row r="1159" spans="1:6" x14ac:dyDescent="0.2">
      <c r="A1159">
        <v>2020</v>
      </c>
      <c r="B1159" t="s">
        <v>346</v>
      </c>
      <c r="C1159">
        <v>885</v>
      </c>
      <c r="D1159">
        <v>450</v>
      </c>
      <c r="E1159" t="s">
        <v>54</v>
      </c>
      <c r="F1159">
        <v>15</v>
      </c>
    </row>
    <row r="1160" spans="1:6" x14ac:dyDescent="0.2">
      <c r="A1160">
        <v>2021</v>
      </c>
      <c r="B1160" t="s">
        <v>346</v>
      </c>
      <c r="C1160">
        <v>900</v>
      </c>
      <c r="D1160">
        <v>405</v>
      </c>
      <c r="E1160" t="s">
        <v>134</v>
      </c>
      <c r="F1160">
        <v>5</v>
      </c>
    </row>
    <row r="1161" spans="1:6" x14ac:dyDescent="0.2">
      <c r="A1161">
        <v>2022</v>
      </c>
      <c r="B1161" t="s">
        <v>346</v>
      </c>
      <c r="C1161">
        <v>940</v>
      </c>
      <c r="D1161">
        <v>380</v>
      </c>
      <c r="E1161" t="s">
        <v>62</v>
      </c>
      <c r="F1161">
        <v>20</v>
      </c>
    </row>
    <row r="1162" spans="1:6" x14ac:dyDescent="0.2">
      <c r="A1162">
        <v>2023</v>
      </c>
      <c r="B1162" t="s">
        <v>346</v>
      </c>
      <c r="C1162">
        <v>785</v>
      </c>
      <c r="D1162">
        <v>295</v>
      </c>
      <c r="E1162" t="s">
        <v>349</v>
      </c>
      <c r="F1162">
        <v>10</v>
      </c>
    </row>
    <row r="1163" spans="1:6" x14ac:dyDescent="0.2">
      <c r="A1163">
        <v>2024</v>
      </c>
      <c r="B1163" t="s">
        <v>346</v>
      </c>
      <c r="C1163">
        <v>795</v>
      </c>
      <c r="D1163">
        <v>305</v>
      </c>
      <c r="E1163" t="s">
        <v>218</v>
      </c>
      <c r="F1163">
        <v>10</v>
      </c>
    </row>
    <row r="1164" spans="1:6" x14ac:dyDescent="0.2">
      <c r="A1164">
        <v>2025</v>
      </c>
      <c r="B1164" t="s">
        <v>346</v>
      </c>
      <c r="C1164">
        <v>780</v>
      </c>
      <c r="D1164">
        <v>275</v>
      </c>
      <c r="E1164" t="s">
        <v>279</v>
      </c>
      <c r="F1164">
        <v>10</v>
      </c>
    </row>
    <row r="1165" spans="1:6" x14ac:dyDescent="0.2">
      <c r="A1165">
        <v>2017</v>
      </c>
      <c r="B1165" t="s">
        <v>456</v>
      </c>
      <c r="C1165">
        <v>5</v>
      </c>
      <c r="D1165">
        <v>5</v>
      </c>
      <c r="E1165" t="s">
        <v>910</v>
      </c>
      <c r="F1165">
        <v>0</v>
      </c>
    </row>
    <row r="1166" spans="1:6" x14ac:dyDescent="0.2">
      <c r="A1166">
        <v>2018</v>
      </c>
      <c r="B1166" t="s">
        <v>456</v>
      </c>
      <c r="C1166">
        <v>5</v>
      </c>
      <c r="D1166">
        <v>0</v>
      </c>
      <c r="E1166" t="s">
        <v>910</v>
      </c>
      <c r="F1166">
        <v>0</v>
      </c>
    </row>
    <row r="1167" spans="1:6" x14ac:dyDescent="0.2">
      <c r="A1167">
        <v>2019</v>
      </c>
      <c r="B1167" t="s">
        <v>456</v>
      </c>
      <c r="C1167">
        <v>5</v>
      </c>
      <c r="D1167">
        <v>0</v>
      </c>
      <c r="E1167" t="s">
        <v>910</v>
      </c>
      <c r="F1167">
        <v>0</v>
      </c>
    </row>
    <row r="1168" spans="1:6" x14ac:dyDescent="0.2">
      <c r="A1168">
        <v>2020</v>
      </c>
      <c r="B1168" t="s">
        <v>456</v>
      </c>
      <c r="C1168">
        <v>5</v>
      </c>
      <c r="D1168">
        <v>0</v>
      </c>
      <c r="E1168" t="s">
        <v>910</v>
      </c>
      <c r="F1168">
        <v>0</v>
      </c>
    </row>
    <row r="1169" spans="1:6" x14ac:dyDescent="0.2">
      <c r="A1169">
        <v>2021</v>
      </c>
      <c r="B1169" t="s">
        <v>456</v>
      </c>
      <c r="C1169">
        <v>5</v>
      </c>
      <c r="D1169">
        <v>0</v>
      </c>
      <c r="E1169" t="s">
        <v>910</v>
      </c>
      <c r="F1169">
        <v>0</v>
      </c>
    </row>
    <row r="1170" spans="1:6" x14ac:dyDescent="0.2">
      <c r="A1170">
        <v>2022</v>
      </c>
      <c r="B1170" t="s">
        <v>456</v>
      </c>
      <c r="C1170">
        <v>5</v>
      </c>
      <c r="D1170">
        <v>0</v>
      </c>
      <c r="E1170" t="s">
        <v>910</v>
      </c>
      <c r="F1170">
        <v>0</v>
      </c>
    </row>
    <row r="1171" spans="1:6" x14ac:dyDescent="0.2">
      <c r="A1171">
        <v>2023</v>
      </c>
      <c r="B1171" t="s">
        <v>456</v>
      </c>
      <c r="C1171">
        <v>10</v>
      </c>
      <c r="D1171">
        <v>0</v>
      </c>
      <c r="E1171" t="s">
        <v>910</v>
      </c>
      <c r="F1171">
        <v>0</v>
      </c>
    </row>
    <row r="1172" spans="1:6" x14ac:dyDescent="0.2">
      <c r="A1172">
        <v>2024</v>
      </c>
      <c r="B1172" t="s">
        <v>456</v>
      </c>
      <c r="C1172">
        <v>10</v>
      </c>
      <c r="D1172">
        <v>0</v>
      </c>
      <c r="E1172" t="s">
        <v>910</v>
      </c>
      <c r="F1172">
        <v>0</v>
      </c>
    </row>
    <row r="1173" spans="1:6" x14ac:dyDescent="0.2">
      <c r="A1173">
        <v>2025</v>
      </c>
      <c r="B1173" t="s">
        <v>456</v>
      </c>
      <c r="C1173">
        <v>10</v>
      </c>
      <c r="D1173">
        <v>0</v>
      </c>
      <c r="E1173" t="s">
        <v>910</v>
      </c>
      <c r="F1173">
        <v>0</v>
      </c>
    </row>
    <row r="1174" spans="1:6" x14ac:dyDescent="0.2">
      <c r="A1174">
        <v>2016</v>
      </c>
      <c r="B1174" t="s">
        <v>832</v>
      </c>
      <c r="C1174">
        <v>15</v>
      </c>
      <c r="D1174">
        <v>10</v>
      </c>
      <c r="E1174" t="s">
        <v>910</v>
      </c>
      <c r="F1174">
        <v>0</v>
      </c>
    </row>
    <row r="1175" spans="1:6" x14ac:dyDescent="0.2">
      <c r="A1175">
        <v>2017</v>
      </c>
      <c r="B1175" t="s">
        <v>832</v>
      </c>
      <c r="C1175">
        <v>20</v>
      </c>
      <c r="D1175">
        <v>10</v>
      </c>
      <c r="E1175" t="s">
        <v>908</v>
      </c>
      <c r="F1175">
        <v>0</v>
      </c>
    </row>
    <row r="1176" spans="1:6" x14ac:dyDescent="0.2">
      <c r="A1176">
        <v>2018</v>
      </c>
      <c r="B1176" t="s">
        <v>832</v>
      </c>
      <c r="C1176">
        <v>15</v>
      </c>
      <c r="D1176">
        <v>0</v>
      </c>
      <c r="E1176" t="s">
        <v>910</v>
      </c>
      <c r="F1176">
        <v>0</v>
      </c>
    </row>
    <row r="1177" spans="1:6" x14ac:dyDescent="0.2">
      <c r="A1177">
        <v>2019</v>
      </c>
      <c r="B1177" t="s">
        <v>832</v>
      </c>
      <c r="C1177">
        <v>15</v>
      </c>
      <c r="D1177">
        <v>10</v>
      </c>
      <c r="E1177" t="s">
        <v>910</v>
      </c>
      <c r="F1177">
        <v>0</v>
      </c>
    </row>
    <row r="1178" spans="1:6" x14ac:dyDescent="0.2">
      <c r="A1178">
        <v>2020</v>
      </c>
      <c r="B1178" t="s">
        <v>832</v>
      </c>
      <c r="C1178">
        <v>5</v>
      </c>
      <c r="D1178">
        <v>0</v>
      </c>
      <c r="E1178" t="s">
        <v>910</v>
      </c>
      <c r="F1178">
        <v>0</v>
      </c>
    </row>
    <row r="1179" spans="1:6" x14ac:dyDescent="0.2">
      <c r="A1179">
        <v>2021</v>
      </c>
      <c r="B1179" t="s">
        <v>832</v>
      </c>
      <c r="C1179">
        <v>20</v>
      </c>
      <c r="D1179">
        <v>10</v>
      </c>
      <c r="E1179" t="s">
        <v>27</v>
      </c>
      <c r="F1179">
        <v>0</v>
      </c>
    </row>
    <row r="1180" spans="1:6" x14ac:dyDescent="0.2">
      <c r="A1180">
        <v>2022</v>
      </c>
      <c r="B1180" t="s">
        <v>832</v>
      </c>
      <c r="C1180">
        <v>20</v>
      </c>
      <c r="D1180">
        <v>10</v>
      </c>
      <c r="E1180" t="s">
        <v>383</v>
      </c>
      <c r="F1180">
        <v>0</v>
      </c>
    </row>
    <row r="1181" spans="1:6" x14ac:dyDescent="0.2">
      <c r="A1181">
        <v>2023</v>
      </c>
      <c r="B1181" t="s">
        <v>832</v>
      </c>
      <c r="C1181">
        <v>20</v>
      </c>
      <c r="D1181">
        <v>10</v>
      </c>
      <c r="E1181" t="s">
        <v>910</v>
      </c>
      <c r="F1181">
        <v>0</v>
      </c>
    </row>
    <row r="1182" spans="1:6" x14ac:dyDescent="0.2">
      <c r="A1182">
        <v>2024</v>
      </c>
      <c r="B1182" t="s">
        <v>832</v>
      </c>
      <c r="C1182">
        <v>10</v>
      </c>
      <c r="D1182">
        <v>5</v>
      </c>
      <c r="E1182" t="s">
        <v>910</v>
      </c>
      <c r="F1182">
        <v>0</v>
      </c>
    </row>
    <row r="1183" spans="1:6" x14ac:dyDescent="0.2">
      <c r="A1183">
        <v>2025</v>
      </c>
      <c r="B1183" t="s">
        <v>832</v>
      </c>
      <c r="C1183">
        <v>15</v>
      </c>
      <c r="D1183">
        <v>5</v>
      </c>
      <c r="E1183" t="s">
        <v>910</v>
      </c>
      <c r="F1183">
        <v>0</v>
      </c>
    </row>
    <row r="1184" spans="1:6" x14ac:dyDescent="0.2">
      <c r="A1184">
        <v>2016</v>
      </c>
      <c r="B1184" t="s">
        <v>350</v>
      </c>
      <c r="C1184">
        <v>4235</v>
      </c>
      <c r="D1184">
        <v>1605</v>
      </c>
      <c r="E1184" t="s">
        <v>351</v>
      </c>
      <c r="F1184">
        <v>20</v>
      </c>
    </row>
    <row r="1185" spans="1:6" x14ac:dyDescent="0.2">
      <c r="A1185">
        <v>2017</v>
      </c>
      <c r="B1185" t="s">
        <v>350</v>
      </c>
      <c r="C1185">
        <v>4580</v>
      </c>
      <c r="D1185">
        <v>1850</v>
      </c>
      <c r="E1185" t="s">
        <v>115</v>
      </c>
      <c r="F1185">
        <v>35</v>
      </c>
    </row>
    <row r="1186" spans="1:6" x14ac:dyDescent="0.2">
      <c r="A1186">
        <v>2018</v>
      </c>
      <c r="B1186" t="s">
        <v>350</v>
      </c>
      <c r="C1186">
        <v>4965</v>
      </c>
      <c r="D1186">
        <v>2040</v>
      </c>
      <c r="E1186" t="s">
        <v>82</v>
      </c>
      <c r="F1186">
        <v>35</v>
      </c>
    </row>
    <row r="1187" spans="1:6" x14ac:dyDescent="0.2">
      <c r="A1187">
        <v>2019</v>
      </c>
      <c r="B1187" t="s">
        <v>350</v>
      </c>
      <c r="C1187">
        <v>5130</v>
      </c>
      <c r="D1187">
        <v>1900</v>
      </c>
      <c r="E1187" t="s">
        <v>72</v>
      </c>
      <c r="F1187">
        <v>35</v>
      </c>
    </row>
    <row r="1188" spans="1:6" x14ac:dyDescent="0.2">
      <c r="A1188">
        <v>2020</v>
      </c>
      <c r="B1188" t="s">
        <v>350</v>
      </c>
      <c r="C1188">
        <v>5295</v>
      </c>
      <c r="D1188">
        <v>2050</v>
      </c>
      <c r="E1188" t="s">
        <v>353</v>
      </c>
      <c r="F1188">
        <v>65</v>
      </c>
    </row>
    <row r="1189" spans="1:6" x14ac:dyDescent="0.2">
      <c r="A1189">
        <v>2021</v>
      </c>
      <c r="B1189" t="s">
        <v>350</v>
      </c>
      <c r="C1189">
        <v>7950</v>
      </c>
      <c r="D1189">
        <v>2710</v>
      </c>
      <c r="E1189" t="s">
        <v>354</v>
      </c>
      <c r="F1189">
        <v>30</v>
      </c>
    </row>
    <row r="1190" spans="1:6" x14ac:dyDescent="0.2">
      <c r="A1190">
        <v>2022</v>
      </c>
      <c r="B1190" t="s">
        <v>350</v>
      </c>
      <c r="C1190">
        <v>6820</v>
      </c>
      <c r="D1190">
        <v>2285</v>
      </c>
      <c r="E1190" t="s">
        <v>355</v>
      </c>
      <c r="F1190">
        <v>45</v>
      </c>
    </row>
    <row r="1191" spans="1:6" x14ac:dyDescent="0.2">
      <c r="A1191">
        <v>2023</v>
      </c>
      <c r="B1191" t="s">
        <v>350</v>
      </c>
      <c r="C1191">
        <v>7295</v>
      </c>
      <c r="D1191">
        <v>2480</v>
      </c>
      <c r="E1191" t="s">
        <v>356</v>
      </c>
      <c r="F1191">
        <v>50</v>
      </c>
    </row>
    <row r="1192" spans="1:6" x14ac:dyDescent="0.2">
      <c r="A1192">
        <v>2024</v>
      </c>
      <c r="B1192" t="s">
        <v>350</v>
      </c>
      <c r="C1192">
        <v>7320</v>
      </c>
      <c r="D1192">
        <v>2485</v>
      </c>
      <c r="E1192" t="s">
        <v>356</v>
      </c>
      <c r="F1192">
        <v>40</v>
      </c>
    </row>
    <row r="1193" spans="1:6" x14ac:dyDescent="0.2">
      <c r="A1193">
        <v>2025</v>
      </c>
      <c r="B1193" t="s">
        <v>350</v>
      </c>
      <c r="C1193">
        <v>8355</v>
      </c>
      <c r="D1193">
        <v>2775</v>
      </c>
      <c r="E1193" t="s">
        <v>364</v>
      </c>
      <c r="F1193">
        <v>75</v>
      </c>
    </row>
    <row r="1194" spans="1:6" x14ac:dyDescent="0.2">
      <c r="A1194">
        <v>2016</v>
      </c>
      <c r="B1194" t="s">
        <v>1058</v>
      </c>
      <c r="C1194">
        <v>5</v>
      </c>
      <c r="D1194">
        <v>5</v>
      </c>
      <c r="E1194" t="s">
        <v>910</v>
      </c>
      <c r="F1194">
        <v>0</v>
      </c>
    </row>
    <row r="1195" spans="1:6" x14ac:dyDescent="0.2">
      <c r="A1195">
        <v>2017</v>
      </c>
      <c r="B1195" t="s">
        <v>1058</v>
      </c>
      <c r="C1195">
        <v>5</v>
      </c>
      <c r="D1195">
        <v>5</v>
      </c>
      <c r="E1195" t="s">
        <v>910</v>
      </c>
      <c r="F1195">
        <v>0</v>
      </c>
    </row>
    <row r="1196" spans="1:6" x14ac:dyDescent="0.2">
      <c r="A1196">
        <v>2018</v>
      </c>
      <c r="B1196" t="s">
        <v>1058</v>
      </c>
      <c r="C1196">
        <v>5</v>
      </c>
      <c r="D1196">
        <v>0</v>
      </c>
      <c r="E1196" t="s">
        <v>910</v>
      </c>
      <c r="F1196">
        <v>0</v>
      </c>
    </row>
    <row r="1197" spans="1:6" x14ac:dyDescent="0.2">
      <c r="A1197">
        <v>2019</v>
      </c>
      <c r="B1197" t="s">
        <v>1058</v>
      </c>
      <c r="C1197">
        <v>15</v>
      </c>
      <c r="D1197">
        <v>15</v>
      </c>
      <c r="E1197" t="s">
        <v>1020</v>
      </c>
      <c r="F1197">
        <v>0</v>
      </c>
    </row>
    <row r="1198" spans="1:6" x14ac:dyDescent="0.2">
      <c r="A1198">
        <v>2020</v>
      </c>
      <c r="B1198" t="s">
        <v>1058</v>
      </c>
      <c r="C1198">
        <v>15</v>
      </c>
      <c r="D1198">
        <v>10</v>
      </c>
      <c r="E1198" t="s">
        <v>910</v>
      </c>
      <c r="F1198">
        <v>0</v>
      </c>
    </row>
    <row r="1199" spans="1:6" x14ac:dyDescent="0.2">
      <c r="A1199">
        <v>2021</v>
      </c>
      <c r="B1199" t="s">
        <v>1058</v>
      </c>
      <c r="C1199">
        <v>5</v>
      </c>
      <c r="D1199">
        <v>0</v>
      </c>
      <c r="E1199" t="s">
        <v>910</v>
      </c>
      <c r="F1199">
        <v>0</v>
      </c>
    </row>
    <row r="1200" spans="1:6" x14ac:dyDescent="0.2">
      <c r="A1200">
        <v>2016</v>
      </c>
      <c r="B1200" t="s">
        <v>1059</v>
      </c>
      <c r="C1200">
        <v>55</v>
      </c>
      <c r="D1200">
        <v>25</v>
      </c>
      <c r="E1200" t="s">
        <v>296</v>
      </c>
      <c r="F1200">
        <v>0</v>
      </c>
    </row>
    <row r="1201" spans="1:6" x14ac:dyDescent="0.2">
      <c r="A1201">
        <v>2017</v>
      </c>
      <c r="B1201" t="s">
        <v>1059</v>
      </c>
      <c r="C1201">
        <v>55</v>
      </c>
      <c r="D1201">
        <v>25</v>
      </c>
      <c r="E1201" t="s">
        <v>73</v>
      </c>
      <c r="F1201">
        <v>0</v>
      </c>
    </row>
    <row r="1202" spans="1:6" x14ac:dyDescent="0.2">
      <c r="A1202">
        <v>2018</v>
      </c>
      <c r="B1202" t="s">
        <v>1059</v>
      </c>
      <c r="C1202">
        <v>55</v>
      </c>
      <c r="D1202">
        <v>20</v>
      </c>
      <c r="E1202" t="s">
        <v>980</v>
      </c>
      <c r="F1202">
        <v>0</v>
      </c>
    </row>
    <row r="1203" spans="1:6" x14ac:dyDescent="0.2">
      <c r="A1203">
        <v>2019</v>
      </c>
      <c r="B1203" t="s">
        <v>1059</v>
      </c>
      <c r="C1203">
        <v>40</v>
      </c>
      <c r="D1203">
        <v>20</v>
      </c>
      <c r="E1203" t="s">
        <v>187</v>
      </c>
      <c r="F1203">
        <v>0</v>
      </c>
    </row>
    <row r="1204" spans="1:6" x14ac:dyDescent="0.2">
      <c r="A1204">
        <v>2020</v>
      </c>
      <c r="B1204" t="s">
        <v>1059</v>
      </c>
      <c r="C1204">
        <v>40</v>
      </c>
      <c r="D1204">
        <v>20</v>
      </c>
      <c r="E1204" t="s">
        <v>1030</v>
      </c>
      <c r="F1204">
        <v>0</v>
      </c>
    </row>
    <row r="1205" spans="1:6" x14ac:dyDescent="0.2">
      <c r="A1205">
        <v>2021</v>
      </c>
      <c r="B1205" t="s">
        <v>1059</v>
      </c>
      <c r="C1205">
        <v>45</v>
      </c>
      <c r="D1205">
        <v>20</v>
      </c>
      <c r="E1205" t="s">
        <v>64</v>
      </c>
      <c r="F1205">
        <v>0</v>
      </c>
    </row>
    <row r="1206" spans="1:6" x14ac:dyDescent="0.2">
      <c r="A1206">
        <v>2022</v>
      </c>
      <c r="B1206" t="s">
        <v>1059</v>
      </c>
      <c r="C1206">
        <v>20</v>
      </c>
      <c r="D1206">
        <v>5</v>
      </c>
      <c r="E1206" t="s">
        <v>910</v>
      </c>
      <c r="F1206">
        <v>0</v>
      </c>
    </row>
    <row r="1207" spans="1:6" x14ac:dyDescent="0.2">
      <c r="A1207">
        <v>2023</v>
      </c>
      <c r="B1207" t="s">
        <v>1059</v>
      </c>
      <c r="C1207">
        <v>30</v>
      </c>
      <c r="D1207">
        <v>10</v>
      </c>
      <c r="E1207" t="s">
        <v>1060</v>
      </c>
      <c r="F1207">
        <v>0</v>
      </c>
    </row>
    <row r="1208" spans="1:6" x14ac:dyDescent="0.2">
      <c r="A1208">
        <v>2024</v>
      </c>
      <c r="B1208" t="s">
        <v>1059</v>
      </c>
      <c r="C1208">
        <v>25</v>
      </c>
      <c r="D1208">
        <v>5</v>
      </c>
      <c r="E1208" t="s">
        <v>910</v>
      </c>
      <c r="F1208">
        <v>0</v>
      </c>
    </row>
    <row r="1209" spans="1:6" x14ac:dyDescent="0.2">
      <c r="A1209">
        <v>2025</v>
      </c>
      <c r="B1209" t="s">
        <v>1059</v>
      </c>
      <c r="C1209">
        <v>40</v>
      </c>
      <c r="D1209">
        <v>10</v>
      </c>
      <c r="E1209" t="s">
        <v>986</v>
      </c>
      <c r="F1209">
        <v>0</v>
      </c>
    </row>
    <row r="1210" spans="1:6" x14ac:dyDescent="0.2">
      <c r="A1210">
        <v>2016</v>
      </c>
      <c r="B1210" t="s">
        <v>1061</v>
      </c>
      <c r="C1210">
        <v>460</v>
      </c>
      <c r="D1210">
        <v>310</v>
      </c>
      <c r="E1210" t="s">
        <v>214</v>
      </c>
      <c r="F1210">
        <v>0</v>
      </c>
    </row>
    <row r="1211" spans="1:6" x14ac:dyDescent="0.2">
      <c r="A1211">
        <v>2017</v>
      </c>
      <c r="B1211" t="s">
        <v>1061</v>
      </c>
      <c r="C1211">
        <v>440</v>
      </c>
      <c r="D1211">
        <v>280</v>
      </c>
      <c r="E1211" t="s">
        <v>314</v>
      </c>
      <c r="F1211">
        <v>0</v>
      </c>
    </row>
    <row r="1212" spans="1:6" x14ac:dyDescent="0.2">
      <c r="A1212">
        <v>2018</v>
      </c>
      <c r="B1212" t="s">
        <v>1061</v>
      </c>
      <c r="C1212">
        <v>410</v>
      </c>
      <c r="D1212">
        <v>250</v>
      </c>
      <c r="E1212" t="s">
        <v>378</v>
      </c>
      <c r="F1212">
        <v>0</v>
      </c>
    </row>
    <row r="1213" spans="1:6" x14ac:dyDescent="0.2">
      <c r="A1213">
        <v>2019</v>
      </c>
      <c r="B1213" t="s">
        <v>1061</v>
      </c>
      <c r="C1213">
        <v>410</v>
      </c>
      <c r="D1213">
        <v>235</v>
      </c>
      <c r="E1213" t="s">
        <v>1062</v>
      </c>
      <c r="F1213">
        <v>0</v>
      </c>
    </row>
    <row r="1214" spans="1:6" x14ac:dyDescent="0.2">
      <c r="A1214">
        <v>2020</v>
      </c>
      <c r="B1214" t="s">
        <v>1061</v>
      </c>
      <c r="C1214">
        <v>490</v>
      </c>
      <c r="D1214">
        <v>285</v>
      </c>
      <c r="E1214" t="s">
        <v>40</v>
      </c>
      <c r="F1214">
        <v>5</v>
      </c>
    </row>
    <row r="1215" spans="1:6" x14ac:dyDescent="0.2">
      <c r="A1215">
        <v>2021</v>
      </c>
      <c r="B1215" t="s">
        <v>1061</v>
      </c>
      <c r="C1215">
        <v>475</v>
      </c>
      <c r="D1215">
        <v>290</v>
      </c>
      <c r="E1215" t="s">
        <v>1063</v>
      </c>
      <c r="F1215">
        <v>5</v>
      </c>
    </row>
    <row r="1216" spans="1:6" x14ac:dyDescent="0.2">
      <c r="A1216">
        <v>2022</v>
      </c>
      <c r="B1216" t="s">
        <v>1061</v>
      </c>
      <c r="C1216">
        <v>510</v>
      </c>
      <c r="D1216">
        <v>310</v>
      </c>
      <c r="E1216" t="s">
        <v>292</v>
      </c>
      <c r="F1216">
        <v>0</v>
      </c>
    </row>
    <row r="1217" spans="1:6" x14ac:dyDescent="0.2">
      <c r="A1217">
        <v>2023</v>
      </c>
      <c r="B1217" t="s">
        <v>1061</v>
      </c>
      <c r="C1217">
        <v>535</v>
      </c>
      <c r="D1217">
        <v>305</v>
      </c>
      <c r="E1217" t="s">
        <v>36</v>
      </c>
      <c r="F1217">
        <v>0</v>
      </c>
    </row>
    <row r="1218" spans="1:6" x14ac:dyDescent="0.2">
      <c r="A1218">
        <v>2024</v>
      </c>
      <c r="B1218" t="s">
        <v>1061</v>
      </c>
      <c r="C1218">
        <v>520</v>
      </c>
      <c r="D1218">
        <v>335</v>
      </c>
      <c r="E1218" t="s">
        <v>951</v>
      </c>
      <c r="F1218">
        <v>0</v>
      </c>
    </row>
    <row r="1219" spans="1:6" x14ac:dyDescent="0.2">
      <c r="A1219">
        <v>2025</v>
      </c>
      <c r="B1219" t="s">
        <v>1061</v>
      </c>
      <c r="C1219">
        <v>575</v>
      </c>
      <c r="D1219">
        <v>350</v>
      </c>
      <c r="E1219" t="s">
        <v>39</v>
      </c>
      <c r="F1219">
        <v>0</v>
      </c>
    </row>
    <row r="1220" spans="1:6" x14ac:dyDescent="0.2">
      <c r="A1220">
        <v>2016</v>
      </c>
      <c r="B1220" t="s">
        <v>841</v>
      </c>
      <c r="C1220">
        <v>55</v>
      </c>
      <c r="D1220">
        <v>40</v>
      </c>
      <c r="E1220" t="s">
        <v>1064</v>
      </c>
      <c r="F1220">
        <v>5</v>
      </c>
    </row>
    <row r="1221" spans="1:6" x14ac:dyDescent="0.2">
      <c r="A1221">
        <v>2017</v>
      </c>
      <c r="B1221" t="s">
        <v>841</v>
      </c>
      <c r="C1221">
        <v>70</v>
      </c>
      <c r="D1221">
        <v>40</v>
      </c>
      <c r="E1221" t="s">
        <v>40</v>
      </c>
      <c r="F1221">
        <v>5</v>
      </c>
    </row>
    <row r="1222" spans="1:6" x14ac:dyDescent="0.2">
      <c r="A1222">
        <v>2018</v>
      </c>
      <c r="B1222" t="s">
        <v>841</v>
      </c>
      <c r="C1222">
        <v>50</v>
      </c>
      <c r="D1222">
        <v>40</v>
      </c>
      <c r="E1222" t="s">
        <v>920</v>
      </c>
      <c r="F1222">
        <v>0</v>
      </c>
    </row>
    <row r="1223" spans="1:6" x14ac:dyDescent="0.2">
      <c r="A1223">
        <v>2019</v>
      </c>
      <c r="B1223" t="s">
        <v>841</v>
      </c>
      <c r="C1223">
        <v>55</v>
      </c>
      <c r="D1223">
        <v>40</v>
      </c>
      <c r="E1223" t="s">
        <v>1065</v>
      </c>
      <c r="F1223">
        <v>0</v>
      </c>
    </row>
    <row r="1224" spans="1:6" x14ac:dyDescent="0.2">
      <c r="A1224">
        <v>2020</v>
      </c>
      <c r="B1224" t="s">
        <v>841</v>
      </c>
      <c r="C1224">
        <v>60</v>
      </c>
      <c r="D1224">
        <v>30</v>
      </c>
      <c r="E1224" t="s">
        <v>187</v>
      </c>
      <c r="F1224">
        <v>0</v>
      </c>
    </row>
    <row r="1225" spans="1:6" x14ac:dyDescent="0.2">
      <c r="A1225">
        <v>2021</v>
      </c>
      <c r="B1225" t="s">
        <v>841</v>
      </c>
      <c r="C1225">
        <v>55</v>
      </c>
      <c r="D1225">
        <v>25</v>
      </c>
      <c r="E1225" t="s">
        <v>961</v>
      </c>
      <c r="F1225">
        <v>0</v>
      </c>
    </row>
    <row r="1226" spans="1:6" x14ac:dyDescent="0.2">
      <c r="A1226">
        <v>2022</v>
      </c>
      <c r="B1226" t="s">
        <v>841</v>
      </c>
      <c r="C1226">
        <v>35</v>
      </c>
      <c r="D1226">
        <v>15</v>
      </c>
      <c r="E1226" t="s">
        <v>194</v>
      </c>
      <c r="F1226">
        <v>0</v>
      </c>
    </row>
    <row r="1227" spans="1:6" x14ac:dyDescent="0.2">
      <c r="A1227">
        <v>2023</v>
      </c>
      <c r="B1227" t="s">
        <v>841</v>
      </c>
      <c r="C1227">
        <v>35</v>
      </c>
      <c r="D1227">
        <v>15</v>
      </c>
      <c r="E1227" t="s">
        <v>233</v>
      </c>
      <c r="F1227">
        <v>0</v>
      </c>
    </row>
    <row r="1228" spans="1:6" x14ac:dyDescent="0.2">
      <c r="A1228">
        <v>2024</v>
      </c>
      <c r="B1228" t="s">
        <v>841</v>
      </c>
      <c r="C1228">
        <v>50</v>
      </c>
      <c r="D1228">
        <v>30</v>
      </c>
      <c r="E1228" t="s">
        <v>999</v>
      </c>
      <c r="F1228">
        <v>0</v>
      </c>
    </row>
    <row r="1229" spans="1:6" x14ac:dyDescent="0.2">
      <c r="A1229">
        <v>2025</v>
      </c>
      <c r="B1229" t="s">
        <v>841</v>
      </c>
      <c r="C1229">
        <v>55</v>
      </c>
      <c r="D1229">
        <v>35</v>
      </c>
      <c r="E1229" t="s">
        <v>1066</v>
      </c>
      <c r="F1229">
        <v>0</v>
      </c>
    </row>
    <row r="1230" spans="1:6" x14ac:dyDescent="0.2">
      <c r="A1230">
        <v>2016</v>
      </c>
      <c r="B1230" t="s">
        <v>771</v>
      </c>
      <c r="C1230">
        <v>130</v>
      </c>
      <c r="D1230">
        <v>60</v>
      </c>
      <c r="E1230" t="s">
        <v>51</v>
      </c>
      <c r="F1230">
        <v>0</v>
      </c>
    </row>
    <row r="1231" spans="1:6" x14ac:dyDescent="0.2">
      <c r="A1231">
        <v>2017</v>
      </c>
      <c r="B1231" t="s">
        <v>771</v>
      </c>
      <c r="C1231">
        <v>120</v>
      </c>
      <c r="D1231">
        <v>60</v>
      </c>
      <c r="E1231" t="s">
        <v>51</v>
      </c>
      <c r="F1231">
        <v>0</v>
      </c>
    </row>
    <row r="1232" spans="1:6" x14ac:dyDescent="0.2">
      <c r="A1232">
        <v>2018</v>
      </c>
      <c r="B1232" t="s">
        <v>771</v>
      </c>
      <c r="C1232">
        <v>115</v>
      </c>
      <c r="D1232">
        <v>50</v>
      </c>
      <c r="E1232" t="s">
        <v>997</v>
      </c>
      <c r="F1232">
        <v>0</v>
      </c>
    </row>
    <row r="1233" spans="1:6" x14ac:dyDescent="0.2">
      <c r="A1233">
        <v>2019</v>
      </c>
      <c r="B1233" t="s">
        <v>771</v>
      </c>
      <c r="C1233">
        <v>100</v>
      </c>
      <c r="D1233">
        <v>35</v>
      </c>
      <c r="E1233" t="s">
        <v>1067</v>
      </c>
      <c r="F1233">
        <v>0</v>
      </c>
    </row>
    <row r="1234" spans="1:6" x14ac:dyDescent="0.2">
      <c r="A1234">
        <v>2020</v>
      </c>
      <c r="B1234" t="s">
        <v>771</v>
      </c>
      <c r="C1234">
        <v>105</v>
      </c>
      <c r="D1234">
        <v>45</v>
      </c>
      <c r="E1234" t="s">
        <v>127</v>
      </c>
      <c r="F1234">
        <v>0</v>
      </c>
    </row>
    <row r="1235" spans="1:6" x14ac:dyDescent="0.2">
      <c r="A1235">
        <v>2021</v>
      </c>
      <c r="B1235" t="s">
        <v>771</v>
      </c>
      <c r="C1235">
        <v>105</v>
      </c>
      <c r="D1235">
        <v>45</v>
      </c>
      <c r="E1235" t="s">
        <v>85</v>
      </c>
      <c r="F1235">
        <v>0</v>
      </c>
    </row>
    <row r="1236" spans="1:6" x14ac:dyDescent="0.2">
      <c r="A1236">
        <v>2022</v>
      </c>
      <c r="B1236" t="s">
        <v>771</v>
      </c>
      <c r="C1236">
        <v>110</v>
      </c>
      <c r="D1236">
        <v>50</v>
      </c>
      <c r="E1236" t="s">
        <v>270</v>
      </c>
      <c r="F1236">
        <v>0</v>
      </c>
    </row>
    <row r="1237" spans="1:6" x14ac:dyDescent="0.2">
      <c r="A1237">
        <v>2023</v>
      </c>
      <c r="B1237" t="s">
        <v>771</v>
      </c>
      <c r="C1237">
        <v>85</v>
      </c>
      <c r="D1237">
        <v>40</v>
      </c>
      <c r="E1237" t="s">
        <v>270</v>
      </c>
      <c r="F1237">
        <v>0</v>
      </c>
    </row>
    <row r="1238" spans="1:6" x14ac:dyDescent="0.2">
      <c r="A1238">
        <v>2024</v>
      </c>
      <c r="B1238" t="s">
        <v>771</v>
      </c>
      <c r="C1238">
        <v>90</v>
      </c>
      <c r="D1238">
        <v>40</v>
      </c>
      <c r="E1238" t="s">
        <v>161</v>
      </c>
      <c r="F1238">
        <v>0</v>
      </c>
    </row>
    <row r="1239" spans="1:6" x14ac:dyDescent="0.2">
      <c r="A1239">
        <v>2025</v>
      </c>
      <c r="B1239" t="s">
        <v>771</v>
      </c>
      <c r="C1239">
        <v>130</v>
      </c>
      <c r="D1239">
        <v>55</v>
      </c>
      <c r="E1239" t="s">
        <v>61</v>
      </c>
      <c r="F1239">
        <v>0</v>
      </c>
    </row>
    <row r="1240" spans="1:6" x14ac:dyDescent="0.2">
      <c r="A1240">
        <v>2016</v>
      </c>
      <c r="B1240" t="s">
        <v>859</v>
      </c>
      <c r="C1240">
        <v>165</v>
      </c>
      <c r="D1240">
        <v>75</v>
      </c>
      <c r="E1240" t="s">
        <v>147</v>
      </c>
      <c r="F1240">
        <v>0</v>
      </c>
    </row>
    <row r="1241" spans="1:6" x14ac:dyDescent="0.2">
      <c r="A1241">
        <v>2017</v>
      </c>
      <c r="B1241" t="s">
        <v>859</v>
      </c>
      <c r="C1241">
        <v>155</v>
      </c>
      <c r="D1241">
        <v>75</v>
      </c>
      <c r="E1241" t="s">
        <v>1068</v>
      </c>
      <c r="F1241">
        <v>5</v>
      </c>
    </row>
    <row r="1242" spans="1:6" x14ac:dyDescent="0.2">
      <c r="A1242">
        <v>2018</v>
      </c>
      <c r="B1242" t="s">
        <v>859</v>
      </c>
      <c r="C1242">
        <v>155</v>
      </c>
      <c r="D1242">
        <v>70</v>
      </c>
      <c r="E1242" t="s">
        <v>85</v>
      </c>
      <c r="F1242">
        <v>5</v>
      </c>
    </row>
    <row r="1243" spans="1:6" x14ac:dyDescent="0.2">
      <c r="A1243">
        <v>2019</v>
      </c>
      <c r="B1243" t="s">
        <v>859</v>
      </c>
      <c r="C1243">
        <v>190</v>
      </c>
      <c r="D1243">
        <v>80</v>
      </c>
      <c r="E1243" t="s">
        <v>73</v>
      </c>
      <c r="F1243">
        <v>5</v>
      </c>
    </row>
    <row r="1244" spans="1:6" x14ac:dyDescent="0.2">
      <c r="A1244">
        <v>2020</v>
      </c>
      <c r="B1244" t="s">
        <v>859</v>
      </c>
      <c r="C1244">
        <v>160</v>
      </c>
      <c r="D1244">
        <v>85</v>
      </c>
      <c r="E1244" t="s">
        <v>30</v>
      </c>
      <c r="F1244">
        <v>5</v>
      </c>
    </row>
    <row r="1245" spans="1:6" x14ac:dyDescent="0.2">
      <c r="A1245">
        <v>2021</v>
      </c>
      <c r="B1245" t="s">
        <v>859</v>
      </c>
      <c r="C1245">
        <v>145</v>
      </c>
      <c r="D1245">
        <v>75</v>
      </c>
      <c r="E1245" t="s">
        <v>379</v>
      </c>
      <c r="F1245">
        <v>5</v>
      </c>
    </row>
    <row r="1246" spans="1:6" x14ac:dyDescent="0.2">
      <c r="A1246">
        <v>2022</v>
      </c>
      <c r="B1246" t="s">
        <v>859</v>
      </c>
      <c r="C1246">
        <v>160</v>
      </c>
      <c r="D1246">
        <v>65</v>
      </c>
      <c r="E1246" t="s">
        <v>304</v>
      </c>
      <c r="F1246">
        <v>0</v>
      </c>
    </row>
    <row r="1247" spans="1:6" x14ac:dyDescent="0.2">
      <c r="A1247">
        <v>2023</v>
      </c>
      <c r="B1247" t="s">
        <v>859</v>
      </c>
      <c r="C1247">
        <v>170</v>
      </c>
      <c r="D1247">
        <v>80</v>
      </c>
      <c r="E1247" t="s">
        <v>389</v>
      </c>
      <c r="F1247">
        <v>10</v>
      </c>
    </row>
    <row r="1248" spans="1:6" x14ac:dyDescent="0.2">
      <c r="A1248">
        <v>2024</v>
      </c>
      <c r="B1248" t="s">
        <v>859</v>
      </c>
      <c r="C1248">
        <v>170</v>
      </c>
      <c r="D1248">
        <v>85</v>
      </c>
      <c r="E1248" t="s">
        <v>961</v>
      </c>
      <c r="F1248">
        <v>5</v>
      </c>
    </row>
    <row r="1249" spans="1:6" x14ac:dyDescent="0.2">
      <c r="A1249">
        <v>2025</v>
      </c>
      <c r="B1249" t="s">
        <v>859</v>
      </c>
      <c r="C1249">
        <v>145</v>
      </c>
      <c r="D1249">
        <v>60</v>
      </c>
      <c r="E1249" t="s">
        <v>304</v>
      </c>
      <c r="F1249">
        <v>5</v>
      </c>
    </row>
    <row r="1250" spans="1:6" x14ac:dyDescent="0.2">
      <c r="A1250">
        <v>2016</v>
      </c>
      <c r="B1250" t="s">
        <v>1069</v>
      </c>
      <c r="C1250">
        <v>350</v>
      </c>
      <c r="D1250">
        <v>290</v>
      </c>
      <c r="E1250" t="s">
        <v>1070</v>
      </c>
      <c r="F1250">
        <v>0</v>
      </c>
    </row>
    <row r="1251" spans="1:6" x14ac:dyDescent="0.2">
      <c r="A1251">
        <v>2017</v>
      </c>
      <c r="B1251" t="s">
        <v>1069</v>
      </c>
      <c r="C1251">
        <v>395</v>
      </c>
      <c r="D1251">
        <v>355</v>
      </c>
      <c r="E1251" t="s">
        <v>1071</v>
      </c>
      <c r="F1251">
        <v>0</v>
      </c>
    </row>
    <row r="1252" spans="1:6" x14ac:dyDescent="0.2">
      <c r="A1252">
        <v>2018</v>
      </c>
      <c r="B1252" t="s">
        <v>1069</v>
      </c>
      <c r="C1252">
        <v>285</v>
      </c>
      <c r="D1252">
        <v>250</v>
      </c>
      <c r="E1252" t="s">
        <v>1072</v>
      </c>
      <c r="F1252">
        <v>0</v>
      </c>
    </row>
    <row r="1253" spans="1:6" x14ac:dyDescent="0.2">
      <c r="A1253">
        <v>2019</v>
      </c>
      <c r="B1253" t="s">
        <v>1069</v>
      </c>
      <c r="C1253">
        <v>280</v>
      </c>
      <c r="D1253">
        <v>225</v>
      </c>
      <c r="E1253" t="s">
        <v>1073</v>
      </c>
      <c r="F1253">
        <v>0</v>
      </c>
    </row>
    <row r="1254" spans="1:6" x14ac:dyDescent="0.2">
      <c r="A1254">
        <v>2020</v>
      </c>
      <c r="B1254" t="s">
        <v>1069</v>
      </c>
      <c r="C1254">
        <v>1045</v>
      </c>
      <c r="D1254">
        <v>950</v>
      </c>
      <c r="E1254" t="s">
        <v>1074</v>
      </c>
      <c r="F1254">
        <v>10</v>
      </c>
    </row>
    <row r="1255" spans="1:6" x14ac:dyDescent="0.2">
      <c r="A1255">
        <v>2021</v>
      </c>
      <c r="B1255" t="s">
        <v>1069</v>
      </c>
      <c r="C1255">
        <v>605</v>
      </c>
      <c r="D1255">
        <v>550</v>
      </c>
      <c r="E1255" t="s">
        <v>1075</v>
      </c>
      <c r="F1255">
        <v>0</v>
      </c>
    </row>
    <row r="1256" spans="1:6" x14ac:dyDescent="0.2">
      <c r="A1256">
        <v>2022</v>
      </c>
      <c r="B1256" t="s">
        <v>1069</v>
      </c>
      <c r="C1256">
        <v>3060</v>
      </c>
      <c r="D1256">
        <v>3045</v>
      </c>
      <c r="E1256" t="s">
        <v>1076</v>
      </c>
      <c r="F1256">
        <v>0</v>
      </c>
    </row>
    <row r="1257" spans="1:6" x14ac:dyDescent="0.2">
      <c r="A1257">
        <v>2023</v>
      </c>
      <c r="B1257" t="s">
        <v>1069</v>
      </c>
      <c r="C1257">
        <v>1530</v>
      </c>
      <c r="D1257">
        <v>1455</v>
      </c>
      <c r="E1257" t="s">
        <v>1077</v>
      </c>
      <c r="F1257">
        <v>5</v>
      </c>
    </row>
    <row r="1258" spans="1:6" x14ac:dyDescent="0.2">
      <c r="A1258">
        <v>2024</v>
      </c>
      <c r="B1258" t="s">
        <v>1069</v>
      </c>
      <c r="C1258">
        <v>1090</v>
      </c>
      <c r="D1258">
        <v>1065</v>
      </c>
      <c r="E1258" t="s">
        <v>1078</v>
      </c>
      <c r="F1258">
        <v>0</v>
      </c>
    </row>
    <row r="1259" spans="1:6" x14ac:dyDescent="0.2">
      <c r="A1259">
        <v>2025</v>
      </c>
      <c r="B1259" t="s">
        <v>1069</v>
      </c>
      <c r="C1259">
        <v>1155</v>
      </c>
      <c r="D1259">
        <v>1145</v>
      </c>
      <c r="E1259" t="s">
        <v>1079</v>
      </c>
      <c r="F1259">
        <v>0</v>
      </c>
    </row>
    <row r="1260" spans="1:6" x14ac:dyDescent="0.2">
      <c r="A1260">
        <v>2016</v>
      </c>
      <c r="B1260" t="s">
        <v>757</v>
      </c>
      <c r="C1260">
        <v>25</v>
      </c>
      <c r="D1260">
        <v>10</v>
      </c>
      <c r="E1260" t="s">
        <v>910</v>
      </c>
      <c r="F1260">
        <v>0</v>
      </c>
    </row>
    <row r="1261" spans="1:6" x14ac:dyDescent="0.2">
      <c r="A1261">
        <v>2017</v>
      </c>
      <c r="B1261" t="s">
        <v>757</v>
      </c>
      <c r="C1261">
        <v>35</v>
      </c>
      <c r="D1261">
        <v>5</v>
      </c>
      <c r="E1261" t="s">
        <v>910</v>
      </c>
      <c r="F1261">
        <v>0</v>
      </c>
    </row>
    <row r="1262" spans="1:6" x14ac:dyDescent="0.2">
      <c r="A1262">
        <v>2018</v>
      </c>
      <c r="B1262" t="s">
        <v>757</v>
      </c>
      <c r="C1262">
        <v>40</v>
      </c>
      <c r="D1262">
        <v>15</v>
      </c>
      <c r="E1262" t="s">
        <v>218</v>
      </c>
      <c r="F1262">
        <v>0</v>
      </c>
    </row>
    <row r="1263" spans="1:6" x14ac:dyDescent="0.2">
      <c r="A1263">
        <v>2019</v>
      </c>
      <c r="B1263" t="s">
        <v>757</v>
      </c>
      <c r="C1263">
        <v>45</v>
      </c>
      <c r="D1263">
        <v>15</v>
      </c>
      <c r="E1263" t="s">
        <v>985</v>
      </c>
      <c r="F1263">
        <v>0</v>
      </c>
    </row>
    <row r="1264" spans="1:6" x14ac:dyDescent="0.2">
      <c r="A1264">
        <v>2020</v>
      </c>
      <c r="B1264" t="s">
        <v>757</v>
      </c>
      <c r="C1264">
        <v>35</v>
      </c>
      <c r="D1264">
        <v>10</v>
      </c>
      <c r="E1264" t="s">
        <v>975</v>
      </c>
      <c r="F1264">
        <v>5</v>
      </c>
    </row>
    <row r="1265" spans="1:6" x14ac:dyDescent="0.2">
      <c r="A1265">
        <v>2021</v>
      </c>
      <c r="B1265" t="s">
        <v>757</v>
      </c>
      <c r="C1265">
        <v>40</v>
      </c>
      <c r="D1265">
        <v>10</v>
      </c>
      <c r="E1265" t="s">
        <v>910</v>
      </c>
      <c r="F1265">
        <v>0</v>
      </c>
    </row>
    <row r="1266" spans="1:6" x14ac:dyDescent="0.2">
      <c r="A1266">
        <v>2022</v>
      </c>
      <c r="B1266" t="s">
        <v>757</v>
      </c>
      <c r="C1266">
        <v>70</v>
      </c>
      <c r="D1266">
        <v>20</v>
      </c>
      <c r="E1266" t="s">
        <v>1080</v>
      </c>
      <c r="F1266">
        <v>0</v>
      </c>
    </row>
    <row r="1267" spans="1:6" x14ac:dyDescent="0.2">
      <c r="A1267">
        <v>2023</v>
      </c>
      <c r="B1267" t="s">
        <v>757</v>
      </c>
      <c r="C1267">
        <v>60</v>
      </c>
      <c r="D1267">
        <v>15</v>
      </c>
      <c r="E1267" t="s">
        <v>1081</v>
      </c>
      <c r="F1267">
        <v>0</v>
      </c>
    </row>
    <row r="1268" spans="1:6" x14ac:dyDescent="0.2">
      <c r="A1268">
        <v>2024</v>
      </c>
      <c r="B1268" t="s">
        <v>757</v>
      </c>
      <c r="C1268">
        <v>80</v>
      </c>
      <c r="D1268">
        <v>15</v>
      </c>
      <c r="E1268" t="s">
        <v>1082</v>
      </c>
      <c r="F1268">
        <v>0</v>
      </c>
    </row>
    <row r="1269" spans="1:6" x14ac:dyDescent="0.2">
      <c r="A1269">
        <v>2025</v>
      </c>
      <c r="B1269" t="s">
        <v>757</v>
      </c>
      <c r="C1269">
        <v>100</v>
      </c>
      <c r="D1269">
        <v>20</v>
      </c>
      <c r="E1269" t="s">
        <v>1083</v>
      </c>
      <c r="F1269">
        <v>5</v>
      </c>
    </row>
    <row r="1270" spans="1:6" x14ac:dyDescent="0.2">
      <c r="A1270">
        <v>2019</v>
      </c>
      <c r="B1270" t="s">
        <v>1084</v>
      </c>
      <c r="C1270">
        <v>5</v>
      </c>
      <c r="D1270">
        <v>0</v>
      </c>
      <c r="E1270" t="s">
        <v>910</v>
      </c>
      <c r="F1270">
        <v>0</v>
      </c>
    </row>
    <row r="1271" spans="1:6" x14ac:dyDescent="0.2">
      <c r="A1271">
        <v>2020</v>
      </c>
      <c r="B1271" t="s">
        <v>1084</v>
      </c>
      <c r="C1271">
        <v>5</v>
      </c>
      <c r="D1271">
        <v>0</v>
      </c>
      <c r="E1271" t="s">
        <v>910</v>
      </c>
      <c r="F1271">
        <v>0</v>
      </c>
    </row>
    <row r="1272" spans="1:6" x14ac:dyDescent="0.2">
      <c r="A1272">
        <v>2021</v>
      </c>
      <c r="B1272" t="s">
        <v>1084</v>
      </c>
      <c r="C1272">
        <v>5</v>
      </c>
      <c r="D1272">
        <v>0</v>
      </c>
      <c r="E1272" t="s">
        <v>910</v>
      </c>
      <c r="F1272">
        <v>0</v>
      </c>
    </row>
    <row r="1273" spans="1:6" x14ac:dyDescent="0.2">
      <c r="A1273">
        <v>2022</v>
      </c>
      <c r="B1273" t="s">
        <v>1084</v>
      </c>
      <c r="C1273">
        <v>5</v>
      </c>
      <c r="D1273">
        <v>0</v>
      </c>
      <c r="E1273" t="s">
        <v>910</v>
      </c>
      <c r="F1273">
        <v>0</v>
      </c>
    </row>
    <row r="1274" spans="1:6" x14ac:dyDescent="0.2">
      <c r="A1274">
        <v>2023</v>
      </c>
      <c r="B1274" t="s">
        <v>1084</v>
      </c>
      <c r="C1274">
        <v>5</v>
      </c>
      <c r="D1274">
        <v>0</v>
      </c>
      <c r="E1274" t="s">
        <v>910</v>
      </c>
      <c r="F1274">
        <v>0</v>
      </c>
    </row>
    <row r="1275" spans="1:6" x14ac:dyDescent="0.2">
      <c r="A1275">
        <v>2024</v>
      </c>
      <c r="B1275" t="s">
        <v>1084</v>
      </c>
      <c r="C1275">
        <v>5</v>
      </c>
      <c r="D1275">
        <v>0</v>
      </c>
      <c r="E1275" t="s">
        <v>910</v>
      </c>
      <c r="F1275">
        <v>0</v>
      </c>
    </row>
    <row r="1276" spans="1:6" x14ac:dyDescent="0.2">
      <c r="A1276">
        <v>2016</v>
      </c>
      <c r="B1276" t="s">
        <v>458</v>
      </c>
      <c r="C1276">
        <v>275</v>
      </c>
      <c r="D1276">
        <v>125</v>
      </c>
      <c r="E1276" t="s">
        <v>147</v>
      </c>
      <c r="F1276">
        <v>5</v>
      </c>
    </row>
    <row r="1277" spans="1:6" x14ac:dyDescent="0.2">
      <c r="A1277">
        <v>2017</v>
      </c>
      <c r="B1277" t="s">
        <v>458</v>
      </c>
      <c r="C1277">
        <v>320</v>
      </c>
      <c r="D1277">
        <v>140</v>
      </c>
      <c r="E1277" t="s">
        <v>155</v>
      </c>
      <c r="F1277">
        <v>5</v>
      </c>
    </row>
    <row r="1278" spans="1:6" x14ac:dyDescent="0.2">
      <c r="A1278">
        <v>2018</v>
      </c>
      <c r="B1278" t="s">
        <v>458</v>
      </c>
      <c r="C1278">
        <v>290</v>
      </c>
      <c r="D1278">
        <v>125</v>
      </c>
      <c r="E1278" t="s">
        <v>284</v>
      </c>
      <c r="F1278">
        <v>5</v>
      </c>
    </row>
    <row r="1279" spans="1:6" x14ac:dyDescent="0.2">
      <c r="A1279">
        <v>2019</v>
      </c>
      <c r="B1279" t="s">
        <v>458</v>
      </c>
      <c r="C1279">
        <v>345</v>
      </c>
      <c r="D1279">
        <v>155</v>
      </c>
      <c r="E1279" t="s">
        <v>84</v>
      </c>
      <c r="F1279">
        <v>5</v>
      </c>
    </row>
    <row r="1280" spans="1:6" x14ac:dyDescent="0.2">
      <c r="A1280">
        <v>2020</v>
      </c>
      <c r="B1280" t="s">
        <v>458</v>
      </c>
      <c r="C1280">
        <v>425</v>
      </c>
      <c r="D1280">
        <v>210</v>
      </c>
      <c r="E1280" t="s">
        <v>1019</v>
      </c>
      <c r="F1280">
        <v>5</v>
      </c>
    </row>
    <row r="1281" spans="1:6" x14ac:dyDescent="0.2">
      <c r="A1281">
        <v>2021</v>
      </c>
      <c r="B1281" t="s">
        <v>458</v>
      </c>
      <c r="C1281">
        <v>770</v>
      </c>
      <c r="D1281">
        <v>470</v>
      </c>
      <c r="E1281" t="s">
        <v>908</v>
      </c>
      <c r="F1281">
        <v>10</v>
      </c>
    </row>
    <row r="1282" spans="1:6" x14ac:dyDescent="0.2">
      <c r="A1282">
        <v>2022</v>
      </c>
      <c r="B1282" t="s">
        <v>458</v>
      </c>
      <c r="C1282">
        <v>935</v>
      </c>
      <c r="D1282">
        <v>510</v>
      </c>
      <c r="E1282" t="s">
        <v>157</v>
      </c>
      <c r="F1282">
        <v>10</v>
      </c>
    </row>
    <row r="1283" spans="1:6" x14ac:dyDescent="0.2">
      <c r="A1283">
        <v>2023</v>
      </c>
      <c r="B1283" t="s">
        <v>458</v>
      </c>
      <c r="C1283">
        <v>910</v>
      </c>
      <c r="D1283">
        <v>500</v>
      </c>
      <c r="E1283" t="s">
        <v>130</v>
      </c>
      <c r="F1283">
        <v>5</v>
      </c>
    </row>
    <row r="1284" spans="1:6" x14ac:dyDescent="0.2">
      <c r="A1284">
        <v>2024</v>
      </c>
      <c r="B1284" t="s">
        <v>458</v>
      </c>
      <c r="C1284">
        <v>800</v>
      </c>
      <c r="D1284">
        <v>400</v>
      </c>
      <c r="E1284" t="s">
        <v>186</v>
      </c>
      <c r="F1284">
        <v>10</v>
      </c>
    </row>
    <row r="1285" spans="1:6" x14ac:dyDescent="0.2">
      <c r="A1285">
        <v>2025</v>
      </c>
      <c r="B1285" t="s">
        <v>458</v>
      </c>
      <c r="C1285">
        <v>1260</v>
      </c>
      <c r="D1285">
        <v>810</v>
      </c>
      <c r="E1285" t="s">
        <v>112</v>
      </c>
      <c r="F1285">
        <v>15</v>
      </c>
    </row>
    <row r="1286" spans="1:6" x14ac:dyDescent="0.2">
      <c r="A1286">
        <v>2016</v>
      </c>
      <c r="B1286" t="s">
        <v>1085</v>
      </c>
      <c r="C1286">
        <v>5</v>
      </c>
      <c r="D1286">
        <v>0</v>
      </c>
      <c r="E1286" t="s">
        <v>910</v>
      </c>
      <c r="F1286">
        <v>0</v>
      </c>
    </row>
    <row r="1287" spans="1:6" x14ac:dyDescent="0.2">
      <c r="A1287">
        <v>2019</v>
      </c>
      <c r="B1287" t="s">
        <v>1085</v>
      </c>
      <c r="C1287">
        <v>5</v>
      </c>
      <c r="D1287">
        <v>0</v>
      </c>
      <c r="E1287" t="s">
        <v>910</v>
      </c>
      <c r="F1287">
        <v>0</v>
      </c>
    </row>
    <row r="1288" spans="1:6" x14ac:dyDescent="0.2">
      <c r="A1288">
        <v>2020</v>
      </c>
      <c r="B1288" t="s">
        <v>1085</v>
      </c>
      <c r="C1288">
        <v>5</v>
      </c>
      <c r="D1288">
        <v>0</v>
      </c>
      <c r="E1288" t="s">
        <v>910</v>
      </c>
      <c r="F1288">
        <v>0</v>
      </c>
    </row>
    <row r="1289" spans="1:6" x14ac:dyDescent="0.2">
      <c r="A1289">
        <v>2016</v>
      </c>
      <c r="B1289" t="s">
        <v>512</v>
      </c>
      <c r="C1289">
        <v>115</v>
      </c>
      <c r="D1289">
        <v>80</v>
      </c>
      <c r="E1289" t="s">
        <v>1086</v>
      </c>
      <c r="F1289">
        <v>0</v>
      </c>
    </row>
    <row r="1290" spans="1:6" x14ac:dyDescent="0.2">
      <c r="A1290">
        <v>2017</v>
      </c>
      <c r="B1290" t="s">
        <v>512</v>
      </c>
      <c r="C1290">
        <v>125</v>
      </c>
      <c r="D1290">
        <v>85</v>
      </c>
      <c r="E1290" t="s">
        <v>238</v>
      </c>
      <c r="F1290">
        <v>0</v>
      </c>
    </row>
    <row r="1291" spans="1:6" x14ac:dyDescent="0.2">
      <c r="A1291">
        <v>2018</v>
      </c>
      <c r="B1291" t="s">
        <v>512</v>
      </c>
      <c r="C1291">
        <v>160</v>
      </c>
      <c r="D1291">
        <v>115</v>
      </c>
      <c r="E1291" t="s">
        <v>1087</v>
      </c>
      <c r="F1291">
        <v>0</v>
      </c>
    </row>
    <row r="1292" spans="1:6" x14ac:dyDescent="0.2">
      <c r="A1292">
        <v>2019</v>
      </c>
      <c r="B1292" t="s">
        <v>512</v>
      </c>
      <c r="C1292">
        <v>185</v>
      </c>
      <c r="D1292">
        <v>130</v>
      </c>
      <c r="E1292" t="s">
        <v>890</v>
      </c>
      <c r="F1292">
        <v>0</v>
      </c>
    </row>
    <row r="1293" spans="1:6" x14ac:dyDescent="0.2">
      <c r="A1293">
        <v>2020</v>
      </c>
      <c r="B1293" t="s">
        <v>512</v>
      </c>
      <c r="C1293">
        <v>190</v>
      </c>
      <c r="D1293">
        <v>130</v>
      </c>
      <c r="E1293" t="s">
        <v>256</v>
      </c>
      <c r="F1293">
        <v>0</v>
      </c>
    </row>
    <row r="1294" spans="1:6" x14ac:dyDescent="0.2">
      <c r="A1294">
        <v>2021</v>
      </c>
      <c r="B1294" t="s">
        <v>512</v>
      </c>
      <c r="C1294">
        <v>185</v>
      </c>
      <c r="D1294">
        <v>125</v>
      </c>
      <c r="E1294" t="s">
        <v>1088</v>
      </c>
      <c r="F1294">
        <v>0</v>
      </c>
    </row>
    <row r="1295" spans="1:6" x14ac:dyDescent="0.2">
      <c r="A1295">
        <v>2022</v>
      </c>
      <c r="B1295" t="s">
        <v>512</v>
      </c>
      <c r="C1295">
        <v>230</v>
      </c>
      <c r="D1295">
        <v>170</v>
      </c>
      <c r="E1295" t="s">
        <v>950</v>
      </c>
      <c r="F1295">
        <v>5</v>
      </c>
    </row>
    <row r="1296" spans="1:6" x14ac:dyDescent="0.2">
      <c r="A1296">
        <v>2023</v>
      </c>
      <c r="B1296" t="s">
        <v>512</v>
      </c>
      <c r="C1296">
        <v>250</v>
      </c>
      <c r="D1296">
        <v>160</v>
      </c>
      <c r="E1296" t="s">
        <v>1089</v>
      </c>
      <c r="F1296">
        <v>0</v>
      </c>
    </row>
    <row r="1297" spans="1:6" x14ac:dyDescent="0.2">
      <c r="A1297">
        <v>2024</v>
      </c>
      <c r="B1297" t="s">
        <v>512</v>
      </c>
      <c r="C1297">
        <v>280</v>
      </c>
      <c r="D1297">
        <v>195</v>
      </c>
      <c r="E1297" t="s">
        <v>1090</v>
      </c>
      <c r="F1297">
        <v>0</v>
      </c>
    </row>
    <row r="1298" spans="1:6" x14ac:dyDescent="0.2">
      <c r="A1298">
        <v>2025</v>
      </c>
      <c r="B1298" t="s">
        <v>512</v>
      </c>
      <c r="C1298">
        <v>275</v>
      </c>
      <c r="D1298">
        <v>195</v>
      </c>
      <c r="E1298" t="s">
        <v>1091</v>
      </c>
      <c r="F1298">
        <v>0</v>
      </c>
    </row>
    <row r="1299" spans="1:6" x14ac:dyDescent="0.2">
      <c r="A1299">
        <v>2016</v>
      </c>
      <c r="B1299" t="s">
        <v>567</v>
      </c>
      <c r="C1299">
        <v>5</v>
      </c>
      <c r="D1299">
        <v>0</v>
      </c>
      <c r="E1299" t="s">
        <v>910</v>
      </c>
      <c r="F1299">
        <v>0</v>
      </c>
    </row>
    <row r="1300" spans="1:6" x14ac:dyDescent="0.2">
      <c r="A1300">
        <v>2020</v>
      </c>
      <c r="B1300" t="s">
        <v>567</v>
      </c>
      <c r="C1300">
        <v>5</v>
      </c>
      <c r="D1300">
        <v>5</v>
      </c>
      <c r="E1300" t="s">
        <v>910</v>
      </c>
      <c r="F1300">
        <v>0</v>
      </c>
    </row>
    <row r="1301" spans="1:6" x14ac:dyDescent="0.2">
      <c r="A1301">
        <v>2021</v>
      </c>
      <c r="B1301" t="s">
        <v>567</v>
      </c>
      <c r="C1301">
        <v>5</v>
      </c>
      <c r="D1301">
        <v>0</v>
      </c>
      <c r="E1301" t="s">
        <v>910</v>
      </c>
      <c r="F1301">
        <v>0</v>
      </c>
    </row>
    <row r="1302" spans="1:6" x14ac:dyDescent="0.2">
      <c r="A1302">
        <v>2022</v>
      </c>
      <c r="B1302" t="s">
        <v>567</v>
      </c>
      <c r="C1302">
        <v>5</v>
      </c>
      <c r="D1302">
        <v>0</v>
      </c>
      <c r="E1302" t="s">
        <v>910</v>
      </c>
      <c r="F1302">
        <v>0</v>
      </c>
    </row>
    <row r="1303" spans="1:6" x14ac:dyDescent="0.2">
      <c r="A1303">
        <v>2025</v>
      </c>
      <c r="B1303" t="s">
        <v>567</v>
      </c>
      <c r="C1303">
        <v>5</v>
      </c>
      <c r="D1303">
        <v>0</v>
      </c>
      <c r="E1303" t="s">
        <v>910</v>
      </c>
      <c r="F1303">
        <v>0</v>
      </c>
    </row>
    <row r="1304" spans="1:6" x14ac:dyDescent="0.2">
      <c r="A1304">
        <v>2016</v>
      </c>
      <c r="B1304" t="s">
        <v>671</v>
      </c>
      <c r="C1304">
        <v>100</v>
      </c>
      <c r="D1304">
        <v>55</v>
      </c>
      <c r="E1304" t="s">
        <v>1046</v>
      </c>
      <c r="F1304">
        <v>0</v>
      </c>
    </row>
    <row r="1305" spans="1:6" x14ac:dyDescent="0.2">
      <c r="A1305">
        <v>2017</v>
      </c>
      <c r="B1305" t="s">
        <v>671</v>
      </c>
      <c r="C1305">
        <v>80</v>
      </c>
      <c r="D1305">
        <v>50</v>
      </c>
      <c r="E1305" t="s">
        <v>259</v>
      </c>
      <c r="F1305">
        <v>0</v>
      </c>
    </row>
    <row r="1306" spans="1:6" x14ac:dyDescent="0.2">
      <c r="A1306">
        <v>2018</v>
      </c>
      <c r="B1306" t="s">
        <v>671</v>
      </c>
      <c r="C1306">
        <v>65</v>
      </c>
      <c r="D1306">
        <v>45</v>
      </c>
      <c r="E1306" t="s">
        <v>102</v>
      </c>
      <c r="F1306">
        <v>0</v>
      </c>
    </row>
    <row r="1307" spans="1:6" x14ac:dyDescent="0.2">
      <c r="A1307">
        <v>2019</v>
      </c>
      <c r="B1307" t="s">
        <v>671</v>
      </c>
      <c r="C1307">
        <v>90</v>
      </c>
      <c r="D1307">
        <v>60</v>
      </c>
      <c r="E1307" t="s">
        <v>212</v>
      </c>
      <c r="F1307">
        <v>0</v>
      </c>
    </row>
    <row r="1308" spans="1:6" x14ac:dyDescent="0.2">
      <c r="A1308">
        <v>2020</v>
      </c>
      <c r="B1308" t="s">
        <v>671</v>
      </c>
      <c r="C1308">
        <v>105</v>
      </c>
      <c r="D1308">
        <v>65</v>
      </c>
      <c r="E1308" t="s">
        <v>141</v>
      </c>
      <c r="F1308">
        <v>0</v>
      </c>
    </row>
    <row r="1309" spans="1:6" x14ac:dyDescent="0.2">
      <c r="A1309">
        <v>2021</v>
      </c>
      <c r="B1309" t="s">
        <v>671</v>
      </c>
      <c r="C1309">
        <v>55</v>
      </c>
      <c r="D1309">
        <v>40</v>
      </c>
      <c r="E1309" t="s">
        <v>251</v>
      </c>
      <c r="F1309">
        <v>0</v>
      </c>
    </row>
    <row r="1310" spans="1:6" x14ac:dyDescent="0.2">
      <c r="A1310">
        <v>2022</v>
      </c>
      <c r="B1310" t="s">
        <v>671</v>
      </c>
      <c r="C1310">
        <v>90</v>
      </c>
      <c r="D1310">
        <v>60</v>
      </c>
      <c r="E1310" t="s">
        <v>1052</v>
      </c>
      <c r="F1310">
        <v>5</v>
      </c>
    </row>
    <row r="1311" spans="1:6" x14ac:dyDescent="0.2">
      <c r="A1311">
        <v>2023</v>
      </c>
      <c r="B1311" t="s">
        <v>671</v>
      </c>
      <c r="C1311">
        <v>145</v>
      </c>
      <c r="D1311">
        <v>95</v>
      </c>
      <c r="E1311" t="s">
        <v>1088</v>
      </c>
      <c r="F1311">
        <v>0</v>
      </c>
    </row>
    <row r="1312" spans="1:6" x14ac:dyDescent="0.2">
      <c r="A1312">
        <v>2024</v>
      </c>
      <c r="B1312" t="s">
        <v>671</v>
      </c>
      <c r="C1312">
        <v>185</v>
      </c>
      <c r="D1312">
        <v>125</v>
      </c>
      <c r="E1312" t="s">
        <v>1092</v>
      </c>
      <c r="F1312">
        <v>0</v>
      </c>
    </row>
    <row r="1313" spans="1:6" x14ac:dyDescent="0.2">
      <c r="A1313">
        <v>2025</v>
      </c>
      <c r="B1313" t="s">
        <v>671</v>
      </c>
      <c r="C1313">
        <v>155</v>
      </c>
      <c r="D1313">
        <v>105</v>
      </c>
      <c r="E1313" t="s">
        <v>1066</v>
      </c>
      <c r="F1313">
        <v>0</v>
      </c>
    </row>
    <row r="1314" spans="1:6" x14ac:dyDescent="0.2">
      <c r="A1314">
        <v>2016</v>
      </c>
      <c r="B1314" t="s">
        <v>575</v>
      </c>
      <c r="C1314">
        <v>5</v>
      </c>
      <c r="D1314">
        <v>5</v>
      </c>
      <c r="E1314" t="s">
        <v>910</v>
      </c>
      <c r="F1314">
        <v>0</v>
      </c>
    </row>
    <row r="1315" spans="1:6" x14ac:dyDescent="0.2">
      <c r="A1315">
        <v>2017</v>
      </c>
      <c r="B1315" t="s">
        <v>575</v>
      </c>
      <c r="C1315">
        <v>5</v>
      </c>
      <c r="D1315">
        <v>5</v>
      </c>
      <c r="E1315" t="s">
        <v>910</v>
      </c>
      <c r="F1315">
        <v>0</v>
      </c>
    </row>
    <row r="1316" spans="1:6" x14ac:dyDescent="0.2">
      <c r="A1316">
        <v>2025</v>
      </c>
      <c r="B1316" t="s">
        <v>575</v>
      </c>
      <c r="C1316">
        <v>5</v>
      </c>
      <c r="D1316">
        <v>0</v>
      </c>
      <c r="E1316" t="s">
        <v>910</v>
      </c>
      <c r="F1316">
        <v>0</v>
      </c>
    </row>
    <row r="1317" spans="1:6" x14ac:dyDescent="0.2">
      <c r="A1317">
        <v>2016</v>
      </c>
      <c r="B1317" t="s">
        <v>701</v>
      </c>
      <c r="C1317">
        <v>50</v>
      </c>
      <c r="D1317">
        <v>15</v>
      </c>
      <c r="E1317" t="s">
        <v>1093</v>
      </c>
      <c r="F1317">
        <v>0</v>
      </c>
    </row>
    <row r="1318" spans="1:6" x14ac:dyDescent="0.2">
      <c r="A1318">
        <v>2017</v>
      </c>
      <c r="B1318" t="s">
        <v>701</v>
      </c>
      <c r="C1318">
        <v>60</v>
      </c>
      <c r="D1318">
        <v>15</v>
      </c>
      <c r="E1318" t="s">
        <v>1094</v>
      </c>
      <c r="F1318">
        <v>0</v>
      </c>
    </row>
    <row r="1319" spans="1:6" x14ac:dyDescent="0.2">
      <c r="A1319">
        <v>2018</v>
      </c>
      <c r="B1319" t="s">
        <v>701</v>
      </c>
      <c r="C1319">
        <v>45</v>
      </c>
      <c r="D1319">
        <v>15</v>
      </c>
      <c r="E1319" t="s">
        <v>1095</v>
      </c>
      <c r="F1319">
        <v>0</v>
      </c>
    </row>
    <row r="1320" spans="1:6" x14ac:dyDescent="0.2">
      <c r="A1320">
        <v>2019</v>
      </c>
      <c r="B1320" t="s">
        <v>701</v>
      </c>
      <c r="C1320">
        <v>50</v>
      </c>
      <c r="D1320">
        <v>15</v>
      </c>
      <c r="E1320" t="s">
        <v>401</v>
      </c>
      <c r="F1320">
        <v>0</v>
      </c>
    </row>
    <row r="1321" spans="1:6" x14ac:dyDescent="0.2">
      <c r="A1321">
        <v>2020</v>
      </c>
      <c r="B1321" t="s">
        <v>701</v>
      </c>
      <c r="C1321">
        <v>60</v>
      </c>
      <c r="D1321">
        <v>20</v>
      </c>
      <c r="E1321" t="s">
        <v>976</v>
      </c>
      <c r="F1321">
        <v>0</v>
      </c>
    </row>
    <row r="1322" spans="1:6" x14ac:dyDescent="0.2">
      <c r="A1322">
        <v>2021</v>
      </c>
      <c r="B1322" t="s">
        <v>701</v>
      </c>
      <c r="C1322">
        <v>35</v>
      </c>
      <c r="D1322">
        <v>10</v>
      </c>
      <c r="E1322" t="s">
        <v>1028</v>
      </c>
      <c r="F1322">
        <v>0</v>
      </c>
    </row>
    <row r="1323" spans="1:6" x14ac:dyDescent="0.2">
      <c r="A1323">
        <v>2022</v>
      </c>
      <c r="B1323" t="s">
        <v>701</v>
      </c>
      <c r="C1323">
        <v>65</v>
      </c>
      <c r="D1323">
        <v>10</v>
      </c>
      <c r="E1323" t="s">
        <v>1096</v>
      </c>
      <c r="F1323">
        <v>0</v>
      </c>
    </row>
    <row r="1324" spans="1:6" x14ac:dyDescent="0.2">
      <c r="A1324">
        <v>2023</v>
      </c>
      <c r="B1324" t="s">
        <v>701</v>
      </c>
      <c r="C1324">
        <v>55</v>
      </c>
      <c r="D1324">
        <v>10</v>
      </c>
      <c r="E1324" t="s">
        <v>910</v>
      </c>
      <c r="F1324">
        <v>5</v>
      </c>
    </row>
    <row r="1325" spans="1:6" x14ac:dyDescent="0.2">
      <c r="A1325">
        <v>2024</v>
      </c>
      <c r="B1325" t="s">
        <v>701</v>
      </c>
      <c r="C1325">
        <v>45</v>
      </c>
      <c r="D1325">
        <v>10</v>
      </c>
      <c r="E1325" t="s">
        <v>910</v>
      </c>
      <c r="F1325">
        <v>0</v>
      </c>
    </row>
    <row r="1326" spans="1:6" x14ac:dyDescent="0.2">
      <c r="A1326">
        <v>2025</v>
      </c>
      <c r="B1326" t="s">
        <v>701</v>
      </c>
      <c r="C1326">
        <v>40</v>
      </c>
      <c r="D1326">
        <v>15</v>
      </c>
      <c r="E1326" t="s">
        <v>976</v>
      </c>
      <c r="F1326">
        <v>0</v>
      </c>
    </row>
    <row r="1327" spans="1:6" x14ac:dyDescent="0.2">
      <c r="A1327">
        <v>2016</v>
      </c>
      <c r="B1327" t="s">
        <v>794</v>
      </c>
      <c r="C1327">
        <v>85</v>
      </c>
      <c r="D1327">
        <v>40</v>
      </c>
      <c r="E1327" t="s">
        <v>132</v>
      </c>
      <c r="F1327">
        <v>5</v>
      </c>
    </row>
    <row r="1328" spans="1:6" x14ac:dyDescent="0.2">
      <c r="A1328">
        <v>2017</v>
      </c>
      <c r="B1328" t="s">
        <v>794</v>
      </c>
      <c r="C1328">
        <v>60</v>
      </c>
      <c r="D1328">
        <v>30</v>
      </c>
      <c r="E1328" t="s">
        <v>187</v>
      </c>
      <c r="F1328">
        <v>0</v>
      </c>
    </row>
    <row r="1329" spans="1:6" x14ac:dyDescent="0.2">
      <c r="A1329">
        <v>2018</v>
      </c>
      <c r="B1329" t="s">
        <v>794</v>
      </c>
      <c r="C1329">
        <v>50</v>
      </c>
      <c r="D1329">
        <v>20</v>
      </c>
      <c r="E1329" t="s">
        <v>310</v>
      </c>
      <c r="F1329">
        <v>5</v>
      </c>
    </row>
    <row r="1330" spans="1:6" x14ac:dyDescent="0.2">
      <c r="A1330">
        <v>2019</v>
      </c>
      <c r="B1330" t="s">
        <v>794</v>
      </c>
      <c r="C1330">
        <v>55</v>
      </c>
      <c r="D1330">
        <v>25</v>
      </c>
      <c r="E1330" t="s">
        <v>147</v>
      </c>
      <c r="F1330">
        <v>0</v>
      </c>
    </row>
    <row r="1331" spans="1:6" x14ac:dyDescent="0.2">
      <c r="A1331">
        <v>2020</v>
      </c>
      <c r="B1331" t="s">
        <v>794</v>
      </c>
      <c r="C1331">
        <v>55</v>
      </c>
      <c r="D1331">
        <v>30</v>
      </c>
      <c r="E1331" t="s">
        <v>56</v>
      </c>
      <c r="F1331">
        <v>0</v>
      </c>
    </row>
    <row r="1332" spans="1:6" x14ac:dyDescent="0.2">
      <c r="A1332">
        <v>2021</v>
      </c>
      <c r="B1332" t="s">
        <v>794</v>
      </c>
      <c r="C1332">
        <v>55</v>
      </c>
      <c r="D1332">
        <v>35</v>
      </c>
      <c r="E1332" t="s">
        <v>111</v>
      </c>
      <c r="F1332">
        <v>0</v>
      </c>
    </row>
    <row r="1333" spans="1:6" x14ac:dyDescent="0.2">
      <c r="A1333">
        <v>2022</v>
      </c>
      <c r="B1333" t="s">
        <v>794</v>
      </c>
      <c r="C1333">
        <v>60</v>
      </c>
      <c r="D1333">
        <v>30</v>
      </c>
      <c r="E1333" t="s">
        <v>44</v>
      </c>
      <c r="F1333">
        <v>0</v>
      </c>
    </row>
    <row r="1334" spans="1:6" x14ac:dyDescent="0.2">
      <c r="A1334">
        <v>2023</v>
      </c>
      <c r="B1334" t="s">
        <v>794</v>
      </c>
      <c r="C1334">
        <v>50</v>
      </c>
      <c r="D1334">
        <v>30</v>
      </c>
      <c r="E1334" t="s">
        <v>1097</v>
      </c>
      <c r="F1334">
        <v>0</v>
      </c>
    </row>
    <row r="1335" spans="1:6" x14ac:dyDescent="0.2">
      <c r="A1335">
        <v>2024</v>
      </c>
      <c r="B1335" t="s">
        <v>794</v>
      </c>
      <c r="C1335">
        <v>45</v>
      </c>
      <c r="D1335">
        <v>15</v>
      </c>
      <c r="E1335" t="s">
        <v>289</v>
      </c>
      <c r="F1335">
        <v>0</v>
      </c>
    </row>
    <row r="1336" spans="1:6" x14ac:dyDescent="0.2">
      <c r="A1336">
        <v>2025</v>
      </c>
      <c r="B1336" t="s">
        <v>794</v>
      </c>
      <c r="C1336">
        <v>50</v>
      </c>
      <c r="D1336">
        <v>30</v>
      </c>
      <c r="E1336" t="s">
        <v>381</v>
      </c>
      <c r="F1336">
        <v>0</v>
      </c>
    </row>
    <row r="1337" spans="1:6" x14ac:dyDescent="0.2">
      <c r="A1337">
        <v>2016</v>
      </c>
      <c r="B1337" t="s">
        <v>1098</v>
      </c>
      <c r="C1337">
        <v>15</v>
      </c>
      <c r="D1337">
        <v>5</v>
      </c>
      <c r="E1337" t="s">
        <v>910</v>
      </c>
      <c r="F1337">
        <v>0</v>
      </c>
    </row>
    <row r="1338" spans="1:6" x14ac:dyDescent="0.2">
      <c r="A1338">
        <v>2017</v>
      </c>
      <c r="B1338" t="s">
        <v>1098</v>
      </c>
      <c r="C1338">
        <v>10</v>
      </c>
      <c r="D1338">
        <v>5</v>
      </c>
      <c r="E1338" t="s">
        <v>910</v>
      </c>
      <c r="F1338">
        <v>0</v>
      </c>
    </row>
    <row r="1339" spans="1:6" x14ac:dyDescent="0.2">
      <c r="A1339">
        <v>2018</v>
      </c>
      <c r="B1339" t="s">
        <v>1098</v>
      </c>
      <c r="C1339">
        <v>15</v>
      </c>
      <c r="D1339">
        <v>5</v>
      </c>
      <c r="E1339" t="s">
        <v>910</v>
      </c>
      <c r="F1339">
        <v>0</v>
      </c>
    </row>
    <row r="1340" spans="1:6" x14ac:dyDescent="0.2">
      <c r="A1340">
        <v>2019</v>
      </c>
      <c r="B1340" t="s">
        <v>1098</v>
      </c>
      <c r="C1340">
        <v>15</v>
      </c>
      <c r="D1340">
        <v>0</v>
      </c>
      <c r="E1340" t="s">
        <v>910</v>
      </c>
      <c r="F1340">
        <v>0</v>
      </c>
    </row>
    <row r="1341" spans="1:6" x14ac:dyDescent="0.2">
      <c r="A1341">
        <v>2020</v>
      </c>
      <c r="B1341" t="s">
        <v>1098</v>
      </c>
      <c r="C1341">
        <v>5</v>
      </c>
      <c r="D1341">
        <v>0</v>
      </c>
      <c r="E1341" t="s">
        <v>910</v>
      </c>
      <c r="F1341">
        <v>0</v>
      </c>
    </row>
    <row r="1342" spans="1:6" x14ac:dyDescent="0.2">
      <c r="A1342">
        <v>2021</v>
      </c>
      <c r="B1342" t="s">
        <v>1098</v>
      </c>
      <c r="C1342">
        <v>5</v>
      </c>
      <c r="D1342">
        <v>0</v>
      </c>
      <c r="E1342" t="s">
        <v>910</v>
      </c>
      <c r="F1342">
        <v>0</v>
      </c>
    </row>
    <row r="1343" spans="1:6" x14ac:dyDescent="0.2">
      <c r="A1343">
        <v>2022</v>
      </c>
      <c r="B1343" t="s">
        <v>1098</v>
      </c>
      <c r="C1343">
        <v>5</v>
      </c>
      <c r="D1343">
        <v>0</v>
      </c>
      <c r="E1343" t="s">
        <v>910</v>
      </c>
      <c r="F1343">
        <v>0</v>
      </c>
    </row>
    <row r="1344" spans="1:6" x14ac:dyDescent="0.2">
      <c r="A1344">
        <v>2023</v>
      </c>
      <c r="B1344" t="s">
        <v>1098</v>
      </c>
      <c r="C1344">
        <v>10</v>
      </c>
      <c r="D1344">
        <v>5</v>
      </c>
      <c r="E1344" t="s">
        <v>910</v>
      </c>
      <c r="F1344">
        <v>0</v>
      </c>
    </row>
    <row r="1345" spans="1:6" x14ac:dyDescent="0.2">
      <c r="A1345">
        <v>2024</v>
      </c>
      <c r="B1345" t="s">
        <v>1098</v>
      </c>
      <c r="C1345">
        <v>5</v>
      </c>
      <c r="D1345">
        <v>5</v>
      </c>
      <c r="E1345" t="s">
        <v>910</v>
      </c>
      <c r="F1345">
        <v>0</v>
      </c>
    </row>
    <row r="1346" spans="1:6" x14ac:dyDescent="0.2">
      <c r="A1346">
        <v>2025</v>
      </c>
      <c r="B1346" t="s">
        <v>1098</v>
      </c>
      <c r="C1346">
        <v>15</v>
      </c>
      <c r="D1346">
        <v>5</v>
      </c>
      <c r="E1346" t="s">
        <v>910</v>
      </c>
      <c r="F1346">
        <v>0</v>
      </c>
    </row>
    <row r="1347" spans="1:6" x14ac:dyDescent="0.2">
      <c r="A1347">
        <v>2016</v>
      </c>
      <c r="B1347" t="s">
        <v>430</v>
      </c>
      <c r="C1347">
        <v>20</v>
      </c>
      <c r="D1347">
        <v>5</v>
      </c>
      <c r="E1347" t="s">
        <v>910</v>
      </c>
      <c r="F1347">
        <v>0</v>
      </c>
    </row>
    <row r="1348" spans="1:6" x14ac:dyDescent="0.2">
      <c r="A1348">
        <v>2017</v>
      </c>
      <c r="B1348" t="s">
        <v>430</v>
      </c>
      <c r="C1348">
        <v>35</v>
      </c>
      <c r="D1348">
        <v>10</v>
      </c>
      <c r="E1348" t="s">
        <v>975</v>
      </c>
      <c r="F1348">
        <v>0</v>
      </c>
    </row>
    <row r="1349" spans="1:6" x14ac:dyDescent="0.2">
      <c r="A1349">
        <v>2018</v>
      </c>
      <c r="B1349" t="s">
        <v>430</v>
      </c>
      <c r="C1349">
        <v>20</v>
      </c>
      <c r="D1349">
        <v>0</v>
      </c>
      <c r="E1349" t="s">
        <v>910</v>
      </c>
      <c r="F1349">
        <v>0</v>
      </c>
    </row>
    <row r="1350" spans="1:6" x14ac:dyDescent="0.2">
      <c r="A1350">
        <v>2019</v>
      </c>
      <c r="B1350" t="s">
        <v>430</v>
      </c>
      <c r="C1350">
        <v>30</v>
      </c>
      <c r="D1350">
        <v>15</v>
      </c>
      <c r="E1350" t="s">
        <v>51</v>
      </c>
      <c r="F1350">
        <v>0</v>
      </c>
    </row>
    <row r="1351" spans="1:6" x14ac:dyDescent="0.2">
      <c r="A1351">
        <v>2020</v>
      </c>
      <c r="B1351" t="s">
        <v>430</v>
      </c>
      <c r="C1351">
        <v>30</v>
      </c>
      <c r="D1351">
        <v>10</v>
      </c>
      <c r="E1351" t="s">
        <v>274</v>
      </c>
      <c r="F1351">
        <v>0</v>
      </c>
    </row>
    <row r="1352" spans="1:6" x14ac:dyDescent="0.2">
      <c r="A1352">
        <v>2021</v>
      </c>
      <c r="B1352" t="s">
        <v>430</v>
      </c>
      <c r="C1352">
        <v>45</v>
      </c>
      <c r="D1352">
        <v>15</v>
      </c>
      <c r="E1352" t="s">
        <v>217</v>
      </c>
      <c r="F1352">
        <v>0</v>
      </c>
    </row>
    <row r="1353" spans="1:6" x14ac:dyDescent="0.2">
      <c r="A1353">
        <v>2022</v>
      </c>
      <c r="B1353" t="s">
        <v>430</v>
      </c>
      <c r="C1353">
        <v>35</v>
      </c>
      <c r="D1353">
        <v>0</v>
      </c>
      <c r="E1353" t="s">
        <v>910</v>
      </c>
      <c r="F1353">
        <v>0</v>
      </c>
    </row>
    <row r="1354" spans="1:6" x14ac:dyDescent="0.2">
      <c r="A1354">
        <v>2023</v>
      </c>
      <c r="B1354" t="s">
        <v>430</v>
      </c>
      <c r="C1354">
        <v>150</v>
      </c>
      <c r="D1354">
        <v>50</v>
      </c>
      <c r="E1354" t="s">
        <v>231</v>
      </c>
      <c r="F1354">
        <v>10</v>
      </c>
    </row>
    <row r="1355" spans="1:6" x14ac:dyDescent="0.2">
      <c r="A1355">
        <v>2024</v>
      </c>
      <c r="B1355" t="s">
        <v>430</v>
      </c>
      <c r="C1355">
        <v>235</v>
      </c>
      <c r="D1355">
        <v>35</v>
      </c>
      <c r="E1355" t="s">
        <v>1099</v>
      </c>
      <c r="F1355">
        <v>5</v>
      </c>
    </row>
    <row r="1356" spans="1:6" x14ac:dyDescent="0.2">
      <c r="A1356">
        <v>2025</v>
      </c>
      <c r="B1356" t="s">
        <v>430</v>
      </c>
      <c r="C1356">
        <v>120</v>
      </c>
      <c r="D1356">
        <v>30</v>
      </c>
      <c r="E1356" t="s">
        <v>971</v>
      </c>
      <c r="F1356">
        <v>5</v>
      </c>
    </row>
    <row r="1357" spans="1:6" x14ac:dyDescent="0.2">
      <c r="A1357">
        <v>2016</v>
      </c>
      <c r="B1357" t="s">
        <v>436</v>
      </c>
      <c r="C1357">
        <v>115</v>
      </c>
      <c r="D1357">
        <v>55</v>
      </c>
      <c r="E1357" t="s">
        <v>1100</v>
      </c>
      <c r="F1357">
        <v>0</v>
      </c>
    </row>
    <row r="1358" spans="1:6" x14ac:dyDescent="0.2">
      <c r="A1358">
        <v>2017</v>
      </c>
      <c r="B1358" t="s">
        <v>436</v>
      </c>
      <c r="C1358">
        <v>80</v>
      </c>
      <c r="D1358">
        <v>45</v>
      </c>
      <c r="E1358" t="s">
        <v>145</v>
      </c>
      <c r="F1358">
        <v>0</v>
      </c>
    </row>
    <row r="1359" spans="1:6" x14ac:dyDescent="0.2">
      <c r="A1359">
        <v>2018</v>
      </c>
      <c r="B1359" t="s">
        <v>436</v>
      </c>
      <c r="C1359">
        <v>100</v>
      </c>
      <c r="D1359">
        <v>60</v>
      </c>
      <c r="E1359" t="s">
        <v>292</v>
      </c>
      <c r="F1359">
        <v>5</v>
      </c>
    </row>
    <row r="1360" spans="1:6" x14ac:dyDescent="0.2">
      <c r="A1360">
        <v>2019</v>
      </c>
      <c r="B1360" t="s">
        <v>436</v>
      </c>
      <c r="C1360">
        <v>140</v>
      </c>
      <c r="D1360">
        <v>65</v>
      </c>
      <c r="E1360" t="s">
        <v>132</v>
      </c>
      <c r="F1360">
        <v>5</v>
      </c>
    </row>
    <row r="1361" spans="1:6" x14ac:dyDescent="0.2">
      <c r="A1361">
        <v>2020</v>
      </c>
      <c r="B1361" t="s">
        <v>436</v>
      </c>
      <c r="C1361">
        <v>145</v>
      </c>
      <c r="D1361">
        <v>80</v>
      </c>
      <c r="E1361" t="s">
        <v>193</v>
      </c>
      <c r="F1361">
        <v>5</v>
      </c>
    </row>
    <row r="1362" spans="1:6" x14ac:dyDescent="0.2">
      <c r="A1362">
        <v>2021</v>
      </c>
      <c r="B1362" t="s">
        <v>436</v>
      </c>
      <c r="C1362">
        <v>155</v>
      </c>
      <c r="D1362">
        <v>90</v>
      </c>
      <c r="E1362" t="s">
        <v>27</v>
      </c>
      <c r="F1362">
        <v>0</v>
      </c>
    </row>
    <row r="1363" spans="1:6" x14ac:dyDescent="0.2">
      <c r="A1363">
        <v>2022</v>
      </c>
      <c r="B1363" t="s">
        <v>436</v>
      </c>
      <c r="C1363">
        <v>175</v>
      </c>
      <c r="D1363">
        <v>95</v>
      </c>
      <c r="E1363" t="s">
        <v>153</v>
      </c>
      <c r="F1363">
        <v>5</v>
      </c>
    </row>
    <row r="1364" spans="1:6" x14ac:dyDescent="0.2">
      <c r="A1364">
        <v>2023</v>
      </c>
      <c r="B1364" t="s">
        <v>436</v>
      </c>
      <c r="C1364">
        <v>165</v>
      </c>
      <c r="D1364">
        <v>80</v>
      </c>
      <c r="E1364" t="s">
        <v>296</v>
      </c>
      <c r="F1364">
        <v>0</v>
      </c>
    </row>
    <row r="1365" spans="1:6" x14ac:dyDescent="0.2">
      <c r="A1365">
        <v>2024</v>
      </c>
      <c r="B1365" t="s">
        <v>436</v>
      </c>
      <c r="C1365">
        <v>120</v>
      </c>
      <c r="D1365">
        <v>65</v>
      </c>
      <c r="E1365" t="s">
        <v>970</v>
      </c>
      <c r="F1365">
        <v>0</v>
      </c>
    </row>
    <row r="1366" spans="1:6" x14ac:dyDescent="0.2">
      <c r="A1366">
        <v>2025</v>
      </c>
      <c r="B1366" t="s">
        <v>436</v>
      </c>
      <c r="C1366">
        <v>100</v>
      </c>
      <c r="D1366">
        <v>50</v>
      </c>
      <c r="E1366" t="s">
        <v>152</v>
      </c>
      <c r="F1366">
        <v>5</v>
      </c>
    </row>
    <row r="1367" spans="1:6" x14ac:dyDescent="0.2">
      <c r="A1367">
        <v>2016</v>
      </c>
      <c r="B1367" t="s">
        <v>522</v>
      </c>
      <c r="C1367">
        <v>70</v>
      </c>
      <c r="D1367">
        <v>30</v>
      </c>
      <c r="E1367" t="s">
        <v>73</v>
      </c>
      <c r="F1367">
        <v>0</v>
      </c>
    </row>
    <row r="1368" spans="1:6" x14ac:dyDescent="0.2">
      <c r="A1368">
        <v>2017</v>
      </c>
      <c r="B1368" t="s">
        <v>522</v>
      </c>
      <c r="C1368">
        <v>70</v>
      </c>
      <c r="D1368">
        <v>35</v>
      </c>
      <c r="E1368" t="s">
        <v>331</v>
      </c>
      <c r="F1368">
        <v>5</v>
      </c>
    </row>
    <row r="1369" spans="1:6" x14ac:dyDescent="0.2">
      <c r="A1369">
        <v>2018</v>
      </c>
      <c r="B1369" t="s">
        <v>522</v>
      </c>
      <c r="C1369">
        <v>75</v>
      </c>
      <c r="D1369">
        <v>25</v>
      </c>
      <c r="E1369" t="s">
        <v>1095</v>
      </c>
      <c r="F1369">
        <v>0</v>
      </c>
    </row>
    <row r="1370" spans="1:6" x14ac:dyDescent="0.2">
      <c r="A1370">
        <v>2019</v>
      </c>
      <c r="B1370" t="s">
        <v>522</v>
      </c>
      <c r="C1370">
        <v>110</v>
      </c>
      <c r="D1370">
        <v>50</v>
      </c>
      <c r="E1370" t="s">
        <v>147</v>
      </c>
      <c r="F1370">
        <v>0</v>
      </c>
    </row>
    <row r="1371" spans="1:6" x14ac:dyDescent="0.2">
      <c r="A1371">
        <v>2020</v>
      </c>
      <c r="B1371" t="s">
        <v>522</v>
      </c>
      <c r="C1371">
        <v>125</v>
      </c>
      <c r="D1371">
        <v>60</v>
      </c>
      <c r="E1371" t="s">
        <v>1019</v>
      </c>
      <c r="F1371">
        <v>0</v>
      </c>
    </row>
    <row r="1372" spans="1:6" x14ac:dyDescent="0.2">
      <c r="A1372">
        <v>2021</v>
      </c>
      <c r="B1372" t="s">
        <v>522</v>
      </c>
      <c r="C1372">
        <v>110</v>
      </c>
      <c r="D1372">
        <v>60</v>
      </c>
      <c r="E1372" t="s">
        <v>1024</v>
      </c>
      <c r="F1372">
        <v>5</v>
      </c>
    </row>
    <row r="1373" spans="1:6" x14ac:dyDescent="0.2">
      <c r="A1373">
        <v>2022</v>
      </c>
      <c r="B1373" t="s">
        <v>522</v>
      </c>
      <c r="C1373">
        <v>180</v>
      </c>
      <c r="D1373">
        <v>110</v>
      </c>
      <c r="E1373" t="s">
        <v>108</v>
      </c>
      <c r="F1373">
        <v>0</v>
      </c>
    </row>
    <row r="1374" spans="1:6" x14ac:dyDescent="0.2">
      <c r="A1374">
        <v>2023</v>
      </c>
      <c r="B1374" t="s">
        <v>522</v>
      </c>
      <c r="C1374">
        <v>165</v>
      </c>
      <c r="D1374">
        <v>90</v>
      </c>
      <c r="E1374" t="s">
        <v>130</v>
      </c>
      <c r="F1374">
        <v>5</v>
      </c>
    </row>
    <row r="1375" spans="1:6" x14ac:dyDescent="0.2">
      <c r="A1375">
        <v>2024</v>
      </c>
      <c r="B1375" t="s">
        <v>522</v>
      </c>
      <c r="C1375">
        <v>185</v>
      </c>
      <c r="D1375">
        <v>100</v>
      </c>
      <c r="E1375" t="s">
        <v>81</v>
      </c>
      <c r="F1375">
        <v>5</v>
      </c>
    </row>
    <row r="1376" spans="1:6" x14ac:dyDescent="0.2">
      <c r="A1376">
        <v>2025</v>
      </c>
      <c r="B1376" t="s">
        <v>522</v>
      </c>
      <c r="C1376">
        <v>220</v>
      </c>
      <c r="D1376">
        <v>120</v>
      </c>
      <c r="E1376" t="s">
        <v>143</v>
      </c>
      <c r="F1376">
        <v>5</v>
      </c>
    </row>
    <row r="1377" spans="1:6" x14ac:dyDescent="0.2">
      <c r="A1377">
        <v>2016</v>
      </c>
      <c r="B1377" t="s">
        <v>438</v>
      </c>
      <c r="C1377">
        <v>5</v>
      </c>
      <c r="D1377">
        <v>5</v>
      </c>
      <c r="E1377" t="s">
        <v>910</v>
      </c>
      <c r="F1377">
        <v>0</v>
      </c>
    </row>
    <row r="1378" spans="1:6" x14ac:dyDescent="0.2">
      <c r="A1378">
        <v>2017</v>
      </c>
      <c r="B1378" t="s">
        <v>438</v>
      </c>
      <c r="C1378">
        <v>5</v>
      </c>
      <c r="D1378">
        <v>0</v>
      </c>
      <c r="E1378" t="s">
        <v>910</v>
      </c>
      <c r="F1378">
        <v>0</v>
      </c>
    </row>
    <row r="1379" spans="1:6" x14ac:dyDescent="0.2">
      <c r="A1379">
        <v>2018</v>
      </c>
      <c r="B1379" t="s">
        <v>438</v>
      </c>
      <c r="C1379">
        <v>5</v>
      </c>
      <c r="D1379">
        <v>0</v>
      </c>
      <c r="E1379" t="s">
        <v>910</v>
      </c>
      <c r="F1379">
        <v>0</v>
      </c>
    </row>
    <row r="1380" spans="1:6" x14ac:dyDescent="0.2">
      <c r="A1380">
        <v>2019</v>
      </c>
      <c r="B1380" t="s">
        <v>438</v>
      </c>
      <c r="C1380">
        <v>10</v>
      </c>
      <c r="D1380">
        <v>5</v>
      </c>
      <c r="E1380" t="s">
        <v>910</v>
      </c>
      <c r="F1380">
        <v>0</v>
      </c>
    </row>
    <row r="1381" spans="1:6" x14ac:dyDescent="0.2">
      <c r="A1381">
        <v>2020</v>
      </c>
      <c r="B1381" t="s">
        <v>438</v>
      </c>
      <c r="C1381">
        <v>10</v>
      </c>
      <c r="D1381">
        <v>5</v>
      </c>
      <c r="E1381" t="s">
        <v>910</v>
      </c>
      <c r="F1381">
        <v>0</v>
      </c>
    </row>
    <row r="1382" spans="1:6" x14ac:dyDescent="0.2">
      <c r="A1382">
        <v>2021</v>
      </c>
      <c r="B1382" t="s">
        <v>438</v>
      </c>
      <c r="C1382">
        <v>10</v>
      </c>
      <c r="D1382">
        <v>5</v>
      </c>
      <c r="E1382" t="s">
        <v>910</v>
      </c>
      <c r="F1382">
        <v>0</v>
      </c>
    </row>
    <row r="1383" spans="1:6" x14ac:dyDescent="0.2">
      <c r="A1383">
        <v>2022</v>
      </c>
      <c r="B1383" t="s">
        <v>438</v>
      </c>
      <c r="C1383">
        <v>5</v>
      </c>
      <c r="D1383">
        <v>5</v>
      </c>
      <c r="E1383" t="s">
        <v>910</v>
      </c>
      <c r="F1383">
        <v>0</v>
      </c>
    </row>
    <row r="1384" spans="1:6" x14ac:dyDescent="0.2">
      <c r="A1384">
        <v>2023</v>
      </c>
      <c r="B1384" t="s">
        <v>438</v>
      </c>
      <c r="C1384">
        <v>10</v>
      </c>
      <c r="D1384">
        <v>0</v>
      </c>
      <c r="E1384" t="s">
        <v>910</v>
      </c>
      <c r="F1384">
        <v>0</v>
      </c>
    </row>
    <row r="1385" spans="1:6" x14ac:dyDescent="0.2">
      <c r="A1385">
        <v>2024</v>
      </c>
      <c r="B1385" t="s">
        <v>438</v>
      </c>
      <c r="C1385">
        <v>10</v>
      </c>
      <c r="D1385">
        <v>5</v>
      </c>
      <c r="E1385" t="s">
        <v>910</v>
      </c>
      <c r="F1385">
        <v>0</v>
      </c>
    </row>
    <row r="1386" spans="1:6" x14ac:dyDescent="0.2">
      <c r="A1386">
        <v>2025</v>
      </c>
      <c r="B1386" t="s">
        <v>438</v>
      </c>
      <c r="C1386">
        <v>10</v>
      </c>
      <c r="D1386">
        <v>10</v>
      </c>
      <c r="E1386" t="s">
        <v>910</v>
      </c>
      <c r="F1386">
        <v>0</v>
      </c>
    </row>
    <row r="1387" spans="1:6" x14ac:dyDescent="0.2">
      <c r="A1387">
        <v>2016</v>
      </c>
      <c r="B1387" t="s">
        <v>434</v>
      </c>
      <c r="C1387">
        <v>190</v>
      </c>
      <c r="D1387">
        <v>130</v>
      </c>
      <c r="E1387" t="s">
        <v>1101</v>
      </c>
      <c r="F1387">
        <v>0</v>
      </c>
    </row>
    <row r="1388" spans="1:6" x14ac:dyDescent="0.2">
      <c r="A1388">
        <v>2017</v>
      </c>
      <c r="B1388" t="s">
        <v>434</v>
      </c>
      <c r="C1388">
        <v>95</v>
      </c>
      <c r="D1388">
        <v>50</v>
      </c>
      <c r="E1388" t="s">
        <v>90</v>
      </c>
      <c r="F1388">
        <v>0</v>
      </c>
    </row>
    <row r="1389" spans="1:6" x14ac:dyDescent="0.2">
      <c r="A1389">
        <v>2018</v>
      </c>
      <c r="B1389" t="s">
        <v>434</v>
      </c>
      <c r="C1389">
        <v>90</v>
      </c>
      <c r="D1389">
        <v>55</v>
      </c>
      <c r="E1389" t="s">
        <v>964</v>
      </c>
      <c r="F1389">
        <v>0</v>
      </c>
    </row>
    <row r="1390" spans="1:6" x14ac:dyDescent="0.2">
      <c r="A1390">
        <v>2019</v>
      </c>
      <c r="B1390" t="s">
        <v>434</v>
      </c>
      <c r="C1390">
        <v>80</v>
      </c>
      <c r="D1390">
        <v>40</v>
      </c>
      <c r="E1390" t="s">
        <v>1102</v>
      </c>
      <c r="F1390">
        <v>0</v>
      </c>
    </row>
    <row r="1391" spans="1:6" x14ac:dyDescent="0.2">
      <c r="A1391">
        <v>2020</v>
      </c>
      <c r="B1391" t="s">
        <v>434</v>
      </c>
      <c r="C1391">
        <v>65</v>
      </c>
      <c r="D1391">
        <v>40</v>
      </c>
      <c r="E1391" t="s">
        <v>1103</v>
      </c>
      <c r="F1391">
        <v>0</v>
      </c>
    </row>
    <row r="1392" spans="1:6" x14ac:dyDescent="0.2">
      <c r="A1392">
        <v>2021</v>
      </c>
      <c r="B1392" t="s">
        <v>434</v>
      </c>
      <c r="C1392">
        <v>55</v>
      </c>
      <c r="D1392">
        <v>30</v>
      </c>
      <c r="E1392" t="s">
        <v>383</v>
      </c>
      <c r="F1392">
        <v>0</v>
      </c>
    </row>
    <row r="1393" spans="1:6" x14ac:dyDescent="0.2">
      <c r="A1393">
        <v>2022</v>
      </c>
      <c r="B1393" t="s">
        <v>434</v>
      </c>
      <c r="C1393">
        <v>65</v>
      </c>
      <c r="D1393">
        <v>30</v>
      </c>
      <c r="E1393" t="s">
        <v>322</v>
      </c>
      <c r="F1393">
        <v>0</v>
      </c>
    </row>
    <row r="1394" spans="1:6" x14ac:dyDescent="0.2">
      <c r="A1394">
        <v>2023</v>
      </c>
      <c r="B1394" t="s">
        <v>434</v>
      </c>
      <c r="C1394">
        <v>75</v>
      </c>
      <c r="D1394">
        <v>35</v>
      </c>
      <c r="E1394" t="s">
        <v>388</v>
      </c>
      <c r="F1394">
        <v>5</v>
      </c>
    </row>
    <row r="1395" spans="1:6" x14ac:dyDescent="0.2">
      <c r="A1395">
        <v>2024</v>
      </c>
      <c r="B1395" t="s">
        <v>434</v>
      </c>
      <c r="C1395">
        <v>105</v>
      </c>
      <c r="D1395">
        <v>50</v>
      </c>
      <c r="E1395" t="s">
        <v>1102</v>
      </c>
      <c r="F1395">
        <v>5</v>
      </c>
    </row>
    <row r="1396" spans="1:6" x14ac:dyDescent="0.2">
      <c r="A1396">
        <v>2025</v>
      </c>
      <c r="B1396" t="s">
        <v>434</v>
      </c>
      <c r="C1396">
        <v>115</v>
      </c>
      <c r="D1396">
        <v>55</v>
      </c>
      <c r="E1396" t="s">
        <v>389</v>
      </c>
      <c r="F1396">
        <v>5</v>
      </c>
    </row>
    <row r="1397" spans="1:6" x14ac:dyDescent="0.2">
      <c r="A1397">
        <v>2016</v>
      </c>
      <c r="B1397" t="s">
        <v>448</v>
      </c>
      <c r="C1397">
        <v>25</v>
      </c>
      <c r="D1397">
        <v>5</v>
      </c>
      <c r="E1397" t="s">
        <v>910</v>
      </c>
      <c r="F1397">
        <v>0</v>
      </c>
    </row>
    <row r="1398" spans="1:6" x14ac:dyDescent="0.2">
      <c r="A1398">
        <v>2017</v>
      </c>
      <c r="B1398" t="s">
        <v>448</v>
      </c>
      <c r="C1398">
        <v>15</v>
      </c>
      <c r="D1398">
        <v>5</v>
      </c>
      <c r="E1398" t="s">
        <v>910</v>
      </c>
      <c r="F1398">
        <v>0</v>
      </c>
    </row>
    <row r="1399" spans="1:6" x14ac:dyDescent="0.2">
      <c r="A1399">
        <v>2018</v>
      </c>
      <c r="B1399" t="s">
        <v>448</v>
      </c>
      <c r="C1399">
        <v>10</v>
      </c>
      <c r="D1399">
        <v>5</v>
      </c>
      <c r="E1399" t="s">
        <v>910</v>
      </c>
      <c r="F1399">
        <v>0</v>
      </c>
    </row>
    <row r="1400" spans="1:6" x14ac:dyDescent="0.2">
      <c r="A1400">
        <v>2019</v>
      </c>
      <c r="B1400" t="s">
        <v>448</v>
      </c>
      <c r="C1400">
        <v>15</v>
      </c>
      <c r="D1400">
        <v>5</v>
      </c>
      <c r="E1400" t="s">
        <v>910</v>
      </c>
      <c r="F1400">
        <v>0</v>
      </c>
    </row>
    <row r="1401" spans="1:6" x14ac:dyDescent="0.2">
      <c r="A1401">
        <v>2020</v>
      </c>
      <c r="B1401" t="s">
        <v>448</v>
      </c>
      <c r="C1401">
        <v>15</v>
      </c>
      <c r="D1401">
        <v>5</v>
      </c>
      <c r="E1401" t="s">
        <v>910</v>
      </c>
      <c r="F1401">
        <v>0</v>
      </c>
    </row>
    <row r="1402" spans="1:6" x14ac:dyDescent="0.2">
      <c r="A1402">
        <v>2021</v>
      </c>
      <c r="B1402" t="s">
        <v>448</v>
      </c>
      <c r="C1402">
        <v>20</v>
      </c>
      <c r="D1402">
        <v>5</v>
      </c>
      <c r="E1402" t="s">
        <v>910</v>
      </c>
      <c r="F1402">
        <v>0</v>
      </c>
    </row>
    <row r="1403" spans="1:6" x14ac:dyDescent="0.2">
      <c r="A1403">
        <v>2022</v>
      </c>
      <c r="B1403" t="s">
        <v>448</v>
      </c>
      <c r="C1403">
        <v>10</v>
      </c>
      <c r="D1403">
        <v>10</v>
      </c>
      <c r="E1403" t="s">
        <v>910</v>
      </c>
      <c r="F1403">
        <v>0</v>
      </c>
    </row>
    <row r="1404" spans="1:6" x14ac:dyDescent="0.2">
      <c r="A1404">
        <v>2023</v>
      </c>
      <c r="B1404" t="s">
        <v>448</v>
      </c>
      <c r="C1404">
        <v>10</v>
      </c>
      <c r="D1404">
        <v>5</v>
      </c>
      <c r="E1404" t="s">
        <v>910</v>
      </c>
      <c r="F1404">
        <v>0</v>
      </c>
    </row>
    <row r="1405" spans="1:6" x14ac:dyDescent="0.2">
      <c r="A1405">
        <v>2024</v>
      </c>
      <c r="B1405" t="s">
        <v>448</v>
      </c>
      <c r="C1405">
        <v>10</v>
      </c>
      <c r="D1405">
        <v>5</v>
      </c>
      <c r="E1405" t="s">
        <v>910</v>
      </c>
      <c r="F1405">
        <v>0</v>
      </c>
    </row>
    <row r="1406" spans="1:6" x14ac:dyDescent="0.2">
      <c r="A1406">
        <v>2025</v>
      </c>
      <c r="B1406" t="s">
        <v>448</v>
      </c>
      <c r="C1406">
        <v>10</v>
      </c>
      <c r="D1406">
        <v>5</v>
      </c>
      <c r="E1406" t="s">
        <v>910</v>
      </c>
      <c r="F1406">
        <v>0</v>
      </c>
    </row>
    <row r="1407" spans="1:6" x14ac:dyDescent="0.2">
      <c r="A1407">
        <v>2016</v>
      </c>
      <c r="B1407" t="s">
        <v>442</v>
      </c>
      <c r="C1407">
        <v>40</v>
      </c>
      <c r="D1407">
        <v>20</v>
      </c>
      <c r="E1407" t="s">
        <v>340</v>
      </c>
      <c r="F1407">
        <v>0</v>
      </c>
    </row>
    <row r="1408" spans="1:6" x14ac:dyDescent="0.2">
      <c r="A1408">
        <v>2017</v>
      </c>
      <c r="B1408" t="s">
        <v>442</v>
      </c>
      <c r="C1408">
        <v>40</v>
      </c>
      <c r="D1408">
        <v>20</v>
      </c>
      <c r="E1408" t="s">
        <v>334</v>
      </c>
      <c r="F1408">
        <v>0</v>
      </c>
    </row>
    <row r="1409" spans="1:6" x14ac:dyDescent="0.2">
      <c r="A1409">
        <v>2018</v>
      </c>
      <c r="B1409" t="s">
        <v>442</v>
      </c>
      <c r="C1409">
        <v>50</v>
      </c>
      <c r="D1409">
        <v>25</v>
      </c>
      <c r="E1409" t="s">
        <v>325</v>
      </c>
      <c r="F1409">
        <v>0</v>
      </c>
    </row>
    <row r="1410" spans="1:6" x14ac:dyDescent="0.2">
      <c r="A1410">
        <v>2019</v>
      </c>
      <c r="B1410" t="s">
        <v>442</v>
      </c>
      <c r="C1410">
        <v>55</v>
      </c>
      <c r="D1410">
        <v>30</v>
      </c>
      <c r="E1410" t="s">
        <v>408</v>
      </c>
      <c r="F1410">
        <v>0</v>
      </c>
    </row>
    <row r="1411" spans="1:6" x14ac:dyDescent="0.2">
      <c r="A1411">
        <v>2020</v>
      </c>
      <c r="B1411" t="s">
        <v>442</v>
      </c>
      <c r="C1411">
        <v>45</v>
      </c>
      <c r="D1411">
        <v>25</v>
      </c>
      <c r="E1411" t="s">
        <v>201</v>
      </c>
      <c r="F1411">
        <v>0</v>
      </c>
    </row>
    <row r="1412" spans="1:6" x14ac:dyDescent="0.2">
      <c r="A1412">
        <v>2021</v>
      </c>
      <c r="B1412" t="s">
        <v>442</v>
      </c>
      <c r="C1412">
        <v>60</v>
      </c>
      <c r="D1412">
        <v>25</v>
      </c>
      <c r="E1412" t="s">
        <v>393</v>
      </c>
      <c r="F1412">
        <v>0</v>
      </c>
    </row>
    <row r="1413" spans="1:6" x14ac:dyDescent="0.2">
      <c r="A1413">
        <v>2022</v>
      </c>
      <c r="B1413" t="s">
        <v>442</v>
      </c>
      <c r="C1413">
        <v>55</v>
      </c>
      <c r="D1413">
        <v>25</v>
      </c>
      <c r="E1413" t="s">
        <v>84</v>
      </c>
      <c r="F1413">
        <v>0</v>
      </c>
    </row>
    <row r="1414" spans="1:6" x14ac:dyDescent="0.2">
      <c r="A1414">
        <v>2023</v>
      </c>
      <c r="B1414" t="s">
        <v>442</v>
      </c>
      <c r="C1414">
        <v>45</v>
      </c>
      <c r="D1414">
        <v>20</v>
      </c>
      <c r="E1414" t="s">
        <v>285</v>
      </c>
      <c r="F1414">
        <v>0</v>
      </c>
    </row>
    <row r="1415" spans="1:6" x14ac:dyDescent="0.2">
      <c r="A1415">
        <v>2024</v>
      </c>
      <c r="B1415" t="s">
        <v>442</v>
      </c>
      <c r="C1415">
        <v>45</v>
      </c>
      <c r="D1415">
        <v>25</v>
      </c>
      <c r="E1415" t="s">
        <v>1034</v>
      </c>
      <c r="F1415">
        <v>0</v>
      </c>
    </row>
    <row r="1416" spans="1:6" x14ac:dyDescent="0.2">
      <c r="A1416">
        <v>2025</v>
      </c>
      <c r="B1416" t="s">
        <v>442</v>
      </c>
      <c r="C1416">
        <v>40</v>
      </c>
      <c r="D1416">
        <v>15</v>
      </c>
      <c r="E1416" t="s">
        <v>61</v>
      </c>
      <c r="F1416">
        <v>0</v>
      </c>
    </row>
    <row r="1417" spans="1:6" x14ac:dyDescent="0.2">
      <c r="A1417">
        <v>2016</v>
      </c>
      <c r="B1417" t="s">
        <v>357</v>
      </c>
      <c r="C1417">
        <v>580</v>
      </c>
      <c r="D1417">
        <v>190</v>
      </c>
      <c r="E1417" t="s">
        <v>358</v>
      </c>
      <c r="F1417">
        <v>0</v>
      </c>
    </row>
    <row r="1418" spans="1:6" x14ac:dyDescent="0.2">
      <c r="A1418">
        <v>2017</v>
      </c>
      <c r="B1418" t="s">
        <v>357</v>
      </c>
      <c r="C1418">
        <v>600</v>
      </c>
      <c r="D1418">
        <v>205</v>
      </c>
      <c r="E1418" t="s">
        <v>354</v>
      </c>
      <c r="F1418">
        <v>0</v>
      </c>
    </row>
    <row r="1419" spans="1:6" x14ac:dyDescent="0.2">
      <c r="A1419">
        <v>2018</v>
      </c>
      <c r="B1419" t="s">
        <v>357</v>
      </c>
      <c r="C1419">
        <v>610</v>
      </c>
      <c r="D1419">
        <v>190</v>
      </c>
      <c r="E1419" t="s">
        <v>360</v>
      </c>
      <c r="F1419">
        <v>0</v>
      </c>
    </row>
    <row r="1420" spans="1:6" x14ac:dyDescent="0.2">
      <c r="A1420">
        <v>2019</v>
      </c>
      <c r="B1420" t="s">
        <v>357</v>
      </c>
      <c r="C1420">
        <v>635</v>
      </c>
      <c r="D1420">
        <v>240</v>
      </c>
      <c r="E1420" t="s">
        <v>361</v>
      </c>
      <c r="F1420">
        <v>5</v>
      </c>
    </row>
    <row r="1421" spans="1:6" x14ac:dyDescent="0.2">
      <c r="A1421">
        <v>2020</v>
      </c>
      <c r="B1421" t="s">
        <v>357</v>
      </c>
      <c r="C1421">
        <v>595</v>
      </c>
      <c r="D1421">
        <v>230</v>
      </c>
      <c r="E1421" t="s">
        <v>310</v>
      </c>
      <c r="F1421">
        <v>5</v>
      </c>
    </row>
    <row r="1422" spans="1:6" x14ac:dyDescent="0.2">
      <c r="A1422">
        <v>2021</v>
      </c>
      <c r="B1422" t="s">
        <v>357</v>
      </c>
      <c r="C1422">
        <v>755</v>
      </c>
      <c r="D1422">
        <v>380</v>
      </c>
      <c r="E1422" t="s">
        <v>152</v>
      </c>
      <c r="F1422">
        <v>5</v>
      </c>
    </row>
    <row r="1423" spans="1:6" x14ac:dyDescent="0.2">
      <c r="A1423">
        <v>2022</v>
      </c>
      <c r="B1423" t="s">
        <v>357</v>
      </c>
      <c r="C1423">
        <v>720</v>
      </c>
      <c r="D1423">
        <v>240</v>
      </c>
      <c r="E1423" t="s">
        <v>362</v>
      </c>
      <c r="F1423">
        <v>5</v>
      </c>
    </row>
    <row r="1424" spans="1:6" x14ac:dyDescent="0.2">
      <c r="A1424">
        <v>2023</v>
      </c>
      <c r="B1424" t="s">
        <v>357</v>
      </c>
      <c r="C1424">
        <v>855</v>
      </c>
      <c r="D1424">
        <v>280</v>
      </c>
      <c r="E1424" t="s">
        <v>363</v>
      </c>
      <c r="F1424">
        <v>5</v>
      </c>
    </row>
    <row r="1425" spans="1:6" x14ac:dyDescent="0.2">
      <c r="A1425">
        <v>2024</v>
      </c>
      <c r="B1425" t="s">
        <v>357</v>
      </c>
      <c r="C1425">
        <v>810</v>
      </c>
      <c r="D1425">
        <v>270</v>
      </c>
      <c r="E1425" t="s">
        <v>364</v>
      </c>
      <c r="F1425">
        <v>10</v>
      </c>
    </row>
    <row r="1426" spans="1:6" x14ac:dyDescent="0.2">
      <c r="A1426">
        <v>2025</v>
      </c>
      <c r="B1426" t="s">
        <v>357</v>
      </c>
      <c r="C1426">
        <v>855</v>
      </c>
      <c r="D1426">
        <v>290</v>
      </c>
      <c r="E1426" t="s">
        <v>272</v>
      </c>
      <c r="F1426">
        <v>5</v>
      </c>
    </row>
    <row r="1427" spans="1:6" x14ac:dyDescent="0.2">
      <c r="A1427">
        <v>2016</v>
      </c>
      <c r="B1427" t="s">
        <v>1104</v>
      </c>
      <c r="C1427">
        <v>50</v>
      </c>
      <c r="D1427">
        <v>30</v>
      </c>
      <c r="E1427" t="s">
        <v>377</v>
      </c>
      <c r="F1427">
        <v>0</v>
      </c>
    </row>
    <row r="1428" spans="1:6" x14ac:dyDescent="0.2">
      <c r="A1428">
        <v>2017</v>
      </c>
      <c r="B1428" t="s">
        <v>1104</v>
      </c>
      <c r="C1428">
        <v>55</v>
      </c>
      <c r="D1428">
        <v>30</v>
      </c>
      <c r="E1428" t="s">
        <v>1105</v>
      </c>
      <c r="F1428">
        <v>0</v>
      </c>
    </row>
    <row r="1429" spans="1:6" x14ac:dyDescent="0.2">
      <c r="A1429">
        <v>2018</v>
      </c>
      <c r="B1429" t="s">
        <v>1104</v>
      </c>
      <c r="C1429">
        <v>60</v>
      </c>
      <c r="D1429">
        <v>25</v>
      </c>
      <c r="E1429" t="s">
        <v>322</v>
      </c>
      <c r="F1429">
        <v>0</v>
      </c>
    </row>
    <row r="1430" spans="1:6" x14ac:dyDescent="0.2">
      <c r="A1430">
        <v>2019</v>
      </c>
      <c r="B1430" t="s">
        <v>1104</v>
      </c>
      <c r="C1430">
        <v>50</v>
      </c>
      <c r="D1430">
        <v>20</v>
      </c>
      <c r="E1430" t="s">
        <v>349</v>
      </c>
      <c r="F1430">
        <v>0</v>
      </c>
    </row>
    <row r="1431" spans="1:6" x14ac:dyDescent="0.2">
      <c r="A1431">
        <v>2020</v>
      </c>
      <c r="B1431" t="s">
        <v>1104</v>
      </c>
      <c r="C1431">
        <v>45</v>
      </c>
      <c r="D1431">
        <v>25</v>
      </c>
      <c r="E1431" t="s">
        <v>187</v>
      </c>
      <c r="F1431">
        <v>0</v>
      </c>
    </row>
    <row r="1432" spans="1:6" x14ac:dyDescent="0.2">
      <c r="A1432">
        <v>2021</v>
      </c>
      <c r="B1432" t="s">
        <v>1104</v>
      </c>
      <c r="C1432">
        <v>65</v>
      </c>
      <c r="D1432">
        <v>30</v>
      </c>
      <c r="E1432" t="s">
        <v>956</v>
      </c>
      <c r="F1432">
        <v>0</v>
      </c>
    </row>
    <row r="1433" spans="1:6" x14ac:dyDescent="0.2">
      <c r="A1433">
        <v>2022</v>
      </c>
      <c r="B1433" t="s">
        <v>1104</v>
      </c>
      <c r="C1433">
        <v>65</v>
      </c>
      <c r="D1433">
        <v>30</v>
      </c>
      <c r="E1433" t="s">
        <v>912</v>
      </c>
      <c r="F1433">
        <v>0</v>
      </c>
    </row>
    <row r="1434" spans="1:6" x14ac:dyDescent="0.2">
      <c r="A1434">
        <v>2023</v>
      </c>
      <c r="B1434" t="s">
        <v>1104</v>
      </c>
      <c r="C1434">
        <v>55</v>
      </c>
      <c r="D1434">
        <v>30</v>
      </c>
      <c r="E1434" t="s">
        <v>395</v>
      </c>
      <c r="F1434">
        <v>0</v>
      </c>
    </row>
    <row r="1435" spans="1:6" x14ac:dyDescent="0.2">
      <c r="A1435">
        <v>2024</v>
      </c>
      <c r="B1435" t="s">
        <v>1104</v>
      </c>
      <c r="C1435">
        <v>65</v>
      </c>
      <c r="D1435">
        <v>40</v>
      </c>
      <c r="E1435" t="s">
        <v>159</v>
      </c>
      <c r="F1435">
        <v>0</v>
      </c>
    </row>
    <row r="1436" spans="1:6" x14ac:dyDescent="0.2">
      <c r="A1436">
        <v>2025</v>
      </c>
      <c r="B1436" t="s">
        <v>1104</v>
      </c>
      <c r="C1436">
        <v>55</v>
      </c>
      <c r="D1436">
        <v>25</v>
      </c>
      <c r="E1436" t="s">
        <v>296</v>
      </c>
      <c r="F1436">
        <v>0</v>
      </c>
    </row>
    <row r="1437" spans="1:6" x14ac:dyDescent="0.2">
      <c r="A1437">
        <v>2016</v>
      </c>
      <c r="B1437" t="s">
        <v>460</v>
      </c>
      <c r="C1437">
        <v>400</v>
      </c>
      <c r="D1437">
        <v>200</v>
      </c>
      <c r="E1437" t="s">
        <v>152</v>
      </c>
      <c r="F1437">
        <v>10</v>
      </c>
    </row>
    <row r="1438" spans="1:6" x14ac:dyDescent="0.2">
      <c r="A1438">
        <v>2017</v>
      </c>
      <c r="B1438" t="s">
        <v>460</v>
      </c>
      <c r="C1438">
        <v>470</v>
      </c>
      <c r="D1438">
        <v>265</v>
      </c>
      <c r="E1438" t="s">
        <v>320</v>
      </c>
      <c r="F1438">
        <v>10</v>
      </c>
    </row>
    <row r="1439" spans="1:6" x14ac:dyDescent="0.2">
      <c r="A1439">
        <v>2018</v>
      </c>
      <c r="B1439" t="s">
        <v>460</v>
      </c>
      <c r="C1439">
        <v>440</v>
      </c>
      <c r="D1439">
        <v>240</v>
      </c>
      <c r="E1439" t="s">
        <v>89</v>
      </c>
      <c r="F1439">
        <v>5</v>
      </c>
    </row>
    <row r="1440" spans="1:6" x14ac:dyDescent="0.2">
      <c r="A1440">
        <v>2019</v>
      </c>
      <c r="B1440" t="s">
        <v>460</v>
      </c>
      <c r="C1440">
        <v>400</v>
      </c>
      <c r="D1440">
        <v>205</v>
      </c>
      <c r="E1440" t="s">
        <v>325</v>
      </c>
      <c r="F1440">
        <v>10</v>
      </c>
    </row>
    <row r="1441" spans="1:6" x14ac:dyDescent="0.2">
      <c r="A1441">
        <v>2020</v>
      </c>
      <c r="B1441" t="s">
        <v>460</v>
      </c>
      <c r="C1441">
        <v>435</v>
      </c>
      <c r="D1441">
        <v>240</v>
      </c>
      <c r="E1441" t="s">
        <v>230</v>
      </c>
      <c r="F1441">
        <v>5</v>
      </c>
    </row>
    <row r="1442" spans="1:6" x14ac:dyDescent="0.2">
      <c r="A1442">
        <v>2021</v>
      </c>
      <c r="B1442" t="s">
        <v>460</v>
      </c>
      <c r="C1442">
        <v>385</v>
      </c>
      <c r="D1442">
        <v>210</v>
      </c>
      <c r="E1442" t="s">
        <v>89</v>
      </c>
      <c r="F1442">
        <v>5</v>
      </c>
    </row>
    <row r="1443" spans="1:6" x14ac:dyDescent="0.2">
      <c r="A1443">
        <v>2022</v>
      </c>
      <c r="B1443" t="s">
        <v>460</v>
      </c>
      <c r="C1443">
        <v>490</v>
      </c>
      <c r="D1443">
        <v>240</v>
      </c>
      <c r="E1443" t="s">
        <v>70</v>
      </c>
      <c r="F1443">
        <v>5</v>
      </c>
    </row>
    <row r="1444" spans="1:6" x14ac:dyDescent="0.2">
      <c r="A1444">
        <v>2023</v>
      </c>
      <c r="B1444" t="s">
        <v>460</v>
      </c>
      <c r="C1444">
        <v>525</v>
      </c>
      <c r="D1444">
        <v>260</v>
      </c>
      <c r="E1444" t="s">
        <v>44</v>
      </c>
      <c r="F1444">
        <v>5</v>
      </c>
    </row>
    <row r="1445" spans="1:6" x14ac:dyDescent="0.2">
      <c r="A1445">
        <v>2024</v>
      </c>
      <c r="B1445" t="s">
        <v>460</v>
      </c>
      <c r="C1445">
        <v>540</v>
      </c>
      <c r="D1445">
        <v>265</v>
      </c>
      <c r="E1445" t="s">
        <v>296</v>
      </c>
      <c r="F1445">
        <v>10</v>
      </c>
    </row>
    <row r="1446" spans="1:6" x14ac:dyDescent="0.2">
      <c r="A1446">
        <v>2025</v>
      </c>
      <c r="B1446" t="s">
        <v>460</v>
      </c>
      <c r="C1446">
        <v>420</v>
      </c>
      <c r="D1446">
        <v>225</v>
      </c>
      <c r="E1446" t="s">
        <v>81</v>
      </c>
      <c r="F1446">
        <v>5</v>
      </c>
    </row>
    <row r="1447" spans="1:6" x14ac:dyDescent="0.2">
      <c r="A1447">
        <v>2016</v>
      </c>
      <c r="B1447" t="s">
        <v>476</v>
      </c>
      <c r="C1447">
        <v>70</v>
      </c>
      <c r="D1447">
        <v>30</v>
      </c>
      <c r="E1447" t="s">
        <v>93</v>
      </c>
      <c r="F1447">
        <v>0</v>
      </c>
    </row>
    <row r="1448" spans="1:6" x14ac:dyDescent="0.2">
      <c r="A1448">
        <v>2017</v>
      </c>
      <c r="B1448" t="s">
        <v>476</v>
      </c>
      <c r="C1448">
        <v>100</v>
      </c>
      <c r="D1448">
        <v>40</v>
      </c>
      <c r="E1448" t="s">
        <v>115</v>
      </c>
      <c r="F1448">
        <v>0</v>
      </c>
    </row>
    <row r="1449" spans="1:6" x14ac:dyDescent="0.2">
      <c r="A1449">
        <v>2018</v>
      </c>
      <c r="B1449" t="s">
        <v>476</v>
      </c>
      <c r="C1449">
        <v>95</v>
      </c>
      <c r="D1449">
        <v>45</v>
      </c>
      <c r="E1449" t="s">
        <v>348</v>
      </c>
      <c r="F1449">
        <v>0</v>
      </c>
    </row>
    <row r="1450" spans="1:6" x14ac:dyDescent="0.2">
      <c r="A1450">
        <v>2019</v>
      </c>
      <c r="B1450" t="s">
        <v>476</v>
      </c>
      <c r="C1450">
        <v>85</v>
      </c>
      <c r="D1450">
        <v>35</v>
      </c>
      <c r="E1450" t="s">
        <v>122</v>
      </c>
      <c r="F1450">
        <v>0</v>
      </c>
    </row>
    <row r="1451" spans="1:6" x14ac:dyDescent="0.2">
      <c r="A1451">
        <v>2020</v>
      </c>
      <c r="B1451" t="s">
        <v>476</v>
      </c>
      <c r="C1451">
        <v>70</v>
      </c>
      <c r="D1451">
        <v>25</v>
      </c>
      <c r="E1451" t="s">
        <v>122</v>
      </c>
      <c r="F1451">
        <v>0</v>
      </c>
    </row>
    <row r="1452" spans="1:6" x14ac:dyDescent="0.2">
      <c r="A1452">
        <v>2021</v>
      </c>
      <c r="B1452" t="s">
        <v>476</v>
      </c>
      <c r="C1452">
        <v>60</v>
      </c>
      <c r="D1452">
        <v>30</v>
      </c>
      <c r="E1452" t="s">
        <v>51</v>
      </c>
      <c r="F1452">
        <v>0</v>
      </c>
    </row>
    <row r="1453" spans="1:6" x14ac:dyDescent="0.2">
      <c r="A1453">
        <v>2022</v>
      </c>
      <c r="B1453" t="s">
        <v>476</v>
      </c>
      <c r="C1453">
        <v>65</v>
      </c>
      <c r="D1453">
        <v>30</v>
      </c>
      <c r="E1453" t="s">
        <v>185</v>
      </c>
      <c r="F1453">
        <v>0</v>
      </c>
    </row>
    <row r="1454" spans="1:6" x14ac:dyDescent="0.2">
      <c r="A1454">
        <v>2023</v>
      </c>
      <c r="B1454" t="s">
        <v>476</v>
      </c>
      <c r="C1454">
        <v>70</v>
      </c>
      <c r="D1454">
        <v>30</v>
      </c>
      <c r="E1454" t="s">
        <v>75</v>
      </c>
      <c r="F1454">
        <v>0</v>
      </c>
    </row>
    <row r="1455" spans="1:6" x14ac:dyDescent="0.2">
      <c r="A1455">
        <v>2024</v>
      </c>
      <c r="B1455" t="s">
        <v>476</v>
      </c>
      <c r="C1455">
        <v>90</v>
      </c>
      <c r="D1455">
        <v>45</v>
      </c>
      <c r="E1455" t="s">
        <v>125</v>
      </c>
      <c r="F1455">
        <v>0</v>
      </c>
    </row>
    <row r="1456" spans="1:6" x14ac:dyDescent="0.2">
      <c r="A1456">
        <v>2025</v>
      </c>
      <c r="B1456" t="s">
        <v>476</v>
      </c>
      <c r="C1456">
        <v>90</v>
      </c>
      <c r="D1456">
        <v>55</v>
      </c>
      <c r="E1456" t="s">
        <v>964</v>
      </c>
      <c r="F1456">
        <v>0</v>
      </c>
    </row>
    <row r="1457" spans="1:6" x14ac:dyDescent="0.2">
      <c r="A1457">
        <v>2016</v>
      </c>
      <c r="B1457" t="s">
        <v>470</v>
      </c>
      <c r="C1457">
        <v>220</v>
      </c>
      <c r="D1457">
        <v>125</v>
      </c>
      <c r="E1457" t="s">
        <v>200</v>
      </c>
      <c r="F1457">
        <v>0</v>
      </c>
    </row>
    <row r="1458" spans="1:6" x14ac:dyDescent="0.2">
      <c r="A1458">
        <v>2017</v>
      </c>
      <c r="B1458" t="s">
        <v>470</v>
      </c>
      <c r="C1458">
        <v>190</v>
      </c>
      <c r="D1458">
        <v>115</v>
      </c>
      <c r="E1458" t="s">
        <v>104</v>
      </c>
      <c r="F1458">
        <v>5</v>
      </c>
    </row>
    <row r="1459" spans="1:6" x14ac:dyDescent="0.2">
      <c r="A1459">
        <v>2018</v>
      </c>
      <c r="B1459" t="s">
        <v>470</v>
      </c>
      <c r="C1459">
        <v>250</v>
      </c>
      <c r="D1459">
        <v>160</v>
      </c>
      <c r="E1459" t="s">
        <v>208</v>
      </c>
      <c r="F1459">
        <v>0</v>
      </c>
    </row>
    <row r="1460" spans="1:6" x14ac:dyDescent="0.2">
      <c r="A1460">
        <v>2019</v>
      </c>
      <c r="B1460" t="s">
        <v>470</v>
      </c>
      <c r="C1460">
        <v>205</v>
      </c>
      <c r="D1460">
        <v>125</v>
      </c>
      <c r="E1460" t="s">
        <v>1106</v>
      </c>
      <c r="F1460">
        <v>0</v>
      </c>
    </row>
    <row r="1461" spans="1:6" x14ac:dyDescent="0.2">
      <c r="A1461">
        <v>2020</v>
      </c>
      <c r="B1461" t="s">
        <v>470</v>
      </c>
      <c r="C1461">
        <v>180</v>
      </c>
      <c r="D1461">
        <v>115</v>
      </c>
      <c r="E1461" t="s">
        <v>1107</v>
      </c>
      <c r="F1461">
        <v>0</v>
      </c>
    </row>
    <row r="1462" spans="1:6" x14ac:dyDescent="0.2">
      <c r="A1462">
        <v>2021</v>
      </c>
      <c r="B1462" t="s">
        <v>470</v>
      </c>
      <c r="C1462">
        <v>180</v>
      </c>
      <c r="D1462">
        <v>125</v>
      </c>
      <c r="E1462" t="s">
        <v>1108</v>
      </c>
      <c r="F1462">
        <v>0</v>
      </c>
    </row>
    <row r="1463" spans="1:6" x14ac:dyDescent="0.2">
      <c r="A1463">
        <v>2022</v>
      </c>
      <c r="B1463" t="s">
        <v>470</v>
      </c>
      <c r="C1463">
        <v>240</v>
      </c>
      <c r="D1463">
        <v>145</v>
      </c>
      <c r="E1463" t="s">
        <v>39</v>
      </c>
      <c r="F1463">
        <v>0</v>
      </c>
    </row>
    <row r="1464" spans="1:6" x14ac:dyDescent="0.2">
      <c r="A1464">
        <v>2023</v>
      </c>
      <c r="B1464" t="s">
        <v>470</v>
      </c>
      <c r="C1464">
        <v>255</v>
      </c>
      <c r="D1464">
        <v>160</v>
      </c>
      <c r="E1464" t="s">
        <v>183</v>
      </c>
      <c r="F1464">
        <v>5</v>
      </c>
    </row>
    <row r="1465" spans="1:6" x14ac:dyDescent="0.2">
      <c r="A1465">
        <v>2024</v>
      </c>
      <c r="B1465" t="s">
        <v>470</v>
      </c>
      <c r="C1465">
        <v>250</v>
      </c>
      <c r="D1465">
        <v>155</v>
      </c>
      <c r="E1465" t="s">
        <v>139</v>
      </c>
      <c r="F1465">
        <v>0</v>
      </c>
    </row>
    <row r="1466" spans="1:6" x14ac:dyDescent="0.2">
      <c r="A1466">
        <v>2025</v>
      </c>
      <c r="B1466" t="s">
        <v>470</v>
      </c>
      <c r="C1466">
        <v>295</v>
      </c>
      <c r="D1466">
        <v>195</v>
      </c>
      <c r="E1466" t="s">
        <v>1109</v>
      </c>
      <c r="F1466">
        <v>5</v>
      </c>
    </row>
    <row r="1467" spans="1:6" x14ac:dyDescent="0.2">
      <c r="A1467">
        <v>2016</v>
      </c>
      <c r="B1467" t="s">
        <v>478</v>
      </c>
      <c r="C1467">
        <v>10</v>
      </c>
      <c r="D1467">
        <v>5</v>
      </c>
      <c r="E1467" t="s">
        <v>910</v>
      </c>
      <c r="F1467">
        <v>0</v>
      </c>
    </row>
    <row r="1468" spans="1:6" x14ac:dyDescent="0.2">
      <c r="A1468">
        <v>2017</v>
      </c>
      <c r="B1468" t="s">
        <v>478</v>
      </c>
      <c r="C1468">
        <v>10</v>
      </c>
      <c r="D1468">
        <v>5</v>
      </c>
      <c r="E1468" t="s">
        <v>910</v>
      </c>
      <c r="F1468">
        <v>0</v>
      </c>
    </row>
    <row r="1469" spans="1:6" x14ac:dyDescent="0.2">
      <c r="A1469">
        <v>2018</v>
      </c>
      <c r="B1469" t="s">
        <v>478</v>
      </c>
      <c r="C1469">
        <v>10</v>
      </c>
      <c r="D1469">
        <v>5</v>
      </c>
      <c r="E1469" t="s">
        <v>910</v>
      </c>
      <c r="F1469">
        <v>0</v>
      </c>
    </row>
    <row r="1470" spans="1:6" x14ac:dyDescent="0.2">
      <c r="A1470">
        <v>2019</v>
      </c>
      <c r="B1470" t="s">
        <v>478</v>
      </c>
      <c r="C1470">
        <v>20</v>
      </c>
      <c r="D1470">
        <v>10</v>
      </c>
      <c r="E1470" t="s">
        <v>910</v>
      </c>
      <c r="F1470">
        <v>0</v>
      </c>
    </row>
    <row r="1471" spans="1:6" x14ac:dyDescent="0.2">
      <c r="A1471">
        <v>2020</v>
      </c>
      <c r="B1471" t="s">
        <v>478</v>
      </c>
      <c r="C1471">
        <v>10</v>
      </c>
      <c r="D1471">
        <v>5</v>
      </c>
      <c r="E1471" t="s">
        <v>910</v>
      </c>
      <c r="F1471">
        <v>0</v>
      </c>
    </row>
    <row r="1472" spans="1:6" x14ac:dyDescent="0.2">
      <c r="A1472">
        <v>2021</v>
      </c>
      <c r="B1472" t="s">
        <v>478</v>
      </c>
      <c r="C1472">
        <v>10</v>
      </c>
      <c r="D1472">
        <v>5</v>
      </c>
      <c r="E1472" t="s">
        <v>910</v>
      </c>
      <c r="F1472">
        <v>0</v>
      </c>
    </row>
    <row r="1473" spans="1:6" x14ac:dyDescent="0.2">
      <c r="A1473">
        <v>2022</v>
      </c>
      <c r="B1473" t="s">
        <v>478</v>
      </c>
      <c r="C1473">
        <v>10</v>
      </c>
      <c r="D1473">
        <v>5</v>
      </c>
      <c r="E1473" t="s">
        <v>910</v>
      </c>
      <c r="F1473">
        <v>0</v>
      </c>
    </row>
    <row r="1474" spans="1:6" x14ac:dyDescent="0.2">
      <c r="A1474">
        <v>2023</v>
      </c>
      <c r="B1474" t="s">
        <v>478</v>
      </c>
      <c r="C1474">
        <v>10</v>
      </c>
      <c r="D1474">
        <v>10</v>
      </c>
      <c r="E1474" t="s">
        <v>910</v>
      </c>
      <c r="F1474">
        <v>0</v>
      </c>
    </row>
    <row r="1475" spans="1:6" x14ac:dyDescent="0.2">
      <c r="A1475">
        <v>2024</v>
      </c>
      <c r="B1475" t="s">
        <v>478</v>
      </c>
      <c r="C1475">
        <v>10</v>
      </c>
      <c r="D1475">
        <v>0</v>
      </c>
      <c r="E1475" t="s">
        <v>910</v>
      </c>
      <c r="F1475">
        <v>0</v>
      </c>
    </row>
    <row r="1476" spans="1:6" x14ac:dyDescent="0.2">
      <c r="A1476">
        <v>2025</v>
      </c>
      <c r="B1476" t="s">
        <v>478</v>
      </c>
      <c r="C1476">
        <v>10</v>
      </c>
      <c r="D1476">
        <v>5</v>
      </c>
      <c r="E1476" t="s">
        <v>910</v>
      </c>
      <c r="F1476">
        <v>5</v>
      </c>
    </row>
    <row r="1477" spans="1:6" x14ac:dyDescent="0.2">
      <c r="A1477">
        <v>2016</v>
      </c>
      <c r="B1477" t="s">
        <v>472</v>
      </c>
      <c r="C1477">
        <v>15</v>
      </c>
      <c r="D1477">
        <v>10</v>
      </c>
      <c r="E1477" t="s">
        <v>910</v>
      </c>
      <c r="F1477">
        <v>0</v>
      </c>
    </row>
    <row r="1478" spans="1:6" x14ac:dyDescent="0.2">
      <c r="A1478">
        <v>2017</v>
      </c>
      <c r="B1478" t="s">
        <v>472</v>
      </c>
      <c r="C1478">
        <v>10</v>
      </c>
      <c r="D1478">
        <v>5</v>
      </c>
      <c r="E1478" t="s">
        <v>910</v>
      </c>
      <c r="F1478">
        <v>0</v>
      </c>
    </row>
    <row r="1479" spans="1:6" x14ac:dyDescent="0.2">
      <c r="A1479">
        <v>2018</v>
      </c>
      <c r="B1479" t="s">
        <v>472</v>
      </c>
      <c r="C1479">
        <v>15</v>
      </c>
      <c r="D1479">
        <v>10</v>
      </c>
      <c r="E1479" t="s">
        <v>1064</v>
      </c>
      <c r="F1479">
        <v>0</v>
      </c>
    </row>
    <row r="1480" spans="1:6" x14ac:dyDescent="0.2">
      <c r="A1480">
        <v>2019</v>
      </c>
      <c r="B1480" t="s">
        <v>472</v>
      </c>
      <c r="C1480">
        <v>25</v>
      </c>
      <c r="D1480">
        <v>10</v>
      </c>
      <c r="E1480" t="s">
        <v>979</v>
      </c>
      <c r="F1480">
        <v>0</v>
      </c>
    </row>
    <row r="1481" spans="1:6" x14ac:dyDescent="0.2">
      <c r="A1481">
        <v>2020</v>
      </c>
      <c r="B1481" t="s">
        <v>472</v>
      </c>
      <c r="C1481">
        <v>20</v>
      </c>
      <c r="D1481">
        <v>15</v>
      </c>
      <c r="E1481" t="s">
        <v>967</v>
      </c>
      <c r="F1481">
        <v>0</v>
      </c>
    </row>
    <row r="1482" spans="1:6" x14ac:dyDescent="0.2">
      <c r="A1482">
        <v>2021</v>
      </c>
      <c r="B1482" t="s">
        <v>472</v>
      </c>
      <c r="C1482">
        <v>25</v>
      </c>
      <c r="D1482">
        <v>10</v>
      </c>
      <c r="E1482" t="s">
        <v>910</v>
      </c>
      <c r="F1482">
        <v>0</v>
      </c>
    </row>
    <row r="1483" spans="1:6" x14ac:dyDescent="0.2">
      <c r="A1483">
        <v>2022</v>
      </c>
      <c r="B1483" t="s">
        <v>472</v>
      </c>
      <c r="C1483">
        <v>20</v>
      </c>
      <c r="D1483">
        <v>5</v>
      </c>
      <c r="E1483" t="s">
        <v>910</v>
      </c>
      <c r="F1483">
        <v>0</v>
      </c>
    </row>
    <row r="1484" spans="1:6" x14ac:dyDescent="0.2">
      <c r="A1484">
        <v>2023</v>
      </c>
      <c r="B1484" t="s">
        <v>472</v>
      </c>
      <c r="C1484">
        <v>20</v>
      </c>
      <c r="D1484">
        <v>10</v>
      </c>
      <c r="E1484" t="s">
        <v>910</v>
      </c>
      <c r="F1484">
        <v>0</v>
      </c>
    </row>
    <row r="1485" spans="1:6" x14ac:dyDescent="0.2">
      <c r="A1485">
        <v>2024</v>
      </c>
      <c r="B1485" t="s">
        <v>472</v>
      </c>
      <c r="C1485">
        <v>20</v>
      </c>
      <c r="D1485">
        <v>5</v>
      </c>
      <c r="E1485" t="s">
        <v>910</v>
      </c>
      <c r="F1485">
        <v>0</v>
      </c>
    </row>
    <row r="1486" spans="1:6" x14ac:dyDescent="0.2">
      <c r="A1486">
        <v>2025</v>
      </c>
      <c r="B1486" t="s">
        <v>472</v>
      </c>
      <c r="C1486">
        <v>15</v>
      </c>
      <c r="D1486">
        <v>5</v>
      </c>
      <c r="E1486" t="s">
        <v>910</v>
      </c>
      <c r="F1486">
        <v>0</v>
      </c>
    </row>
    <row r="1487" spans="1:6" x14ac:dyDescent="0.2">
      <c r="A1487">
        <v>2016</v>
      </c>
      <c r="B1487" t="s">
        <v>365</v>
      </c>
      <c r="C1487">
        <v>170</v>
      </c>
      <c r="D1487">
        <v>100</v>
      </c>
      <c r="E1487" t="s">
        <v>40</v>
      </c>
      <c r="F1487">
        <v>0</v>
      </c>
    </row>
    <row r="1488" spans="1:6" x14ac:dyDescent="0.2">
      <c r="A1488">
        <v>2017</v>
      </c>
      <c r="B1488" t="s">
        <v>365</v>
      </c>
      <c r="C1488">
        <v>160</v>
      </c>
      <c r="D1488">
        <v>95</v>
      </c>
      <c r="E1488" t="s">
        <v>40</v>
      </c>
      <c r="F1488">
        <v>0</v>
      </c>
    </row>
    <row r="1489" spans="1:6" x14ac:dyDescent="0.2">
      <c r="A1489">
        <v>2018</v>
      </c>
      <c r="B1489" t="s">
        <v>365</v>
      </c>
      <c r="C1489">
        <v>145</v>
      </c>
      <c r="D1489">
        <v>80</v>
      </c>
      <c r="E1489" t="s">
        <v>143</v>
      </c>
      <c r="F1489">
        <v>0</v>
      </c>
    </row>
    <row r="1490" spans="1:6" x14ac:dyDescent="0.2">
      <c r="A1490">
        <v>2019</v>
      </c>
      <c r="B1490" t="s">
        <v>365</v>
      </c>
      <c r="C1490">
        <v>155</v>
      </c>
      <c r="D1490">
        <v>65</v>
      </c>
      <c r="E1490" t="s">
        <v>73</v>
      </c>
      <c r="F1490">
        <v>0</v>
      </c>
    </row>
    <row r="1491" spans="1:6" x14ac:dyDescent="0.2">
      <c r="A1491">
        <v>2020</v>
      </c>
      <c r="B1491" t="s">
        <v>365</v>
      </c>
      <c r="C1491">
        <v>170</v>
      </c>
      <c r="D1491">
        <v>75</v>
      </c>
      <c r="E1491" t="s">
        <v>84</v>
      </c>
      <c r="F1491">
        <v>0</v>
      </c>
    </row>
    <row r="1492" spans="1:6" x14ac:dyDescent="0.2">
      <c r="A1492">
        <v>2021</v>
      </c>
      <c r="B1492" t="s">
        <v>365</v>
      </c>
      <c r="C1492">
        <v>180</v>
      </c>
      <c r="D1492">
        <v>65</v>
      </c>
      <c r="E1492" t="s">
        <v>72</v>
      </c>
      <c r="F1492">
        <v>5</v>
      </c>
    </row>
    <row r="1493" spans="1:6" x14ac:dyDescent="0.2">
      <c r="A1493">
        <v>2022</v>
      </c>
      <c r="B1493" t="s">
        <v>365</v>
      </c>
      <c r="C1493">
        <v>190</v>
      </c>
      <c r="D1493">
        <v>85</v>
      </c>
      <c r="E1493" t="s">
        <v>155</v>
      </c>
      <c r="F1493">
        <v>5</v>
      </c>
    </row>
    <row r="1494" spans="1:6" x14ac:dyDescent="0.2">
      <c r="A1494">
        <v>2023</v>
      </c>
      <c r="B1494" t="s">
        <v>365</v>
      </c>
      <c r="C1494">
        <v>185</v>
      </c>
      <c r="D1494">
        <v>70</v>
      </c>
      <c r="E1494" t="s">
        <v>118</v>
      </c>
      <c r="F1494">
        <v>5</v>
      </c>
    </row>
    <row r="1495" spans="1:6" x14ac:dyDescent="0.2">
      <c r="A1495">
        <v>2024</v>
      </c>
      <c r="B1495" t="s">
        <v>365</v>
      </c>
      <c r="C1495">
        <v>200</v>
      </c>
      <c r="D1495">
        <v>75</v>
      </c>
      <c r="E1495" t="s">
        <v>351</v>
      </c>
      <c r="F1495">
        <v>0</v>
      </c>
    </row>
    <row r="1496" spans="1:6" x14ac:dyDescent="0.2">
      <c r="A1496">
        <v>2025</v>
      </c>
      <c r="B1496" t="s">
        <v>365</v>
      </c>
      <c r="C1496">
        <v>150</v>
      </c>
      <c r="D1496">
        <v>70</v>
      </c>
      <c r="E1496" t="s">
        <v>53</v>
      </c>
      <c r="F1496">
        <v>5</v>
      </c>
    </row>
    <row r="1497" spans="1:6" x14ac:dyDescent="0.2">
      <c r="A1497">
        <v>2016</v>
      </c>
      <c r="B1497" t="s">
        <v>474</v>
      </c>
      <c r="C1497">
        <v>305</v>
      </c>
      <c r="D1497">
        <v>140</v>
      </c>
      <c r="E1497" t="s">
        <v>963</v>
      </c>
      <c r="F1497">
        <v>0</v>
      </c>
    </row>
    <row r="1498" spans="1:6" x14ac:dyDescent="0.2">
      <c r="A1498">
        <v>2017</v>
      </c>
      <c r="B1498" t="s">
        <v>474</v>
      </c>
      <c r="C1498">
        <v>265</v>
      </c>
      <c r="D1498">
        <v>125</v>
      </c>
      <c r="E1498" t="s">
        <v>270</v>
      </c>
      <c r="F1498">
        <v>10</v>
      </c>
    </row>
    <row r="1499" spans="1:6" x14ac:dyDescent="0.2">
      <c r="A1499">
        <v>2018</v>
      </c>
      <c r="B1499" t="s">
        <v>474</v>
      </c>
      <c r="C1499">
        <v>355</v>
      </c>
      <c r="D1499">
        <v>140</v>
      </c>
      <c r="E1499" t="s">
        <v>1110</v>
      </c>
      <c r="F1499">
        <v>0</v>
      </c>
    </row>
    <row r="1500" spans="1:6" x14ac:dyDescent="0.2">
      <c r="A1500">
        <v>2019</v>
      </c>
      <c r="B1500" t="s">
        <v>474</v>
      </c>
      <c r="C1500">
        <v>370</v>
      </c>
      <c r="D1500">
        <v>160</v>
      </c>
      <c r="E1500" t="s">
        <v>34</v>
      </c>
      <c r="F1500">
        <v>5</v>
      </c>
    </row>
    <row r="1501" spans="1:6" x14ac:dyDescent="0.2">
      <c r="A1501">
        <v>2020</v>
      </c>
      <c r="B1501" t="s">
        <v>474</v>
      </c>
      <c r="C1501">
        <v>340</v>
      </c>
      <c r="D1501">
        <v>125</v>
      </c>
      <c r="E1501" t="s">
        <v>1057</v>
      </c>
      <c r="F1501">
        <v>0</v>
      </c>
    </row>
    <row r="1502" spans="1:6" x14ac:dyDescent="0.2">
      <c r="A1502">
        <v>2021</v>
      </c>
      <c r="B1502" t="s">
        <v>474</v>
      </c>
      <c r="C1502">
        <v>365</v>
      </c>
      <c r="D1502">
        <v>120</v>
      </c>
      <c r="E1502" t="s">
        <v>280</v>
      </c>
      <c r="F1502">
        <v>0</v>
      </c>
    </row>
    <row r="1503" spans="1:6" x14ac:dyDescent="0.2">
      <c r="A1503">
        <v>2022</v>
      </c>
      <c r="B1503" t="s">
        <v>474</v>
      </c>
      <c r="C1503">
        <v>400</v>
      </c>
      <c r="D1503">
        <v>135</v>
      </c>
      <c r="E1503" t="s">
        <v>362</v>
      </c>
      <c r="F1503">
        <v>0</v>
      </c>
    </row>
    <row r="1504" spans="1:6" x14ac:dyDescent="0.2">
      <c r="A1504">
        <v>2023</v>
      </c>
      <c r="B1504" t="s">
        <v>474</v>
      </c>
      <c r="C1504">
        <v>370</v>
      </c>
      <c r="D1504">
        <v>140</v>
      </c>
      <c r="E1504" t="s">
        <v>980</v>
      </c>
      <c r="F1504">
        <v>0</v>
      </c>
    </row>
    <row r="1505" spans="1:6" x14ac:dyDescent="0.2">
      <c r="A1505">
        <v>2024</v>
      </c>
      <c r="B1505" t="s">
        <v>474</v>
      </c>
      <c r="C1505">
        <v>470</v>
      </c>
      <c r="D1505">
        <v>170</v>
      </c>
      <c r="E1505" t="s">
        <v>917</v>
      </c>
      <c r="F1505">
        <v>0</v>
      </c>
    </row>
    <row r="1506" spans="1:6" x14ac:dyDescent="0.2">
      <c r="A1506">
        <v>2025</v>
      </c>
      <c r="B1506" t="s">
        <v>474</v>
      </c>
      <c r="C1506">
        <v>490</v>
      </c>
      <c r="D1506">
        <v>165</v>
      </c>
      <c r="E1506" t="s">
        <v>226</v>
      </c>
      <c r="F1506">
        <v>5</v>
      </c>
    </row>
    <row r="1507" spans="1:6" x14ac:dyDescent="0.2">
      <c r="A1507">
        <v>2016</v>
      </c>
      <c r="B1507" t="s">
        <v>367</v>
      </c>
      <c r="C1507">
        <v>455</v>
      </c>
      <c r="D1507">
        <v>295</v>
      </c>
      <c r="E1507" t="s">
        <v>368</v>
      </c>
      <c r="F1507">
        <v>0</v>
      </c>
    </row>
    <row r="1508" spans="1:6" x14ac:dyDescent="0.2">
      <c r="A1508">
        <v>2017</v>
      </c>
      <c r="B1508" t="s">
        <v>367</v>
      </c>
      <c r="C1508">
        <v>395</v>
      </c>
      <c r="D1508">
        <v>215</v>
      </c>
      <c r="E1508" t="s">
        <v>89</v>
      </c>
      <c r="F1508">
        <v>0</v>
      </c>
    </row>
    <row r="1509" spans="1:6" x14ac:dyDescent="0.2">
      <c r="A1509">
        <v>2018</v>
      </c>
      <c r="B1509" t="s">
        <v>367</v>
      </c>
      <c r="C1509">
        <v>350</v>
      </c>
      <c r="D1509">
        <v>200</v>
      </c>
      <c r="E1509" t="s">
        <v>370</v>
      </c>
      <c r="F1509">
        <v>0</v>
      </c>
    </row>
    <row r="1510" spans="1:6" x14ac:dyDescent="0.2">
      <c r="A1510">
        <v>2019</v>
      </c>
      <c r="B1510" t="s">
        <v>367</v>
      </c>
      <c r="C1510">
        <v>335</v>
      </c>
      <c r="D1510">
        <v>185</v>
      </c>
      <c r="E1510" t="s">
        <v>230</v>
      </c>
      <c r="F1510">
        <v>0</v>
      </c>
    </row>
    <row r="1511" spans="1:6" x14ac:dyDescent="0.2">
      <c r="A1511">
        <v>2020</v>
      </c>
      <c r="B1511" t="s">
        <v>367</v>
      </c>
      <c r="C1511">
        <v>350</v>
      </c>
      <c r="D1511">
        <v>200</v>
      </c>
      <c r="E1511" t="s">
        <v>371</v>
      </c>
      <c r="F1511">
        <v>0</v>
      </c>
    </row>
    <row r="1512" spans="1:6" x14ac:dyDescent="0.2">
      <c r="A1512">
        <v>2021</v>
      </c>
      <c r="B1512" t="s">
        <v>367</v>
      </c>
      <c r="C1512">
        <v>300</v>
      </c>
      <c r="D1512">
        <v>165</v>
      </c>
      <c r="E1512" t="s">
        <v>372</v>
      </c>
      <c r="F1512">
        <v>0</v>
      </c>
    </row>
    <row r="1513" spans="1:6" x14ac:dyDescent="0.2">
      <c r="A1513">
        <v>2022</v>
      </c>
      <c r="B1513" t="s">
        <v>367</v>
      </c>
      <c r="C1513">
        <v>475</v>
      </c>
      <c r="D1513">
        <v>230</v>
      </c>
      <c r="E1513" t="s">
        <v>244</v>
      </c>
      <c r="F1513">
        <v>0</v>
      </c>
    </row>
    <row r="1514" spans="1:6" x14ac:dyDescent="0.2">
      <c r="A1514">
        <v>2023</v>
      </c>
      <c r="B1514" t="s">
        <v>367</v>
      </c>
      <c r="C1514">
        <v>410</v>
      </c>
      <c r="D1514">
        <v>180</v>
      </c>
      <c r="E1514" t="s">
        <v>34</v>
      </c>
      <c r="F1514">
        <v>0</v>
      </c>
    </row>
    <row r="1515" spans="1:6" x14ac:dyDescent="0.2">
      <c r="A1515">
        <v>2024</v>
      </c>
      <c r="B1515" t="s">
        <v>367</v>
      </c>
      <c r="C1515">
        <v>330</v>
      </c>
      <c r="D1515">
        <v>165</v>
      </c>
      <c r="E1515" t="s">
        <v>373</v>
      </c>
      <c r="F1515">
        <v>0</v>
      </c>
    </row>
    <row r="1516" spans="1:6" x14ac:dyDescent="0.2">
      <c r="A1516">
        <v>2025</v>
      </c>
      <c r="B1516" t="s">
        <v>367</v>
      </c>
      <c r="C1516">
        <v>365</v>
      </c>
      <c r="D1516">
        <v>160</v>
      </c>
      <c r="E1516" t="s">
        <v>306</v>
      </c>
      <c r="F1516">
        <v>0</v>
      </c>
    </row>
    <row r="1517" spans="1:6" x14ac:dyDescent="0.2">
      <c r="A1517">
        <v>2016</v>
      </c>
      <c r="B1517" t="s">
        <v>1111</v>
      </c>
      <c r="C1517">
        <v>140</v>
      </c>
      <c r="D1517">
        <v>95</v>
      </c>
      <c r="E1517" t="s">
        <v>223</v>
      </c>
      <c r="F1517">
        <v>0</v>
      </c>
    </row>
    <row r="1518" spans="1:6" x14ac:dyDescent="0.2">
      <c r="A1518">
        <v>2017</v>
      </c>
      <c r="B1518" t="s">
        <v>1111</v>
      </c>
      <c r="C1518">
        <v>95</v>
      </c>
      <c r="D1518">
        <v>60</v>
      </c>
      <c r="E1518" t="s">
        <v>141</v>
      </c>
      <c r="F1518">
        <v>0</v>
      </c>
    </row>
    <row r="1519" spans="1:6" x14ac:dyDescent="0.2">
      <c r="A1519">
        <v>2018</v>
      </c>
      <c r="B1519" t="s">
        <v>1111</v>
      </c>
      <c r="C1519">
        <v>130</v>
      </c>
      <c r="D1519">
        <v>75</v>
      </c>
      <c r="E1519" t="s">
        <v>40</v>
      </c>
      <c r="F1519">
        <v>0</v>
      </c>
    </row>
    <row r="1520" spans="1:6" x14ac:dyDescent="0.2">
      <c r="A1520">
        <v>2019</v>
      </c>
      <c r="B1520" t="s">
        <v>1111</v>
      </c>
      <c r="C1520">
        <v>160</v>
      </c>
      <c r="D1520">
        <v>105</v>
      </c>
      <c r="E1520" t="s">
        <v>973</v>
      </c>
      <c r="F1520">
        <v>0</v>
      </c>
    </row>
    <row r="1521" spans="1:6" x14ac:dyDescent="0.2">
      <c r="A1521">
        <v>2020</v>
      </c>
      <c r="B1521" t="s">
        <v>1111</v>
      </c>
      <c r="C1521">
        <v>140</v>
      </c>
      <c r="D1521">
        <v>75</v>
      </c>
      <c r="E1521" t="s">
        <v>230</v>
      </c>
      <c r="F1521">
        <v>0</v>
      </c>
    </row>
    <row r="1522" spans="1:6" x14ac:dyDescent="0.2">
      <c r="A1522">
        <v>2021</v>
      </c>
      <c r="B1522" t="s">
        <v>1111</v>
      </c>
      <c r="C1522">
        <v>195</v>
      </c>
      <c r="D1522">
        <v>115</v>
      </c>
      <c r="E1522" t="s">
        <v>1105</v>
      </c>
      <c r="F1522">
        <v>0</v>
      </c>
    </row>
    <row r="1523" spans="1:6" x14ac:dyDescent="0.2">
      <c r="A1523">
        <v>2022</v>
      </c>
      <c r="B1523" t="s">
        <v>1111</v>
      </c>
      <c r="C1523">
        <v>330</v>
      </c>
      <c r="D1523">
        <v>160</v>
      </c>
      <c r="E1523" t="s">
        <v>334</v>
      </c>
      <c r="F1523">
        <v>0</v>
      </c>
    </row>
    <row r="1524" spans="1:6" x14ac:dyDescent="0.2">
      <c r="A1524">
        <v>2023</v>
      </c>
      <c r="B1524" t="s">
        <v>1111</v>
      </c>
      <c r="C1524">
        <v>480</v>
      </c>
      <c r="D1524">
        <v>295</v>
      </c>
      <c r="E1524" t="s">
        <v>1063</v>
      </c>
      <c r="F1524">
        <v>5</v>
      </c>
    </row>
    <row r="1525" spans="1:6" x14ac:dyDescent="0.2">
      <c r="A1525">
        <v>2024</v>
      </c>
      <c r="B1525" t="s">
        <v>1111</v>
      </c>
      <c r="C1525">
        <v>590</v>
      </c>
      <c r="D1525">
        <v>345</v>
      </c>
      <c r="E1525" t="s">
        <v>1112</v>
      </c>
      <c r="F1525">
        <v>5</v>
      </c>
    </row>
    <row r="1526" spans="1:6" x14ac:dyDescent="0.2">
      <c r="A1526">
        <v>2025</v>
      </c>
      <c r="B1526" t="s">
        <v>1111</v>
      </c>
      <c r="C1526">
        <v>670</v>
      </c>
      <c r="D1526">
        <v>400</v>
      </c>
      <c r="E1526" t="s">
        <v>263</v>
      </c>
      <c r="F1526">
        <v>5</v>
      </c>
    </row>
    <row r="1527" spans="1:6" x14ac:dyDescent="0.2">
      <c r="A1527">
        <v>2016</v>
      </c>
      <c r="B1527" t="s">
        <v>452</v>
      </c>
      <c r="C1527">
        <v>5</v>
      </c>
      <c r="D1527">
        <v>0</v>
      </c>
      <c r="E1527" t="s">
        <v>910</v>
      </c>
      <c r="F1527">
        <v>0</v>
      </c>
    </row>
    <row r="1528" spans="1:6" x14ac:dyDescent="0.2">
      <c r="A1528">
        <v>2017</v>
      </c>
      <c r="B1528" t="s">
        <v>452</v>
      </c>
      <c r="C1528">
        <v>10</v>
      </c>
      <c r="D1528">
        <v>0</v>
      </c>
      <c r="E1528" t="s">
        <v>910</v>
      </c>
      <c r="F1528">
        <v>0</v>
      </c>
    </row>
    <row r="1529" spans="1:6" x14ac:dyDescent="0.2">
      <c r="A1529">
        <v>2018</v>
      </c>
      <c r="B1529" t="s">
        <v>452</v>
      </c>
      <c r="C1529">
        <v>5</v>
      </c>
      <c r="D1529">
        <v>0</v>
      </c>
      <c r="E1529" t="s">
        <v>910</v>
      </c>
      <c r="F1529">
        <v>0</v>
      </c>
    </row>
    <row r="1530" spans="1:6" x14ac:dyDescent="0.2">
      <c r="A1530">
        <v>2019</v>
      </c>
      <c r="B1530" t="s">
        <v>452</v>
      </c>
      <c r="C1530">
        <v>10</v>
      </c>
      <c r="D1530">
        <v>5</v>
      </c>
      <c r="E1530" t="s">
        <v>910</v>
      </c>
      <c r="F1530">
        <v>0</v>
      </c>
    </row>
    <row r="1531" spans="1:6" x14ac:dyDescent="0.2">
      <c r="A1531">
        <v>2020</v>
      </c>
      <c r="B1531" t="s">
        <v>452</v>
      </c>
      <c r="C1531">
        <v>10</v>
      </c>
      <c r="D1531">
        <v>5</v>
      </c>
      <c r="E1531" t="s">
        <v>910</v>
      </c>
      <c r="F1531">
        <v>0</v>
      </c>
    </row>
    <row r="1532" spans="1:6" x14ac:dyDescent="0.2">
      <c r="A1532">
        <v>2021</v>
      </c>
      <c r="B1532" t="s">
        <v>452</v>
      </c>
      <c r="C1532">
        <v>5</v>
      </c>
      <c r="D1532">
        <v>0</v>
      </c>
      <c r="E1532" t="s">
        <v>910</v>
      </c>
      <c r="F1532">
        <v>0</v>
      </c>
    </row>
    <row r="1533" spans="1:6" x14ac:dyDescent="0.2">
      <c r="A1533">
        <v>2022</v>
      </c>
      <c r="B1533" t="s">
        <v>452</v>
      </c>
      <c r="C1533">
        <v>10</v>
      </c>
      <c r="D1533">
        <v>0</v>
      </c>
      <c r="E1533" t="s">
        <v>910</v>
      </c>
      <c r="F1533">
        <v>0</v>
      </c>
    </row>
    <row r="1534" spans="1:6" x14ac:dyDescent="0.2">
      <c r="A1534">
        <v>2023</v>
      </c>
      <c r="B1534" t="s">
        <v>452</v>
      </c>
      <c r="C1534">
        <v>10</v>
      </c>
      <c r="D1534">
        <v>0</v>
      </c>
      <c r="E1534" t="s">
        <v>910</v>
      </c>
      <c r="F1534">
        <v>0</v>
      </c>
    </row>
    <row r="1535" spans="1:6" x14ac:dyDescent="0.2">
      <c r="A1535">
        <v>2024</v>
      </c>
      <c r="B1535" t="s">
        <v>452</v>
      </c>
      <c r="C1535">
        <v>10</v>
      </c>
      <c r="D1535">
        <v>5</v>
      </c>
      <c r="E1535" t="s">
        <v>910</v>
      </c>
      <c r="F1535">
        <v>0</v>
      </c>
    </row>
    <row r="1536" spans="1:6" x14ac:dyDescent="0.2">
      <c r="A1536">
        <v>2025</v>
      </c>
      <c r="B1536" t="s">
        <v>452</v>
      </c>
      <c r="C1536">
        <v>20</v>
      </c>
      <c r="D1536">
        <v>0</v>
      </c>
      <c r="E1536" t="s">
        <v>910</v>
      </c>
      <c r="F1536">
        <v>0</v>
      </c>
    </row>
    <row r="1537" spans="1:6" x14ac:dyDescent="0.2">
      <c r="A1537">
        <v>2016</v>
      </c>
      <c r="B1537" t="s">
        <v>622</v>
      </c>
      <c r="C1537">
        <v>25</v>
      </c>
      <c r="D1537">
        <v>15</v>
      </c>
      <c r="E1537" t="s">
        <v>79</v>
      </c>
      <c r="F1537">
        <v>0</v>
      </c>
    </row>
    <row r="1538" spans="1:6" x14ac:dyDescent="0.2">
      <c r="A1538">
        <v>2017</v>
      </c>
      <c r="B1538" t="s">
        <v>622</v>
      </c>
      <c r="C1538">
        <v>55</v>
      </c>
      <c r="D1538">
        <v>30</v>
      </c>
      <c r="E1538" t="s">
        <v>193</v>
      </c>
      <c r="F1538">
        <v>0</v>
      </c>
    </row>
    <row r="1539" spans="1:6" x14ac:dyDescent="0.2">
      <c r="A1539">
        <v>2018</v>
      </c>
      <c r="B1539" t="s">
        <v>622</v>
      </c>
      <c r="C1539">
        <v>65</v>
      </c>
      <c r="D1539">
        <v>40</v>
      </c>
      <c r="E1539" t="s">
        <v>1105</v>
      </c>
      <c r="F1539">
        <v>0</v>
      </c>
    </row>
    <row r="1540" spans="1:6" x14ac:dyDescent="0.2">
      <c r="A1540">
        <v>2019</v>
      </c>
      <c r="B1540" t="s">
        <v>622</v>
      </c>
      <c r="C1540">
        <v>90</v>
      </c>
      <c r="D1540">
        <v>45</v>
      </c>
      <c r="E1540" t="s">
        <v>51</v>
      </c>
      <c r="F1540">
        <v>0</v>
      </c>
    </row>
    <row r="1541" spans="1:6" x14ac:dyDescent="0.2">
      <c r="A1541">
        <v>2020</v>
      </c>
      <c r="B1541" t="s">
        <v>622</v>
      </c>
      <c r="C1541">
        <v>95</v>
      </c>
      <c r="D1541">
        <v>50</v>
      </c>
      <c r="E1541" t="s">
        <v>59</v>
      </c>
      <c r="F1541">
        <v>0</v>
      </c>
    </row>
    <row r="1542" spans="1:6" x14ac:dyDescent="0.2">
      <c r="A1542">
        <v>2021</v>
      </c>
      <c r="B1542" t="s">
        <v>622</v>
      </c>
      <c r="C1542">
        <v>70</v>
      </c>
      <c r="D1542">
        <v>40</v>
      </c>
      <c r="E1542" t="s">
        <v>1113</v>
      </c>
      <c r="F1542">
        <v>0</v>
      </c>
    </row>
    <row r="1543" spans="1:6" x14ac:dyDescent="0.2">
      <c r="A1543">
        <v>2022</v>
      </c>
      <c r="B1543" t="s">
        <v>622</v>
      </c>
      <c r="C1543">
        <v>120</v>
      </c>
      <c r="D1543">
        <v>70</v>
      </c>
      <c r="E1543" t="s">
        <v>243</v>
      </c>
      <c r="F1543">
        <v>0</v>
      </c>
    </row>
    <row r="1544" spans="1:6" x14ac:dyDescent="0.2">
      <c r="A1544">
        <v>2023</v>
      </c>
      <c r="B1544" t="s">
        <v>622</v>
      </c>
      <c r="C1544">
        <v>130</v>
      </c>
      <c r="D1544">
        <v>70</v>
      </c>
      <c r="E1544" t="s">
        <v>87</v>
      </c>
      <c r="F1544">
        <v>0</v>
      </c>
    </row>
    <row r="1545" spans="1:6" x14ac:dyDescent="0.2">
      <c r="A1545">
        <v>2024</v>
      </c>
      <c r="B1545" t="s">
        <v>622</v>
      </c>
      <c r="C1545">
        <v>160</v>
      </c>
      <c r="D1545">
        <v>70</v>
      </c>
      <c r="E1545" t="s">
        <v>178</v>
      </c>
      <c r="F1545">
        <v>0</v>
      </c>
    </row>
    <row r="1546" spans="1:6" x14ac:dyDescent="0.2">
      <c r="A1546">
        <v>2025</v>
      </c>
      <c r="B1546" t="s">
        <v>622</v>
      </c>
      <c r="C1546">
        <v>150</v>
      </c>
      <c r="D1546">
        <v>80</v>
      </c>
      <c r="E1546" t="s">
        <v>335</v>
      </c>
      <c r="F1546">
        <v>0</v>
      </c>
    </row>
    <row r="1547" spans="1:6" x14ac:dyDescent="0.2">
      <c r="A1547">
        <v>2016</v>
      </c>
      <c r="B1547" t="s">
        <v>492</v>
      </c>
      <c r="C1547">
        <v>55</v>
      </c>
      <c r="D1547">
        <v>15</v>
      </c>
      <c r="E1547" t="s">
        <v>1114</v>
      </c>
      <c r="F1547">
        <v>0</v>
      </c>
    </row>
    <row r="1548" spans="1:6" x14ac:dyDescent="0.2">
      <c r="A1548">
        <v>2017</v>
      </c>
      <c r="B1548" t="s">
        <v>492</v>
      </c>
      <c r="C1548">
        <v>80</v>
      </c>
      <c r="D1548">
        <v>20</v>
      </c>
      <c r="E1548" t="s">
        <v>1115</v>
      </c>
      <c r="F1548">
        <v>5</v>
      </c>
    </row>
    <row r="1549" spans="1:6" x14ac:dyDescent="0.2">
      <c r="A1549">
        <v>2018</v>
      </c>
      <c r="B1549" t="s">
        <v>492</v>
      </c>
      <c r="C1549">
        <v>100</v>
      </c>
      <c r="D1549">
        <v>30</v>
      </c>
      <c r="E1549" t="s">
        <v>1116</v>
      </c>
      <c r="F1549">
        <v>0</v>
      </c>
    </row>
    <row r="1550" spans="1:6" x14ac:dyDescent="0.2">
      <c r="A1550">
        <v>2019</v>
      </c>
      <c r="B1550" t="s">
        <v>492</v>
      </c>
      <c r="C1550">
        <v>110</v>
      </c>
      <c r="D1550">
        <v>35</v>
      </c>
      <c r="E1550" t="s">
        <v>1117</v>
      </c>
      <c r="F1550">
        <v>5</v>
      </c>
    </row>
    <row r="1551" spans="1:6" x14ac:dyDescent="0.2">
      <c r="A1551">
        <v>2020</v>
      </c>
      <c r="B1551" t="s">
        <v>492</v>
      </c>
      <c r="C1551">
        <v>105</v>
      </c>
      <c r="D1551">
        <v>35</v>
      </c>
      <c r="E1551" t="s">
        <v>234</v>
      </c>
      <c r="F1551">
        <v>5</v>
      </c>
    </row>
    <row r="1552" spans="1:6" x14ac:dyDescent="0.2">
      <c r="A1552">
        <v>2021</v>
      </c>
      <c r="B1552" t="s">
        <v>492</v>
      </c>
      <c r="C1552">
        <v>135</v>
      </c>
      <c r="D1552">
        <v>50</v>
      </c>
      <c r="E1552" t="s">
        <v>310</v>
      </c>
      <c r="F1552">
        <v>5</v>
      </c>
    </row>
    <row r="1553" spans="1:6" x14ac:dyDescent="0.2">
      <c r="A1553">
        <v>2022</v>
      </c>
      <c r="B1553" t="s">
        <v>492</v>
      </c>
      <c r="C1553">
        <v>205</v>
      </c>
      <c r="D1553">
        <v>80</v>
      </c>
      <c r="E1553" t="s">
        <v>277</v>
      </c>
      <c r="F1553">
        <v>10</v>
      </c>
    </row>
    <row r="1554" spans="1:6" x14ac:dyDescent="0.2">
      <c r="A1554">
        <v>2023</v>
      </c>
      <c r="B1554" t="s">
        <v>492</v>
      </c>
      <c r="C1554">
        <v>205</v>
      </c>
      <c r="D1554">
        <v>70</v>
      </c>
      <c r="E1554" t="s">
        <v>288</v>
      </c>
      <c r="F1554">
        <v>5</v>
      </c>
    </row>
    <row r="1555" spans="1:6" x14ac:dyDescent="0.2">
      <c r="A1555">
        <v>2024</v>
      </c>
      <c r="B1555" t="s">
        <v>492</v>
      </c>
      <c r="C1555">
        <v>195</v>
      </c>
      <c r="D1555">
        <v>70</v>
      </c>
      <c r="E1555" t="s">
        <v>957</v>
      </c>
      <c r="F1555">
        <v>10</v>
      </c>
    </row>
    <row r="1556" spans="1:6" x14ac:dyDescent="0.2">
      <c r="A1556">
        <v>2025</v>
      </c>
      <c r="B1556" t="s">
        <v>492</v>
      </c>
      <c r="C1556">
        <v>235</v>
      </c>
      <c r="D1556">
        <v>70</v>
      </c>
      <c r="E1556" t="s">
        <v>202</v>
      </c>
      <c r="F1556">
        <v>10</v>
      </c>
    </row>
    <row r="1557" spans="1:6" x14ac:dyDescent="0.2">
      <c r="A1557">
        <v>2016</v>
      </c>
      <c r="B1557" t="s">
        <v>482</v>
      </c>
      <c r="C1557">
        <v>2370</v>
      </c>
      <c r="D1557">
        <v>1125</v>
      </c>
      <c r="E1557" t="s">
        <v>384</v>
      </c>
      <c r="F1557">
        <v>15</v>
      </c>
    </row>
    <row r="1558" spans="1:6" x14ac:dyDescent="0.2">
      <c r="A1558">
        <v>2017</v>
      </c>
      <c r="B1558" t="s">
        <v>482</v>
      </c>
      <c r="C1558">
        <v>2320</v>
      </c>
      <c r="D1558">
        <v>1205</v>
      </c>
      <c r="E1558" t="s">
        <v>395</v>
      </c>
      <c r="F1558">
        <v>15</v>
      </c>
    </row>
    <row r="1559" spans="1:6" x14ac:dyDescent="0.2">
      <c r="A1559">
        <v>2018</v>
      </c>
      <c r="B1559" t="s">
        <v>482</v>
      </c>
      <c r="C1559">
        <v>2445</v>
      </c>
      <c r="D1559">
        <v>1215</v>
      </c>
      <c r="E1559" t="s">
        <v>1019</v>
      </c>
      <c r="F1559">
        <v>20</v>
      </c>
    </row>
    <row r="1560" spans="1:6" x14ac:dyDescent="0.2">
      <c r="A1560">
        <v>2019</v>
      </c>
      <c r="B1560" t="s">
        <v>482</v>
      </c>
      <c r="C1560">
        <v>2510</v>
      </c>
      <c r="D1560">
        <v>1280</v>
      </c>
      <c r="E1560" t="s">
        <v>325</v>
      </c>
      <c r="F1560">
        <v>15</v>
      </c>
    </row>
    <row r="1561" spans="1:6" x14ac:dyDescent="0.2">
      <c r="A1561">
        <v>2020</v>
      </c>
      <c r="B1561" t="s">
        <v>482</v>
      </c>
      <c r="C1561">
        <v>2560</v>
      </c>
      <c r="D1561">
        <v>1350</v>
      </c>
      <c r="E1561" t="s">
        <v>968</v>
      </c>
      <c r="F1561">
        <v>20</v>
      </c>
    </row>
    <row r="1562" spans="1:6" x14ac:dyDescent="0.2">
      <c r="A1562">
        <v>2021</v>
      </c>
      <c r="B1562" t="s">
        <v>482</v>
      </c>
      <c r="C1562">
        <v>2800</v>
      </c>
      <c r="D1562">
        <v>1375</v>
      </c>
      <c r="E1562" t="s">
        <v>296</v>
      </c>
      <c r="F1562">
        <v>15</v>
      </c>
    </row>
    <row r="1563" spans="1:6" x14ac:dyDescent="0.2">
      <c r="A1563">
        <v>2022</v>
      </c>
      <c r="B1563" t="s">
        <v>482</v>
      </c>
      <c r="C1563">
        <v>3185</v>
      </c>
      <c r="D1563">
        <v>1500</v>
      </c>
      <c r="E1563" t="s">
        <v>149</v>
      </c>
      <c r="F1563">
        <v>25</v>
      </c>
    </row>
    <row r="1564" spans="1:6" x14ac:dyDescent="0.2">
      <c r="A1564">
        <v>2023</v>
      </c>
      <c r="B1564" t="s">
        <v>482</v>
      </c>
      <c r="C1564">
        <v>3295</v>
      </c>
      <c r="D1564">
        <v>1560</v>
      </c>
      <c r="E1564" t="s">
        <v>125</v>
      </c>
      <c r="F1564">
        <v>30</v>
      </c>
    </row>
    <row r="1565" spans="1:6" x14ac:dyDescent="0.2">
      <c r="A1565">
        <v>2024</v>
      </c>
      <c r="B1565" t="s">
        <v>482</v>
      </c>
      <c r="C1565">
        <v>3605</v>
      </c>
      <c r="D1565">
        <v>1660</v>
      </c>
      <c r="E1565" t="s">
        <v>965</v>
      </c>
      <c r="F1565">
        <v>25</v>
      </c>
    </row>
    <row r="1566" spans="1:6" x14ac:dyDescent="0.2">
      <c r="A1566">
        <v>2025</v>
      </c>
      <c r="B1566" t="s">
        <v>482</v>
      </c>
      <c r="C1566">
        <v>3695</v>
      </c>
      <c r="D1566">
        <v>1780</v>
      </c>
      <c r="E1566" t="s">
        <v>389</v>
      </c>
      <c r="F1566">
        <v>40</v>
      </c>
    </row>
    <row r="1567" spans="1:6" x14ac:dyDescent="0.2">
      <c r="A1567">
        <v>2020</v>
      </c>
      <c r="B1567" t="s">
        <v>480</v>
      </c>
      <c r="C1567">
        <v>5</v>
      </c>
      <c r="D1567">
        <v>0</v>
      </c>
      <c r="E1567" t="s">
        <v>910</v>
      </c>
      <c r="F1567">
        <v>0</v>
      </c>
    </row>
    <row r="1568" spans="1:6" x14ac:dyDescent="0.2">
      <c r="A1568">
        <v>2016</v>
      </c>
      <c r="B1568" t="s">
        <v>649</v>
      </c>
      <c r="C1568">
        <v>250</v>
      </c>
      <c r="D1568">
        <v>125</v>
      </c>
      <c r="E1568" t="s">
        <v>70</v>
      </c>
      <c r="F1568">
        <v>5</v>
      </c>
    </row>
    <row r="1569" spans="1:6" x14ac:dyDescent="0.2">
      <c r="A1569">
        <v>2017</v>
      </c>
      <c r="B1569" t="s">
        <v>649</v>
      </c>
      <c r="C1569">
        <v>315</v>
      </c>
      <c r="D1569">
        <v>185</v>
      </c>
      <c r="E1569" t="s">
        <v>40</v>
      </c>
      <c r="F1569">
        <v>5</v>
      </c>
    </row>
    <row r="1570" spans="1:6" x14ac:dyDescent="0.2">
      <c r="A1570">
        <v>2018</v>
      </c>
      <c r="B1570" t="s">
        <v>649</v>
      </c>
      <c r="C1570">
        <v>320</v>
      </c>
      <c r="D1570">
        <v>160</v>
      </c>
      <c r="E1570" t="s">
        <v>152</v>
      </c>
      <c r="F1570">
        <v>5</v>
      </c>
    </row>
    <row r="1571" spans="1:6" x14ac:dyDescent="0.2">
      <c r="A1571">
        <v>2019</v>
      </c>
      <c r="B1571" t="s">
        <v>649</v>
      </c>
      <c r="C1571">
        <v>330</v>
      </c>
      <c r="D1571">
        <v>180</v>
      </c>
      <c r="E1571" t="s">
        <v>157</v>
      </c>
      <c r="F1571">
        <v>5</v>
      </c>
    </row>
    <row r="1572" spans="1:6" x14ac:dyDescent="0.2">
      <c r="A1572">
        <v>2020</v>
      </c>
      <c r="B1572" t="s">
        <v>649</v>
      </c>
      <c r="C1572">
        <v>390</v>
      </c>
      <c r="D1572">
        <v>190</v>
      </c>
      <c r="E1572" t="s">
        <v>398</v>
      </c>
      <c r="F1572">
        <v>5</v>
      </c>
    </row>
    <row r="1573" spans="1:6" x14ac:dyDescent="0.2">
      <c r="A1573">
        <v>2021</v>
      </c>
      <c r="B1573" t="s">
        <v>649</v>
      </c>
      <c r="C1573">
        <v>480</v>
      </c>
      <c r="D1573">
        <v>245</v>
      </c>
      <c r="E1573" t="s">
        <v>152</v>
      </c>
      <c r="F1573">
        <v>10</v>
      </c>
    </row>
    <row r="1574" spans="1:6" x14ac:dyDescent="0.2">
      <c r="A1574">
        <v>2022</v>
      </c>
      <c r="B1574" t="s">
        <v>649</v>
      </c>
      <c r="C1574">
        <v>700</v>
      </c>
      <c r="D1574">
        <v>385</v>
      </c>
      <c r="E1574" t="s">
        <v>130</v>
      </c>
      <c r="F1574">
        <v>10</v>
      </c>
    </row>
    <row r="1575" spans="1:6" x14ac:dyDescent="0.2">
      <c r="A1575">
        <v>2023</v>
      </c>
      <c r="B1575" t="s">
        <v>649</v>
      </c>
      <c r="C1575">
        <v>690</v>
      </c>
      <c r="D1575">
        <v>400</v>
      </c>
      <c r="E1575" t="s">
        <v>1105</v>
      </c>
      <c r="F1575">
        <v>10</v>
      </c>
    </row>
    <row r="1576" spans="1:6" x14ac:dyDescent="0.2">
      <c r="A1576">
        <v>2024</v>
      </c>
      <c r="B1576" t="s">
        <v>649</v>
      </c>
      <c r="C1576">
        <v>605</v>
      </c>
      <c r="D1576">
        <v>385</v>
      </c>
      <c r="E1576" t="s">
        <v>1089</v>
      </c>
      <c r="F1576">
        <v>10</v>
      </c>
    </row>
    <row r="1577" spans="1:6" x14ac:dyDescent="0.2">
      <c r="A1577">
        <v>2025</v>
      </c>
      <c r="B1577" t="s">
        <v>649</v>
      </c>
      <c r="C1577">
        <v>575</v>
      </c>
      <c r="D1577">
        <v>385</v>
      </c>
      <c r="E1577" t="s">
        <v>240</v>
      </c>
      <c r="F1577">
        <v>10</v>
      </c>
    </row>
    <row r="1578" spans="1:6" x14ac:dyDescent="0.2">
      <c r="A1578">
        <v>2019</v>
      </c>
      <c r="B1578" t="s">
        <v>796</v>
      </c>
      <c r="C1578">
        <v>5</v>
      </c>
      <c r="D1578">
        <v>0</v>
      </c>
      <c r="E1578" t="s">
        <v>910</v>
      </c>
      <c r="F1578">
        <v>0</v>
      </c>
    </row>
    <row r="1579" spans="1:6" x14ac:dyDescent="0.2">
      <c r="A1579">
        <v>2023</v>
      </c>
      <c r="B1579" t="s">
        <v>796</v>
      </c>
      <c r="C1579">
        <v>5</v>
      </c>
      <c r="D1579">
        <v>0</v>
      </c>
      <c r="E1579" t="s">
        <v>910</v>
      </c>
      <c r="F1579">
        <v>0</v>
      </c>
    </row>
    <row r="1580" spans="1:6" x14ac:dyDescent="0.2">
      <c r="A1580">
        <v>2025</v>
      </c>
      <c r="B1580" t="s">
        <v>796</v>
      </c>
      <c r="C1580">
        <v>10</v>
      </c>
      <c r="D1580">
        <v>0</v>
      </c>
      <c r="E1580" t="s">
        <v>910</v>
      </c>
      <c r="F1580">
        <v>0</v>
      </c>
    </row>
    <row r="1581" spans="1:6" x14ac:dyDescent="0.2">
      <c r="A1581">
        <v>2016</v>
      </c>
      <c r="B1581" t="s">
        <v>488</v>
      </c>
      <c r="C1581">
        <v>40</v>
      </c>
      <c r="D1581">
        <v>25</v>
      </c>
      <c r="E1581" t="s">
        <v>989</v>
      </c>
      <c r="F1581">
        <v>0</v>
      </c>
    </row>
    <row r="1582" spans="1:6" x14ac:dyDescent="0.2">
      <c r="A1582">
        <v>2017</v>
      </c>
      <c r="B1582" t="s">
        <v>488</v>
      </c>
      <c r="C1582">
        <v>50</v>
      </c>
      <c r="D1582">
        <v>20</v>
      </c>
      <c r="E1582" t="s">
        <v>133</v>
      </c>
      <c r="F1582">
        <v>0</v>
      </c>
    </row>
    <row r="1583" spans="1:6" x14ac:dyDescent="0.2">
      <c r="A1583">
        <v>2018</v>
      </c>
      <c r="B1583" t="s">
        <v>488</v>
      </c>
      <c r="C1583">
        <v>45</v>
      </c>
      <c r="D1583">
        <v>25</v>
      </c>
      <c r="E1583" t="s">
        <v>30</v>
      </c>
      <c r="F1583">
        <v>0</v>
      </c>
    </row>
    <row r="1584" spans="1:6" x14ac:dyDescent="0.2">
      <c r="A1584">
        <v>2019</v>
      </c>
      <c r="B1584" t="s">
        <v>488</v>
      </c>
      <c r="C1584">
        <v>50</v>
      </c>
      <c r="D1584">
        <v>25</v>
      </c>
      <c r="E1584" t="s">
        <v>179</v>
      </c>
      <c r="F1584">
        <v>0</v>
      </c>
    </row>
    <row r="1585" spans="1:6" x14ac:dyDescent="0.2">
      <c r="A1585">
        <v>2020</v>
      </c>
      <c r="B1585" t="s">
        <v>488</v>
      </c>
      <c r="C1585">
        <v>65</v>
      </c>
      <c r="D1585">
        <v>30</v>
      </c>
      <c r="E1585" t="s">
        <v>93</v>
      </c>
      <c r="F1585">
        <v>0</v>
      </c>
    </row>
    <row r="1586" spans="1:6" x14ac:dyDescent="0.2">
      <c r="A1586">
        <v>2021</v>
      </c>
      <c r="B1586" t="s">
        <v>488</v>
      </c>
      <c r="C1586">
        <v>60</v>
      </c>
      <c r="D1586">
        <v>30</v>
      </c>
      <c r="E1586" t="s">
        <v>956</v>
      </c>
      <c r="F1586">
        <v>0</v>
      </c>
    </row>
    <row r="1587" spans="1:6" x14ac:dyDescent="0.2">
      <c r="A1587">
        <v>2022</v>
      </c>
      <c r="B1587" t="s">
        <v>488</v>
      </c>
      <c r="C1587">
        <v>80</v>
      </c>
      <c r="D1587">
        <v>35</v>
      </c>
      <c r="E1587" t="s">
        <v>62</v>
      </c>
      <c r="F1587">
        <v>5</v>
      </c>
    </row>
    <row r="1588" spans="1:6" x14ac:dyDescent="0.2">
      <c r="A1588">
        <v>2023</v>
      </c>
      <c r="B1588" t="s">
        <v>488</v>
      </c>
      <c r="C1588">
        <v>70</v>
      </c>
      <c r="D1588">
        <v>20</v>
      </c>
      <c r="E1588" t="s">
        <v>1115</v>
      </c>
      <c r="F1588">
        <v>0</v>
      </c>
    </row>
    <row r="1589" spans="1:6" x14ac:dyDescent="0.2">
      <c r="A1589">
        <v>2024</v>
      </c>
      <c r="B1589" t="s">
        <v>488</v>
      </c>
      <c r="C1589">
        <v>60</v>
      </c>
      <c r="D1589">
        <v>20</v>
      </c>
      <c r="E1589" t="s">
        <v>1118</v>
      </c>
      <c r="F1589">
        <v>0</v>
      </c>
    </row>
    <row r="1590" spans="1:6" x14ac:dyDescent="0.2">
      <c r="A1590">
        <v>2025</v>
      </c>
      <c r="B1590" t="s">
        <v>488</v>
      </c>
      <c r="C1590">
        <v>100</v>
      </c>
      <c r="D1590">
        <v>65</v>
      </c>
      <c r="E1590" t="s">
        <v>206</v>
      </c>
      <c r="F1590">
        <v>0</v>
      </c>
    </row>
    <row r="1591" spans="1:6" x14ac:dyDescent="0.2">
      <c r="A1591">
        <v>2016</v>
      </c>
      <c r="B1591" t="s">
        <v>374</v>
      </c>
      <c r="C1591">
        <v>13895</v>
      </c>
      <c r="D1591">
        <v>7990</v>
      </c>
      <c r="E1591" t="s">
        <v>375</v>
      </c>
      <c r="F1591">
        <v>30</v>
      </c>
    </row>
    <row r="1592" spans="1:6" x14ac:dyDescent="0.2">
      <c r="A1592">
        <v>2017</v>
      </c>
      <c r="B1592" t="s">
        <v>374</v>
      </c>
      <c r="C1592">
        <v>15240</v>
      </c>
      <c r="D1592">
        <v>9215</v>
      </c>
      <c r="E1592" t="s">
        <v>39</v>
      </c>
      <c r="F1592">
        <v>30</v>
      </c>
    </row>
    <row r="1593" spans="1:6" x14ac:dyDescent="0.2">
      <c r="A1593">
        <v>2018</v>
      </c>
      <c r="B1593" t="s">
        <v>374</v>
      </c>
      <c r="C1593">
        <v>17075</v>
      </c>
      <c r="D1593">
        <v>10180</v>
      </c>
      <c r="E1593" t="s">
        <v>377</v>
      </c>
      <c r="F1593">
        <v>35</v>
      </c>
    </row>
    <row r="1594" spans="1:6" x14ac:dyDescent="0.2">
      <c r="A1594">
        <v>2019</v>
      </c>
      <c r="B1594" t="s">
        <v>374</v>
      </c>
      <c r="C1594">
        <v>21450</v>
      </c>
      <c r="D1594">
        <v>12415</v>
      </c>
      <c r="E1594" t="s">
        <v>371</v>
      </c>
      <c r="F1594">
        <v>55</v>
      </c>
    </row>
    <row r="1595" spans="1:6" x14ac:dyDescent="0.2">
      <c r="A1595">
        <v>2020</v>
      </c>
      <c r="B1595" t="s">
        <v>374</v>
      </c>
      <c r="C1595">
        <v>26655</v>
      </c>
      <c r="D1595">
        <v>16185</v>
      </c>
      <c r="E1595" t="s">
        <v>378</v>
      </c>
      <c r="F1595">
        <v>55</v>
      </c>
    </row>
    <row r="1596" spans="1:6" x14ac:dyDescent="0.2">
      <c r="A1596">
        <v>2021</v>
      </c>
      <c r="B1596" t="s">
        <v>374</v>
      </c>
      <c r="C1596">
        <v>30810</v>
      </c>
      <c r="D1596">
        <v>16310</v>
      </c>
      <c r="E1596" t="s">
        <v>228</v>
      </c>
      <c r="F1596">
        <v>35</v>
      </c>
    </row>
    <row r="1597" spans="1:6" x14ac:dyDescent="0.2">
      <c r="A1597">
        <v>2022</v>
      </c>
      <c r="B1597" t="s">
        <v>374</v>
      </c>
      <c r="C1597">
        <v>33660</v>
      </c>
      <c r="D1597">
        <v>18500</v>
      </c>
      <c r="E1597" t="s">
        <v>230</v>
      </c>
      <c r="F1597">
        <v>50</v>
      </c>
    </row>
    <row r="1598" spans="1:6" x14ac:dyDescent="0.2">
      <c r="A1598">
        <v>2023</v>
      </c>
      <c r="B1598" t="s">
        <v>374</v>
      </c>
      <c r="C1598">
        <v>33195</v>
      </c>
      <c r="D1598">
        <v>17405</v>
      </c>
      <c r="E1598" t="s">
        <v>379</v>
      </c>
      <c r="F1598">
        <v>50</v>
      </c>
    </row>
    <row r="1599" spans="1:6" x14ac:dyDescent="0.2">
      <c r="A1599">
        <v>2024</v>
      </c>
      <c r="B1599" t="s">
        <v>374</v>
      </c>
      <c r="C1599">
        <v>33425</v>
      </c>
      <c r="D1599">
        <v>17070</v>
      </c>
      <c r="E1599" t="s">
        <v>191</v>
      </c>
      <c r="F1599">
        <v>105</v>
      </c>
    </row>
    <row r="1600" spans="1:6" x14ac:dyDescent="0.2">
      <c r="A1600">
        <v>2025</v>
      </c>
      <c r="B1600" t="s">
        <v>374</v>
      </c>
      <c r="C1600">
        <v>36385</v>
      </c>
      <c r="D1600">
        <v>19480</v>
      </c>
      <c r="E1600" t="s">
        <v>30</v>
      </c>
      <c r="F1600">
        <v>80</v>
      </c>
    </row>
    <row r="1601" spans="1:6" x14ac:dyDescent="0.2">
      <c r="A1601">
        <v>2016</v>
      </c>
      <c r="B1601" t="s">
        <v>498</v>
      </c>
      <c r="C1601">
        <v>110</v>
      </c>
      <c r="D1601">
        <v>55</v>
      </c>
      <c r="E1601" t="s">
        <v>1119</v>
      </c>
      <c r="F1601">
        <v>0</v>
      </c>
    </row>
    <row r="1602" spans="1:6" x14ac:dyDescent="0.2">
      <c r="A1602">
        <v>2017</v>
      </c>
      <c r="B1602" t="s">
        <v>498</v>
      </c>
      <c r="C1602">
        <v>100</v>
      </c>
      <c r="D1602">
        <v>45</v>
      </c>
      <c r="E1602" t="s">
        <v>912</v>
      </c>
      <c r="F1602">
        <v>0</v>
      </c>
    </row>
    <row r="1603" spans="1:6" x14ac:dyDescent="0.2">
      <c r="A1603">
        <v>2018</v>
      </c>
      <c r="B1603" t="s">
        <v>498</v>
      </c>
      <c r="C1603">
        <v>105</v>
      </c>
      <c r="D1603">
        <v>45</v>
      </c>
      <c r="E1603" t="s">
        <v>1120</v>
      </c>
      <c r="F1603">
        <v>0</v>
      </c>
    </row>
    <row r="1604" spans="1:6" x14ac:dyDescent="0.2">
      <c r="A1604">
        <v>2019</v>
      </c>
      <c r="B1604" t="s">
        <v>498</v>
      </c>
      <c r="C1604">
        <v>90</v>
      </c>
      <c r="D1604">
        <v>30</v>
      </c>
      <c r="E1604" t="s">
        <v>1114</v>
      </c>
      <c r="F1604">
        <v>0</v>
      </c>
    </row>
    <row r="1605" spans="1:6" x14ac:dyDescent="0.2">
      <c r="A1605">
        <v>2020</v>
      </c>
      <c r="B1605" t="s">
        <v>498</v>
      </c>
      <c r="C1605">
        <v>85</v>
      </c>
      <c r="D1605">
        <v>35</v>
      </c>
      <c r="E1605" t="s">
        <v>163</v>
      </c>
      <c r="F1605">
        <v>0</v>
      </c>
    </row>
    <row r="1606" spans="1:6" x14ac:dyDescent="0.2">
      <c r="A1606">
        <v>2021</v>
      </c>
      <c r="B1606" t="s">
        <v>498</v>
      </c>
      <c r="C1606">
        <v>80</v>
      </c>
      <c r="D1606">
        <v>20</v>
      </c>
      <c r="E1606" t="s">
        <v>1121</v>
      </c>
      <c r="F1606">
        <v>0</v>
      </c>
    </row>
    <row r="1607" spans="1:6" x14ac:dyDescent="0.2">
      <c r="A1607">
        <v>2022</v>
      </c>
      <c r="B1607" t="s">
        <v>498</v>
      </c>
      <c r="C1607">
        <v>80</v>
      </c>
      <c r="D1607">
        <v>35</v>
      </c>
      <c r="E1607" t="s">
        <v>981</v>
      </c>
      <c r="F1607">
        <v>0</v>
      </c>
    </row>
    <row r="1608" spans="1:6" x14ac:dyDescent="0.2">
      <c r="A1608">
        <v>2023</v>
      </c>
      <c r="B1608" t="s">
        <v>498</v>
      </c>
      <c r="C1608">
        <v>110</v>
      </c>
      <c r="D1608">
        <v>40</v>
      </c>
      <c r="E1608" t="s">
        <v>287</v>
      </c>
      <c r="F1608">
        <v>0</v>
      </c>
    </row>
    <row r="1609" spans="1:6" x14ac:dyDescent="0.2">
      <c r="A1609">
        <v>2024</v>
      </c>
      <c r="B1609" t="s">
        <v>498</v>
      </c>
      <c r="C1609">
        <v>125</v>
      </c>
      <c r="D1609">
        <v>50</v>
      </c>
      <c r="E1609" t="s">
        <v>305</v>
      </c>
      <c r="F1609">
        <v>0</v>
      </c>
    </row>
    <row r="1610" spans="1:6" x14ac:dyDescent="0.2">
      <c r="A1610">
        <v>2025</v>
      </c>
      <c r="B1610" t="s">
        <v>498</v>
      </c>
      <c r="C1610">
        <v>120</v>
      </c>
      <c r="D1610">
        <v>40</v>
      </c>
      <c r="E1610" t="s">
        <v>403</v>
      </c>
      <c r="F1610">
        <v>5</v>
      </c>
    </row>
    <row r="1611" spans="1:6" x14ac:dyDescent="0.2">
      <c r="A1611">
        <v>2016</v>
      </c>
      <c r="B1611" t="s">
        <v>1122</v>
      </c>
      <c r="C1611">
        <v>20</v>
      </c>
      <c r="D1611">
        <v>0</v>
      </c>
      <c r="E1611" t="s">
        <v>910</v>
      </c>
      <c r="F1611">
        <v>0</v>
      </c>
    </row>
    <row r="1612" spans="1:6" x14ac:dyDescent="0.2">
      <c r="A1612">
        <v>2017</v>
      </c>
      <c r="B1612" t="s">
        <v>1122</v>
      </c>
      <c r="C1612">
        <v>20</v>
      </c>
      <c r="D1612">
        <v>10</v>
      </c>
      <c r="E1612" t="s">
        <v>910</v>
      </c>
      <c r="F1612">
        <v>0</v>
      </c>
    </row>
    <row r="1613" spans="1:6" x14ac:dyDescent="0.2">
      <c r="A1613">
        <v>2018</v>
      </c>
      <c r="B1613" t="s">
        <v>1122</v>
      </c>
      <c r="C1613">
        <v>20</v>
      </c>
      <c r="D1613">
        <v>5</v>
      </c>
      <c r="E1613" t="s">
        <v>910</v>
      </c>
      <c r="F1613">
        <v>0</v>
      </c>
    </row>
    <row r="1614" spans="1:6" x14ac:dyDescent="0.2">
      <c r="A1614">
        <v>2019</v>
      </c>
      <c r="B1614" t="s">
        <v>1122</v>
      </c>
      <c r="C1614">
        <v>25</v>
      </c>
      <c r="D1614">
        <v>10</v>
      </c>
      <c r="E1614" t="s">
        <v>289</v>
      </c>
      <c r="F1614">
        <v>0</v>
      </c>
    </row>
    <row r="1615" spans="1:6" x14ac:dyDescent="0.2">
      <c r="A1615">
        <v>2020</v>
      </c>
      <c r="B1615" t="s">
        <v>1122</v>
      </c>
      <c r="C1615">
        <v>25</v>
      </c>
      <c r="D1615">
        <v>5</v>
      </c>
      <c r="E1615" t="s">
        <v>910</v>
      </c>
      <c r="F1615">
        <v>0</v>
      </c>
    </row>
    <row r="1616" spans="1:6" x14ac:dyDescent="0.2">
      <c r="A1616">
        <v>2021</v>
      </c>
      <c r="B1616" t="s">
        <v>1122</v>
      </c>
      <c r="C1616">
        <v>25</v>
      </c>
      <c r="D1616">
        <v>5</v>
      </c>
      <c r="E1616" t="s">
        <v>910</v>
      </c>
      <c r="F1616">
        <v>5</v>
      </c>
    </row>
    <row r="1617" spans="1:6" x14ac:dyDescent="0.2">
      <c r="A1617">
        <v>2022</v>
      </c>
      <c r="B1617" t="s">
        <v>1122</v>
      </c>
      <c r="C1617">
        <v>30</v>
      </c>
      <c r="D1617">
        <v>10</v>
      </c>
      <c r="E1617" t="s">
        <v>133</v>
      </c>
      <c r="F1617">
        <v>0</v>
      </c>
    </row>
    <row r="1618" spans="1:6" x14ac:dyDescent="0.2">
      <c r="A1618">
        <v>2023</v>
      </c>
      <c r="B1618" t="s">
        <v>1122</v>
      </c>
      <c r="C1618">
        <v>40</v>
      </c>
      <c r="D1618">
        <v>10</v>
      </c>
      <c r="E1618" t="s">
        <v>910</v>
      </c>
      <c r="F1618">
        <v>0</v>
      </c>
    </row>
    <row r="1619" spans="1:6" x14ac:dyDescent="0.2">
      <c r="A1619">
        <v>2024</v>
      </c>
      <c r="B1619" t="s">
        <v>1122</v>
      </c>
      <c r="C1619">
        <v>40</v>
      </c>
      <c r="D1619">
        <v>10</v>
      </c>
      <c r="E1619" t="s">
        <v>1080</v>
      </c>
      <c r="F1619">
        <v>5</v>
      </c>
    </row>
    <row r="1620" spans="1:6" x14ac:dyDescent="0.2">
      <c r="A1620">
        <v>2025</v>
      </c>
      <c r="B1620" t="s">
        <v>1122</v>
      </c>
      <c r="C1620">
        <v>50</v>
      </c>
      <c r="D1620">
        <v>15</v>
      </c>
      <c r="E1620" t="s">
        <v>960</v>
      </c>
      <c r="F1620">
        <v>0</v>
      </c>
    </row>
    <row r="1621" spans="1:6" x14ac:dyDescent="0.2">
      <c r="A1621">
        <v>2016</v>
      </c>
      <c r="B1621" t="s">
        <v>1123</v>
      </c>
      <c r="C1621">
        <v>5</v>
      </c>
      <c r="D1621">
        <v>0</v>
      </c>
      <c r="E1621" t="s">
        <v>910</v>
      </c>
      <c r="F1621">
        <v>0</v>
      </c>
    </row>
    <row r="1622" spans="1:6" x14ac:dyDescent="0.2">
      <c r="A1622">
        <v>2017</v>
      </c>
      <c r="B1622" t="s">
        <v>1123</v>
      </c>
      <c r="C1622">
        <v>5</v>
      </c>
      <c r="D1622">
        <v>5</v>
      </c>
      <c r="E1622" t="s">
        <v>910</v>
      </c>
      <c r="F1622">
        <v>0</v>
      </c>
    </row>
    <row r="1623" spans="1:6" x14ac:dyDescent="0.2">
      <c r="A1623">
        <v>2018</v>
      </c>
      <c r="B1623" t="s">
        <v>1123</v>
      </c>
      <c r="C1623">
        <v>5</v>
      </c>
      <c r="D1623">
        <v>0</v>
      </c>
      <c r="E1623" t="s">
        <v>910</v>
      </c>
      <c r="F1623">
        <v>0</v>
      </c>
    </row>
    <row r="1624" spans="1:6" x14ac:dyDescent="0.2">
      <c r="A1624">
        <v>2019</v>
      </c>
      <c r="B1624" t="s">
        <v>1123</v>
      </c>
      <c r="C1624">
        <v>5</v>
      </c>
      <c r="D1624">
        <v>0</v>
      </c>
      <c r="E1624" t="s">
        <v>910</v>
      </c>
      <c r="F1624">
        <v>0</v>
      </c>
    </row>
    <row r="1625" spans="1:6" x14ac:dyDescent="0.2">
      <c r="A1625">
        <v>2020</v>
      </c>
      <c r="B1625" t="s">
        <v>1123</v>
      </c>
      <c r="C1625">
        <v>10</v>
      </c>
      <c r="D1625">
        <v>0</v>
      </c>
      <c r="E1625" t="s">
        <v>910</v>
      </c>
      <c r="F1625">
        <v>0</v>
      </c>
    </row>
    <row r="1626" spans="1:6" x14ac:dyDescent="0.2">
      <c r="A1626">
        <v>2021</v>
      </c>
      <c r="B1626" t="s">
        <v>1123</v>
      </c>
      <c r="C1626">
        <v>10</v>
      </c>
      <c r="D1626">
        <v>0</v>
      </c>
      <c r="E1626" t="s">
        <v>910</v>
      </c>
      <c r="F1626">
        <v>0</v>
      </c>
    </row>
    <row r="1627" spans="1:6" x14ac:dyDescent="0.2">
      <c r="A1627">
        <v>2022</v>
      </c>
      <c r="B1627" t="s">
        <v>1123</v>
      </c>
      <c r="C1627">
        <v>10</v>
      </c>
      <c r="D1627">
        <v>5</v>
      </c>
      <c r="E1627" t="s">
        <v>910</v>
      </c>
      <c r="F1627">
        <v>0</v>
      </c>
    </row>
    <row r="1628" spans="1:6" x14ac:dyDescent="0.2">
      <c r="A1628">
        <v>2023</v>
      </c>
      <c r="B1628" t="s">
        <v>1123</v>
      </c>
      <c r="C1628">
        <v>10</v>
      </c>
      <c r="D1628">
        <v>5</v>
      </c>
      <c r="E1628" t="s">
        <v>910</v>
      </c>
      <c r="F1628">
        <v>0</v>
      </c>
    </row>
    <row r="1629" spans="1:6" x14ac:dyDescent="0.2">
      <c r="A1629">
        <v>2024</v>
      </c>
      <c r="B1629" t="s">
        <v>1123</v>
      </c>
      <c r="C1629">
        <v>10</v>
      </c>
      <c r="D1629">
        <v>5</v>
      </c>
      <c r="E1629" t="s">
        <v>910</v>
      </c>
      <c r="F1629">
        <v>0</v>
      </c>
    </row>
    <row r="1630" spans="1:6" x14ac:dyDescent="0.2">
      <c r="A1630">
        <v>2025</v>
      </c>
      <c r="B1630" t="s">
        <v>1123</v>
      </c>
      <c r="C1630">
        <v>20</v>
      </c>
      <c r="D1630">
        <v>5</v>
      </c>
      <c r="E1630" t="s">
        <v>910</v>
      </c>
      <c r="F1630">
        <v>0</v>
      </c>
    </row>
    <row r="1631" spans="1:6" x14ac:dyDescent="0.2">
      <c r="A1631">
        <v>2016</v>
      </c>
      <c r="B1631" t="s">
        <v>504</v>
      </c>
      <c r="C1631">
        <v>15</v>
      </c>
      <c r="D1631">
        <v>5</v>
      </c>
      <c r="E1631" t="s">
        <v>910</v>
      </c>
      <c r="F1631">
        <v>0</v>
      </c>
    </row>
    <row r="1632" spans="1:6" x14ac:dyDescent="0.2">
      <c r="A1632">
        <v>2017</v>
      </c>
      <c r="B1632" t="s">
        <v>504</v>
      </c>
      <c r="C1632">
        <v>15</v>
      </c>
      <c r="D1632">
        <v>5</v>
      </c>
      <c r="E1632" t="s">
        <v>910</v>
      </c>
      <c r="F1632">
        <v>0</v>
      </c>
    </row>
    <row r="1633" spans="1:6" x14ac:dyDescent="0.2">
      <c r="A1633">
        <v>2018</v>
      </c>
      <c r="B1633" t="s">
        <v>504</v>
      </c>
      <c r="C1633">
        <v>25</v>
      </c>
      <c r="D1633">
        <v>10</v>
      </c>
      <c r="E1633" t="s">
        <v>910</v>
      </c>
      <c r="F1633">
        <v>0</v>
      </c>
    </row>
    <row r="1634" spans="1:6" x14ac:dyDescent="0.2">
      <c r="A1634">
        <v>2019</v>
      </c>
      <c r="B1634" t="s">
        <v>504</v>
      </c>
      <c r="C1634">
        <v>25</v>
      </c>
      <c r="D1634">
        <v>10</v>
      </c>
      <c r="E1634" t="s">
        <v>910</v>
      </c>
      <c r="F1634">
        <v>0</v>
      </c>
    </row>
    <row r="1635" spans="1:6" x14ac:dyDescent="0.2">
      <c r="A1635">
        <v>2020</v>
      </c>
      <c r="B1635" t="s">
        <v>504</v>
      </c>
      <c r="C1635">
        <v>25</v>
      </c>
      <c r="D1635">
        <v>5</v>
      </c>
      <c r="E1635" t="s">
        <v>910</v>
      </c>
      <c r="F1635">
        <v>0</v>
      </c>
    </row>
    <row r="1636" spans="1:6" x14ac:dyDescent="0.2">
      <c r="A1636">
        <v>2021</v>
      </c>
      <c r="B1636" t="s">
        <v>504</v>
      </c>
      <c r="C1636">
        <v>35</v>
      </c>
      <c r="D1636">
        <v>5</v>
      </c>
      <c r="E1636" t="s">
        <v>910</v>
      </c>
      <c r="F1636">
        <v>0</v>
      </c>
    </row>
    <row r="1637" spans="1:6" x14ac:dyDescent="0.2">
      <c r="A1637">
        <v>2022</v>
      </c>
      <c r="B1637" t="s">
        <v>504</v>
      </c>
      <c r="C1637">
        <v>30</v>
      </c>
      <c r="D1637">
        <v>15</v>
      </c>
      <c r="E1637" t="s">
        <v>302</v>
      </c>
      <c r="F1637">
        <v>0</v>
      </c>
    </row>
    <row r="1638" spans="1:6" x14ac:dyDescent="0.2">
      <c r="A1638">
        <v>2023</v>
      </c>
      <c r="B1638" t="s">
        <v>504</v>
      </c>
      <c r="C1638">
        <v>35</v>
      </c>
      <c r="D1638">
        <v>15</v>
      </c>
      <c r="E1638" t="s">
        <v>75</v>
      </c>
      <c r="F1638">
        <v>0</v>
      </c>
    </row>
    <row r="1639" spans="1:6" x14ac:dyDescent="0.2">
      <c r="A1639">
        <v>2024</v>
      </c>
      <c r="B1639" t="s">
        <v>504</v>
      </c>
      <c r="C1639">
        <v>40</v>
      </c>
      <c r="D1639">
        <v>15</v>
      </c>
      <c r="E1639" t="s">
        <v>1009</v>
      </c>
      <c r="F1639">
        <v>0</v>
      </c>
    </row>
    <row r="1640" spans="1:6" x14ac:dyDescent="0.2">
      <c r="A1640">
        <v>2025</v>
      </c>
      <c r="B1640" t="s">
        <v>504</v>
      </c>
      <c r="C1640">
        <v>30</v>
      </c>
      <c r="D1640">
        <v>10</v>
      </c>
      <c r="E1640" t="s">
        <v>910</v>
      </c>
      <c r="F1640">
        <v>0</v>
      </c>
    </row>
    <row r="1641" spans="1:6" x14ac:dyDescent="0.2">
      <c r="A1641">
        <v>2017</v>
      </c>
      <c r="B1641" t="s">
        <v>508</v>
      </c>
      <c r="C1641">
        <v>5</v>
      </c>
      <c r="D1641">
        <v>0</v>
      </c>
      <c r="E1641" t="s">
        <v>910</v>
      </c>
      <c r="F1641">
        <v>0</v>
      </c>
    </row>
    <row r="1642" spans="1:6" x14ac:dyDescent="0.2">
      <c r="A1642">
        <v>2018</v>
      </c>
      <c r="B1642" t="s">
        <v>508</v>
      </c>
      <c r="C1642">
        <v>5</v>
      </c>
      <c r="D1642">
        <v>0</v>
      </c>
      <c r="E1642" t="s">
        <v>910</v>
      </c>
      <c r="F1642">
        <v>0</v>
      </c>
    </row>
    <row r="1643" spans="1:6" x14ac:dyDescent="0.2">
      <c r="A1643">
        <v>2019</v>
      </c>
      <c r="B1643" t="s">
        <v>508</v>
      </c>
      <c r="C1643">
        <v>5</v>
      </c>
      <c r="D1643">
        <v>0</v>
      </c>
      <c r="E1643" t="s">
        <v>910</v>
      </c>
      <c r="F1643">
        <v>0</v>
      </c>
    </row>
    <row r="1644" spans="1:6" x14ac:dyDescent="0.2">
      <c r="A1644">
        <v>2020</v>
      </c>
      <c r="B1644" t="s">
        <v>508</v>
      </c>
      <c r="C1644">
        <v>5</v>
      </c>
      <c r="D1644">
        <v>0</v>
      </c>
      <c r="E1644" t="s">
        <v>910</v>
      </c>
      <c r="F1644">
        <v>0</v>
      </c>
    </row>
    <row r="1645" spans="1:6" x14ac:dyDescent="0.2">
      <c r="A1645">
        <v>2022</v>
      </c>
      <c r="B1645" t="s">
        <v>508</v>
      </c>
      <c r="C1645">
        <v>5</v>
      </c>
      <c r="D1645">
        <v>0</v>
      </c>
      <c r="E1645" t="s">
        <v>910</v>
      </c>
      <c r="F1645">
        <v>0</v>
      </c>
    </row>
    <row r="1646" spans="1:6" x14ac:dyDescent="0.2">
      <c r="A1646">
        <v>2018</v>
      </c>
      <c r="B1646" t="s">
        <v>1124</v>
      </c>
      <c r="C1646">
        <v>5</v>
      </c>
      <c r="D1646">
        <v>5</v>
      </c>
      <c r="E1646" t="s">
        <v>910</v>
      </c>
      <c r="F1646">
        <v>0</v>
      </c>
    </row>
    <row r="1647" spans="1:6" x14ac:dyDescent="0.2">
      <c r="A1647">
        <v>2016</v>
      </c>
      <c r="B1647" t="s">
        <v>454</v>
      </c>
      <c r="C1647">
        <v>10</v>
      </c>
      <c r="D1647">
        <v>5</v>
      </c>
      <c r="E1647" t="s">
        <v>910</v>
      </c>
      <c r="F1647">
        <v>0</v>
      </c>
    </row>
    <row r="1648" spans="1:6" x14ac:dyDescent="0.2">
      <c r="A1648">
        <v>2017</v>
      </c>
      <c r="B1648" t="s">
        <v>454</v>
      </c>
      <c r="C1648">
        <v>5</v>
      </c>
      <c r="D1648">
        <v>0</v>
      </c>
      <c r="E1648" t="s">
        <v>910</v>
      </c>
      <c r="F1648">
        <v>0</v>
      </c>
    </row>
    <row r="1649" spans="1:6" x14ac:dyDescent="0.2">
      <c r="A1649">
        <v>2018</v>
      </c>
      <c r="B1649" t="s">
        <v>454</v>
      </c>
      <c r="C1649">
        <v>5</v>
      </c>
      <c r="D1649">
        <v>0</v>
      </c>
      <c r="E1649" t="s">
        <v>910</v>
      </c>
      <c r="F1649">
        <v>0</v>
      </c>
    </row>
    <row r="1650" spans="1:6" x14ac:dyDescent="0.2">
      <c r="A1650">
        <v>2020</v>
      </c>
      <c r="B1650" t="s">
        <v>454</v>
      </c>
      <c r="C1650">
        <v>10</v>
      </c>
      <c r="D1650">
        <v>5</v>
      </c>
      <c r="E1650" t="s">
        <v>910</v>
      </c>
      <c r="F1650">
        <v>0</v>
      </c>
    </row>
    <row r="1651" spans="1:6" x14ac:dyDescent="0.2">
      <c r="A1651">
        <v>2021</v>
      </c>
      <c r="B1651" t="s">
        <v>454</v>
      </c>
      <c r="C1651">
        <v>15</v>
      </c>
      <c r="D1651">
        <v>5</v>
      </c>
      <c r="E1651" t="s">
        <v>910</v>
      </c>
      <c r="F1651">
        <v>0</v>
      </c>
    </row>
    <row r="1652" spans="1:6" x14ac:dyDescent="0.2">
      <c r="A1652">
        <v>2022</v>
      </c>
      <c r="B1652" t="s">
        <v>454</v>
      </c>
      <c r="C1652">
        <v>10</v>
      </c>
      <c r="D1652">
        <v>5</v>
      </c>
      <c r="E1652" t="s">
        <v>910</v>
      </c>
      <c r="F1652">
        <v>0</v>
      </c>
    </row>
    <row r="1653" spans="1:6" x14ac:dyDescent="0.2">
      <c r="A1653">
        <v>2023</v>
      </c>
      <c r="B1653" t="s">
        <v>454</v>
      </c>
      <c r="C1653">
        <v>15</v>
      </c>
      <c r="D1653">
        <v>5</v>
      </c>
      <c r="E1653" t="s">
        <v>910</v>
      </c>
      <c r="F1653">
        <v>0</v>
      </c>
    </row>
    <row r="1654" spans="1:6" x14ac:dyDescent="0.2">
      <c r="A1654">
        <v>2024</v>
      </c>
      <c r="B1654" t="s">
        <v>454</v>
      </c>
      <c r="C1654">
        <v>15</v>
      </c>
      <c r="D1654">
        <v>5</v>
      </c>
      <c r="E1654" t="s">
        <v>910</v>
      </c>
      <c r="F1654">
        <v>0</v>
      </c>
    </row>
    <row r="1655" spans="1:6" x14ac:dyDescent="0.2">
      <c r="A1655">
        <v>2025</v>
      </c>
      <c r="B1655" t="s">
        <v>454</v>
      </c>
      <c r="C1655">
        <v>15</v>
      </c>
      <c r="D1655">
        <v>5</v>
      </c>
      <c r="E1655" t="s">
        <v>910</v>
      </c>
      <c r="F1655">
        <v>0</v>
      </c>
    </row>
    <row r="1656" spans="1:6" x14ac:dyDescent="0.2">
      <c r="A1656">
        <v>2016</v>
      </c>
      <c r="B1656" t="s">
        <v>518</v>
      </c>
      <c r="C1656">
        <v>15</v>
      </c>
      <c r="D1656">
        <v>5</v>
      </c>
      <c r="E1656" t="s">
        <v>910</v>
      </c>
      <c r="F1656">
        <v>0</v>
      </c>
    </row>
    <row r="1657" spans="1:6" x14ac:dyDescent="0.2">
      <c r="A1657">
        <v>2017</v>
      </c>
      <c r="B1657" t="s">
        <v>518</v>
      </c>
      <c r="C1657">
        <v>10</v>
      </c>
      <c r="D1657">
        <v>5</v>
      </c>
      <c r="E1657" t="s">
        <v>910</v>
      </c>
      <c r="F1657">
        <v>0</v>
      </c>
    </row>
    <row r="1658" spans="1:6" x14ac:dyDescent="0.2">
      <c r="A1658">
        <v>2018</v>
      </c>
      <c r="B1658" t="s">
        <v>518</v>
      </c>
      <c r="C1658">
        <v>15</v>
      </c>
      <c r="D1658">
        <v>5</v>
      </c>
      <c r="E1658" t="s">
        <v>910</v>
      </c>
      <c r="F1658">
        <v>0</v>
      </c>
    </row>
    <row r="1659" spans="1:6" x14ac:dyDescent="0.2">
      <c r="A1659">
        <v>2019</v>
      </c>
      <c r="B1659" t="s">
        <v>518</v>
      </c>
      <c r="C1659">
        <v>15</v>
      </c>
      <c r="D1659">
        <v>10</v>
      </c>
      <c r="E1659" t="s">
        <v>910</v>
      </c>
      <c r="F1659">
        <v>0</v>
      </c>
    </row>
    <row r="1660" spans="1:6" x14ac:dyDescent="0.2">
      <c r="A1660">
        <v>2020</v>
      </c>
      <c r="B1660" t="s">
        <v>518</v>
      </c>
      <c r="C1660">
        <v>10</v>
      </c>
      <c r="D1660">
        <v>5</v>
      </c>
      <c r="E1660" t="s">
        <v>910</v>
      </c>
      <c r="F1660">
        <v>0</v>
      </c>
    </row>
    <row r="1661" spans="1:6" x14ac:dyDescent="0.2">
      <c r="A1661">
        <v>2021</v>
      </c>
      <c r="B1661" t="s">
        <v>518</v>
      </c>
      <c r="C1661">
        <v>5</v>
      </c>
      <c r="D1661">
        <v>0</v>
      </c>
      <c r="E1661" t="s">
        <v>910</v>
      </c>
      <c r="F1661">
        <v>0</v>
      </c>
    </row>
    <row r="1662" spans="1:6" x14ac:dyDescent="0.2">
      <c r="A1662">
        <v>2022</v>
      </c>
      <c r="B1662" t="s">
        <v>518</v>
      </c>
      <c r="C1662">
        <v>10</v>
      </c>
      <c r="D1662">
        <v>5</v>
      </c>
      <c r="E1662" t="s">
        <v>910</v>
      </c>
      <c r="F1662">
        <v>0</v>
      </c>
    </row>
    <row r="1663" spans="1:6" x14ac:dyDescent="0.2">
      <c r="A1663">
        <v>2023</v>
      </c>
      <c r="B1663" t="s">
        <v>518</v>
      </c>
      <c r="C1663">
        <v>10</v>
      </c>
      <c r="D1663">
        <v>5</v>
      </c>
      <c r="E1663" t="s">
        <v>910</v>
      </c>
      <c r="F1663">
        <v>0</v>
      </c>
    </row>
    <row r="1664" spans="1:6" x14ac:dyDescent="0.2">
      <c r="A1664">
        <v>2024</v>
      </c>
      <c r="B1664" t="s">
        <v>518</v>
      </c>
      <c r="C1664">
        <v>10</v>
      </c>
      <c r="D1664">
        <v>5</v>
      </c>
      <c r="E1664" t="s">
        <v>910</v>
      </c>
      <c r="F1664">
        <v>0</v>
      </c>
    </row>
    <row r="1665" spans="1:6" x14ac:dyDescent="0.2">
      <c r="A1665">
        <v>2025</v>
      </c>
      <c r="B1665" t="s">
        <v>518</v>
      </c>
      <c r="C1665">
        <v>5</v>
      </c>
      <c r="D1665">
        <v>5</v>
      </c>
      <c r="E1665" t="s">
        <v>910</v>
      </c>
      <c r="F1665">
        <v>0</v>
      </c>
    </row>
    <row r="1666" spans="1:6" x14ac:dyDescent="0.2">
      <c r="A1666">
        <v>2016</v>
      </c>
      <c r="B1666" t="s">
        <v>520</v>
      </c>
      <c r="C1666">
        <v>20</v>
      </c>
      <c r="D1666">
        <v>5</v>
      </c>
      <c r="E1666" t="s">
        <v>910</v>
      </c>
      <c r="F1666">
        <v>0</v>
      </c>
    </row>
    <row r="1667" spans="1:6" x14ac:dyDescent="0.2">
      <c r="A1667">
        <v>2017</v>
      </c>
      <c r="B1667" t="s">
        <v>520</v>
      </c>
      <c r="C1667">
        <v>25</v>
      </c>
      <c r="D1667">
        <v>5</v>
      </c>
      <c r="E1667" t="s">
        <v>910</v>
      </c>
      <c r="F1667">
        <v>0</v>
      </c>
    </row>
    <row r="1668" spans="1:6" x14ac:dyDescent="0.2">
      <c r="A1668">
        <v>2018</v>
      </c>
      <c r="B1668" t="s">
        <v>520</v>
      </c>
      <c r="C1668">
        <v>20</v>
      </c>
      <c r="D1668">
        <v>5</v>
      </c>
      <c r="E1668" t="s">
        <v>910</v>
      </c>
      <c r="F1668">
        <v>0</v>
      </c>
    </row>
    <row r="1669" spans="1:6" x14ac:dyDescent="0.2">
      <c r="A1669">
        <v>2019</v>
      </c>
      <c r="B1669" t="s">
        <v>520</v>
      </c>
      <c r="C1669">
        <v>25</v>
      </c>
      <c r="D1669">
        <v>5</v>
      </c>
      <c r="E1669" t="s">
        <v>910</v>
      </c>
      <c r="F1669">
        <v>0</v>
      </c>
    </row>
    <row r="1670" spans="1:6" x14ac:dyDescent="0.2">
      <c r="A1670">
        <v>2020</v>
      </c>
      <c r="B1670" t="s">
        <v>520</v>
      </c>
      <c r="C1670">
        <v>30</v>
      </c>
      <c r="D1670">
        <v>5</v>
      </c>
      <c r="E1670" t="s">
        <v>910</v>
      </c>
      <c r="F1670">
        <v>0</v>
      </c>
    </row>
    <row r="1671" spans="1:6" x14ac:dyDescent="0.2">
      <c r="A1671">
        <v>2021</v>
      </c>
      <c r="B1671" t="s">
        <v>520</v>
      </c>
      <c r="C1671">
        <v>10</v>
      </c>
      <c r="D1671">
        <v>0</v>
      </c>
      <c r="E1671" t="s">
        <v>910</v>
      </c>
      <c r="F1671">
        <v>0</v>
      </c>
    </row>
    <row r="1672" spans="1:6" x14ac:dyDescent="0.2">
      <c r="A1672">
        <v>2022</v>
      </c>
      <c r="B1672" t="s">
        <v>520</v>
      </c>
      <c r="C1672">
        <v>15</v>
      </c>
      <c r="D1672">
        <v>5</v>
      </c>
      <c r="E1672" t="s">
        <v>910</v>
      </c>
      <c r="F1672">
        <v>0</v>
      </c>
    </row>
    <row r="1673" spans="1:6" x14ac:dyDescent="0.2">
      <c r="A1673">
        <v>2023</v>
      </c>
      <c r="B1673" t="s">
        <v>520</v>
      </c>
      <c r="C1673">
        <v>25</v>
      </c>
      <c r="D1673">
        <v>5</v>
      </c>
      <c r="E1673" t="s">
        <v>910</v>
      </c>
      <c r="F1673">
        <v>0</v>
      </c>
    </row>
    <row r="1674" spans="1:6" x14ac:dyDescent="0.2">
      <c r="A1674">
        <v>2024</v>
      </c>
      <c r="B1674" t="s">
        <v>520</v>
      </c>
      <c r="C1674">
        <v>25</v>
      </c>
      <c r="D1674">
        <v>5</v>
      </c>
      <c r="E1674" t="s">
        <v>910</v>
      </c>
      <c r="F1674">
        <v>0</v>
      </c>
    </row>
    <row r="1675" spans="1:6" x14ac:dyDescent="0.2">
      <c r="A1675">
        <v>2025</v>
      </c>
      <c r="B1675" t="s">
        <v>520</v>
      </c>
      <c r="C1675">
        <v>25</v>
      </c>
      <c r="D1675">
        <v>10</v>
      </c>
      <c r="E1675" t="s">
        <v>910</v>
      </c>
      <c r="F1675">
        <v>0</v>
      </c>
    </row>
    <row r="1676" spans="1:6" x14ac:dyDescent="0.2">
      <c r="A1676">
        <v>2016</v>
      </c>
      <c r="B1676" t="s">
        <v>534</v>
      </c>
      <c r="C1676">
        <v>170</v>
      </c>
      <c r="D1676">
        <v>105</v>
      </c>
      <c r="E1676" t="s">
        <v>1125</v>
      </c>
      <c r="F1676">
        <v>0</v>
      </c>
    </row>
    <row r="1677" spans="1:6" x14ac:dyDescent="0.2">
      <c r="A1677">
        <v>2017</v>
      </c>
      <c r="B1677" t="s">
        <v>534</v>
      </c>
      <c r="C1677">
        <v>150</v>
      </c>
      <c r="D1677">
        <v>95</v>
      </c>
      <c r="E1677" t="s">
        <v>215</v>
      </c>
      <c r="F1677">
        <v>0</v>
      </c>
    </row>
    <row r="1678" spans="1:6" x14ac:dyDescent="0.2">
      <c r="A1678">
        <v>2018</v>
      </c>
      <c r="B1678" t="s">
        <v>534</v>
      </c>
      <c r="C1678">
        <v>60</v>
      </c>
      <c r="D1678">
        <v>20</v>
      </c>
      <c r="E1678" t="s">
        <v>1095</v>
      </c>
      <c r="F1678">
        <v>0</v>
      </c>
    </row>
    <row r="1679" spans="1:6" x14ac:dyDescent="0.2">
      <c r="A1679">
        <v>2019</v>
      </c>
      <c r="B1679" t="s">
        <v>534</v>
      </c>
      <c r="C1679">
        <v>70</v>
      </c>
      <c r="D1679">
        <v>30</v>
      </c>
      <c r="E1679" t="s">
        <v>304</v>
      </c>
      <c r="F1679">
        <v>0</v>
      </c>
    </row>
    <row r="1680" spans="1:6" x14ac:dyDescent="0.2">
      <c r="A1680">
        <v>2020</v>
      </c>
      <c r="B1680" t="s">
        <v>534</v>
      </c>
      <c r="C1680">
        <v>85</v>
      </c>
      <c r="D1680">
        <v>40</v>
      </c>
      <c r="E1680" t="s">
        <v>149</v>
      </c>
      <c r="F1680">
        <v>0</v>
      </c>
    </row>
    <row r="1681" spans="1:6" x14ac:dyDescent="0.2">
      <c r="A1681">
        <v>2021</v>
      </c>
      <c r="B1681" t="s">
        <v>534</v>
      </c>
      <c r="C1681">
        <v>95</v>
      </c>
      <c r="D1681">
        <v>45</v>
      </c>
      <c r="E1681" t="s">
        <v>51</v>
      </c>
      <c r="F1681">
        <v>0</v>
      </c>
    </row>
    <row r="1682" spans="1:6" x14ac:dyDescent="0.2">
      <c r="A1682">
        <v>2022</v>
      </c>
      <c r="B1682" t="s">
        <v>534</v>
      </c>
      <c r="C1682">
        <v>75</v>
      </c>
      <c r="D1682">
        <v>25</v>
      </c>
      <c r="E1682" t="s">
        <v>1027</v>
      </c>
      <c r="F1682">
        <v>0</v>
      </c>
    </row>
    <row r="1683" spans="1:6" x14ac:dyDescent="0.2">
      <c r="A1683">
        <v>2023</v>
      </c>
      <c r="B1683" t="s">
        <v>534</v>
      </c>
      <c r="C1683">
        <v>75</v>
      </c>
      <c r="D1683">
        <v>35</v>
      </c>
      <c r="E1683" t="s">
        <v>162</v>
      </c>
      <c r="F1683">
        <v>0</v>
      </c>
    </row>
    <row r="1684" spans="1:6" x14ac:dyDescent="0.2">
      <c r="A1684">
        <v>2024</v>
      </c>
      <c r="B1684" t="s">
        <v>534</v>
      </c>
      <c r="C1684">
        <v>75</v>
      </c>
      <c r="D1684">
        <v>30</v>
      </c>
      <c r="E1684" t="s">
        <v>1055</v>
      </c>
      <c r="F1684">
        <v>0</v>
      </c>
    </row>
    <row r="1685" spans="1:6" x14ac:dyDescent="0.2">
      <c r="A1685">
        <v>2025</v>
      </c>
      <c r="B1685" t="s">
        <v>534</v>
      </c>
      <c r="C1685">
        <v>50</v>
      </c>
      <c r="D1685">
        <v>20</v>
      </c>
      <c r="E1685" t="s">
        <v>351</v>
      </c>
      <c r="F1685">
        <v>0</v>
      </c>
    </row>
    <row r="1686" spans="1:6" x14ac:dyDescent="0.2">
      <c r="A1686">
        <v>2016</v>
      </c>
      <c r="B1686" t="s">
        <v>765</v>
      </c>
      <c r="C1686">
        <v>30</v>
      </c>
      <c r="D1686">
        <v>10</v>
      </c>
      <c r="E1686" t="s">
        <v>977</v>
      </c>
      <c r="F1686">
        <v>0</v>
      </c>
    </row>
    <row r="1687" spans="1:6" x14ac:dyDescent="0.2">
      <c r="A1687">
        <v>2017</v>
      </c>
      <c r="B1687" t="s">
        <v>765</v>
      </c>
      <c r="C1687">
        <v>35</v>
      </c>
      <c r="D1687">
        <v>10</v>
      </c>
      <c r="E1687" t="s">
        <v>910</v>
      </c>
      <c r="F1687">
        <v>0</v>
      </c>
    </row>
    <row r="1688" spans="1:6" x14ac:dyDescent="0.2">
      <c r="A1688">
        <v>2018</v>
      </c>
      <c r="B1688" t="s">
        <v>765</v>
      </c>
      <c r="C1688">
        <v>15</v>
      </c>
      <c r="D1688">
        <v>5</v>
      </c>
      <c r="E1688" t="s">
        <v>910</v>
      </c>
      <c r="F1688">
        <v>0</v>
      </c>
    </row>
    <row r="1689" spans="1:6" x14ac:dyDescent="0.2">
      <c r="A1689">
        <v>2019</v>
      </c>
      <c r="B1689" t="s">
        <v>765</v>
      </c>
      <c r="C1689">
        <v>20</v>
      </c>
      <c r="D1689">
        <v>5</v>
      </c>
      <c r="E1689" t="s">
        <v>910</v>
      </c>
      <c r="F1689">
        <v>0</v>
      </c>
    </row>
    <row r="1690" spans="1:6" x14ac:dyDescent="0.2">
      <c r="A1690">
        <v>2020</v>
      </c>
      <c r="B1690" t="s">
        <v>765</v>
      </c>
      <c r="C1690">
        <v>20</v>
      </c>
      <c r="D1690">
        <v>0</v>
      </c>
      <c r="E1690" t="s">
        <v>910</v>
      </c>
      <c r="F1690">
        <v>0</v>
      </c>
    </row>
    <row r="1691" spans="1:6" x14ac:dyDescent="0.2">
      <c r="A1691">
        <v>2021</v>
      </c>
      <c r="B1691" t="s">
        <v>765</v>
      </c>
      <c r="C1691">
        <v>20</v>
      </c>
      <c r="D1691">
        <v>10</v>
      </c>
      <c r="E1691" t="s">
        <v>1102</v>
      </c>
      <c r="F1691">
        <v>0</v>
      </c>
    </row>
    <row r="1692" spans="1:6" x14ac:dyDescent="0.2">
      <c r="A1692">
        <v>2022</v>
      </c>
      <c r="B1692" t="s">
        <v>765</v>
      </c>
      <c r="C1692">
        <v>15</v>
      </c>
      <c r="D1692">
        <v>5</v>
      </c>
      <c r="E1692" t="s">
        <v>910</v>
      </c>
      <c r="F1692">
        <v>0</v>
      </c>
    </row>
    <row r="1693" spans="1:6" x14ac:dyDescent="0.2">
      <c r="A1693">
        <v>2023</v>
      </c>
      <c r="B1693" t="s">
        <v>765</v>
      </c>
      <c r="C1693">
        <v>15</v>
      </c>
      <c r="D1693">
        <v>5</v>
      </c>
      <c r="E1693" t="s">
        <v>910</v>
      </c>
      <c r="F1693">
        <v>0</v>
      </c>
    </row>
    <row r="1694" spans="1:6" x14ac:dyDescent="0.2">
      <c r="A1694">
        <v>2024</v>
      </c>
      <c r="B1694" t="s">
        <v>765</v>
      </c>
      <c r="C1694">
        <v>15</v>
      </c>
      <c r="D1694">
        <v>5</v>
      </c>
      <c r="E1694" t="s">
        <v>910</v>
      </c>
      <c r="F1694">
        <v>0</v>
      </c>
    </row>
    <row r="1695" spans="1:6" x14ac:dyDescent="0.2">
      <c r="A1695">
        <v>2025</v>
      </c>
      <c r="B1695" t="s">
        <v>765</v>
      </c>
      <c r="C1695">
        <v>15</v>
      </c>
      <c r="D1695">
        <v>5</v>
      </c>
      <c r="E1695" t="s">
        <v>910</v>
      </c>
      <c r="F1695">
        <v>0</v>
      </c>
    </row>
    <row r="1696" spans="1:6" x14ac:dyDescent="0.2">
      <c r="A1696">
        <v>2016</v>
      </c>
      <c r="B1696" t="s">
        <v>541</v>
      </c>
      <c r="C1696">
        <v>45</v>
      </c>
      <c r="D1696">
        <v>10</v>
      </c>
      <c r="E1696" t="s">
        <v>910</v>
      </c>
      <c r="F1696">
        <v>0</v>
      </c>
    </row>
    <row r="1697" spans="1:6" x14ac:dyDescent="0.2">
      <c r="A1697">
        <v>2017</v>
      </c>
      <c r="B1697" t="s">
        <v>541</v>
      </c>
      <c r="C1697">
        <v>45</v>
      </c>
      <c r="D1697">
        <v>15</v>
      </c>
      <c r="E1697" t="s">
        <v>1094</v>
      </c>
      <c r="F1697">
        <v>5</v>
      </c>
    </row>
    <row r="1698" spans="1:6" x14ac:dyDescent="0.2">
      <c r="A1698">
        <v>2018</v>
      </c>
      <c r="B1698" t="s">
        <v>541</v>
      </c>
      <c r="C1698">
        <v>55</v>
      </c>
      <c r="D1698">
        <v>20</v>
      </c>
      <c r="E1698" t="s">
        <v>278</v>
      </c>
      <c r="F1698">
        <v>0</v>
      </c>
    </row>
    <row r="1699" spans="1:6" x14ac:dyDescent="0.2">
      <c r="A1699">
        <v>2019</v>
      </c>
      <c r="B1699" t="s">
        <v>541</v>
      </c>
      <c r="C1699">
        <v>55</v>
      </c>
      <c r="D1699">
        <v>15</v>
      </c>
      <c r="E1699" t="s">
        <v>1126</v>
      </c>
      <c r="F1699">
        <v>0</v>
      </c>
    </row>
    <row r="1700" spans="1:6" x14ac:dyDescent="0.2">
      <c r="A1700">
        <v>2020</v>
      </c>
      <c r="B1700" t="s">
        <v>541</v>
      </c>
      <c r="C1700">
        <v>60</v>
      </c>
      <c r="D1700">
        <v>15</v>
      </c>
      <c r="E1700" t="s">
        <v>971</v>
      </c>
      <c r="F1700">
        <v>0</v>
      </c>
    </row>
    <row r="1701" spans="1:6" x14ac:dyDescent="0.2">
      <c r="A1701">
        <v>2021</v>
      </c>
      <c r="B1701" t="s">
        <v>541</v>
      </c>
      <c r="C1701">
        <v>55</v>
      </c>
      <c r="D1701">
        <v>15</v>
      </c>
      <c r="E1701" t="s">
        <v>1013</v>
      </c>
      <c r="F1701">
        <v>0</v>
      </c>
    </row>
    <row r="1702" spans="1:6" x14ac:dyDescent="0.2">
      <c r="A1702">
        <v>2022</v>
      </c>
      <c r="B1702" t="s">
        <v>541</v>
      </c>
      <c r="C1702">
        <v>55</v>
      </c>
      <c r="D1702">
        <v>15</v>
      </c>
      <c r="E1702" t="s">
        <v>1127</v>
      </c>
      <c r="F1702">
        <v>5</v>
      </c>
    </row>
    <row r="1703" spans="1:6" x14ac:dyDescent="0.2">
      <c r="A1703">
        <v>2023</v>
      </c>
      <c r="B1703" t="s">
        <v>541</v>
      </c>
      <c r="C1703">
        <v>75</v>
      </c>
      <c r="D1703">
        <v>10</v>
      </c>
      <c r="E1703" t="s">
        <v>1128</v>
      </c>
      <c r="F1703">
        <v>0</v>
      </c>
    </row>
    <row r="1704" spans="1:6" x14ac:dyDescent="0.2">
      <c r="A1704">
        <v>2024</v>
      </c>
      <c r="B1704" t="s">
        <v>541</v>
      </c>
      <c r="C1704">
        <v>65</v>
      </c>
      <c r="D1704">
        <v>10</v>
      </c>
      <c r="E1704" t="s">
        <v>1129</v>
      </c>
      <c r="F1704">
        <v>0</v>
      </c>
    </row>
    <row r="1705" spans="1:6" x14ac:dyDescent="0.2">
      <c r="A1705">
        <v>2025</v>
      </c>
      <c r="B1705" t="s">
        <v>541</v>
      </c>
      <c r="C1705">
        <v>90</v>
      </c>
      <c r="D1705">
        <v>20</v>
      </c>
      <c r="E1705" t="s">
        <v>1130</v>
      </c>
      <c r="F1705">
        <v>10</v>
      </c>
    </row>
    <row r="1706" spans="1:6" x14ac:dyDescent="0.2">
      <c r="A1706">
        <v>2016</v>
      </c>
      <c r="B1706" t="s">
        <v>1131</v>
      </c>
      <c r="C1706">
        <v>10</v>
      </c>
      <c r="D1706">
        <v>10</v>
      </c>
      <c r="E1706" t="s">
        <v>910</v>
      </c>
      <c r="F1706">
        <v>0</v>
      </c>
    </row>
    <row r="1707" spans="1:6" x14ac:dyDescent="0.2">
      <c r="A1707">
        <v>2017</v>
      </c>
      <c r="B1707" t="s">
        <v>1131</v>
      </c>
      <c r="C1707">
        <v>20</v>
      </c>
      <c r="D1707">
        <v>15</v>
      </c>
      <c r="E1707" t="s">
        <v>881</v>
      </c>
      <c r="F1707">
        <v>0</v>
      </c>
    </row>
    <row r="1708" spans="1:6" x14ac:dyDescent="0.2">
      <c r="A1708">
        <v>2018</v>
      </c>
      <c r="B1708" t="s">
        <v>1131</v>
      </c>
      <c r="C1708">
        <v>10</v>
      </c>
      <c r="D1708">
        <v>10</v>
      </c>
      <c r="E1708" t="s">
        <v>910</v>
      </c>
      <c r="F1708">
        <v>0</v>
      </c>
    </row>
    <row r="1709" spans="1:6" x14ac:dyDescent="0.2">
      <c r="A1709">
        <v>2019</v>
      </c>
      <c r="B1709" t="s">
        <v>1131</v>
      </c>
      <c r="C1709">
        <v>10</v>
      </c>
      <c r="D1709">
        <v>10</v>
      </c>
      <c r="E1709" t="s">
        <v>910</v>
      </c>
      <c r="F1709">
        <v>0</v>
      </c>
    </row>
    <row r="1710" spans="1:6" x14ac:dyDescent="0.2">
      <c r="A1710">
        <v>2020</v>
      </c>
      <c r="B1710" t="s">
        <v>1131</v>
      </c>
      <c r="C1710">
        <v>10</v>
      </c>
      <c r="D1710">
        <v>5</v>
      </c>
      <c r="E1710" t="s">
        <v>910</v>
      </c>
      <c r="F1710">
        <v>0</v>
      </c>
    </row>
    <row r="1711" spans="1:6" x14ac:dyDescent="0.2">
      <c r="A1711">
        <v>2021</v>
      </c>
      <c r="B1711" t="s">
        <v>1131</v>
      </c>
      <c r="C1711">
        <v>5</v>
      </c>
      <c r="D1711">
        <v>5</v>
      </c>
      <c r="E1711" t="s">
        <v>910</v>
      </c>
      <c r="F1711">
        <v>0</v>
      </c>
    </row>
    <row r="1712" spans="1:6" x14ac:dyDescent="0.2">
      <c r="A1712">
        <v>2022</v>
      </c>
      <c r="B1712" t="s">
        <v>1131</v>
      </c>
      <c r="C1712">
        <v>10</v>
      </c>
      <c r="D1712">
        <v>5</v>
      </c>
      <c r="E1712" t="s">
        <v>910</v>
      </c>
      <c r="F1712">
        <v>0</v>
      </c>
    </row>
    <row r="1713" spans="1:6" x14ac:dyDescent="0.2">
      <c r="A1713">
        <v>2023</v>
      </c>
      <c r="B1713" t="s">
        <v>1131</v>
      </c>
      <c r="C1713">
        <v>10</v>
      </c>
      <c r="D1713">
        <v>10</v>
      </c>
      <c r="E1713" t="s">
        <v>910</v>
      </c>
      <c r="F1713">
        <v>0</v>
      </c>
    </row>
    <row r="1714" spans="1:6" x14ac:dyDescent="0.2">
      <c r="A1714">
        <v>2024</v>
      </c>
      <c r="B1714" t="s">
        <v>1131</v>
      </c>
      <c r="C1714">
        <v>10</v>
      </c>
      <c r="D1714">
        <v>5</v>
      </c>
      <c r="E1714" t="s">
        <v>910</v>
      </c>
      <c r="F1714">
        <v>0</v>
      </c>
    </row>
    <row r="1715" spans="1:6" x14ac:dyDescent="0.2">
      <c r="A1715">
        <v>2025</v>
      </c>
      <c r="B1715" t="s">
        <v>1131</v>
      </c>
      <c r="C1715">
        <v>10</v>
      </c>
      <c r="D1715">
        <v>10</v>
      </c>
      <c r="E1715" t="s">
        <v>1075</v>
      </c>
      <c r="F1715">
        <v>0</v>
      </c>
    </row>
    <row r="1716" spans="1:6" x14ac:dyDescent="0.2">
      <c r="A1716">
        <v>2016</v>
      </c>
      <c r="B1716" t="s">
        <v>545</v>
      </c>
      <c r="C1716">
        <v>10</v>
      </c>
      <c r="D1716">
        <v>0</v>
      </c>
      <c r="E1716" t="s">
        <v>910</v>
      </c>
      <c r="F1716">
        <v>0</v>
      </c>
    </row>
    <row r="1717" spans="1:6" x14ac:dyDescent="0.2">
      <c r="A1717">
        <v>2017</v>
      </c>
      <c r="B1717" t="s">
        <v>545</v>
      </c>
      <c r="C1717">
        <v>10</v>
      </c>
      <c r="D1717">
        <v>0</v>
      </c>
      <c r="E1717" t="s">
        <v>910</v>
      </c>
      <c r="F1717">
        <v>0</v>
      </c>
    </row>
    <row r="1718" spans="1:6" x14ac:dyDescent="0.2">
      <c r="A1718">
        <v>2018</v>
      </c>
      <c r="B1718" t="s">
        <v>545</v>
      </c>
      <c r="C1718">
        <v>5</v>
      </c>
      <c r="D1718">
        <v>0</v>
      </c>
      <c r="E1718" t="s">
        <v>910</v>
      </c>
      <c r="F1718">
        <v>0</v>
      </c>
    </row>
    <row r="1719" spans="1:6" x14ac:dyDescent="0.2">
      <c r="A1719">
        <v>2019</v>
      </c>
      <c r="B1719" t="s">
        <v>545</v>
      </c>
      <c r="C1719">
        <v>15</v>
      </c>
      <c r="D1719">
        <v>5</v>
      </c>
      <c r="E1719" t="s">
        <v>910</v>
      </c>
      <c r="F1719">
        <v>0</v>
      </c>
    </row>
    <row r="1720" spans="1:6" x14ac:dyDescent="0.2">
      <c r="A1720">
        <v>2020</v>
      </c>
      <c r="B1720" t="s">
        <v>545</v>
      </c>
      <c r="C1720">
        <v>10</v>
      </c>
      <c r="D1720">
        <v>5</v>
      </c>
      <c r="E1720" t="s">
        <v>910</v>
      </c>
      <c r="F1720">
        <v>0</v>
      </c>
    </row>
    <row r="1721" spans="1:6" x14ac:dyDescent="0.2">
      <c r="A1721">
        <v>2021</v>
      </c>
      <c r="B1721" t="s">
        <v>545</v>
      </c>
      <c r="C1721">
        <v>5</v>
      </c>
      <c r="D1721">
        <v>5</v>
      </c>
      <c r="E1721" t="s">
        <v>910</v>
      </c>
      <c r="F1721">
        <v>0</v>
      </c>
    </row>
    <row r="1722" spans="1:6" x14ac:dyDescent="0.2">
      <c r="A1722">
        <v>2022</v>
      </c>
      <c r="B1722" t="s">
        <v>545</v>
      </c>
      <c r="C1722">
        <v>5</v>
      </c>
      <c r="D1722">
        <v>0</v>
      </c>
      <c r="E1722" t="s">
        <v>910</v>
      </c>
      <c r="F1722">
        <v>0</v>
      </c>
    </row>
    <row r="1723" spans="1:6" x14ac:dyDescent="0.2">
      <c r="A1723">
        <v>2023</v>
      </c>
      <c r="B1723" t="s">
        <v>545</v>
      </c>
      <c r="C1723">
        <v>5</v>
      </c>
      <c r="D1723">
        <v>0</v>
      </c>
      <c r="E1723" t="s">
        <v>910</v>
      </c>
      <c r="F1723">
        <v>0</v>
      </c>
    </row>
    <row r="1724" spans="1:6" x14ac:dyDescent="0.2">
      <c r="A1724">
        <v>2024</v>
      </c>
      <c r="B1724" t="s">
        <v>545</v>
      </c>
      <c r="C1724">
        <v>5</v>
      </c>
      <c r="D1724">
        <v>0</v>
      </c>
      <c r="E1724" t="s">
        <v>910</v>
      </c>
      <c r="F1724">
        <v>0</v>
      </c>
    </row>
    <row r="1725" spans="1:6" x14ac:dyDescent="0.2">
      <c r="A1725">
        <v>2025</v>
      </c>
      <c r="B1725" t="s">
        <v>545</v>
      </c>
      <c r="C1725">
        <v>5</v>
      </c>
      <c r="D1725">
        <v>0</v>
      </c>
      <c r="E1725" t="s">
        <v>910</v>
      </c>
      <c r="F1725">
        <v>0</v>
      </c>
    </row>
    <row r="1726" spans="1:6" x14ac:dyDescent="0.2">
      <c r="A1726">
        <v>2016</v>
      </c>
      <c r="B1726" t="s">
        <v>1132</v>
      </c>
      <c r="C1726">
        <v>360</v>
      </c>
      <c r="D1726">
        <v>225</v>
      </c>
      <c r="E1726" t="s">
        <v>1103</v>
      </c>
      <c r="F1726">
        <v>0</v>
      </c>
    </row>
    <row r="1727" spans="1:6" x14ac:dyDescent="0.2">
      <c r="A1727">
        <v>2017</v>
      </c>
      <c r="B1727" t="s">
        <v>1132</v>
      </c>
      <c r="C1727">
        <v>450</v>
      </c>
      <c r="D1727">
        <v>240</v>
      </c>
      <c r="E1727" t="s">
        <v>381</v>
      </c>
      <c r="F1727">
        <v>0</v>
      </c>
    </row>
    <row r="1728" spans="1:6" x14ac:dyDescent="0.2">
      <c r="A1728">
        <v>2018</v>
      </c>
      <c r="B1728" t="s">
        <v>1132</v>
      </c>
      <c r="C1728">
        <v>480</v>
      </c>
      <c r="D1728">
        <v>280</v>
      </c>
      <c r="E1728" t="s">
        <v>1133</v>
      </c>
      <c r="F1728">
        <v>5</v>
      </c>
    </row>
    <row r="1729" spans="1:6" x14ac:dyDescent="0.2">
      <c r="A1729">
        <v>2019</v>
      </c>
      <c r="B1729" t="s">
        <v>1132</v>
      </c>
      <c r="C1729">
        <v>540</v>
      </c>
      <c r="D1729">
        <v>285</v>
      </c>
      <c r="E1729" t="s">
        <v>90</v>
      </c>
      <c r="F1729">
        <v>0</v>
      </c>
    </row>
    <row r="1730" spans="1:6" x14ac:dyDescent="0.2">
      <c r="A1730">
        <v>2020</v>
      </c>
      <c r="B1730" t="s">
        <v>1132</v>
      </c>
      <c r="C1730">
        <v>595</v>
      </c>
      <c r="D1730">
        <v>295</v>
      </c>
      <c r="E1730" t="s">
        <v>44</v>
      </c>
      <c r="F1730">
        <v>5</v>
      </c>
    </row>
    <row r="1731" spans="1:6" x14ac:dyDescent="0.2">
      <c r="A1731">
        <v>2021</v>
      </c>
      <c r="B1731" t="s">
        <v>1132</v>
      </c>
      <c r="C1731">
        <v>550</v>
      </c>
      <c r="D1731">
        <v>250</v>
      </c>
      <c r="E1731" t="s">
        <v>33</v>
      </c>
      <c r="F1731">
        <v>0</v>
      </c>
    </row>
    <row r="1732" spans="1:6" x14ac:dyDescent="0.2">
      <c r="A1732">
        <v>2022</v>
      </c>
      <c r="B1732" t="s">
        <v>1132</v>
      </c>
      <c r="C1732">
        <v>565</v>
      </c>
      <c r="D1732">
        <v>250</v>
      </c>
      <c r="E1732" t="s">
        <v>306</v>
      </c>
      <c r="F1732">
        <v>0</v>
      </c>
    </row>
    <row r="1733" spans="1:6" x14ac:dyDescent="0.2">
      <c r="A1733">
        <v>2023</v>
      </c>
      <c r="B1733" t="s">
        <v>1132</v>
      </c>
      <c r="C1733">
        <v>535</v>
      </c>
      <c r="D1733">
        <v>240</v>
      </c>
      <c r="E1733" t="s">
        <v>84</v>
      </c>
      <c r="F1733">
        <v>0</v>
      </c>
    </row>
    <row r="1734" spans="1:6" x14ac:dyDescent="0.2">
      <c r="A1734">
        <v>2024</v>
      </c>
      <c r="B1734" t="s">
        <v>1132</v>
      </c>
      <c r="C1734">
        <v>530</v>
      </c>
      <c r="D1734">
        <v>240</v>
      </c>
      <c r="E1734" t="s">
        <v>1134</v>
      </c>
      <c r="F1734">
        <v>0</v>
      </c>
    </row>
    <row r="1735" spans="1:6" x14ac:dyDescent="0.2">
      <c r="A1735">
        <v>2025</v>
      </c>
      <c r="B1735" t="s">
        <v>1132</v>
      </c>
      <c r="C1735">
        <v>525</v>
      </c>
      <c r="D1735">
        <v>245</v>
      </c>
      <c r="E1735" t="s">
        <v>149</v>
      </c>
      <c r="F1735">
        <v>0</v>
      </c>
    </row>
    <row r="1736" spans="1:6" x14ac:dyDescent="0.2">
      <c r="A1736">
        <v>2016</v>
      </c>
      <c r="B1736" t="s">
        <v>551</v>
      </c>
      <c r="C1736">
        <v>20</v>
      </c>
      <c r="D1736">
        <v>5</v>
      </c>
      <c r="E1736" t="s">
        <v>910</v>
      </c>
      <c r="F1736">
        <v>0</v>
      </c>
    </row>
    <row r="1737" spans="1:6" x14ac:dyDescent="0.2">
      <c r="A1737">
        <v>2017</v>
      </c>
      <c r="B1737" t="s">
        <v>551</v>
      </c>
      <c r="C1737">
        <v>10</v>
      </c>
      <c r="D1737">
        <v>5</v>
      </c>
      <c r="E1737" t="s">
        <v>910</v>
      </c>
      <c r="F1737">
        <v>0</v>
      </c>
    </row>
    <row r="1738" spans="1:6" x14ac:dyDescent="0.2">
      <c r="A1738">
        <v>2018</v>
      </c>
      <c r="B1738" t="s">
        <v>551</v>
      </c>
      <c r="C1738">
        <v>5</v>
      </c>
      <c r="D1738">
        <v>0</v>
      </c>
      <c r="E1738" t="s">
        <v>910</v>
      </c>
      <c r="F1738">
        <v>0</v>
      </c>
    </row>
    <row r="1739" spans="1:6" x14ac:dyDescent="0.2">
      <c r="A1739">
        <v>2019</v>
      </c>
      <c r="B1739" t="s">
        <v>551</v>
      </c>
      <c r="C1739">
        <v>10</v>
      </c>
      <c r="D1739">
        <v>5</v>
      </c>
      <c r="E1739" t="s">
        <v>910</v>
      </c>
      <c r="F1739">
        <v>0</v>
      </c>
    </row>
    <row r="1740" spans="1:6" x14ac:dyDescent="0.2">
      <c r="A1740">
        <v>2020</v>
      </c>
      <c r="B1740" t="s">
        <v>551</v>
      </c>
      <c r="C1740">
        <v>15</v>
      </c>
      <c r="D1740">
        <v>5</v>
      </c>
      <c r="E1740" t="s">
        <v>910</v>
      </c>
      <c r="F1740">
        <v>0</v>
      </c>
    </row>
    <row r="1741" spans="1:6" x14ac:dyDescent="0.2">
      <c r="A1741">
        <v>2021</v>
      </c>
      <c r="B1741" t="s">
        <v>551</v>
      </c>
      <c r="C1741">
        <v>10</v>
      </c>
      <c r="D1741">
        <v>5</v>
      </c>
      <c r="E1741" t="s">
        <v>910</v>
      </c>
      <c r="F1741">
        <v>0</v>
      </c>
    </row>
    <row r="1742" spans="1:6" x14ac:dyDescent="0.2">
      <c r="A1742">
        <v>2022</v>
      </c>
      <c r="B1742" t="s">
        <v>551</v>
      </c>
      <c r="C1742">
        <v>5</v>
      </c>
      <c r="D1742">
        <v>0</v>
      </c>
      <c r="E1742" t="s">
        <v>910</v>
      </c>
      <c r="F1742">
        <v>0</v>
      </c>
    </row>
    <row r="1743" spans="1:6" x14ac:dyDescent="0.2">
      <c r="A1743">
        <v>2023</v>
      </c>
      <c r="B1743" t="s">
        <v>551</v>
      </c>
      <c r="C1743">
        <v>5</v>
      </c>
      <c r="D1743">
        <v>5</v>
      </c>
      <c r="E1743" t="s">
        <v>910</v>
      </c>
      <c r="F1743">
        <v>0</v>
      </c>
    </row>
    <row r="1744" spans="1:6" x14ac:dyDescent="0.2">
      <c r="A1744">
        <v>2024</v>
      </c>
      <c r="B1744" t="s">
        <v>551</v>
      </c>
      <c r="C1744">
        <v>30</v>
      </c>
      <c r="D1744">
        <v>10</v>
      </c>
      <c r="E1744" t="s">
        <v>1093</v>
      </c>
      <c r="F1744">
        <v>0</v>
      </c>
    </row>
    <row r="1745" spans="1:6" x14ac:dyDescent="0.2">
      <c r="A1745">
        <v>2025</v>
      </c>
      <c r="B1745" t="s">
        <v>551</v>
      </c>
      <c r="C1745">
        <v>20</v>
      </c>
      <c r="D1745">
        <v>5</v>
      </c>
      <c r="E1745" t="s">
        <v>910</v>
      </c>
      <c r="F1745">
        <v>0</v>
      </c>
    </row>
    <row r="1746" spans="1:6" x14ac:dyDescent="0.2">
      <c r="A1746">
        <v>2016</v>
      </c>
      <c r="B1746" t="s">
        <v>1135</v>
      </c>
      <c r="C1746">
        <v>40</v>
      </c>
      <c r="D1746">
        <v>10</v>
      </c>
      <c r="E1746" t="s">
        <v>1000</v>
      </c>
      <c r="F1746">
        <v>0</v>
      </c>
    </row>
    <row r="1747" spans="1:6" x14ac:dyDescent="0.2">
      <c r="A1747">
        <v>2017</v>
      </c>
      <c r="B1747" t="s">
        <v>1135</v>
      </c>
      <c r="C1747">
        <v>50</v>
      </c>
      <c r="D1747">
        <v>15</v>
      </c>
      <c r="E1747" t="s">
        <v>986</v>
      </c>
      <c r="F1747">
        <v>0</v>
      </c>
    </row>
    <row r="1748" spans="1:6" x14ac:dyDescent="0.2">
      <c r="A1748">
        <v>2018</v>
      </c>
      <c r="B1748" t="s">
        <v>1135</v>
      </c>
      <c r="C1748">
        <v>45</v>
      </c>
      <c r="D1748">
        <v>15</v>
      </c>
      <c r="E1748" t="s">
        <v>1136</v>
      </c>
      <c r="F1748">
        <v>0</v>
      </c>
    </row>
    <row r="1749" spans="1:6" x14ac:dyDescent="0.2">
      <c r="A1749">
        <v>2019</v>
      </c>
      <c r="B1749" t="s">
        <v>1135</v>
      </c>
      <c r="C1749">
        <v>65</v>
      </c>
      <c r="D1749">
        <v>20</v>
      </c>
      <c r="E1749" t="s">
        <v>992</v>
      </c>
      <c r="F1749">
        <v>0</v>
      </c>
    </row>
    <row r="1750" spans="1:6" x14ac:dyDescent="0.2">
      <c r="A1750">
        <v>2020</v>
      </c>
      <c r="B1750" t="s">
        <v>1135</v>
      </c>
      <c r="C1750">
        <v>50</v>
      </c>
      <c r="D1750">
        <v>15</v>
      </c>
      <c r="E1750" t="s">
        <v>356</v>
      </c>
      <c r="F1750">
        <v>5</v>
      </c>
    </row>
    <row r="1751" spans="1:6" x14ac:dyDescent="0.2">
      <c r="A1751">
        <v>2021</v>
      </c>
      <c r="B1751" t="s">
        <v>1135</v>
      </c>
      <c r="C1751">
        <v>55</v>
      </c>
      <c r="D1751">
        <v>25</v>
      </c>
      <c r="E1751" t="s">
        <v>345</v>
      </c>
      <c r="F1751">
        <v>0</v>
      </c>
    </row>
    <row r="1752" spans="1:6" x14ac:dyDescent="0.2">
      <c r="A1752">
        <v>2022</v>
      </c>
      <c r="B1752" t="s">
        <v>1135</v>
      </c>
      <c r="C1752">
        <v>65</v>
      </c>
      <c r="D1752">
        <v>15</v>
      </c>
      <c r="E1752" t="s">
        <v>1037</v>
      </c>
      <c r="F1752">
        <v>0</v>
      </c>
    </row>
    <row r="1753" spans="1:6" x14ac:dyDescent="0.2">
      <c r="A1753">
        <v>2023</v>
      </c>
      <c r="B1753" t="s">
        <v>1135</v>
      </c>
      <c r="C1753">
        <v>65</v>
      </c>
      <c r="D1753">
        <v>15</v>
      </c>
      <c r="E1753" t="s">
        <v>1137</v>
      </c>
      <c r="F1753">
        <v>0</v>
      </c>
    </row>
    <row r="1754" spans="1:6" x14ac:dyDescent="0.2">
      <c r="A1754">
        <v>2024</v>
      </c>
      <c r="B1754" t="s">
        <v>1135</v>
      </c>
      <c r="C1754">
        <v>60</v>
      </c>
      <c r="D1754">
        <v>15</v>
      </c>
      <c r="E1754" t="s">
        <v>1138</v>
      </c>
      <c r="F1754">
        <v>10</v>
      </c>
    </row>
    <row r="1755" spans="1:6" x14ac:dyDescent="0.2">
      <c r="A1755">
        <v>2025</v>
      </c>
      <c r="B1755" t="s">
        <v>1135</v>
      </c>
      <c r="C1755">
        <v>50</v>
      </c>
      <c r="D1755">
        <v>15</v>
      </c>
      <c r="E1755" t="s">
        <v>975</v>
      </c>
      <c r="F1755">
        <v>0</v>
      </c>
    </row>
    <row r="1756" spans="1:6" x14ac:dyDescent="0.2">
      <c r="A1756">
        <v>2016</v>
      </c>
      <c r="B1756" t="s">
        <v>557</v>
      </c>
      <c r="C1756">
        <v>300</v>
      </c>
      <c r="D1756">
        <v>105</v>
      </c>
      <c r="E1756" t="s">
        <v>288</v>
      </c>
      <c r="F1756">
        <v>10</v>
      </c>
    </row>
    <row r="1757" spans="1:6" x14ac:dyDescent="0.2">
      <c r="A1757">
        <v>2017</v>
      </c>
      <c r="B1757" t="s">
        <v>557</v>
      </c>
      <c r="C1757">
        <v>360</v>
      </c>
      <c r="D1757">
        <v>140</v>
      </c>
      <c r="E1757" t="s">
        <v>980</v>
      </c>
      <c r="F1757">
        <v>5</v>
      </c>
    </row>
    <row r="1758" spans="1:6" x14ac:dyDescent="0.2">
      <c r="A1758">
        <v>2018</v>
      </c>
      <c r="B1758" t="s">
        <v>557</v>
      </c>
      <c r="C1758">
        <v>410</v>
      </c>
      <c r="D1758">
        <v>155</v>
      </c>
      <c r="E1758" t="s">
        <v>277</v>
      </c>
      <c r="F1758">
        <v>10</v>
      </c>
    </row>
    <row r="1759" spans="1:6" x14ac:dyDescent="0.2">
      <c r="A1759">
        <v>2019</v>
      </c>
      <c r="B1759" t="s">
        <v>557</v>
      </c>
      <c r="C1759">
        <v>510</v>
      </c>
      <c r="D1759">
        <v>185</v>
      </c>
      <c r="E1759" t="s">
        <v>959</v>
      </c>
      <c r="F1759">
        <v>10</v>
      </c>
    </row>
    <row r="1760" spans="1:6" x14ac:dyDescent="0.2">
      <c r="A1760">
        <v>2020</v>
      </c>
      <c r="B1760" t="s">
        <v>557</v>
      </c>
      <c r="C1760">
        <v>485</v>
      </c>
      <c r="D1760">
        <v>195</v>
      </c>
      <c r="E1760" t="s">
        <v>95</v>
      </c>
      <c r="F1760">
        <v>10</v>
      </c>
    </row>
    <row r="1761" spans="1:6" x14ac:dyDescent="0.2">
      <c r="A1761">
        <v>2021</v>
      </c>
      <c r="B1761" t="s">
        <v>557</v>
      </c>
      <c r="C1761">
        <v>610</v>
      </c>
      <c r="D1761">
        <v>220</v>
      </c>
      <c r="E1761" t="s">
        <v>959</v>
      </c>
      <c r="F1761">
        <v>10</v>
      </c>
    </row>
    <row r="1762" spans="1:6" x14ac:dyDescent="0.2">
      <c r="A1762">
        <v>2022</v>
      </c>
      <c r="B1762" t="s">
        <v>557</v>
      </c>
      <c r="C1762">
        <v>960</v>
      </c>
      <c r="D1762">
        <v>295</v>
      </c>
      <c r="E1762" t="s">
        <v>202</v>
      </c>
      <c r="F1762">
        <v>25</v>
      </c>
    </row>
    <row r="1763" spans="1:6" x14ac:dyDescent="0.2">
      <c r="A1763">
        <v>2023</v>
      </c>
      <c r="B1763" t="s">
        <v>557</v>
      </c>
      <c r="C1763">
        <v>1170</v>
      </c>
      <c r="D1763">
        <v>320</v>
      </c>
      <c r="E1763" t="s">
        <v>983</v>
      </c>
      <c r="F1763">
        <v>25</v>
      </c>
    </row>
    <row r="1764" spans="1:6" x14ac:dyDescent="0.2">
      <c r="A1764">
        <v>2024</v>
      </c>
      <c r="B1764" t="s">
        <v>557</v>
      </c>
      <c r="C1764">
        <v>1025</v>
      </c>
      <c r="D1764">
        <v>310</v>
      </c>
      <c r="E1764" t="s">
        <v>1117</v>
      </c>
      <c r="F1764">
        <v>30</v>
      </c>
    </row>
    <row r="1765" spans="1:6" x14ac:dyDescent="0.2">
      <c r="A1765">
        <v>2025</v>
      </c>
      <c r="B1765" t="s">
        <v>557</v>
      </c>
      <c r="C1765">
        <v>1050</v>
      </c>
      <c r="D1765">
        <v>295</v>
      </c>
      <c r="E1765" t="s">
        <v>1115</v>
      </c>
      <c r="F1765">
        <v>40</v>
      </c>
    </row>
    <row r="1766" spans="1:6" x14ac:dyDescent="0.2">
      <c r="A1766">
        <v>2016</v>
      </c>
      <c r="B1766" t="s">
        <v>559</v>
      </c>
      <c r="C1766">
        <v>300</v>
      </c>
      <c r="D1766">
        <v>265</v>
      </c>
      <c r="E1766" t="s">
        <v>1072</v>
      </c>
      <c r="F1766">
        <v>0</v>
      </c>
    </row>
    <row r="1767" spans="1:6" x14ac:dyDescent="0.2">
      <c r="A1767">
        <v>2017</v>
      </c>
      <c r="B1767" t="s">
        <v>559</v>
      </c>
      <c r="C1767">
        <v>300</v>
      </c>
      <c r="D1767">
        <v>265</v>
      </c>
      <c r="E1767" t="s">
        <v>1139</v>
      </c>
      <c r="F1767">
        <v>0</v>
      </c>
    </row>
    <row r="1768" spans="1:6" x14ac:dyDescent="0.2">
      <c r="A1768">
        <v>2018</v>
      </c>
      <c r="B1768" t="s">
        <v>559</v>
      </c>
      <c r="C1768">
        <v>300</v>
      </c>
      <c r="D1768">
        <v>265</v>
      </c>
      <c r="E1768" t="s">
        <v>1140</v>
      </c>
      <c r="F1768">
        <v>5</v>
      </c>
    </row>
    <row r="1769" spans="1:6" x14ac:dyDescent="0.2">
      <c r="A1769">
        <v>2019</v>
      </c>
      <c r="B1769" t="s">
        <v>559</v>
      </c>
      <c r="C1769">
        <v>350</v>
      </c>
      <c r="D1769">
        <v>315</v>
      </c>
      <c r="E1769" t="s">
        <v>1141</v>
      </c>
      <c r="F1769">
        <v>0</v>
      </c>
    </row>
    <row r="1770" spans="1:6" x14ac:dyDescent="0.2">
      <c r="A1770">
        <v>2020</v>
      </c>
      <c r="B1770" t="s">
        <v>559</v>
      </c>
      <c r="C1770">
        <v>305</v>
      </c>
      <c r="D1770">
        <v>285</v>
      </c>
      <c r="E1770" t="s">
        <v>1142</v>
      </c>
      <c r="F1770">
        <v>0</v>
      </c>
    </row>
    <row r="1771" spans="1:6" x14ac:dyDescent="0.2">
      <c r="A1771">
        <v>2021</v>
      </c>
      <c r="B1771" t="s">
        <v>559</v>
      </c>
      <c r="C1771">
        <v>285</v>
      </c>
      <c r="D1771">
        <v>255</v>
      </c>
      <c r="E1771" t="s">
        <v>1143</v>
      </c>
      <c r="F1771">
        <v>0</v>
      </c>
    </row>
    <row r="1772" spans="1:6" x14ac:dyDescent="0.2">
      <c r="A1772">
        <v>2022</v>
      </c>
      <c r="B1772" t="s">
        <v>559</v>
      </c>
      <c r="C1772">
        <v>330</v>
      </c>
      <c r="D1772">
        <v>275</v>
      </c>
      <c r="E1772" t="s">
        <v>1144</v>
      </c>
      <c r="F1772">
        <v>0</v>
      </c>
    </row>
    <row r="1773" spans="1:6" x14ac:dyDescent="0.2">
      <c r="A1773">
        <v>2023</v>
      </c>
      <c r="B1773" t="s">
        <v>559</v>
      </c>
      <c r="C1773">
        <v>330</v>
      </c>
      <c r="D1773">
        <v>270</v>
      </c>
      <c r="E1773" t="s">
        <v>875</v>
      </c>
      <c r="F1773">
        <v>0</v>
      </c>
    </row>
    <row r="1774" spans="1:6" x14ac:dyDescent="0.2">
      <c r="A1774">
        <v>2024</v>
      </c>
      <c r="B1774" t="s">
        <v>559</v>
      </c>
      <c r="C1774">
        <v>335</v>
      </c>
      <c r="D1774">
        <v>285</v>
      </c>
      <c r="E1774" t="s">
        <v>1145</v>
      </c>
      <c r="F1774">
        <v>0</v>
      </c>
    </row>
    <row r="1775" spans="1:6" x14ac:dyDescent="0.2">
      <c r="A1775">
        <v>2025</v>
      </c>
      <c r="B1775" t="s">
        <v>559</v>
      </c>
      <c r="C1775">
        <v>315</v>
      </c>
      <c r="D1775">
        <v>275</v>
      </c>
      <c r="E1775" t="s">
        <v>1020</v>
      </c>
      <c r="F1775">
        <v>0</v>
      </c>
    </row>
    <row r="1776" spans="1:6" x14ac:dyDescent="0.2">
      <c r="A1776">
        <v>2016</v>
      </c>
      <c r="B1776" t="s">
        <v>569</v>
      </c>
      <c r="C1776">
        <v>15</v>
      </c>
      <c r="D1776">
        <v>5</v>
      </c>
      <c r="E1776" t="s">
        <v>910</v>
      </c>
      <c r="F1776">
        <v>0</v>
      </c>
    </row>
    <row r="1777" spans="1:6" x14ac:dyDescent="0.2">
      <c r="A1777">
        <v>2017</v>
      </c>
      <c r="B1777" t="s">
        <v>569</v>
      </c>
      <c r="C1777">
        <v>15</v>
      </c>
      <c r="D1777">
        <v>5</v>
      </c>
      <c r="E1777" t="s">
        <v>910</v>
      </c>
      <c r="F1777">
        <v>0</v>
      </c>
    </row>
    <row r="1778" spans="1:6" x14ac:dyDescent="0.2">
      <c r="A1778">
        <v>2018</v>
      </c>
      <c r="B1778" t="s">
        <v>569</v>
      </c>
      <c r="C1778">
        <v>10</v>
      </c>
      <c r="D1778">
        <v>5</v>
      </c>
      <c r="E1778" t="s">
        <v>910</v>
      </c>
      <c r="F1778">
        <v>0</v>
      </c>
    </row>
    <row r="1779" spans="1:6" x14ac:dyDescent="0.2">
      <c r="A1779">
        <v>2019</v>
      </c>
      <c r="B1779" t="s">
        <v>569</v>
      </c>
      <c r="C1779">
        <v>15</v>
      </c>
      <c r="D1779">
        <v>5</v>
      </c>
      <c r="E1779" t="s">
        <v>910</v>
      </c>
      <c r="F1779">
        <v>0</v>
      </c>
    </row>
    <row r="1780" spans="1:6" x14ac:dyDescent="0.2">
      <c r="A1780">
        <v>2020</v>
      </c>
      <c r="B1780" t="s">
        <v>569</v>
      </c>
      <c r="C1780">
        <v>10</v>
      </c>
      <c r="D1780">
        <v>5</v>
      </c>
      <c r="E1780" t="s">
        <v>910</v>
      </c>
      <c r="F1780">
        <v>0</v>
      </c>
    </row>
    <row r="1781" spans="1:6" x14ac:dyDescent="0.2">
      <c r="A1781">
        <v>2021</v>
      </c>
      <c r="B1781" t="s">
        <v>569</v>
      </c>
      <c r="C1781">
        <v>10</v>
      </c>
      <c r="D1781">
        <v>5</v>
      </c>
      <c r="E1781" t="s">
        <v>910</v>
      </c>
      <c r="F1781">
        <v>0</v>
      </c>
    </row>
    <row r="1782" spans="1:6" x14ac:dyDescent="0.2">
      <c r="A1782">
        <v>2022</v>
      </c>
      <c r="B1782" t="s">
        <v>569</v>
      </c>
      <c r="C1782">
        <v>15</v>
      </c>
      <c r="D1782">
        <v>5</v>
      </c>
      <c r="E1782" t="s">
        <v>910</v>
      </c>
      <c r="F1782">
        <v>0</v>
      </c>
    </row>
    <row r="1783" spans="1:6" x14ac:dyDescent="0.2">
      <c r="A1783">
        <v>2023</v>
      </c>
      <c r="B1783" t="s">
        <v>569</v>
      </c>
      <c r="C1783">
        <v>15</v>
      </c>
      <c r="D1783">
        <v>0</v>
      </c>
      <c r="E1783" t="s">
        <v>910</v>
      </c>
      <c r="F1783">
        <v>0</v>
      </c>
    </row>
    <row r="1784" spans="1:6" x14ac:dyDescent="0.2">
      <c r="A1784">
        <v>2024</v>
      </c>
      <c r="B1784" t="s">
        <v>569</v>
      </c>
      <c r="C1784">
        <v>10</v>
      </c>
      <c r="D1784">
        <v>0</v>
      </c>
      <c r="E1784" t="s">
        <v>910</v>
      </c>
      <c r="F1784">
        <v>0</v>
      </c>
    </row>
    <row r="1785" spans="1:6" x14ac:dyDescent="0.2">
      <c r="A1785">
        <v>2025</v>
      </c>
      <c r="B1785" t="s">
        <v>569</v>
      </c>
      <c r="C1785">
        <v>15</v>
      </c>
      <c r="D1785">
        <v>10</v>
      </c>
      <c r="E1785" t="s">
        <v>910</v>
      </c>
      <c r="F1785">
        <v>0</v>
      </c>
    </row>
    <row r="1786" spans="1:6" x14ac:dyDescent="0.2">
      <c r="A1786">
        <v>2016</v>
      </c>
      <c r="B1786" t="s">
        <v>573</v>
      </c>
      <c r="C1786">
        <v>20</v>
      </c>
      <c r="D1786">
        <v>5</v>
      </c>
      <c r="E1786" t="s">
        <v>910</v>
      </c>
      <c r="F1786">
        <v>0</v>
      </c>
    </row>
    <row r="1787" spans="1:6" x14ac:dyDescent="0.2">
      <c r="A1787">
        <v>2017</v>
      </c>
      <c r="B1787" t="s">
        <v>573</v>
      </c>
      <c r="C1787">
        <v>15</v>
      </c>
      <c r="D1787">
        <v>5</v>
      </c>
      <c r="E1787" t="s">
        <v>910</v>
      </c>
      <c r="F1787">
        <v>0</v>
      </c>
    </row>
    <row r="1788" spans="1:6" x14ac:dyDescent="0.2">
      <c r="A1788">
        <v>2018</v>
      </c>
      <c r="B1788" t="s">
        <v>573</v>
      </c>
      <c r="C1788">
        <v>15</v>
      </c>
      <c r="D1788">
        <v>5</v>
      </c>
      <c r="E1788" t="s">
        <v>910</v>
      </c>
      <c r="F1788">
        <v>0</v>
      </c>
    </row>
    <row r="1789" spans="1:6" x14ac:dyDescent="0.2">
      <c r="A1789">
        <v>2019</v>
      </c>
      <c r="B1789" t="s">
        <v>573</v>
      </c>
      <c r="C1789">
        <v>20</v>
      </c>
      <c r="D1789">
        <v>5</v>
      </c>
      <c r="E1789" t="s">
        <v>910</v>
      </c>
      <c r="F1789">
        <v>0</v>
      </c>
    </row>
    <row r="1790" spans="1:6" x14ac:dyDescent="0.2">
      <c r="A1790">
        <v>2020</v>
      </c>
      <c r="B1790" t="s">
        <v>573</v>
      </c>
      <c r="C1790">
        <v>15</v>
      </c>
      <c r="D1790">
        <v>5</v>
      </c>
      <c r="E1790" t="s">
        <v>910</v>
      </c>
      <c r="F1790">
        <v>0</v>
      </c>
    </row>
    <row r="1791" spans="1:6" x14ac:dyDescent="0.2">
      <c r="A1791">
        <v>2021</v>
      </c>
      <c r="B1791" t="s">
        <v>573</v>
      </c>
      <c r="C1791">
        <v>25</v>
      </c>
      <c r="D1791">
        <v>5</v>
      </c>
      <c r="E1791" t="s">
        <v>910</v>
      </c>
      <c r="F1791">
        <v>0</v>
      </c>
    </row>
    <row r="1792" spans="1:6" x14ac:dyDescent="0.2">
      <c r="A1792">
        <v>2022</v>
      </c>
      <c r="B1792" t="s">
        <v>573</v>
      </c>
      <c r="C1792">
        <v>35</v>
      </c>
      <c r="D1792">
        <v>5</v>
      </c>
      <c r="E1792" t="s">
        <v>910</v>
      </c>
      <c r="F1792">
        <v>0</v>
      </c>
    </row>
    <row r="1793" spans="1:6" x14ac:dyDescent="0.2">
      <c r="A1793">
        <v>2023</v>
      </c>
      <c r="B1793" t="s">
        <v>573</v>
      </c>
      <c r="C1793">
        <v>25</v>
      </c>
      <c r="D1793">
        <v>10</v>
      </c>
      <c r="E1793" t="s">
        <v>289</v>
      </c>
      <c r="F1793">
        <v>0</v>
      </c>
    </row>
    <row r="1794" spans="1:6" x14ac:dyDescent="0.2">
      <c r="A1794">
        <v>2024</v>
      </c>
      <c r="B1794" t="s">
        <v>573</v>
      </c>
      <c r="C1794">
        <v>30</v>
      </c>
      <c r="D1794">
        <v>10</v>
      </c>
      <c r="E1794" t="s">
        <v>910</v>
      </c>
      <c r="F1794">
        <v>0</v>
      </c>
    </row>
    <row r="1795" spans="1:6" x14ac:dyDescent="0.2">
      <c r="A1795">
        <v>2025</v>
      </c>
      <c r="B1795" t="s">
        <v>573</v>
      </c>
      <c r="C1795">
        <v>25</v>
      </c>
      <c r="D1795">
        <v>0</v>
      </c>
      <c r="E1795" t="s">
        <v>910</v>
      </c>
      <c r="F1795">
        <v>0</v>
      </c>
    </row>
    <row r="1796" spans="1:6" x14ac:dyDescent="0.2">
      <c r="A1796">
        <v>2017</v>
      </c>
      <c r="B1796" t="s">
        <v>561</v>
      </c>
      <c r="C1796">
        <v>5</v>
      </c>
      <c r="D1796">
        <v>0</v>
      </c>
      <c r="E1796" t="s">
        <v>910</v>
      </c>
      <c r="F1796">
        <v>0</v>
      </c>
    </row>
    <row r="1797" spans="1:6" x14ac:dyDescent="0.2">
      <c r="A1797">
        <v>2019</v>
      </c>
      <c r="B1797" t="s">
        <v>561</v>
      </c>
      <c r="C1797">
        <v>5</v>
      </c>
      <c r="D1797">
        <v>5</v>
      </c>
      <c r="E1797" t="s">
        <v>910</v>
      </c>
      <c r="F1797">
        <v>0</v>
      </c>
    </row>
    <row r="1798" spans="1:6" x14ac:dyDescent="0.2">
      <c r="A1798">
        <v>2020</v>
      </c>
      <c r="B1798" t="s">
        <v>561</v>
      </c>
      <c r="C1798">
        <v>15</v>
      </c>
      <c r="D1798">
        <v>5</v>
      </c>
      <c r="E1798" t="s">
        <v>910</v>
      </c>
      <c r="F1798">
        <v>0</v>
      </c>
    </row>
    <row r="1799" spans="1:6" x14ac:dyDescent="0.2">
      <c r="A1799">
        <v>2021</v>
      </c>
      <c r="B1799" t="s">
        <v>561</v>
      </c>
      <c r="C1799">
        <v>5</v>
      </c>
      <c r="D1799">
        <v>0</v>
      </c>
      <c r="E1799" t="s">
        <v>910</v>
      </c>
      <c r="F1799">
        <v>0</v>
      </c>
    </row>
    <row r="1800" spans="1:6" x14ac:dyDescent="0.2">
      <c r="A1800">
        <v>2022</v>
      </c>
      <c r="B1800" t="s">
        <v>561</v>
      </c>
      <c r="C1800">
        <v>5</v>
      </c>
      <c r="D1800">
        <v>0</v>
      </c>
      <c r="E1800" t="s">
        <v>910</v>
      </c>
      <c r="F1800">
        <v>0</v>
      </c>
    </row>
    <row r="1801" spans="1:6" x14ac:dyDescent="0.2">
      <c r="A1801">
        <v>2023</v>
      </c>
      <c r="B1801" t="s">
        <v>561</v>
      </c>
      <c r="C1801">
        <v>10</v>
      </c>
      <c r="D1801">
        <v>0</v>
      </c>
      <c r="E1801" t="s">
        <v>910</v>
      </c>
      <c r="F1801">
        <v>0</v>
      </c>
    </row>
    <row r="1802" spans="1:6" x14ac:dyDescent="0.2">
      <c r="A1802">
        <v>2024</v>
      </c>
      <c r="B1802" t="s">
        <v>561</v>
      </c>
      <c r="C1802">
        <v>15</v>
      </c>
      <c r="D1802">
        <v>5</v>
      </c>
      <c r="E1802" t="s">
        <v>910</v>
      </c>
      <c r="F1802">
        <v>0</v>
      </c>
    </row>
    <row r="1803" spans="1:6" x14ac:dyDescent="0.2">
      <c r="A1803">
        <v>2025</v>
      </c>
      <c r="B1803" t="s">
        <v>561</v>
      </c>
      <c r="C1803">
        <v>15</v>
      </c>
      <c r="D1803">
        <v>0</v>
      </c>
      <c r="E1803" t="s">
        <v>910</v>
      </c>
      <c r="F1803">
        <v>0</v>
      </c>
    </row>
    <row r="1804" spans="1:6" x14ac:dyDescent="0.2">
      <c r="A1804">
        <v>2016</v>
      </c>
      <c r="B1804" t="s">
        <v>577</v>
      </c>
      <c r="C1804">
        <v>10</v>
      </c>
      <c r="D1804">
        <v>0</v>
      </c>
      <c r="E1804" t="s">
        <v>910</v>
      </c>
      <c r="F1804">
        <v>0</v>
      </c>
    </row>
    <row r="1805" spans="1:6" x14ac:dyDescent="0.2">
      <c r="A1805">
        <v>2017</v>
      </c>
      <c r="B1805" t="s">
        <v>577</v>
      </c>
      <c r="C1805">
        <v>15</v>
      </c>
      <c r="D1805">
        <v>5</v>
      </c>
      <c r="E1805" t="s">
        <v>910</v>
      </c>
      <c r="F1805">
        <v>0</v>
      </c>
    </row>
    <row r="1806" spans="1:6" x14ac:dyDescent="0.2">
      <c r="A1806">
        <v>2018</v>
      </c>
      <c r="B1806" t="s">
        <v>577</v>
      </c>
      <c r="C1806">
        <v>15</v>
      </c>
      <c r="D1806">
        <v>5</v>
      </c>
      <c r="E1806" t="s">
        <v>910</v>
      </c>
      <c r="F1806">
        <v>0</v>
      </c>
    </row>
    <row r="1807" spans="1:6" x14ac:dyDescent="0.2">
      <c r="A1807">
        <v>2019</v>
      </c>
      <c r="B1807" t="s">
        <v>577</v>
      </c>
      <c r="C1807">
        <v>15</v>
      </c>
      <c r="D1807">
        <v>10</v>
      </c>
      <c r="E1807" t="s">
        <v>368</v>
      </c>
      <c r="F1807">
        <v>0</v>
      </c>
    </row>
    <row r="1808" spans="1:6" x14ac:dyDescent="0.2">
      <c r="A1808">
        <v>2020</v>
      </c>
      <c r="B1808" t="s">
        <v>577</v>
      </c>
      <c r="C1808">
        <v>15</v>
      </c>
      <c r="D1808">
        <v>5</v>
      </c>
      <c r="E1808" t="s">
        <v>910</v>
      </c>
      <c r="F1808">
        <v>0</v>
      </c>
    </row>
    <row r="1809" spans="1:6" x14ac:dyDescent="0.2">
      <c r="A1809">
        <v>2021</v>
      </c>
      <c r="B1809" t="s">
        <v>577</v>
      </c>
      <c r="C1809">
        <v>15</v>
      </c>
      <c r="D1809">
        <v>5</v>
      </c>
      <c r="E1809" t="s">
        <v>910</v>
      </c>
      <c r="F1809">
        <v>0</v>
      </c>
    </row>
    <row r="1810" spans="1:6" x14ac:dyDescent="0.2">
      <c r="A1810">
        <v>2022</v>
      </c>
      <c r="B1810" t="s">
        <v>577</v>
      </c>
      <c r="C1810">
        <v>15</v>
      </c>
      <c r="D1810">
        <v>10</v>
      </c>
      <c r="E1810" t="s">
        <v>243</v>
      </c>
      <c r="F1810">
        <v>0</v>
      </c>
    </row>
    <row r="1811" spans="1:6" x14ac:dyDescent="0.2">
      <c r="A1811">
        <v>2023</v>
      </c>
      <c r="B1811" t="s">
        <v>577</v>
      </c>
      <c r="C1811">
        <v>10</v>
      </c>
      <c r="D1811">
        <v>5</v>
      </c>
      <c r="E1811" t="s">
        <v>910</v>
      </c>
      <c r="F1811">
        <v>0</v>
      </c>
    </row>
    <row r="1812" spans="1:6" x14ac:dyDescent="0.2">
      <c r="A1812">
        <v>2024</v>
      </c>
      <c r="B1812" t="s">
        <v>577</v>
      </c>
      <c r="C1812">
        <v>15</v>
      </c>
      <c r="D1812">
        <v>5</v>
      </c>
      <c r="E1812" t="s">
        <v>910</v>
      </c>
      <c r="F1812">
        <v>0</v>
      </c>
    </row>
    <row r="1813" spans="1:6" x14ac:dyDescent="0.2">
      <c r="A1813">
        <v>2025</v>
      </c>
      <c r="B1813" t="s">
        <v>577</v>
      </c>
      <c r="C1813">
        <v>20</v>
      </c>
      <c r="D1813">
        <v>5</v>
      </c>
      <c r="E1813" t="s">
        <v>910</v>
      </c>
      <c r="F1813">
        <v>0</v>
      </c>
    </row>
    <row r="1814" spans="1:6" x14ac:dyDescent="0.2">
      <c r="A1814">
        <v>2016</v>
      </c>
      <c r="B1814" t="s">
        <v>587</v>
      </c>
      <c r="C1814">
        <v>5</v>
      </c>
      <c r="D1814">
        <v>0</v>
      </c>
      <c r="E1814" t="s">
        <v>910</v>
      </c>
      <c r="F1814">
        <v>0</v>
      </c>
    </row>
    <row r="1815" spans="1:6" x14ac:dyDescent="0.2">
      <c r="A1815">
        <v>2017</v>
      </c>
      <c r="B1815" t="s">
        <v>587</v>
      </c>
      <c r="C1815">
        <v>5</v>
      </c>
      <c r="D1815">
        <v>0</v>
      </c>
      <c r="E1815" t="s">
        <v>910</v>
      </c>
      <c r="F1815">
        <v>0</v>
      </c>
    </row>
    <row r="1816" spans="1:6" x14ac:dyDescent="0.2">
      <c r="A1816">
        <v>2018</v>
      </c>
      <c r="B1816" t="s">
        <v>587</v>
      </c>
      <c r="C1816">
        <v>5</v>
      </c>
      <c r="D1816">
        <v>0</v>
      </c>
      <c r="E1816" t="s">
        <v>910</v>
      </c>
      <c r="F1816">
        <v>0</v>
      </c>
    </row>
    <row r="1817" spans="1:6" x14ac:dyDescent="0.2">
      <c r="A1817">
        <v>2019</v>
      </c>
      <c r="B1817" t="s">
        <v>587</v>
      </c>
      <c r="C1817">
        <v>10</v>
      </c>
      <c r="D1817">
        <v>5</v>
      </c>
      <c r="E1817" t="s">
        <v>910</v>
      </c>
      <c r="F1817">
        <v>0</v>
      </c>
    </row>
    <row r="1818" spans="1:6" x14ac:dyDescent="0.2">
      <c r="A1818">
        <v>2020</v>
      </c>
      <c r="B1818" t="s">
        <v>587</v>
      </c>
      <c r="C1818">
        <v>5</v>
      </c>
      <c r="D1818">
        <v>0</v>
      </c>
      <c r="E1818" t="s">
        <v>910</v>
      </c>
      <c r="F1818">
        <v>0</v>
      </c>
    </row>
    <row r="1819" spans="1:6" x14ac:dyDescent="0.2">
      <c r="A1819">
        <v>2022</v>
      </c>
      <c r="B1819" t="s">
        <v>587</v>
      </c>
      <c r="C1819">
        <v>5</v>
      </c>
      <c r="D1819">
        <v>0</v>
      </c>
      <c r="E1819" t="s">
        <v>910</v>
      </c>
      <c r="F1819">
        <v>0</v>
      </c>
    </row>
    <row r="1820" spans="1:6" x14ac:dyDescent="0.2">
      <c r="A1820">
        <v>2023</v>
      </c>
      <c r="B1820" t="s">
        <v>587</v>
      </c>
      <c r="C1820">
        <v>5</v>
      </c>
      <c r="D1820">
        <v>0</v>
      </c>
      <c r="E1820" t="s">
        <v>910</v>
      </c>
      <c r="F1820">
        <v>0</v>
      </c>
    </row>
    <row r="1821" spans="1:6" x14ac:dyDescent="0.2">
      <c r="A1821">
        <v>2024</v>
      </c>
      <c r="B1821" t="s">
        <v>587</v>
      </c>
      <c r="C1821">
        <v>5</v>
      </c>
      <c r="D1821">
        <v>5</v>
      </c>
      <c r="E1821" t="s">
        <v>910</v>
      </c>
      <c r="F1821">
        <v>0</v>
      </c>
    </row>
    <row r="1822" spans="1:6" x14ac:dyDescent="0.2">
      <c r="A1822">
        <v>2016</v>
      </c>
      <c r="B1822" t="s">
        <v>583</v>
      </c>
      <c r="C1822">
        <v>5</v>
      </c>
      <c r="D1822">
        <v>0</v>
      </c>
      <c r="E1822" t="s">
        <v>910</v>
      </c>
      <c r="F1822">
        <v>0</v>
      </c>
    </row>
    <row r="1823" spans="1:6" x14ac:dyDescent="0.2">
      <c r="A1823">
        <v>2017</v>
      </c>
      <c r="B1823" t="s">
        <v>583</v>
      </c>
      <c r="C1823">
        <v>10</v>
      </c>
      <c r="D1823">
        <v>0</v>
      </c>
      <c r="E1823" t="s">
        <v>910</v>
      </c>
      <c r="F1823">
        <v>0</v>
      </c>
    </row>
    <row r="1824" spans="1:6" x14ac:dyDescent="0.2">
      <c r="A1824">
        <v>2018</v>
      </c>
      <c r="B1824" t="s">
        <v>583</v>
      </c>
      <c r="C1824">
        <v>5</v>
      </c>
      <c r="D1824">
        <v>0</v>
      </c>
      <c r="E1824" t="s">
        <v>910</v>
      </c>
      <c r="F1824">
        <v>0</v>
      </c>
    </row>
    <row r="1825" spans="1:6" x14ac:dyDescent="0.2">
      <c r="A1825">
        <v>2019</v>
      </c>
      <c r="B1825" t="s">
        <v>583</v>
      </c>
      <c r="C1825">
        <v>15</v>
      </c>
      <c r="D1825">
        <v>5</v>
      </c>
      <c r="E1825" t="s">
        <v>910</v>
      </c>
      <c r="F1825">
        <v>0</v>
      </c>
    </row>
    <row r="1826" spans="1:6" x14ac:dyDescent="0.2">
      <c r="A1826">
        <v>2020</v>
      </c>
      <c r="B1826" t="s">
        <v>583</v>
      </c>
      <c r="C1826">
        <v>15</v>
      </c>
      <c r="D1826">
        <v>5</v>
      </c>
      <c r="E1826" t="s">
        <v>910</v>
      </c>
      <c r="F1826">
        <v>0</v>
      </c>
    </row>
    <row r="1827" spans="1:6" x14ac:dyDescent="0.2">
      <c r="A1827">
        <v>2021</v>
      </c>
      <c r="B1827" t="s">
        <v>583</v>
      </c>
      <c r="C1827">
        <v>15</v>
      </c>
      <c r="D1827">
        <v>5</v>
      </c>
      <c r="E1827" t="s">
        <v>910</v>
      </c>
      <c r="F1827">
        <v>0</v>
      </c>
    </row>
    <row r="1828" spans="1:6" x14ac:dyDescent="0.2">
      <c r="A1828">
        <v>2022</v>
      </c>
      <c r="B1828" t="s">
        <v>583</v>
      </c>
      <c r="C1828">
        <v>20</v>
      </c>
      <c r="D1828">
        <v>5</v>
      </c>
      <c r="E1828" t="s">
        <v>910</v>
      </c>
      <c r="F1828">
        <v>0</v>
      </c>
    </row>
    <row r="1829" spans="1:6" x14ac:dyDescent="0.2">
      <c r="A1829">
        <v>2023</v>
      </c>
      <c r="B1829" t="s">
        <v>583</v>
      </c>
      <c r="C1829">
        <v>20</v>
      </c>
      <c r="D1829">
        <v>5</v>
      </c>
      <c r="E1829" t="s">
        <v>910</v>
      </c>
      <c r="F1829">
        <v>0</v>
      </c>
    </row>
    <row r="1830" spans="1:6" x14ac:dyDescent="0.2">
      <c r="A1830">
        <v>2024</v>
      </c>
      <c r="B1830" t="s">
        <v>583</v>
      </c>
      <c r="C1830">
        <v>25</v>
      </c>
      <c r="D1830">
        <v>5</v>
      </c>
      <c r="E1830" t="s">
        <v>910</v>
      </c>
      <c r="F1830">
        <v>0</v>
      </c>
    </row>
    <row r="1831" spans="1:6" x14ac:dyDescent="0.2">
      <c r="A1831">
        <v>2025</v>
      </c>
      <c r="B1831" t="s">
        <v>583</v>
      </c>
      <c r="C1831">
        <v>30</v>
      </c>
      <c r="D1831">
        <v>0</v>
      </c>
      <c r="E1831" t="s">
        <v>910</v>
      </c>
      <c r="F1831">
        <v>0</v>
      </c>
    </row>
    <row r="1832" spans="1:6" x14ac:dyDescent="0.2">
      <c r="A1832">
        <v>2016</v>
      </c>
      <c r="B1832" t="s">
        <v>468</v>
      </c>
      <c r="C1832">
        <v>20</v>
      </c>
      <c r="D1832">
        <v>5</v>
      </c>
      <c r="E1832" t="s">
        <v>910</v>
      </c>
      <c r="F1832">
        <v>0</v>
      </c>
    </row>
    <row r="1833" spans="1:6" x14ac:dyDescent="0.2">
      <c r="A1833">
        <v>2017</v>
      </c>
      <c r="B1833" t="s">
        <v>468</v>
      </c>
      <c r="C1833">
        <v>10</v>
      </c>
      <c r="D1833">
        <v>5</v>
      </c>
      <c r="E1833" t="s">
        <v>910</v>
      </c>
      <c r="F1833">
        <v>0</v>
      </c>
    </row>
    <row r="1834" spans="1:6" x14ac:dyDescent="0.2">
      <c r="A1834">
        <v>2018</v>
      </c>
      <c r="B1834" t="s">
        <v>468</v>
      </c>
      <c r="C1834">
        <v>10</v>
      </c>
      <c r="D1834">
        <v>5</v>
      </c>
      <c r="E1834" t="s">
        <v>910</v>
      </c>
      <c r="F1834">
        <v>0</v>
      </c>
    </row>
    <row r="1835" spans="1:6" x14ac:dyDescent="0.2">
      <c r="A1835">
        <v>2019</v>
      </c>
      <c r="B1835" t="s">
        <v>468</v>
      </c>
      <c r="C1835">
        <v>20</v>
      </c>
      <c r="D1835">
        <v>5</v>
      </c>
      <c r="E1835" t="s">
        <v>910</v>
      </c>
      <c r="F1835">
        <v>0</v>
      </c>
    </row>
    <row r="1836" spans="1:6" x14ac:dyDescent="0.2">
      <c r="A1836">
        <v>2020</v>
      </c>
      <c r="B1836" t="s">
        <v>468</v>
      </c>
      <c r="C1836">
        <v>10</v>
      </c>
      <c r="D1836">
        <v>5</v>
      </c>
      <c r="E1836" t="s">
        <v>910</v>
      </c>
      <c r="F1836">
        <v>0</v>
      </c>
    </row>
    <row r="1837" spans="1:6" x14ac:dyDescent="0.2">
      <c r="A1837">
        <v>2021</v>
      </c>
      <c r="B1837" t="s">
        <v>468</v>
      </c>
      <c r="C1837">
        <v>10</v>
      </c>
      <c r="D1837">
        <v>5</v>
      </c>
      <c r="E1837" t="s">
        <v>910</v>
      </c>
      <c r="F1837">
        <v>0</v>
      </c>
    </row>
    <row r="1838" spans="1:6" x14ac:dyDescent="0.2">
      <c r="A1838">
        <v>2022</v>
      </c>
      <c r="B1838" t="s">
        <v>468</v>
      </c>
      <c r="C1838">
        <v>15</v>
      </c>
      <c r="D1838">
        <v>5</v>
      </c>
      <c r="E1838" t="s">
        <v>910</v>
      </c>
      <c r="F1838">
        <v>0</v>
      </c>
    </row>
    <row r="1839" spans="1:6" x14ac:dyDescent="0.2">
      <c r="A1839">
        <v>2023</v>
      </c>
      <c r="B1839" t="s">
        <v>468</v>
      </c>
      <c r="C1839">
        <v>10</v>
      </c>
      <c r="D1839">
        <v>5</v>
      </c>
      <c r="E1839" t="s">
        <v>910</v>
      </c>
      <c r="F1839">
        <v>0</v>
      </c>
    </row>
    <row r="1840" spans="1:6" x14ac:dyDescent="0.2">
      <c r="A1840">
        <v>2024</v>
      </c>
      <c r="B1840" t="s">
        <v>468</v>
      </c>
      <c r="C1840">
        <v>10</v>
      </c>
      <c r="D1840">
        <v>5</v>
      </c>
      <c r="E1840" t="s">
        <v>910</v>
      </c>
      <c r="F1840">
        <v>0</v>
      </c>
    </row>
    <row r="1841" spans="1:6" x14ac:dyDescent="0.2">
      <c r="A1841">
        <v>2025</v>
      </c>
      <c r="B1841" t="s">
        <v>468</v>
      </c>
      <c r="C1841">
        <v>10</v>
      </c>
      <c r="D1841">
        <v>5</v>
      </c>
      <c r="E1841" t="s">
        <v>910</v>
      </c>
      <c r="F1841">
        <v>0</v>
      </c>
    </row>
    <row r="1842" spans="1:6" x14ac:dyDescent="0.2">
      <c r="A1842">
        <v>2016</v>
      </c>
      <c r="B1842" t="s">
        <v>1146</v>
      </c>
      <c r="C1842">
        <v>6590</v>
      </c>
      <c r="D1842">
        <v>3880</v>
      </c>
      <c r="E1842" t="s">
        <v>38</v>
      </c>
      <c r="F1842">
        <v>35</v>
      </c>
    </row>
    <row r="1843" spans="1:6" x14ac:dyDescent="0.2">
      <c r="A1843">
        <v>2017</v>
      </c>
      <c r="B1843" t="s">
        <v>1146</v>
      </c>
      <c r="C1843">
        <v>6385</v>
      </c>
      <c r="D1843">
        <v>3700</v>
      </c>
      <c r="E1843" t="s">
        <v>40</v>
      </c>
      <c r="F1843">
        <v>25</v>
      </c>
    </row>
    <row r="1844" spans="1:6" x14ac:dyDescent="0.2">
      <c r="A1844">
        <v>2018</v>
      </c>
      <c r="B1844" t="s">
        <v>1146</v>
      </c>
      <c r="C1844">
        <v>6565</v>
      </c>
      <c r="D1844">
        <v>3775</v>
      </c>
      <c r="E1844" t="s">
        <v>375</v>
      </c>
      <c r="F1844">
        <v>15</v>
      </c>
    </row>
    <row r="1845" spans="1:6" x14ac:dyDescent="0.2">
      <c r="A1845">
        <v>2019</v>
      </c>
      <c r="B1845" t="s">
        <v>1146</v>
      </c>
      <c r="C1845">
        <v>6190</v>
      </c>
      <c r="D1845">
        <v>3590</v>
      </c>
      <c r="E1845" t="s">
        <v>40</v>
      </c>
      <c r="F1845">
        <v>20</v>
      </c>
    </row>
    <row r="1846" spans="1:6" x14ac:dyDescent="0.2">
      <c r="A1846">
        <v>2020</v>
      </c>
      <c r="B1846" t="s">
        <v>1146</v>
      </c>
      <c r="C1846">
        <v>6980</v>
      </c>
      <c r="D1846">
        <v>4095</v>
      </c>
      <c r="E1846" t="s">
        <v>1112</v>
      </c>
      <c r="F1846">
        <v>45</v>
      </c>
    </row>
    <row r="1847" spans="1:6" x14ac:dyDescent="0.2">
      <c r="A1847">
        <v>2021</v>
      </c>
      <c r="B1847" t="s">
        <v>1146</v>
      </c>
      <c r="C1847">
        <v>7375</v>
      </c>
      <c r="D1847">
        <v>4095</v>
      </c>
      <c r="E1847" t="s">
        <v>397</v>
      </c>
      <c r="F1847">
        <v>30</v>
      </c>
    </row>
    <row r="1848" spans="1:6" x14ac:dyDescent="0.2">
      <c r="A1848">
        <v>2022</v>
      </c>
      <c r="B1848" t="s">
        <v>1146</v>
      </c>
      <c r="C1848">
        <v>6840</v>
      </c>
      <c r="D1848">
        <v>3805</v>
      </c>
      <c r="E1848" t="s">
        <v>397</v>
      </c>
      <c r="F1848">
        <v>20</v>
      </c>
    </row>
    <row r="1849" spans="1:6" x14ac:dyDescent="0.2">
      <c r="A1849">
        <v>2023</v>
      </c>
      <c r="B1849" t="s">
        <v>1146</v>
      </c>
      <c r="C1849">
        <v>6285</v>
      </c>
      <c r="D1849">
        <v>3370</v>
      </c>
      <c r="E1849" t="s">
        <v>28</v>
      </c>
      <c r="F1849">
        <v>10</v>
      </c>
    </row>
    <row r="1850" spans="1:6" x14ac:dyDescent="0.2">
      <c r="A1850">
        <v>2024</v>
      </c>
      <c r="B1850" t="s">
        <v>1146</v>
      </c>
      <c r="C1850">
        <v>5685</v>
      </c>
      <c r="D1850">
        <v>3090</v>
      </c>
      <c r="E1850" t="s">
        <v>294</v>
      </c>
      <c r="F1850">
        <v>20</v>
      </c>
    </row>
    <row r="1851" spans="1:6" x14ac:dyDescent="0.2">
      <c r="A1851">
        <v>2025</v>
      </c>
      <c r="B1851" t="s">
        <v>1146</v>
      </c>
      <c r="C1851">
        <v>5300</v>
      </c>
      <c r="D1851">
        <v>2870</v>
      </c>
      <c r="E1851" t="s">
        <v>143</v>
      </c>
      <c r="F1851">
        <v>30</v>
      </c>
    </row>
    <row r="1852" spans="1:6" x14ac:dyDescent="0.2">
      <c r="A1852">
        <v>2016</v>
      </c>
      <c r="B1852" t="s">
        <v>608</v>
      </c>
      <c r="C1852">
        <v>85</v>
      </c>
      <c r="D1852">
        <v>40</v>
      </c>
      <c r="E1852" t="s">
        <v>348</v>
      </c>
      <c r="F1852">
        <v>0</v>
      </c>
    </row>
    <row r="1853" spans="1:6" x14ac:dyDescent="0.2">
      <c r="A1853">
        <v>2017</v>
      </c>
      <c r="B1853" t="s">
        <v>608</v>
      </c>
      <c r="C1853">
        <v>60</v>
      </c>
      <c r="D1853">
        <v>30</v>
      </c>
      <c r="E1853" t="s">
        <v>44</v>
      </c>
      <c r="F1853">
        <v>0</v>
      </c>
    </row>
    <row r="1854" spans="1:6" x14ac:dyDescent="0.2">
      <c r="A1854">
        <v>2018</v>
      </c>
      <c r="B1854" t="s">
        <v>608</v>
      </c>
      <c r="C1854">
        <v>80</v>
      </c>
      <c r="D1854">
        <v>45</v>
      </c>
      <c r="E1854" t="s">
        <v>381</v>
      </c>
      <c r="F1854">
        <v>0</v>
      </c>
    </row>
    <row r="1855" spans="1:6" x14ac:dyDescent="0.2">
      <c r="A1855">
        <v>2019</v>
      </c>
      <c r="B1855" t="s">
        <v>608</v>
      </c>
      <c r="C1855">
        <v>100</v>
      </c>
      <c r="D1855">
        <v>45</v>
      </c>
      <c r="E1855" t="s">
        <v>126</v>
      </c>
      <c r="F1855">
        <v>0</v>
      </c>
    </row>
    <row r="1856" spans="1:6" x14ac:dyDescent="0.2">
      <c r="A1856">
        <v>2020</v>
      </c>
      <c r="B1856" t="s">
        <v>608</v>
      </c>
      <c r="C1856">
        <v>100</v>
      </c>
      <c r="D1856">
        <v>55</v>
      </c>
      <c r="E1856" t="s">
        <v>230</v>
      </c>
      <c r="F1856">
        <v>0</v>
      </c>
    </row>
    <row r="1857" spans="1:6" x14ac:dyDescent="0.2">
      <c r="A1857">
        <v>2021</v>
      </c>
      <c r="B1857" t="s">
        <v>608</v>
      </c>
      <c r="C1857">
        <v>70</v>
      </c>
      <c r="D1857">
        <v>35</v>
      </c>
      <c r="E1857" t="s">
        <v>1068</v>
      </c>
      <c r="F1857">
        <v>0</v>
      </c>
    </row>
    <row r="1858" spans="1:6" x14ac:dyDescent="0.2">
      <c r="A1858">
        <v>2022</v>
      </c>
      <c r="B1858" t="s">
        <v>608</v>
      </c>
      <c r="C1858">
        <v>70</v>
      </c>
      <c r="D1858">
        <v>35</v>
      </c>
      <c r="E1858" t="s">
        <v>187</v>
      </c>
      <c r="F1858">
        <v>0</v>
      </c>
    </row>
    <row r="1859" spans="1:6" x14ac:dyDescent="0.2">
      <c r="A1859">
        <v>2023</v>
      </c>
      <c r="B1859" t="s">
        <v>608</v>
      </c>
      <c r="C1859">
        <v>60</v>
      </c>
      <c r="D1859">
        <v>30</v>
      </c>
      <c r="E1859" t="s">
        <v>324</v>
      </c>
      <c r="F1859">
        <v>0</v>
      </c>
    </row>
    <row r="1860" spans="1:6" x14ac:dyDescent="0.2">
      <c r="A1860">
        <v>2024</v>
      </c>
      <c r="B1860" t="s">
        <v>608</v>
      </c>
      <c r="C1860">
        <v>65</v>
      </c>
      <c r="D1860">
        <v>30</v>
      </c>
      <c r="E1860" t="s">
        <v>284</v>
      </c>
      <c r="F1860">
        <v>0</v>
      </c>
    </row>
    <row r="1861" spans="1:6" x14ac:dyDescent="0.2">
      <c r="A1861">
        <v>2025</v>
      </c>
      <c r="B1861" t="s">
        <v>608</v>
      </c>
      <c r="C1861">
        <v>45</v>
      </c>
      <c r="D1861">
        <v>15</v>
      </c>
      <c r="E1861" t="s">
        <v>960</v>
      </c>
      <c r="F1861">
        <v>0</v>
      </c>
    </row>
    <row r="1862" spans="1:6" x14ac:dyDescent="0.2">
      <c r="A1862">
        <v>2016</v>
      </c>
      <c r="B1862" t="s">
        <v>601</v>
      </c>
      <c r="C1862">
        <v>4410</v>
      </c>
      <c r="D1862">
        <v>1700</v>
      </c>
      <c r="E1862" t="s">
        <v>980</v>
      </c>
      <c r="F1862">
        <v>20</v>
      </c>
    </row>
    <row r="1863" spans="1:6" x14ac:dyDescent="0.2">
      <c r="A1863">
        <v>2017</v>
      </c>
      <c r="B1863" t="s">
        <v>601</v>
      </c>
      <c r="C1863">
        <v>4940</v>
      </c>
      <c r="D1863">
        <v>1900</v>
      </c>
      <c r="E1863" t="s">
        <v>218</v>
      </c>
      <c r="F1863">
        <v>30</v>
      </c>
    </row>
    <row r="1864" spans="1:6" x14ac:dyDescent="0.2">
      <c r="A1864">
        <v>2018</v>
      </c>
      <c r="B1864" t="s">
        <v>601</v>
      </c>
      <c r="C1864">
        <v>6130</v>
      </c>
      <c r="D1864">
        <v>2410</v>
      </c>
      <c r="E1864" t="s">
        <v>210</v>
      </c>
      <c r="F1864">
        <v>25</v>
      </c>
    </row>
    <row r="1865" spans="1:6" x14ac:dyDescent="0.2">
      <c r="A1865">
        <v>2019</v>
      </c>
      <c r="B1865" t="s">
        <v>601</v>
      </c>
      <c r="C1865">
        <v>6675</v>
      </c>
      <c r="D1865">
        <v>2770</v>
      </c>
      <c r="E1865" t="s">
        <v>300</v>
      </c>
      <c r="F1865">
        <v>45</v>
      </c>
    </row>
    <row r="1866" spans="1:6" x14ac:dyDescent="0.2">
      <c r="A1866">
        <v>2020</v>
      </c>
      <c r="B1866" t="s">
        <v>601</v>
      </c>
      <c r="C1866">
        <v>8995</v>
      </c>
      <c r="D1866">
        <v>4230</v>
      </c>
      <c r="E1866" t="s">
        <v>912</v>
      </c>
      <c r="F1866">
        <v>95</v>
      </c>
    </row>
    <row r="1867" spans="1:6" x14ac:dyDescent="0.2">
      <c r="A1867">
        <v>2021</v>
      </c>
      <c r="B1867" t="s">
        <v>601</v>
      </c>
      <c r="C1867">
        <v>10965</v>
      </c>
      <c r="D1867">
        <v>4600</v>
      </c>
      <c r="E1867" t="s">
        <v>275</v>
      </c>
      <c r="F1867">
        <v>110</v>
      </c>
    </row>
    <row r="1868" spans="1:6" x14ac:dyDescent="0.2">
      <c r="A1868">
        <v>2022</v>
      </c>
      <c r="B1868" t="s">
        <v>601</v>
      </c>
      <c r="C1868">
        <v>14665</v>
      </c>
      <c r="D1868">
        <v>6610</v>
      </c>
      <c r="E1868" t="s">
        <v>134</v>
      </c>
      <c r="F1868">
        <v>150</v>
      </c>
    </row>
    <row r="1869" spans="1:6" x14ac:dyDescent="0.2">
      <c r="A1869">
        <v>2023</v>
      </c>
      <c r="B1869" t="s">
        <v>601</v>
      </c>
      <c r="C1869">
        <v>15730</v>
      </c>
      <c r="D1869">
        <v>6810</v>
      </c>
      <c r="E1869" t="s">
        <v>85</v>
      </c>
      <c r="F1869">
        <v>100</v>
      </c>
    </row>
    <row r="1870" spans="1:6" x14ac:dyDescent="0.2">
      <c r="A1870">
        <v>2024</v>
      </c>
      <c r="B1870" t="s">
        <v>601</v>
      </c>
      <c r="C1870">
        <v>14810</v>
      </c>
      <c r="D1870">
        <v>5805</v>
      </c>
      <c r="E1870" t="s">
        <v>1110</v>
      </c>
      <c r="F1870">
        <v>270</v>
      </c>
    </row>
    <row r="1871" spans="1:6" x14ac:dyDescent="0.2">
      <c r="A1871">
        <v>2025</v>
      </c>
      <c r="B1871" t="s">
        <v>601</v>
      </c>
      <c r="C1871">
        <v>13015</v>
      </c>
      <c r="D1871">
        <v>5295</v>
      </c>
      <c r="E1871" t="s">
        <v>124</v>
      </c>
      <c r="F1871">
        <v>90</v>
      </c>
    </row>
    <row r="1872" spans="1:6" x14ac:dyDescent="0.2">
      <c r="A1872">
        <v>2016</v>
      </c>
      <c r="B1872" t="s">
        <v>380</v>
      </c>
      <c r="C1872">
        <v>625</v>
      </c>
      <c r="D1872">
        <v>335</v>
      </c>
      <c r="E1872" t="s">
        <v>381</v>
      </c>
      <c r="F1872">
        <v>5</v>
      </c>
    </row>
    <row r="1873" spans="1:6" x14ac:dyDescent="0.2">
      <c r="A1873">
        <v>2017</v>
      </c>
      <c r="B1873" t="s">
        <v>380</v>
      </c>
      <c r="C1873">
        <v>655</v>
      </c>
      <c r="D1873">
        <v>355</v>
      </c>
      <c r="E1873" t="s">
        <v>131</v>
      </c>
      <c r="F1873">
        <v>10</v>
      </c>
    </row>
    <row r="1874" spans="1:6" x14ac:dyDescent="0.2">
      <c r="A1874">
        <v>2018</v>
      </c>
      <c r="B1874" t="s">
        <v>380</v>
      </c>
      <c r="C1874">
        <v>805</v>
      </c>
      <c r="D1874">
        <v>410</v>
      </c>
      <c r="E1874" t="s">
        <v>325</v>
      </c>
      <c r="F1874">
        <v>0</v>
      </c>
    </row>
    <row r="1875" spans="1:6" x14ac:dyDescent="0.2">
      <c r="A1875">
        <v>2019</v>
      </c>
      <c r="B1875" t="s">
        <v>380</v>
      </c>
      <c r="C1875">
        <v>870</v>
      </c>
      <c r="D1875">
        <v>445</v>
      </c>
      <c r="E1875" t="s">
        <v>335</v>
      </c>
      <c r="F1875">
        <v>5</v>
      </c>
    </row>
    <row r="1876" spans="1:6" x14ac:dyDescent="0.2">
      <c r="A1876">
        <v>2020</v>
      </c>
      <c r="B1876" t="s">
        <v>380</v>
      </c>
      <c r="C1876">
        <v>815</v>
      </c>
      <c r="D1876">
        <v>415</v>
      </c>
      <c r="E1876" t="s">
        <v>54</v>
      </c>
      <c r="F1876">
        <v>0</v>
      </c>
    </row>
    <row r="1877" spans="1:6" x14ac:dyDescent="0.2">
      <c r="A1877">
        <v>2021</v>
      </c>
      <c r="B1877" t="s">
        <v>380</v>
      </c>
      <c r="C1877">
        <v>875</v>
      </c>
      <c r="D1877">
        <v>475</v>
      </c>
      <c r="E1877" t="s">
        <v>383</v>
      </c>
      <c r="F1877">
        <v>5</v>
      </c>
    </row>
    <row r="1878" spans="1:6" x14ac:dyDescent="0.2">
      <c r="A1878">
        <v>2022</v>
      </c>
      <c r="B1878" t="s">
        <v>380</v>
      </c>
      <c r="C1878">
        <v>950</v>
      </c>
      <c r="D1878">
        <v>450</v>
      </c>
      <c r="E1878" t="s">
        <v>384</v>
      </c>
      <c r="F1878">
        <v>5</v>
      </c>
    </row>
    <row r="1879" spans="1:6" x14ac:dyDescent="0.2">
      <c r="A1879">
        <v>2023</v>
      </c>
      <c r="B1879" t="s">
        <v>380</v>
      </c>
      <c r="C1879">
        <v>895</v>
      </c>
      <c r="D1879">
        <v>400</v>
      </c>
      <c r="E1879" t="s">
        <v>84</v>
      </c>
      <c r="F1879">
        <v>5</v>
      </c>
    </row>
    <row r="1880" spans="1:6" x14ac:dyDescent="0.2">
      <c r="A1880">
        <v>2024</v>
      </c>
      <c r="B1880" t="s">
        <v>380</v>
      </c>
      <c r="C1880">
        <v>990</v>
      </c>
      <c r="D1880">
        <v>470</v>
      </c>
      <c r="E1880" t="s">
        <v>384</v>
      </c>
      <c r="F1880">
        <v>5</v>
      </c>
    </row>
    <row r="1881" spans="1:6" x14ac:dyDescent="0.2">
      <c r="A1881">
        <v>2025</v>
      </c>
      <c r="B1881" t="s">
        <v>380</v>
      </c>
      <c r="C1881">
        <v>945</v>
      </c>
      <c r="D1881">
        <v>415</v>
      </c>
      <c r="E1881" t="s">
        <v>127</v>
      </c>
      <c r="F1881">
        <v>0</v>
      </c>
    </row>
    <row r="1882" spans="1:6" x14ac:dyDescent="0.2">
      <c r="A1882">
        <v>2016</v>
      </c>
      <c r="B1882" t="s">
        <v>385</v>
      </c>
      <c r="C1882">
        <v>265</v>
      </c>
      <c r="D1882">
        <v>135</v>
      </c>
      <c r="E1882" t="s">
        <v>386</v>
      </c>
      <c r="F1882">
        <v>5</v>
      </c>
    </row>
    <row r="1883" spans="1:6" x14ac:dyDescent="0.2">
      <c r="A1883">
        <v>2017</v>
      </c>
      <c r="B1883" t="s">
        <v>385</v>
      </c>
      <c r="C1883">
        <v>340</v>
      </c>
      <c r="D1883">
        <v>165</v>
      </c>
      <c r="E1883" t="s">
        <v>388</v>
      </c>
      <c r="F1883">
        <v>5</v>
      </c>
    </row>
    <row r="1884" spans="1:6" x14ac:dyDescent="0.2">
      <c r="A1884">
        <v>2018</v>
      </c>
      <c r="B1884" t="s">
        <v>385</v>
      </c>
      <c r="C1884">
        <v>385</v>
      </c>
      <c r="D1884">
        <v>190</v>
      </c>
      <c r="E1884" t="s">
        <v>70</v>
      </c>
      <c r="F1884">
        <v>5</v>
      </c>
    </row>
    <row r="1885" spans="1:6" x14ac:dyDescent="0.2">
      <c r="A1885">
        <v>2019</v>
      </c>
      <c r="B1885" t="s">
        <v>385</v>
      </c>
      <c r="C1885">
        <v>325</v>
      </c>
      <c r="D1885">
        <v>160</v>
      </c>
      <c r="E1885" t="s">
        <v>70</v>
      </c>
      <c r="F1885">
        <v>5</v>
      </c>
    </row>
    <row r="1886" spans="1:6" x14ac:dyDescent="0.2">
      <c r="A1886">
        <v>2020</v>
      </c>
      <c r="B1886" t="s">
        <v>385</v>
      </c>
      <c r="C1886">
        <v>310</v>
      </c>
      <c r="D1886">
        <v>150</v>
      </c>
      <c r="E1886" t="s">
        <v>389</v>
      </c>
      <c r="F1886">
        <v>5</v>
      </c>
    </row>
    <row r="1887" spans="1:6" x14ac:dyDescent="0.2">
      <c r="A1887">
        <v>2021</v>
      </c>
      <c r="B1887" t="s">
        <v>385</v>
      </c>
      <c r="C1887">
        <v>335</v>
      </c>
      <c r="D1887">
        <v>170</v>
      </c>
      <c r="E1887" t="s">
        <v>58</v>
      </c>
      <c r="F1887">
        <v>5</v>
      </c>
    </row>
    <row r="1888" spans="1:6" x14ac:dyDescent="0.2">
      <c r="A1888">
        <v>2022</v>
      </c>
      <c r="B1888" t="s">
        <v>385</v>
      </c>
      <c r="C1888">
        <v>345</v>
      </c>
      <c r="D1888">
        <v>150</v>
      </c>
      <c r="E1888" t="s">
        <v>302</v>
      </c>
      <c r="F1888">
        <v>5</v>
      </c>
    </row>
    <row r="1889" spans="1:6" x14ac:dyDescent="0.2">
      <c r="A1889">
        <v>2023</v>
      </c>
      <c r="B1889" t="s">
        <v>385</v>
      </c>
      <c r="C1889">
        <v>475</v>
      </c>
      <c r="D1889">
        <v>220</v>
      </c>
      <c r="E1889" t="s">
        <v>339</v>
      </c>
      <c r="F1889">
        <v>10</v>
      </c>
    </row>
    <row r="1890" spans="1:6" x14ac:dyDescent="0.2">
      <c r="A1890">
        <v>2024</v>
      </c>
      <c r="B1890" t="s">
        <v>385</v>
      </c>
      <c r="C1890">
        <v>470</v>
      </c>
      <c r="D1890">
        <v>180</v>
      </c>
      <c r="E1890" t="s">
        <v>390</v>
      </c>
      <c r="F1890">
        <v>5</v>
      </c>
    </row>
    <row r="1891" spans="1:6" x14ac:dyDescent="0.2">
      <c r="A1891">
        <v>2025</v>
      </c>
      <c r="B1891" t="s">
        <v>385</v>
      </c>
      <c r="C1891">
        <v>440</v>
      </c>
      <c r="D1891">
        <v>195</v>
      </c>
      <c r="E1891" t="s">
        <v>126</v>
      </c>
      <c r="F1891">
        <v>10</v>
      </c>
    </row>
    <row r="1892" spans="1:6" x14ac:dyDescent="0.2">
      <c r="A1892">
        <v>2016</v>
      </c>
      <c r="B1892" t="s">
        <v>606</v>
      </c>
      <c r="C1892">
        <v>70</v>
      </c>
      <c r="D1892">
        <v>20</v>
      </c>
      <c r="E1892" t="s">
        <v>986</v>
      </c>
      <c r="F1892">
        <v>5</v>
      </c>
    </row>
    <row r="1893" spans="1:6" x14ac:dyDescent="0.2">
      <c r="A1893">
        <v>2017</v>
      </c>
      <c r="B1893" t="s">
        <v>606</v>
      </c>
      <c r="C1893">
        <v>55</v>
      </c>
      <c r="D1893">
        <v>15</v>
      </c>
      <c r="E1893" t="s">
        <v>1147</v>
      </c>
      <c r="F1893">
        <v>0</v>
      </c>
    </row>
    <row r="1894" spans="1:6" x14ac:dyDescent="0.2">
      <c r="A1894">
        <v>2018</v>
      </c>
      <c r="B1894" t="s">
        <v>606</v>
      </c>
      <c r="C1894">
        <v>70</v>
      </c>
      <c r="D1894">
        <v>20</v>
      </c>
      <c r="E1894" t="s">
        <v>1148</v>
      </c>
      <c r="F1894">
        <v>0</v>
      </c>
    </row>
    <row r="1895" spans="1:6" x14ac:dyDescent="0.2">
      <c r="A1895">
        <v>2019</v>
      </c>
      <c r="B1895" t="s">
        <v>606</v>
      </c>
      <c r="C1895">
        <v>80</v>
      </c>
      <c r="D1895">
        <v>30</v>
      </c>
      <c r="E1895" t="s">
        <v>982</v>
      </c>
      <c r="F1895">
        <v>0</v>
      </c>
    </row>
    <row r="1896" spans="1:6" x14ac:dyDescent="0.2">
      <c r="A1896">
        <v>2020</v>
      </c>
      <c r="B1896" t="s">
        <v>606</v>
      </c>
      <c r="C1896">
        <v>45</v>
      </c>
      <c r="D1896">
        <v>25</v>
      </c>
      <c r="E1896" t="s">
        <v>187</v>
      </c>
      <c r="F1896">
        <v>5</v>
      </c>
    </row>
    <row r="1897" spans="1:6" x14ac:dyDescent="0.2">
      <c r="A1897">
        <v>2021</v>
      </c>
      <c r="B1897" t="s">
        <v>606</v>
      </c>
      <c r="C1897">
        <v>75</v>
      </c>
      <c r="D1897">
        <v>30</v>
      </c>
      <c r="E1897" t="s">
        <v>61</v>
      </c>
      <c r="F1897">
        <v>0</v>
      </c>
    </row>
    <row r="1898" spans="1:6" x14ac:dyDescent="0.2">
      <c r="A1898">
        <v>2022</v>
      </c>
      <c r="B1898" t="s">
        <v>606</v>
      </c>
      <c r="C1898">
        <v>80</v>
      </c>
      <c r="D1898">
        <v>25</v>
      </c>
      <c r="E1898" t="s">
        <v>960</v>
      </c>
      <c r="F1898">
        <v>5</v>
      </c>
    </row>
    <row r="1899" spans="1:6" x14ac:dyDescent="0.2">
      <c r="A1899">
        <v>2023</v>
      </c>
      <c r="B1899" t="s">
        <v>606</v>
      </c>
      <c r="C1899">
        <v>95</v>
      </c>
      <c r="D1899">
        <v>30</v>
      </c>
      <c r="E1899" t="s">
        <v>282</v>
      </c>
      <c r="F1899">
        <v>0</v>
      </c>
    </row>
    <row r="1900" spans="1:6" x14ac:dyDescent="0.2">
      <c r="A1900">
        <v>2024</v>
      </c>
      <c r="B1900" t="s">
        <v>606</v>
      </c>
      <c r="C1900">
        <v>75</v>
      </c>
      <c r="D1900">
        <v>25</v>
      </c>
      <c r="E1900" t="s">
        <v>1149</v>
      </c>
      <c r="F1900">
        <v>5</v>
      </c>
    </row>
    <row r="1901" spans="1:6" x14ac:dyDescent="0.2">
      <c r="A1901">
        <v>2025</v>
      </c>
      <c r="B1901" t="s">
        <v>606</v>
      </c>
      <c r="C1901">
        <v>110</v>
      </c>
      <c r="D1901">
        <v>35</v>
      </c>
      <c r="E1901" t="s">
        <v>1015</v>
      </c>
      <c r="F1901">
        <v>5</v>
      </c>
    </row>
    <row r="1902" spans="1:6" x14ac:dyDescent="0.2">
      <c r="A1902">
        <v>2016</v>
      </c>
      <c r="B1902" t="s">
        <v>391</v>
      </c>
      <c r="C1902">
        <v>145</v>
      </c>
      <c r="D1902">
        <v>55</v>
      </c>
      <c r="E1902" t="s">
        <v>361</v>
      </c>
      <c r="F1902">
        <v>0</v>
      </c>
    </row>
    <row r="1903" spans="1:6" x14ac:dyDescent="0.2">
      <c r="A1903">
        <v>2017</v>
      </c>
      <c r="B1903" t="s">
        <v>391</v>
      </c>
      <c r="C1903">
        <v>115</v>
      </c>
      <c r="D1903">
        <v>55</v>
      </c>
      <c r="E1903" t="s">
        <v>267</v>
      </c>
      <c r="F1903">
        <v>0</v>
      </c>
    </row>
    <row r="1904" spans="1:6" x14ac:dyDescent="0.2">
      <c r="A1904">
        <v>2018</v>
      </c>
      <c r="B1904" t="s">
        <v>391</v>
      </c>
      <c r="C1904">
        <v>160</v>
      </c>
      <c r="D1904">
        <v>65</v>
      </c>
      <c r="E1904" t="s">
        <v>305</v>
      </c>
      <c r="F1904">
        <v>5</v>
      </c>
    </row>
    <row r="1905" spans="1:6" x14ac:dyDescent="0.2">
      <c r="A1905">
        <v>2019</v>
      </c>
      <c r="B1905" t="s">
        <v>391</v>
      </c>
      <c r="C1905">
        <v>125</v>
      </c>
      <c r="D1905">
        <v>50</v>
      </c>
      <c r="E1905" t="s">
        <v>195</v>
      </c>
      <c r="F1905">
        <v>0</v>
      </c>
    </row>
    <row r="1906" spans="1:6" x14ac:dyDescent="0.2">
      <c r="A1906">
        <v>2020</v>
      </c>
      <c r="B1906" t="s">
        <v>391</v>
      </c>
      <c r="C1906">
        <v>145</v>
      </c>
      <c r="D1906">
        <v>60</v>
      </c>
      <c r="E1906" t="s">
        <v>31</v>
      </c>
      <c r="F1906">
        <v>0</v>
      </c>
    </row>
    <row r="1907" spans="1:6" x14ac:dyDescent="0.2">
      <c r="A1907">
        <v>2021</v>
      </c>
      <c r="B1907" t="s">
        <v>391</v>
      </c>
      <c r="C1907">
        <v>160</v>
      </c>
      <c r="D1907">
        <v>70</v>
      </c>
      <c r="E1907" t="s">
        <v>393</v>
      </c>
      <c r="F1907">
        <v>5</v>
      </c>
    </row>
    <row r="1908" spans="1:6" x14ac:dyDescent="0.2">
      <c r="A1908">
        <v>2022</v>
      </c>
      <c r="B1908" t="s">
        <v>391</v>
      </c>
      <c r="C1908">
        <v>175</v>
      </c>
      <c r="D1908">
        <v>80</v>
      </c>
      <c r="E1908" t="s">
        <v>134</v>
      </c>
      <c r="F1908">
        <v>5</v>
      </c>
    </row>
    <row r="1909" spans="1:6" x14ac:dyDescent="0.2">
      <c r="A1909">
        <v>2023</v>
      </c>
      <c r="B1909" t="s">
        <v>391</v>
      </c>
      <c r="C1909">
        <v>230</v>
      </c>
      <c r="D1909">
        <v>95</v>
      </c>
      <c r="E1909" t="s">
        <v>269</v>
      </c>
      <c r="F1909">
        <v>5</v>
      </c>
    </row>
    <row r="1910" spans="1:6" x14ac:dyDescent="0.2">
      <c r="A1910">
        <v>2024</v>
      </c>
      <c r="B1910" t="s">
        <v>391</v>
      </c>
      <c r="C1910">
        <v>215</v>
      </c>
      <c r="D1910">
        <v>85</v>
      </c>
      <c r="E1910" t="s">
        <v>122</v>
      </c>
      <c r="F1910">
        <v>0</v>
      </c>
    </row>
    <row r="1911" spans="1:6" x14ac:dyDescent="0.2">
      <c r="A1911">
        <v>2025</v>
      </c>
      <c r="B1911" t="s">
        <v>391</v>
      </c>
      <c r="C1911">
        <v>180</v>
      </c>
      <c r="D1911">
        <v>75</v>
      </c>
      <c r="E1911" t="s">
        <v>92</v>
      </c>
      <c r="F1911">
        <v>5</v>
      </c>
    </row>
    <row r="1912" spans="1:6" x14ac:dyDescent="0.2">
      <c r="A1912">
        <v>2016</v>
      </c>
      <c r="B1912" t="s">
        <v>1150</v>
      </c>
      <c r="C1912">
        <v>20</v>
      </c>
      <c r="D1912">
        <v>10</v>
      </c>
      <c r="E1912" t="s">
        <v>910</v>
      </c>
      <c r="F1912">
        <v>0</v>
      </c>
    </row>
    <row r="1913" spans="1:6" x14ac:dyDescent="0.2">
      <c r="A1913">
        <v>2017</v>
      </c>
      <c r="B1913" t="s">
        <v>1150</v>
      </c>
      <c r="C1913">
        <v>35</v>
      </c>
      <c r="D1913">
        <v>15</v>
      </c>
      <c r="E1913" t="s">
        <v>133</v>
      </c>
      <c r="F1913">
        <v>0</v>
      </c>
    </row>
    <row r="1914" spans="1:6" x14ac:dyDescent="0.2">
      <c r="A1914">
        <v>2018</v>
      </c>
      <c r="B1914" t="s">
        <v>1150</v>
      </c>
      <c r="C1914">
        <v>35</v>
      </c>
      <c r="D1914">
        <v>10</v>
      </c>
      <c r="E1914" t="s">
        <v>960</v>
      </c>
      <c r="F1914">
        <v>0</v>
      </c>
    </row>
    <row r="1915" spans="1:6" x14ac:dyDescent="0.2">
      <c r="A1915">
        <v>2019</v>
      </c>
      <c r="B1915" t="s">
        <v>1150</v>
      </c>
      <c r="C1915">
        <v>50</v>
      </c>
      <c r="D1915">
        <v>20</v>
      </c>
      <c r="E1915" t="s">
        <v>1110</v>
      </c>
      <c r="F1915">
        <v>0</v>
      </c>
    </row>
    <row r="1916" spans="1:6" x14ac:dyDescent="0.2">
      <c r="A1916">
        <v>2020</v>
      </c>
      <c r="B1916" t="s">
        <v>1150</v>
      </c>
      <c r="C1916">
        <v>50</v>
      </c>
      <c r="D1916">
        <v>20</v>
      </c>
      <c r="E1916" t="s">
        <v>278</v>
      </c>
      <c r="F1916">
        <v>0</v>
      </c>
    </row>
    <row r="1917" spans="1:6" x14ac:dyDescent="0.2">
      <c r="A1917">
        <v>2021</v>
      </c>
      <c r="B1917" t="s">
        <v>1150</v>
      </c>
      <c r="C1917">
        <v>50</v>
      </c>
      <c r="D1917">
        <v>15</v>
      </c>
      <c r="E1917" t="s">
        <v>1151</v>
      </c>
      <c r="F1917">
        <v>0</v>
      </c>
    </row>
    <row r="1918" spans="1:6" x14ac:dyDescent="0.2">
      <c r="A1918">
        <v>2022</v>
      </c>
      <c r="B1918" t="s">
        <v>1150</v>
      </c>
      <c r="C1918">
        <v>70</v>
      </c>
      <c r="D1918">
        <v>15</v>
      </c>
      <c r="E1918" t="s">
        <v>1152</v>
      </c>
      <c r="F1918">
        <v>0</v>
      </c>
    </row>
    <row r="1919" spans="1:6" x14ac:dyDescent="0.2">
      <c r="A1919">
        <v>2023</v>
      </c>
      <c r="B1919" t="s">
        <v>1150</v>
      </c>
      <c r="C1919">
        <v>90</v>
      </c>
      <c r="D1919">
        <v>40</v>
      </c>
      <c r="E1919" t="s">
        <v>269</v>
      </c>
      <c r="F1919">
        <v>0</v>
      </c>
    </row>
    <row r="1920" spans="1:6" x14ac:dyDescent="0.2">
      <c r="A1920">
        <v>2024</v>
      </c>
      <c r="B1920" t="s">
        <v>1150</v>
      </c>
      <c r="C1920">
        <v>105</v>
      </c>
      <c r="D1920">
        <v>30</v>
      </c>
      <c r="E1920" t="s">
        <v>1035</v>
      </c>
      <c r="F1920">
        <v>0</v>
      </c>
    </row>
    <row r="1921" spans="1:6" x14ac:dyDescent="0.2">
      <c r="A1921">
        <v>2025</v>
      </c>
      <c r="B1921" t="s">
        <v>1150</v>
      </c>
      <c r="C1921">
        <v>135</v>
      </c>
      <c r="D1921">
        <v>40</v>
      </c>
      <c r="E1921" t="s">
        <v>985</v>
      </c>
      <c r="F1921">
        <v>0</v>
      </c>
    </row>
    <row r="1922" spans="1:6" x14ac:dyDescent="0.2">
      <c r="A1922">
        <v>2016</v>
      </c>
      <c r="B1922" t="s">
        <v>610</v>
      </c>
      <c r="C1922">
        <v>100</v>
      </c>
      <c r="D1922">
        <v>25</v>
      </c>
      <c r="E1922" t="s">
        <v>1153</v>
      </c>
      <c r="F1922">
        <v>0</v>
      </c>
    </row>
    <row r="1923" spans="1:6" x14ac:dyDescent="0.2">
      <c r="A1923">
        <v>2017</v>
      </c>
      <c r="B1923" t="s">
        <v>610</v>
      </c>
      <c r="C1923">
        <v>85</v>
      </c>
      <c r="D1923">
        <v>25</v>
      </c>
      <c r="E1923" t="s">
        <v>403</v>
      </c>
      <c r="F1923">
        <v>0</v>
      </c>
    </row>
    <row r="1924" spans="1:6" x14ac:dyDescent="0.2">
      <c r="A1924">
        <v>2018</v>
      </c>
      <c r="B1924" t="s">
        <v>610</v>
      </c>
      <c r="C1924">
        <v>95</v>
      </c>
      <c r="D1924">
        <v>35</v>
      </c>
      <c r="E1924" t="s">
        <v>957</v>
      </c>
      <c r="F1924">
        <v>0</v>
      </c>
    </row>
    <row r="1925" spans="1:6" x14ac:dyDescent="0.2">
      <c r="A1925">
        <v>2019</v>
      </c>
      <c r="B1925" t="s">
        <v>610</v>
      </c>
      <c r="C1925">
        <v>100</v>
      </c>
      <c r="D1925">
        <v>30</v>
      </c>
      <c r="E1925" t="s">
        <v>1060</v>
      </c>
      <c r="F1925">
        <v>0</v>
      </c>
    </row>
    <row r="1926" spans="1:6" x14ac:dyDescent="0.2">
      <c r="A1926">
        <v>2020</v>
      </c>
      <c r="B1926" t="s">
        <v>610</v>
      </c>
      <c r="C1926">
        <v>90</v>
      </c>
      <c r="D1926">
        <v>30</v>
      </c>
      <c r="E1926" t="s">
        <v>1154</v>
      </c>
      <c r="F1926">
        <v>0</v>
      </c>
    </row>
    <row r="1927" spans="1:6" x14ac:dyDescent="0.2">
      <c r="A1927">
        <v>2021</v>
      </c>
      <c r="B1927" t="s">
        <v>610</v>
      </c>
      <c r="C1927">
        <v>90</v>
      </c>
      <c r="D1927">
        <v>30</v>
      </c>
      <c r="E1927" t="s">
        <v>1095</v>
      </c>
      <c r="F1927">
        <v>0</v>
      </c>
    </row>
    <row r="1928" spans="1:6" x14ac:dyDescent="0.2">
      <c r="A1928">
        <v>2022</v>
      </c>
      <c r="B1928" t="s">
        <v>610</v>
      </c>
      <c r="C1928">
        <v>110</v>
      </c>
      <c r="D1928">
        <v>35</v>
      </c>
      <c r="E1928" t="s">
        <v>280</v>
      </c>
      <c r="F1928">
        <v>5</v>
      </c>
    </row>
    <row r="1929" spans="1:6" x14ac:dyDescent="0.2">
      <c r="A1929">
        <v>2023</v>
      </c>
      <c r="B1929" t="s">
        <v>610</v>
      </c>
      <c r="C1929">
        <v>105</v>
      </c>
      <c r="D1929">
        <v>25</v>
      </c>
      <c r="E1929" t="s">
        <v>1155</v>
      </c>
      <c r="F1929">
        <v>0</v>
      </c>
    </row>
    <row r="1930" spans="1:6" x14ac:dyDescent="0.2">
      <c r="A1930">
        <v>2024</v>
      </c>
      <c r="B1930" t="s">
        <v>610</v>
      </c>
      <c r="C1930">
        <v>90</v>
      </c>
      <c r="D1930">
        <v>25</v>
      </c>
      <c r="E1930" t="s">
        <v>1156</v>
      </c>
      <c r="F1930">
        <v>0</v>
      </c>
    </row>
    <row r="1931" spans="1:6" x14ac:dyDescent="0.2">
      <c r="A1931">
        <v>2025</v>
      </c>
      <c r="B1931" t="s">
        <v>610</v>
      </c>
      <c r="C1931">
        <v>105</v>
      </c>
      <c r="D1931">
        <v>20</v>
      </c>
      <c r="E1931" t="s">
        <v>1157</v>
      </c>
      <c r="F1931">
        <v>5</v>
      </c>
    </row>
    <row r="1932" spans="1:6" x14ac:dyDescent="0.2">
      <c r="A1932">
        <v>2016</v>
      </c>
      <c r="B1932" t="s">
        <v>614</v>
      </c>
      <c r="C1932">
        <v>475</v>
      </c>
      <c r="D1932">
        <v>285</v>
      </c>
      <c r="E1932" t="s">
        <v>39</v>
      </c>
      <c r="F1932">
        <v>0</v>
      </c>
    </row>
    <row r="1933" spans="1:6" x14ac:dyDescent="0.2">
      <c r="A1933">
        <v>2017</v>
      </c>
      <c r="B1933" t="s">
        <v>614</v>
      </c>
      <c r="C1933">
        <v>480</v>
      </c>
      <c r="D1933">
        <v>280</v>
      </c>
      <c r="E1933" t="s">
        <v>1105</v>
      </c>
      <c r="F1933">
        <v>0</v>
      </c>
    </row>
    <row r="1934" spans="1:6" x14ac:dyDescent="0.2">
      <c r="A1934">
        <v>2018</v>
      </c>
      <c r="B1934" t="s">
        <v>614</v>
      </c>
      <c r="C1934">
        <v>530</v>
      </c>
      <c r="D1934">
        <v>325</v>
      </c>
      <c r="E1934" t="s">
        <v>1158</v>
      </c>
      <c r="F1934">
        <v>5</v>
      </c>
    </row>
    <row r="1935" spans="1:6" x14ac:dyDescent="0.2">
      <c r="A1935">
        <v>2019</v>
      </c>
      <c r="B1935" t="s">
        <v>614</v>
      </c>
      <c r="C1935">
        <v>565</v>
      </c>
      <c r="D1935">
        <v>340</v>
      </c>
      <c r="E1935" t="s">
        <v>140</v>
      </c>
      <c r="F1935">
        <v>0</v>
      </c>
    </row>
    <row r="1936" spans="1:6" x14ac:dyDescent="0.2">
      <c r="A1936">
        <v>2020</v>
      </c>
      <c r="B1936" t="s">
        <v>614</v>
      </c>
      <c r="C1936">
        <v>650</v>
      </c>
      <c r="D1936">
        <v>410</v>
      </c>
      <c r="E1936" t="s">
        <v>216</v>
      </c>
      <c r="F1936">
        <v>0</v>
      </c>
    </row>
    <row r="1937" spans="1:6" x14ac:dyDescent="0.2">
      <c r="A1937">
        <v>2021</v>
      </c>
      <c r="B1937" t="s">
        <v>614</v>
      </c>
      <c r="C1937">
        <v>670</v>
      </c>
      <c r="D1937">
        <v>385</v>
      </c>
      <c r="E1937" t="s">
        <v>200</v>
      </c>
      <c r="F1937">
        <v>0</v>
      </c>
    </row>
    <row r="1938" spans="1:6" x14ac:dyDescent="0.2">
      <c r="A1938">
        <v>2022</v>
      </c>
      <c r="B1938" t="s">
        <v>614</v>
      </c>
      <c r="C1938">
        <v>670</v>
      </c>
      <c r="D1938">
        <v>390</v>
      </c>
      <c r="E1938" t="s">
        <v>138</v>
      </c>
      <c r="F1938">
        <v>5</v>
      </c>
    </row>
    <row r="1939" spans="1:6" x14ac:dyDescent="0.2">
      <c r="A1939">
        <v>2023</v>
      </c>
      <c r="B1939" t="s">
        <v>614</v>
      </c>
      <c r="C1939">
        <v>645</v>
      </c>
      <c r="D1939">
        <v>390</v>
      </c>
      <c r="E1939" t="s">
        <v>1159</v>
      </c>
      <c r="F1939">
        <v>0</v>
      </c>
    </row>
    <row r="1940" spans="1:6" x14ac:dyDescent="0.2">
      <c r="A1940">
        <v>2024</v>
      </c>
      <c r="B1940" t="s">
        <v>614</v>
      </c>
      <c r="C1940">
        <v>690</v>
      </c>
      <c r="D1940">
        <v>375</v>
      </c>
      <c r="E1940" t="s">
        <v>91</v>
      </c>
      <c r="F1940">
        <v>0</v>
      </c>
    </row>
    <row r="1941" spans="1:6" x14ac:dyDescent="0.2">
      <c r="A1941">
        <v>2025</v>
      </c>
      <c r="B1941" t="s">
        <v>614</v>
      </c>
      <c r="C1941">
        <v>750</v>
      </c>
      <c r="D1941">
        <v>415</v>
      </c>
      <c r="E1941" t="s">
        <v>29</v>
      </c>
      <c r="F1941">
        <v>0</v>
      </c>
    </row>
    <row r="1942" spans="1:6" x14ac:dyDescent="0.2">
      <c r="A1942">
        <v>2016</v>
      </c>
      <c r="B1942" t="s">
        <v>612</v>
      </c>
      <c r="C1942">
        <v>425</v>
      </c>
      <c r="D1942">
        <v>225</v>
      </c>
      <c r="E1942" t="s">
        <v>228</v>
      </c>
      <c r="F1942">
        <v>5</v>
      </c>
    </row>
    <row r="1943" spans="1:6" x14ac:dyDescent="0.2">
      <c r="A1943">
        <v>2017</v>
      </c>
      <c r="B1943" t="s">
        <v>612</v>
      </c>
      <c r="C1943">
        <v>510</v>
      </c>
      <c r="D1943">
        <v>240</v>
      </c>
      <c r="E1943" t="s">
        <v>125</v>
      </c>
      <c r="F1943">
        <v>0</v>
      </c>
    </row>
    <row r="1944" spans="1:6" x14ac:dyDescent="0.2">
      <c r="A1944">
        <v>2018</v>
      </c>
      <c r="B1944" t="s">
        <v>612</v>
      </c>
      <c r="C1944">
        <v>550</v>
      </c>
      <c r="D1944">
        <v>295</v>
      </c>
      <c r="E1944" t="s">
        <v>28</v>
      </c>
      <c r="F1944">
        <v>5</v>
      </c>
    </row>
    <row r="1945" spans="1:6" x14ac:dyDescent="0.2">
      <c r="A1945">
        <v>2019</v>
      </c>
      <c r="B1945" t="s">
        <v>612</v>
      </c>
      <c r="C1945">
        <v>530</v>
      </c>
      <c r="D1945">
        <v>265</v>
      </c>
      <c r="E1945" t="s">
        <v>187</v>
      </c>
      <c r="F1945">
        <v>0</v>
      </c>
    </row>
    <row r="1946" spans="1:6" x14ac:dyDescent="0.2">
      <c r="A1946">
        <v>2020</v>
      </c>
      <c r="B1946" t="s">
        <v>612</v>
      </c>
      <c r="C1946">
        <v>525</v>
      </c>
      <c r="D1946">
        <v>285</v>
      </c>
      <c r="E1946" t="s">
        <v>131</v>
      </c>
      <c r="F1946">
        <v>5</v>
      </c>
    </row>
    <row r="1947" spans="1:6" x14ac:dyDescent="0.2">
      <c r="A1947">
        <v>2021</v>
      </c>
      <c r="B1947" t="s">
        <v>612</v>
      </c>
      <c r="C1947">
        <v>550</v>
      </c>
      <c r="D1947">
        <v>275</v>
      </c>
      <c r="E1947" t="s">
        <v>186</v>
      </c>
      <c r="F1947">
        <v>0</v>
      </c>
    </row>
    <row r="1948" spans="1:6" x14ac:dyDescent="0.2">
      <c r="A1948">
        <v>2022</v>
      </c>
      <c r="B1948" t="s">
        <v>612</v>
      </c>
      <c r="C1948">
        <v>550</v>
      </c>
      <c r="D1948">
        <v>275</v>
      </c>
      <c r="E1948" t="s">
        <v>187</v>
      </c>
      <c r="F1948">
        <v>5</v>
      </c>
    </row>
    <row r="1949" spans="1:6" x14ac:dyDescent="0.2">
      <c r="A1949">
        <v>2023</v>
      </c>
      <c r="B1949" t="s">
        <v>612</v>
      </c>
      <c r="C1949">
        <v>600</v>
      </c>
      <c r="D1949">
        <v>250</v>
      </c>
      <c r="E1949" t="s">
        <v>92</v>
      </c>
      <c r="F1949">
        <v>5</v>
      </c>
    </row>
    <row r="1950" spans="1:6" x14ac:dyDescent="0.2">
      <c r="A1950">
        <v>2024</v>
      </c>
      <c r="B1950" t="s">
        <v>612</v>
      </c>
      <c r="C1950">
        <v>670</v>
      </c>
      <c r="D1950">
        <v>285</v>
      </c>
      <c r="E1950" t="s">
        <v>161</v>
      </c>
      <c r="F1950">
        <v>5</v>
      </c>
    </row>
    <row r="1951" spans="1:6" x14ac:dyDescent="0.2">
      <c r="A1951">
        <v>2025</v>
      </c>
      <c r="B1951" t="s">
        <v>612</v>
      </c>
      <c r="C1951">
        <v>695</v>
      </c>
      <c r="D1951">
        <v>335</v>
      </c>
      <c r="E1951" t="s">
        <v>979</v>
      </c>
      <c r="F1951">
        <v>5</v>
      </c>
    </row>
    <row r="1952" spans="1:6" x14ac:dyDescent="0.2">
      <c r="A1952">
        <v>2016</v>
      </c>
      <c r="B1952" t="s">
        <v>618</v>
      </c>
      <c r="C1952">
        <v>730</v>
      </c>
      <c r="D1952">
        <v>385</v>
      </c>
      <c r="E1952" t="s">
        <v>968</v>
      </c>
      <c r="F1952">
        <v>10</v>
      </c>
    </row>
    <row r="1953" spans="1:6" x14ac:dyDescent="0.2">
      <c r="A1953">
        <v>2017</v>
      </c>
      <c r="B1953" t="s">
        <v>618</v>
      </c>
      <c r="C1953">
        <v>705</v>
      </c>
      <c r="D1953">
        <v>400</v>
      </c>
      <c r="E1953" t="s">
        <v>27</v>
      </c>
      <c r="F1953">
        <v>5</v>
      </c>
    </row>
    <row r="1954" spans="1:6" x14ac:dyDescent="0.2">
      <c r="A1954">
        <v>2018</v>
      </c>
      <c r="B1954" t="s">
        <v>618</v>
      </c>
      <c r="C1954">
        <v>805</v>
      </c>
      <c r="D1954">
        <v>420</v>
      </c>
      <c r="E1954" t="s">
        <v>154</v>
      </c>
      <c r="F1954">
        <v>5</v>
      </c>
    </row>
    <row r="1955" spans="1:6" x14ac:dyDescent="0.2">
      <c r="A1955">
        <v>2019</v>
      </c>
      <c r="B1955" t="s">
        <v>618</v>
      </c>
      <c r="C1955">
        <v>775</v>
      </c>
      <c r="D1955">
        <v>395</v>
      </c>
      <c r="E1955" t="s">
        <v>335</v>
      </c>
      <c r="F1955">
        <v>5</v>
      </c>
    </row>
    <row r="1956" spans="1:6" x14ac:dyDescent="0.2">
      <c r="A1956">
        <v>2020</v>
      </c>
      <c r="B1956" t="s">
        <v>618</v>
      </c>
      <c r="C1956">
        <v>745</v>
      </c>
      <c r="D1956">
        <v>395</v>
      </c>
      <c r="E1956" t="s">
        <v>145</v>
      </c>
      <c r="F1956">
        <v>10</v>
      </c>
    </row>
    <row r="1957" spans="1:6" x14ac:dyDescent="0.2">
      <c r="A1957">
        <v>2021</v>
      </c>
      <c r="B1957" t="s">
        <v>618</v>
      </c>
      <c r="C1957">
        <v>795</v>
      </c>
      <c r="D1957">
        <v>425</v>
      </c>
      <c r="E1957" t="s">
        <v>30</v>
      </c>
      <c r="F1957">
        <v>10</v>
      </c>
    </row>
    <row r="1958" spans="1:6" x14ac:dyDescent="0.2">
      <c r="A1958">
        <v>2022</v>
      </c>
      <c r="B1958" t="s">
        <v>618</v>
      </c>
      <c r="C1958">
        <v>970</v>
      </c>
      <c r="D1958">
        <v>505</v>
      </c>
      <c r="E1958" t="s">
        <v>1034</v>
      </c>
      <c r="F1958">
        <v>15</v>
      </c>
    </row>
    <row r="1959" spans="1:6" x14ac:dyDescent="0.2">
      <c r="A1959">
        <v>2023</v>
      </c>
      <c r="B1959" t="s">
        <v>618</v>
      </c>
      <c r="C1959">
        <v>1070</v>
      </c>
      <c r="D1959">
        <v>505</v>
      </c>
      <c r="E1959" t="s">
        <v>125</v>
      </c>
      <c r="F1959">
        <v>15</v>
      </c>
    </row>
    <row r="1960" spans="1:6" x14ac:dyDescent="0.2">
      <c r="A1960">
        <v>2024</v>
      </c>
      <c r="B1960" t="s">
        <v>618</v>
      </c>
      <c r="C1960">
        <v>1030</v>
      </c>
      <c r="D1960">
        <v>475</v>
      </c>
      <c r="E1960" t="s">
        <v>963</v>
      </c>
      <c r="F1960">
        <v>10</v>
      </c>
    </row>
    <row r="1961" spans="1:6" x14ac:dyDescent="0.2">
      <c r="A1961">
        <v>2025</v>
      </c>
      <c r="B1961" t="s">
        <v>618</v>
      </c>
      <c r="C1961">
        <v>1095</v>
      </c>
      <c r="D1961">
        <v>500</v>
      </c>
      <c r="E1961" t="s">
        <v>53</v>
      </c>
      <c r="F1961">
        <v>15</v>
      </c>
    </row>
    <row r="1962" spans="1:6" x14ac:dyDescent="0.2">
      <c r="A1962">
        <v>2016</v>
      </c>
      <c r="B1962" t="s">
        <v>394</v>
      </c>
      <c r="C1962">
        <v>1625</v>
      </c>
      <c r="D1962">
        <v>845</v>
      </c>
      <c r="E1962" t="s">
        <v>395</v>
      </c>
      <c r="F1962">
        <v>10</v>
      </c>
    </row>
    <row r="1963" spans="1:6" x14ac:dyDescent="0.2">
      <c r="A1963">
        <v>2017</v>
      </c>
      <c r="B1963" t="s">
        <v>394</v>
      </c>
      <c r="C1963">
        <v>1620</v>
      </c>
      <c r="D1963">
        <v>875</v>
      </c>
      <c r="E1963" t="s">
        <v>81</v>
      </c>
      <c r="F1963">
        <v>5</v>
      </c>
    </row>
    <row r="1964" spans="1:6" x14ac:dyDescent="0.2">
      <c r="A1964">
        <v>2018</v>
      </c>
      <c r="B1964" t="s">
        <v>394</v>
      </c>
      <c r="C1964">
        <v>1680</v>
      </c>
      <c r="D1964">
        <v>890</v>
      </c>
      <c r="E1964" t="s">
        <v>228</v>
      </c>
      <c r="F1964">
        <v>0</v>
      </c>
    </row>
    <row r="1965" spans="1:6" x14ac:dyDescent="0.2">
      <c r="A1965">
        <v>2019</v>
      </c>
      <c r="B1965" t="s">
        <v>394</v>
      </c>
      <c r="C1965">
        <v>1720</v>
      </c>
      <c r="D1965">
        <v>920</v>
      </c>
      <c r="E1965" t="s">
        <v>68</v>
      </c>
      <c r="F1965">
        <v>5</v>
      </c>
    </row>
    <row r="1966" spans="1:6" x14ac:dyDescent="0.2">
      <c r="A1966">
        <v>2020</v>
      </c>
      <c r="B1966" t="s">
        <v>394</v>
      </c>
      <c r="C1966">
        <v>1680</v>
      </c>
      <c r="D1966">
        <v>935</v>
      </c>
      <c r="E1966" t="s">
        <v>397</v>
      </c>
      <c r="F1966">
        <v>5</v>
      </c>
    </row>
    <row r="1967" spans="1:6" x14ac:dyDescent="0.2">
      <c r="A1967">
        <v>2021</v>
      </c>
      <c r="B1967" t="s">
        <v>394</v>
      </c>
      <c r="C1967">
        <v>1570</v>
      </c>
      <c r="D1967">
        <v>790</v>
      </c>
      <c r="E1967" t="s">
        <v>386</v>
      </c>
      <c r="F1967">
        <v>5</v>
      </c>
    </row>
    <row r="1968" spans="1:6" x14ac:dyDescent="0.2">
      <c r="A1968">
        <v>2022</v>
      </c>
      <c r="B1968" t="s">
        <v>394</v>
      </c>
      <c r="C1968">
        <v>1520</v>
      </c>
      <c r="D1968">
        <v>745</v>
      </c>
      <c r="E1968" t="s">
        <v>296</v>
      </c>
      <c r="F1968">
        <v>5</v>
      </c>
    </row>
    <row r="1969" spans="1:6" x14ac:dyDescent="0.2">
      <c r="A1969">
        <v>2023</v>
      </c>
      <c r="B1969" t="s">
        <v>394</v>
      </c>
      <c r="C1969">
        <v>1460</v>
      </c>
      <c r="D1969">
        <v>700</v>
      </c>
      <c r="E1969" t="s">
        <v>388</v>
      </c>
      <c r="F1969">
        <v>5</v>
      </c>
    </row>
    <row r="1970" spans="1:6" x14ac:dyDescent="0.2">
      <c r="A1970">
        <v>2024</v>
      </c>
      <c r="B1970" t="s">
        <v>394</v>
      </c>
      <c r="C1970">
        <v>1520</v>
      </c>
      <c r="D1970">
        <v>745</v>
      </c>
      <c r="E1970" t="s">
        <v>398</v>
      </c>
      <c r="F1970">
        <v>0</v>
      </c>
    </row>
    <row r="1971" spans="1:6" x14ac:dyDescent="0.2">
      <c r="A1971">
        <v>2025</v>
      </c>
      <c r="B1971" t="s">
        <v>394</v>
      </c>
      <c r="C1971">
        <v>1605</v>
      </c>
      <c r="D1971">
        <v>795</v>
      </c>
      <c r="E1971" t="s">
        <v>70</v>
      </c>
      <c r="F1971">
        <v>5</v>
      </c>
    </row>
    <row r="1972" spans="1:6" x14ac:dyDescent="0.2">
      <c r="A1972">
        <v>2020</v>
      </c>
      <c r="B1972" t="s">
        <v>1160</v>
      </c>
      <c r="C1972">
        <v>10</v>
      </c>
      <c r="D1972">
        <v>10</v>
      </c>
      <c r="E1972" t="s">
        <v>910</v>
      </c>
      <c r="F1972">
        <v>0</v>
      </c>
    </row>
    <row r="1973" spans="1:6" x14ac:dyDescent="0.2">
      <c r="A1973">
        <v>2021</v>
      </c>
      <c r="B1973" t="s">
        <v>1160</v>
      </c>
      <c r="C1973">
        <v>5</v>
      </c>
      <c r="D1973">
        <v>5</v>
      </c>
      <c r="E1973" t="s">
        <v>910</v>
      </c>
      <c r="F1973">
        <v>0</v>
      </c>
    </row>
    <row r="1974" spans="1:6" x14ac:dyDescent="0.2">
      <c r="A1974">
        <v>2022</v>
      </c>
      <c r="B1974" t="s">
        <v>1160</v>
      </c>
      <c r="C1974">
        <v>10</v>
      </c>
      <c r="D1974">
        <v>5</v>
      </c>
      <c r="E1974" t="s">
        <v>910</v>
      </c>
      <c r="F1974">
        <v>0</v>
      </c>
    </row>
    <row r="1975" spans="1:6" x14ac:dyDescent="0.2">
      <c r="A1975">
        <v>2023</v>
      </c>
      <c r="B1975" t="s">
        <v>1160</v>
      </c>
      <c r="C1975">
        <v>5</v>
      </c>
      <c r="D1975">
        <v>5</v>
      </c>
      <c r="E1975" t="s">
        <v>910</v>
      </c>
      <c r="F1975">
        <v>0</v>
      </c>
    </row>
    <row r="1976" spans="1:6" x14ac:dyDescent="0.2">
      <c r="A1976">
        <v>2024</v>
      </c>
      <c r="B1976" t="s">
        <v>1160</v>
      </c>
      <c r="C1976">
        <v>5</v>
      </c>
      <c r="D1976">
        <v>5</v>
      </c>
      <c r="E1976" t="s">
        <v>910</v>
      </c>
      <c r="F1976">
        <v>0</v>
      </c>
    </row>
    <row r="1977" spans="1:6" x14ac:dyDescent="0.2">
      <c r="A1977">
        <v>2025</v>
      </c>
      <c r="B1977" t="s">
        <v>1160</v>
      </c>
      <c r="C1977">
        <v>10</v>
      </c>
      <c r="D1977">
        <v>5</v>
      </c>
      <c r="E1977" t="s">
        <v>910</v>
      </c>
      <c r="F1977">
        <v>0</v>
      </c>
    </row>
    <row r="1978" spans="1:6" x14ac:dyDescent="0.2">
      <c r="A1978">
        <v>2016</v>
      </c>
      <c r="B1978" t="s">
        <v>629</v>
      </c>
      <c r="C1978">
        <v>645</v>
      </c>
      <c r="D1978">
        <v>290</v>
      </c>
      <c r="E1978" t="s">
        <v>348</v>
      </c>
      <c r="F1978">
        <v>30</v>
      </c>
    </row>
    <row r="1979" spans="1:6" x14ac:dyDescent="0.2">
      <c r="A1979">
        <v>2017</v>
      </c>
      <c r="B1979" t="s">
        <v>629</v>
      </c>
      <c r="C1979">
        <v>845</v>
      </c>
      <c r="D1979">
        <v>400</v>
      </c>
      <c r="E1979" t="s">
        <v>125</v>
      </c>
      <c r="F1979">
        <v>10</v>
      </c>
    </row>
    <row r="1980" spans="1:6" x14ac:dyDescent="0.2">
      <c r="A1980">
        <v>2018</v>
      </c>
      <c r="B1980" t="s">
        <v>629</v>
      </c>
      <c r="C1980">
        <v>905</v>
      </c>
      <c r="D1980">
        <v>510</v>
      </c>
      <c r="E1980" t="s">
        <v>1030</v>
      </c>
      <c r="F1980">
        <v>25</v>
      </c>
    </row>
    <row r="1981" spans="1:6" x14ac:dyDescent="0.2">
      <c r="A1981">
        <v>2019</v>
      </c>
      <c r="B1981" t="s">
        <v>629</v>
      </c>
      <c r="C1981">
        <v>1150</v>
      </c>
      <c r="D1981">
        <v>650</v>
      </c>
      <c r="E1981" t="s">
        <v>193</v>
      </c>
      <c r="F1981">
        <v>30</v>
      </c>
    </row>
    <row r="1982" spans="1:6" x14ac:dyDescent="0.2">
      <c r="A1982">
        <v>2020</v>
      </c>
      <c r="B1982" t="s">
        <v>629</v>
      </c>
      <c r="C1982">
        <v>1175</v>
      </c>
      <c r="D1982">
        <v>725</v>
      </c>
      <c r="E1982" t="s">
        <v>1097</v>
      </c>
      <c r="F1982">
        <v>40</v>
      </c>
    </row>
    <row r="1983" spans="1:6" x14ac:dyDescent="0.2">
      <c r="A1983">
        <v>2021</v>
      </c>
      <c r="B1983" t="s">
        <v>629</v>
      </c>
      <c r="C1983">
        <v>1070</v>
      </c>
      <c r="D1983">
        <v>570</v>
      </c>
      <c r="E1983" t="s">
        <v>201</v>
      </c>
      <c r="F1983">
        <v>25</v>
      </c>
    </row>
    <row r="1984" spans="1:6" x14ac:dyDescent="0.2">
      <c r="A1984">
        <v>2022</v>
      </c>
      <c r="B1984" t="s">
        <v>629</v>
      </c>
      <c r="C1984">
        <v>1415</v>
      </c>
      <c r="D1984">
        <v>700</v>
      </c>
      <c r="E1984" t="s">
        <v>70</v>
      </c>
      <c r="F1984">
        <v>40</v>
      </c>
    </row>
    <row r="1985" spans="1:6" x14ac:dyDescent="0.2">
      <c r="A1985">
        <v>2023</v>
      </c>
      <c r="B1985" t="s">
        <v>629</v>
      </c>
      <c r="C1985">
        <v>1640</v>
      </c>
      <c r="D1985">
        <v>700</v>
      </c>
      <c r="E1985" t="s">
        <v>73</v>
      </c>
      <c r="F1985">
        <v>60</v>
      </c>
    </row>
    <row r="1986" spans="1:6" x14ac:dyDescent="0.2">
      <c r="A1986">
        <v>2024</v>
      </c>
      <c r="B1986" t="s">
        <v>629</v>
      </c>
      <c r="C1986">
        <v>2140</v>
      </c>
      <c r="D1986">
        <v>1050</v>
      </c>
      <c r="E1986" t="s">
        <v>398</v>
      </c>
      <c r="F1986">
        <v>65</v>
      </c>
    </row>
    <row r="1987" spans="1:6" x14ac:dyDescent="0.2">
      <c r="A1987">
        <v>2025</v>
      </c>
      <c r="B1987" t="s">
        <v>629</v>
      </c>
      <c r="C1987">
        <v>2025</v>
      </c>
      <c r="D1987">
        <v>950</v>
      </c>
      <c r="E1987" t="s">
        <v>1029</v>
      </c>
      <c r="F1987">
        <v>45</v>
      </c>
    </row>
    <row r="1988" spans="1:6" x14ac:dyDescent="0.2">
      <c r="A1988">
        <v>2016</v>
      </c>
      <c r="B1988" t="s">
        <v>633</v>
      </c>
      <c r="C1988">
        <v>20</v>
      </c>
      <c r="D1988">
        <v>10</v>
      </c>
      <c r="E1988" t="s">
        <v>379</v>
      </c>
      <c r="F1988">
        <v>0</v>
      </c>
    </row>
    <row r="1989" spans="1:6" x14ac:dyDescent="0.2">
      <c r="A1989">
        <v>2017</v>
      </c>
      <c r="B1989" t="s">
        <v>633</v>
      </c>
      <c r="C1989">
        <v>25</v>
      </c>
      <c r="D1989">
        <v>15</v>
      </c>
      <c r="E1989" t="s">
        <v>1024</v>
      </c>
      <c r="F1989">
        <v>0</v>
      </c>
    </row>
    <row r="1990" spans="1:6" x14ac:dyDescent="0.2">
      <c r="A1990">
        <v>2018</v>
      </c>
      <c r="B1990" t="s">
        <v>633</v>
      </c>
      <c r="C1990">
        <v>20</v>
      </c>
      <c r="D1990">
        <v>10</v>
      </c>
      <c r="E1990" t="s">
        <v>27</v>
      </c>
      <c r="F1990">
        <v>0</v>
      </c>
    </row>
    <row r="1991" spans="1:6" x14ac:dyDescent="0.2">
      <c r="A1991">
        <v>2019</v>
      </c>
      <c r="B1991" t="s">
        <v>633</v>
      </c>
      <c r="C1991">
        <v>30</v>
      </c>
      <c r="D1991">
        <v>25</v>
      </c>
      <c r="E1991" t="s">
        <v>1161</v>
      </c>
      <c r="F1991">
        <v>0</v>
      </c>
    </row>
    <row r="1992" spans="1:6" x14ac:dyDescent="0.2">
      <c r="A1992">
        <v>2020</v>
      </c>
      <c r="B1992" t="s">
        <v>633</v>
      </c>
      <c r="C1992">
        <v>20</v>
      </c>
      <c r="D1992">
        <v>15</v>
      </c>
      <c r="E1992" t="s">
        <v>264</v>
      </c>
      <c r="F1992">
        <v>0</v>
      </c>
    </row>
    <row r="1993" spans="1:6" x14ac:dyDescent="0.2">
      <c r="A1993">
        <v>2021</v>
      </c>
      <c r="B1993" t="s">
        <v>633</v>
      </c>
      <c r="C1993">
        <v>10</v>
      </c>
      <c r="D1993">
        <v>5</v>
      </c>
      <c r="E1993" t="s">
        <v>910</v>
      </c>
      <c r="F1993">
        <v>0</v>
      </c>
    </row>
    <row r="1994" spans="1:6" x14ac:dyDescent="0.2">
      <c r="A1994">
        <v>2022</v>
      </c>
      <c r="B1994" t="s">
        <v>633</v>
      </c>
      <c r="C1994">
        <v>15</v>
      </c>
      <c r="D1994">
        <v>5</v>
      </c>
      <c r="E1994" t="s">
        <v>910</v>
      </c>
      <c r="F1994">
        <v>0</v>
      </c>
    </row>
    <row r="1995" spans="1:6" x14ac:dyDescent="0.2">
      <c r="A1995">
        <v>2023</v>
      </c>
      <c r="B1995" t="s">
        <v>633</v>
      </c>
      <c r="C1995">
        <v>20</v>
      </c>
      <c r="D1995">
        <v>15</v>
      </c>
      <c r="E1995" t="s">
        <v>204</v>
      </c>
      <c r="F1995">
        <v>0</v>
      </c>
    </row>
    <row r="1996" spans="1:6" x14ac:dyDescent="0.2">
      <c r="A1996">
        <v>2024</v>
      </c>
      <c r="B1996" t="s">
        <v>633</v>
      </c>
      <c r="C1996">
        <v>25</v>
      </c>
      <c r="D1996">
        <v>15</v>
      </c>
      <c r="E1996" t="s">
        <v>397</v>
      </c>
      <c r="F1996">
        <v>0</v>
      </c>
    </row>
    <row r="1997" spans="1:6" x14ac:dyDescent="0.2">
      <c r="A1997">
        <v>2025</v>
      </c>
      <c r="B1997" t="s">
        <v>633</v>
      </c>
      <c r="C1997">
        <v>20</v>
      </c>
      <c r="D1997">
        <v>15</v>
      </c>
      <c r="E1997" t="s">
        <v>264</v>
      </c>
      <c r="F1997">
        <v>0</v>
      </c>
    </row>
    <row r="1998" spans="1:6" x14ac:dyDescent="0.2">
      <c r="A1998">
        <v>2016</v>
      </c>
      <c r="B1998" t="s">
        <v>399</v>
      </c>
      <c r="C1998">
        <v>350</v>
      </c>
      <c r="D1998">
        <v>135</v>
      </c>
      <c r="E1998" t="s">
        <v>329</v>
      </c>
      <c r="F1998">
        <v>5</v>
      </c>
    </row>
    <row r="1999" spans="1:6" x14ac:dyDescent="0.2">
      <c r="A1999">
        <v>2017</v>
      </c>
      <c r="B1999" t="s">
        <v>399</v>
      </c>
      <c r="C1999">
        <v>340</v>
      </c>
      <c r="D1999">
        <v>135</v>
      </c>
      <c r="E1999" t="s">
        <v>329</v>
      </c>
      <c r="F1999">
        <v>5</v>
      </c>
    </row>
    <row r="2000" spans="1:6" x14ac:dyDescent="0.2">
      <c r="A2000">
        <v>2018</v>
      </c>
      <c r="B2000" t="s">
        <v>399</v>
      </c>
      <c r="C2000">
        <v>400</v>
      </c>
      <c r="D2000">
        <v>155</v>
      </c>
      <c r="E2000" t="s">
        <v>210</v>
      </c>
      <c r="F2000">
        <v>0</v>
      </c>
    </row>
    <row r="2001" spans="1:6" x14ac:dyDescent="0.2">
      <c r="A2001">
        <v>2019</v>
      </c>
      <c r="B2001" t="s">
        <v>399</v>
      </c>
      <c r="C2001">
        <v>395</v>
      </c>
      <c r="D2001">
        <v>140</v>
      </c>
      <c r="E2001" t="s">
        <v>401</v>
      </c>
      <c r="F2001">
        <v>0</v>
      </c>
    </row>
    <row r="2002" spans="1:6" x14ac:dyDescent="0.2">
      <c r="A2002">
        <v>2020</v>
      </c>
      <c r="B2002" t="s">
        <v>399</v>
      </c>
      <c r="C2002">
        <v>585</v>
      </c>
      <c r="D2002">
        <v>225</v>
      </c>
      <c r="E2002" t="s">
        <v>353</v>
      </c>
      <c r="F2002">
        <v>10</v>
      </c>
    </row>
    <row r="2003" spans="1:6" x14ac:dyDescent="0.2">
      <c r="A2003">
        <v>2021</v>
      </c>
      <c r="B2003" t="s">
        <v>399</v>
      </c>
      <c r="C2003">
        <v>465</v>
      </c>
      <c r="D2003">
        <v>175</v>
      </c>
      <c r="E2003" t="s">
        <v>402</v>
      </c>
      <c r="F2003">
        <v>5</v>
      </c>
    </row>
    <row r="2004" spans="1:6" x14ac:dyDescent="0.2">
      <c r="A2004">
        <v>2022</v>
      </c>
      <c r="B2004" t="s">
        <v>399</v>
      </c>
      <c r="C2004">
        <v>410</v>
      </c>
      <c r="D2004">
        <v>150</v>
      </c>
      <c r="E2004" t="s">
        <v>217</v>
      </c>
      <c r="F2004">
        <v>0</v>
      </c>
    </row>
    <row r="2005" spans="1:6" x14ac:dyDescent="0.2">
      <c r="A2005">
        <v>2023</v>
      </c>
      <c r="B2005" t="s">
        <v>399</v>
      </c>
      <c r="C2005">
        <v>330</v>
      </c>
      <c r="D2005">
        <v>110</v>
      </c>
      <c r="E2005" t="s">
        <v>403</v>
      </c>
      <c r="F2005">
        <v>0</v>
      </c>
    </row>
    <row r="2006" spans="1:6" x14ac:dyDescent="0.2">
      <c r="A2006">
        <v>2024</v>
      </c>
      <c r="B2006" t="s">
        <v>399</v>
      </c>
      <c r="C2006">
        <v>400</v>
      </c>
      <c r="D2006">
        <v>150</v>
      </c>
      <c r="E2006" t="s">
        <v>118</v>
      </c>
      <c r="F2006">
        <v>0</v>
      </c>
    </row>
    <row r="2007" spans="1:6" x14ac:dyDescent="0.2">
      <c r="A2007">
        <v>2025</v>
      </c>
      <c r="B2007" t="s">
        <v>399</v>
      </c>
      <c r="C2007">
        <v>380</v>
      </c>
      <c r="D2007">
        <v>110</v>
      </c>
      <c r="E2007" t="s">
        <v>1162</v>
      </c>
      <c r="F2007">
        <v>0</v>
      </c>
    </row>
    <row r="2008" spans="1:6" x14ac:dyDescent="0.2">
      <c r="A2008">
        <v>2016</v>
      </c>
      <c r="B2008" t="s">
        <v>655</v>
      </c>
      <c r="C2008">
        <v>10</v>
      </c>
      <c r="D2008">
        <v>5</v>
      </c>
      <c r="E2008" t="s">
        <v>910</v>
      </c>
      <c r="F2008">
        <v>0</v>
      </c>
    </row>
    <row r="2009" spans="1:6" x14ac:dyDescent="0.2">
      <c r="A2009">
        <v>2017</v>
      </c>
      <c r="B2009" t="s">
        <v>655</v>
      </c>
      <c r="C2009">
        <v>15</v>
      </c>
      <c r="D2009">
        <v>5</v>
      </c>
      <c r="E2009" t="s">
        <v>910</v>
      </c>
      <c r="F2009">
        <v>0</v>
      </c>
    </row>
    <row r="2010" spans="1:6" x14ac:dyDescent="0.2">
      <c r="A2010">
        <v>2018</v>
      </c>
      <c r="B2010" t="s">
        <v>655</v>
      </c>
      <c r="C2010">
        <v>20</v>
      </c>
      <c r="D2010">
        <v>5</v>
      </c>
      <c r="E2010" t="s">
        <v>910</v>
      </c>
      <c r="F2010">
        <v>0</v>
      </c>
    </row>
    <row r="2011" spans="1:6" x14ac:dyDescent="0.2">
      <c r="A2011">
        <v>2019</v>
      </c>
      <c r="B2011" t="s">
        <v>655</v>
      </c>
      <c r="C2011">
        <v>10</v>
      </c>
      <c r="D2011">
        <v>5</v>
      </c>
      <c r="E2011" t="s">
        <v>910</v>
      </c>
      <c r="F2011">
        <v>0</v>
      </c>
    </row>
    <row r="2012" spans="1:6" x14ac:dyDescent="0.2">
      <c r="A2012">
        <v>2020</v>
      </c>
      <c r="B2012" t="s">
        <v>655</v>
      </c>
      <c r="C2012">
        <v>10</v>
      </c>
      <c r="D2012">
        <v>0</v>
      </c>
      <c r="E2012" t="s">
        <v>910</v>
      </c>
      <c r="F2012">
        <v>0</v>
      </c>
    </row>
    <row r="2013" spans="1:6" x14ac:dyDescent="0.2">
      <c r="A2013">
        <v>2021</v>
      </c>
      <c r="B2013" t="s">
        <v>655</v>
      </c>
      <c r="C2013">
        <v>15</v>
      </c>
      <c r="D2013">
        <v>5</v>
      </c>
      <c r="E2013" t="s">
        <v>910</v>
      </c>
      <c r="F2013">
        <v>0</v>
      </c>
    </row>
    <row r="2014" spans="1:6" x14ac:dyDescent="0.2">
      <c r="A2014">
        <v>2022</v>
      </c>
      <c r="B2014" t="s">
        <v>655</v>
      </c>
      <c r="C2014">
        <v>20</v>
      </c>
      <c r="D2014">
        <v>5</v>
      </c>
      <c r="E2014" t="s">
        <v>910</v>
      </c>
      <c r="F2014">
        <v>0</v>
      </c>
    </row>
    <row r="2015" spans="1:6" x14ac:dyDescent="0.2">
      <c r="A2015">
        <v>2023</v>
      </c>
      <c r="B2015" t="s">
        <v>655</v>
      </c>
      <c r="C2015">
        <v>15</v>
      </c>
      <c r="D2015">
        <v>0</v>
      </c>
      <c r="E2015" t="s">
        <v>910</v>
      </c>
      <c r="F2015">
        <v>0</v>
      </c>
    </row>
    <row r="2016" spans="1:6" x14ac:dyDescent="0.2">
      <c r="A2016">
        <v>2024</v>
      </c>
      <c r="B2016" t="s">
        <v>655</v>
      </c>
      <c r="C2016">
        <v>10</v>
      </c>
      <c r="D2016">
        <v>0</v>
      </c>
      <c r="E2016" t="s">
        <v>910</v>
      </c>
      <c r="F2016">
        <v>0</v>
      </c>
    </row>
    <row r="2017" spans="1:6" x14ac:dyDescent="0.2">
      <c r="A2017">
        <v>2025</v>
      </c>
      <c r="B2017" t="s">
        <v>655</v>
      </c>
      <c r="C2017">
        <v>10</v>
      </c>
      <c r="D2017">
        <v>5</v>
      </c>
      <c r="E2017" t="s">
        <v>910</v>
      </c>
      <c r="F2017">
        <v>0</v>
      </c>
    </row>
    <row r="2018" spans="1:6" x14ac:dyDescent="0.2">
      <c r="A2018">
        <v>2017</v>
      </c>
      <c r="B2018" t="s">
        <v>635</v>
      </c>
      <c r="C2018">
        <v>10</v>
      </c>
      <c r="D2018">
        <v>0</v>
      </c>
      <c r="E2018" t="s">
        <v>910</v>
      </c>
      <c r="F2018">
        <v>0</v>
      </c>
    </row>
    <row r="2019" spans="1:6" x14ac:dyDescent="0.2">
      <c r="A2019">
        <v>2018</v>
      </c>
      <c r="B2019" t="s">
        <v>635</v>
      </c>
      <c r="C2019">
        <v>5</v>
      </c>
      <c r="D2019">
        <v>0</v>
      </c>
      <c r="E2019" t="s">
        <v>910</v>
      </c>
      <c r="F2019">
        <v>0</v>
      </c>
    </row>
    <row r="2020" spans="1:6" x14ac:dyDescent="0.2">
      <c r="A2020">
        <v>2019</v>
      </c>
      <c r="B2020" t="s">
        <v>635</v>
      </c>
      <c r="C2020">
        <v>5</v>
      </c>
      <c r="D2020">
        <v>0</v>
      </c>
      <c r="E2020" t="s">
        <v>910</v>
      </c>
      <c r="F2020">
        <v>0</v>
      </c>
    </row>
    <row r="2021" spans="1:6" x14ac:dyDescent="0.2">
      <c r="A2021">
        <v>2020</v>
      </c>
      <c r="B2021" t="s">
        <v>635</v>
      </c>
      <c r="C2021">
        <v>5</v>
      </c>
      <c r="D2021">
        <v>0</v>
      </c>
      <c r="E2021" t="s">
        <v>910</v>
      </c>
      <c r="F2021">
        <v>0</v>
      </c>
    </row>
    <row r="2022" spans="1:6" x14ac:dyDescent="0.2">
      <c r="A2022">
        <v>2021</v>
      </c>
      <c r="B2022" t="s">
        <v>635</v>
      </c>
      <c r="C2022">
        <v>10</v>
      </c>
      <c r="D2022">
        <v>0</v>
      </c>
      <c r="E2022" t="s">
        <v>910</v>
      </c>
      <c r="F2022">
        <v>0</v>
      </c>
    </row>
    <row r="2023" spans="1:6" x14ac:dyDescent="0.2">
      <c r="A2023">
        <v>2022</v>
      </c>
      <c r="B2023" t="s">
        <v>635</v>
      </c>
      <c r="C2023">
        <v>10</v>
      </c>
      <c r="D2023">
        <v>0</v>
      </c>
      <c r="E2023" t="s">
        <v>910</v>
      </c>
      <c r="F2023">
        <v>0</v>
      </c>
    </row>
    <row r="2024" spans="1:6" x14ac:dyDescent="0.2">
      <c r="A2024">
        <v>2023</v>
      </c>
      <c r="B2024" t="s">
        <v>635</v>
      </c>
      <c r="C2024">
        <v>15</v>
      </c>
      <c r="D2024">
        <v>0</v>
      </c>
      <c r="E2024" t="s">
        <v>910</v>
      </c>
      <c r="F2024">
        <v>0</v>
      </c>
    </row>
    <row r="2025" spans="1:6" x14ac:dyDescent="0.2">
      <c r="A2025">
        <v>2024</v>
      </c>
      <c r="B2025" t="s">
        <v>635</v>
      </c>
      <c r="C2025">
        <v>10</v>
      </c>
      <c r="D2025">
        <v>0</v>
      </c>
      <c r="E2025" t="s">
        <v>910</v>
      </c>
      <c r="F2025">
        <v>0</v>
      </c>
    </row>
    <row r="2026" spans="1:6" x14ac:dyDescent="0.2">
      <c r="A2026">
        <v>2025</v>
      </c>
      <c r="B2026" t="s">
        <v>635</v>
      </c>
      <c r="C2026">
        <v>20</v>
      </c>
      <c r="D2026">
        <v>0</v>
      </c>
      <c r="E2026" t="s">
        <v>910</v>
      </c>
      <c r="F2026">
        <v>0</v>
      </c>
    </row>
    <row r="2027" spans="1:6" x14ac:dyDescent="0.2">
      <c r="A2027">
        <v>2016</v>
      </c>
      <c r="B2027" t="s">
        <v>637</v>
      </c>
      <c r="C2027">
        <v>105</v>
      </c>
      <c r="D2027">
        <v>65</v>
      </c>
      <c r="E2027" t="s">
        <v>141</v>
      </c>
      <c r="F2027">
        <v>0</v>
      </c>
    </row>
    <row r="2028" spans="1:6" x14ac:dyDescent="0.2">
      <c r="A2028">
        <v>2017</v>
      </c>
      <c r="B2028" t="s">
        <v>637</v>
      </c>
      <c r="C2028">
        <v>35</v>
      </c>
      <c r="D2028">
        <v>20</v>
      </c>
      <c r="E2028" t="s">
        <v>1163</v>
      </c>
      <c r="F2028">
        <v>0</v>
      </c>
    </row>
    <row r="2029" spans="1:6" x14ac:dyDescent="0.2">
      <c r="A2029">
        <v>2018</v>
      </c>
      <c r="B2029" t="s">
        <v>637</v>
      </c>
      <c r="C2029">
        <v>30</v>
      </c>
      <c r="D2029">
        <v>10</v>
      </c>
      <c r="E2029" t="s">
        <v>304</v>
      </c>
      <c r="F2029">
        <v>0</v>
      </c>
    </row>
    <row r="2030" spans="1:6" x14ac:dyDescent="0.2">
      <c r="A2030">
        <v>2019</v>
      </c>
      <c r="B2030" t="s">
        <v>637</v>
      </c>
      <c r="C2030">
        <v>70</v>
      </c>
      <c r="D2030">
        <v>25</v>
      </c>
      <c r="E2030" t="s">
        <v>351</v>
      </c>
      <c r="F2030">
        <v>0</v>
      </c>
    </row>
    <row r="2031" spans="1:6" x14ac:dyDescent="0.2">
      <c r="A2031">
        <v>2020</v>
      </c>
      <c r="B2031" t="s">
        <v>637</v>
      </c>
      <c r="C2031">
        <v>45</v>
      </c>
      <c r="D2031">
        <v>20</v>
      </c>
      <c r="E2031" t="s">
        <v>31</v>
      </c>
      <c r="F2031">
        <v>0</v>
      </c>
    </row>
    <row r="2032" spans="1:6" x14ac:dyDescent="0.2">
      <c r="A2032">
        <v>2021</v>
      </c>
      <c r="B2032" t="s">
        <v>637</v>
      </c>
      <c r="C2032">
        <v>45</v>
      </c>
      <c r="D2032">
        <v>20</v>
      </c>
      <c r="E2032" t="s">
        <v>187</v>
      </c>
      <c r="F2032">
        <v>0</v>
      </c>
    </row>
    <row r="2033" spans="1:6" x14ac:dyDescent="0.2">
      <c r="A2033">
        <v>2022</v>
      </c>
      <c r="B2033" t="s">
        <v>637</v>
      </c>
      <c r="C2033">
        <v>45</v>
      </c>
      <c r="D2033">
        <v>15</v>
      </c>
      <c r="E2033" t="s">
        <v>217</v>
      </c>
      <c r="F2033">
        <v>0</v>
      </c>
    </row>
    <row r="2034" spans="1:6" x14ac:dyDescent="0.2">
      <c r="A2034">
        <v>2023</v>
      </c>
      <c r="B2034" t="s">
        <v>637</v>
      </c>
      <c r="C2034">
        <v>55</v>
      </c>
      <c r="D2034">
        <v>15</v>
      </c>
      <c r="E2034" t="s">
        <v>1094</v>
      </c>
      <c r="F2034">
        <v>0</v>
      </c>
    </row>
    <row r="2035" spans="1:6" x14ac:dyDescent="0.2">
      <c r="A2035">
        <v>2024</v>
      </c>
      <c r="B2035" t="s">
        <v>637</v>
      </c>
      <c r="C2035">
        <v>60</v>
      </c>
      <c r="D2035">
        <v>25</v>
      </c>
      <c r="E2035" t="s">
        <v>116</v>
      </c>
      <c r="F2035">
        <v>0</v>
      </c>
    </row>
    <row r="2036" spans="1:6" x14ac:dyDescent="0.2">
      <c r="A2036">
        <v>2025</v>
      </c>
      <c r="B2036" t="s">
        <v>637</v>
      </c>
      <c r="C2036">
        <v>40</v>
      </c>
      <c r="D2036">
        <v>25</v>
      </c>
      <c r="E2036" t="s">
        <v>407</v>
      </c>
      <c r="F2036">
        <v>5</v>
      </c>
    </row>
    <row r="2037" spans="1:6" x14ac:dyDescent="0.2">
      <c r="A2037">
        <v>2016</v>
      </c>
      <c r="B2037" t="s">
        <v>1164</v>
      </c>
      <c r="C2037">
        <v>240</v>
      </c>
      <c r="D2037">
        <v>155</v>
      </c>
      <c r="E2037" t="s">
        <v>183</v>
      </c>
      <c r="F2037">
        <v>0</v>
      </c>
    </row>
    <row r="2038" spans="1:6" x14ac:dyDescent="0.2">
      <c r="A2038">
        <v>2017</v>
      </c>
      <c r="B2038" t="s">
        <v>1164</v>
      </c>
      <c r="C2038">
        <v>300</v>
      </c>
      <c r="D2038">
        <v>210</v>
      </c>
      <c r="E2038" t="s">
        <v>1165</v>
      </c>
      <c r="F2038">
        <v>0</v>
      </c>
    </row>
    <row r="2039" spans="1:6" x14ac:dyDescent="0.2">
      <c r="A2039">
        <v>2018</v>
      </c>
      <c r="B2039" t="s">
        <v>1164</v>
      </c>
      <c r="C2039">
        <v>265</v>
      </c>
      <c r="D2039">
        <v>160</v>
      </c>
      <c r="E2039" t="s">
        <v>39</v>
      </c>
      <c r="F2039">
        <v>0</v>
      </c>
    </row>
    <row r="2040" spans="1:6" x14ac:dyDescent="0.2">
      <c r="A2040">
        <v>2019</v>
      </c>
      <c r="B2040" t="s">
        <v>1164</v>
      </c>
      <c r="C2040">
        <v>260</v>
      </c>
      <c r="D2040">
        <v>160</v>
      </c>
      <c r="E2040" t="s">
        <v>1054</v>
      </c>
      <c r="F2040">
        <v>0</v>
      </c>
    </row>
    <row r="2041" spans="1:6" x14ac:dyDescent="0.2">
      <c r="A2041">
        <v>2020</v>
      </c>
      <c r="B2041" t="s">
        <v>1164</v>
      </c>
      <c r="C2041">
        <v>255</v>
      </c>
      <c r="D2041">
        <v>155</v>
      </c>
      <c r="E2041" t="s">
        <v>292</v>
      </c>
      <c r="F2041">
        <v>0</v>
      </c>
    </row>
    <row r="2042" spans="1:6" x14ac:dyDescent="0.2">
      <c r="A2042">
        <v>2021</v>
      </c>
      <c r="B2042" t="s">
        <v>1164</v>
      </c>
      <c r="C2042">
        <v>205</v>
      </c>
      <c r="D2042">
        <v>110</v>
      </c>
      <c r="E2042" t="s">
        <v>294</v>
      </c>
      <c r="F2042">
        <v>0</v>
      </c>
    </row>
    <row r="2043" spans="1:6" x14ac:dyDescent="0.2">
      <c r="A2043">
        <v>2022</v>
      </c>
      <c r="B2043" t="s">
        <v>1164</v>
      </c>
      <c r="C2043">
        <v>190</v>
      </c>
      <c r="D2043">
        <v>110</v>
      </c>
      <c r="E2043" t="s">
        <v>1166</v>
      </c>
      <c r="F2043">
        <v>0</v>
      </c>
    </row>
    <row r="2044" spans="1:6" x14ac:dyDescent="0.2">
      <c r="A2044">
        <v>2023</v>
      </c>
      <c r="B2044" t="s">
        <v>1164</v>
      </c>
      <c r="C2044">
        <v>210</v>
      </c>
      <c r="D2044">
        <v>110</v>
      </c>
      <c r="E2044" t="s">
        <v>395</v>
      </c>
      <c r="F2044">
        <v>0</v>
      </c>
    </row>
    <row r="2045" spans="1:6" x14ac:dyDescent="0.2">
      <c r="A2045">
        <v>2024</v>
      </c>
      <c r="B2045" t="s">
        <v>1164</v>
      </c>
      <c r="C2045">
        <v>190</v>
      </c>
      <c r="D2045">
        <v>95</v>
      </c>
      <c r="E2045" t="s">
        <v>956</v>
      </c>
      <c r="F2045">
        <v>0</v>
      </c>
    </row>
    <row r="2046" spans="1:6" x14ac:dyDescent="0.2">
      <c r="A2046">
        <v>2025</v>
      </c>
      <c r="B2046" t="s">
        <v>1164</v>
      </c>
      <c r="C2046">
        <v>205</v>
      </c>
      <c r="D2046">
        <v>85</v>
      </c>
      <c r="E2046" t="s">
        <v>75</v>
      </c>
      <c r="F2046">
        <v>0</v>
      </c>
    </row>
    <row r="2047" spans="1:6" x14ac:dyDescent="0.2">
      <c r="A2047">
        <v>2016</v>
      </c>
      <c r="B2047" t="s">
        <v>669</v>
      </c>
      <c r="C2047">
        <v>20</v>
      </c>
      <c r="D2047">
        <v>10</v>
      </c>
      <c r="E2047" t="s">
        <v>187</v>
      </c>
      <c r="F2047">
        <v>0</v>
      </c>
    </row>
    <row r="2048" spans="1:6" x14ac:dyDescent="0.2">
      <c r="A2048">
        <v>2017</v>
      </c>
      <c r="B2048" t="s">
        <v>669</v>
      </c>
      <c r="C2048">
        <v>30</v>
      </c>
      <c r="D2048">
        <v>15</v>
      </c>
      <c r="E2048" t="s">
        <v>132</v>
      </c>
      <c r="F2048">
        <v>0</v>
      </c>
    </row>
    <row r="2049" spans="1:6" x14ac:dyDescent="0.2">
      <c r="A2049">
        <v>2018</v>
      </c>
      <c r="B2049" t="s">
        <v>669</v>
      </c>
      <c r="C2049">
        <v>20</v>
      </c>
      <c r="D2049">
        <v>10</v>
      </c>
      <c r="E2049" t="s">
        <v>910</v>
      </c>
      <c r="F2049">
        <v>0</v>
      </c>
    </row>
    <row r="2050" spans="1:6" x14ac:dyDescent="0.2">
      <c r="A2050">
        <v>2019</v>
      </c>
      <c r="B2050" t="s">
        <v>669</v>
      </c>
      <c r="C2050">
        <v>15</v>
      </c>
      <c r="D2050">
        <v>5</v>
      </c>
      <c r="E2050" t="s">
        <v>910</v>
      </c>
      <c r="F2050">
        <v>0</v>
      </c>
    </row>
    <row r="2051" spans="1:6" x14ac:dyDescent="0.2">
      <c r="A2051">
        <v>2020</v>
      </c>
      <c r="B2051" t="s">
        <v>669</v>
      </c>
      <c r="C2051">
        <v>20</v>
      </c>
      <c r="D2051">
        <v>5</v>
      </c>
      <c r="E2051" t="s">
        <v>910</v>
      </c>
      <c r="F2051">
        <v>0</v>
      </c>
    </row>
    <row r="2052" spans="1:6" x14ac:dyDescent="0.2">
      <c r="A2052">
        <v>2021</v>
      </c>
      <c r="B2052" t="s">
        <v>669</v>
      </c>
      <c r="C2052">
        <v>15</v>
      </c>
      <c r="D2052">
        <v>5</v>
      </c>
      <c r="E2052" t="s">
        <v>910</v>
      </c>
      <c r="F2052">
        <v>0</v>
      </c>
    </row>
    <row r="2053" spans="1:6" x14ac:dyDescent="0.2">
      <c r="A2053">
        <v>2022</v>
      </c>
      <c r="B2053" t="s">
        <v>669</v>
      </c>
      <c r="C2053">
        <v>30</v>
      </c>
      <c r="D2053">
        <v>10</v>
      </c>
      <c r="E2053" t="s">
        <v>133</v>
      </c>
      <c r="F2053">
        <v>0</v>
      </c>
    </row>
    <row r="2054" spans="1:6" x14ac:dyDescent="0.2">
      <c r="A2054">
        <v>2023</v>
      </c>
      <c r="B2054" t="s">
        <v>669</v>
      </c>
      <c r="C2054">
        <v>30</v>
      </c>
      <c r="D2054">
        <v>20</v>
      </c>
      <c r="E2054" t="s">
        <v>1167</v>
      </c>
      <c r="F2054">
        <v>0</v>
      </c>
    </row>
    <row r="2055" spans="1:6" x14ac:dyDescent="0.2">
      <c r="A2055">
        <v>2024</v>
      </c>
      <c r="B2055" t="s">
        <v>669</v>
      </c>
      <c r="C2055">
        <v>35</v>
      </c>
      <c r="D2055">
        <v>20</v>
      </c>
      <c r="E2055" t="s">
        <v>1166</v>
      </c>
      <c r="F2055">
        <v>0</v>
      </c>
    </row>
    <row r="2056" spans="1:6" x14ac:dyDescent="0.2">
      <c r="A2056">
        <v>2025</v>
      </c>
      <c r="B2056" t="s">
        <v>669</v>
      </c>
      <c r="C2056">
        <v>25</v>
      </c>
      <c r="D2056">
        <v>5</v>
      </c>
      <c r="E2056" t="s">
        <v>910</v>
      </c>
      <c r="F2056">
        <v>0</v>
      </c>
    </row>
    <row r="2057" spans="1:6" x14ac:dyDescent="0.2">
      <c r="A2057">
        <v>2016</v>
      </c>
      <c r="B2057" t="s">
        <v>697</v>
      </c>
      <c r="C2057">
        <v>75</v>
      </c>
      <c r="D2057">
        <v>35</v>
      </c>
      <c r="E2057" t="s">
        <v>225</v>
      </c>
      <c r="F2057">
        <v>0</v>
      </c>
    </row>
    <row r="2058" spans="1:6" x14ac:dyDescent="0.2">
      <c r="A2058">
        <v>2017</v>
      </c>
      <c r="B2058" t="s">
        <v>697</v>
      </c>
      <c r="C2058">
        <v>85</v>
      </c>
      <c r="D2058">
        <v>35</v>
      </c>
      <c r="E2058" t="s">
        <v>92</v>
      </c>
      <c r="F2058">
        <v>0</v>
      </c>
    </row>
    <row r="2059" spans="1:6" x14ac:dyDescent="0.2">
      <c r="A2059">
        <v>2018</v>
      </c>
      <c r="B2059" t="s">
        <v>697</v>
      </c>
      <c r="C2059">
        <v>95</v>
      </c>
      <c r="D2059">
        <v>45</v>
      </c>
      <c r="E2059" t="s">
        <v>1029</v>
      </c>
      <c r="F2059">
        <v>0</v>
      </c>
    </row>
    <row r="2060" spans="1:6" x14ac:dyDescent="0.2">
      <c r="A2060">
        <v>2019</v>
      </c>
      <c r="B2060" t="s">
        <v>697</v>
      </c>
      <c r="C2060">
        <v>115</v>
      </c>
      <c r="D2060">
        <v>60</v>
      </c>
      <c r="E2060" t="s">
        <v>60</v>
      </c>
      <c r="F2060">
        <v>0</v>
      </c>
    </row>
    <row r="2061" spans="1:6" x14ac:dyDescent="0.2">
      <c r="A2061">
        <v>2020</v>
      </c>
      <c r="B2061" t="s">
        <v>697</v>
      </c>
      <c r="C2061">
        <v>100</v>
      </c>
      <c r="D2061">
        <v>40</v>
      </c>
      <c r="E2061" t="s">
        <v>114</v>
      </c>
      <c r="F2061">
        <v>5</v>
      </c>
    </row>
    <row r="2062" spans="1:6" x14ac:dyDescent="0.2">
      <c r="A2062">
        <v>2021</v>
      </c>
      <c r="B2062" t="s">
        <v>697</v>
      </c>
      <c r="C2062">
        <v>90</v>
      </c>
      <c r="D2062">
        <v>45</v>
      </c>
      <c r="E2062" t="s">
        <v>187</v>
      </c>
      <c r="F2062">
        <v>0</v>
      </c>
    </row>
    <row r="2063" spans="1:6" x14ac:dyDescent="0.2">
      <c r="A2063">
        <v>2022</v>
      </c>
      <c r="B2063" t="s">
        <v>697</v>
      </c>
      <c r="C2063">
        <v>105</v>
      </c>
      <c r="D2063">
        <v>30</v>
      </c>
      <c r="E2063" t="s">
        <v>1154</v>
      </c>
      <c r="F2063">
        <v>5</v>
      </c>
    </row>
    <row r="2064" spans="1:6" x14ac:dyDescent="0.2">
      <c r="A2064">
        <v>2023</v>
      </c>
      <c r="B2064" t="s">
        <v>697</v>
      </c>
      <c r="C2064">
        <v>105</v>
      </c>
      <c r="D2064">
        <v>40</v>
      </c>
      <c r="E2064" t="s">
        <v>988</v>
      </c>
      <c r="F2064">
        <v>5</v>
      </c>
    </row>
    <row r="2065" spans="1:6" x14ac:dyDescent="0.2">
      <c r="A2065">
        <v>2024</v>
      </c>
      <c r="B2065" t="s">
        <v>697</v>
      </c>
      <c r="C2065">
        <v>105</v>
      </c>
      <c r="D2065">
        <v>35</v>
      </c>
      <c r="E2065" t="s">
        <v>1028</v>
      </c>
      <c r="F2065">
        <v>0</v>
      </c>
    </row>
    <row r="2066" spans="1:6" x14ac:dyDescent="0.2">
      <c r="A2066">
        <v>2025</v>
      </c>
      <c r="B2066" t="s">
        <v>697</v>
      </c>
      <c r="C2066">
        <v>105</v>
      </c>
      <c r="D2066">
        <v>40</v>
      </c>
      <c r="E2066" t="s">
        <v>917</v>
      </c>
      <c r="F2066">
        <v>5</v>
      </c>
    </row>
    <row r="2067" spans="1:6" x14ac:dyDescent="0.2">
      <c r="A2067">
        <v>2016</v>
      </c>
      <c r="B2067" t="s">
        <v>404</v>
      </c>
      <c r="C2067">
        <v>5695</v>
      </c>
      <c r="D2067">
        <v>3460</v>
      </c>
      <c r="E2067" t="s">
        <v>160</v>
      </c>
      <c r="F2067">
        <v>15</v>
      </c>
    </row>
    <row r="2068" spans="1:6" x14ac:dyDescent="0.2">
      <c r="A2068">
        <v>2017</v>
      </c>
      <c r="B2068" t="s">
        <v>404</v>
      </c>
      <c r="C2068">
        <v>4855</v>
      </c>
      <c r="D2068">
        <v>3090</v>
      </c>
      <c r="E2068" t="s">
        <v>314</v>
      </c>
      <c r="F2068">
        <v>10</v>
      </c>
    </row>
    <row r="2069" spans="1:6" x14ac:dyDescent="0.2">
      <c r="A2069">
        <v>2018</v>
      </c>
      <c r="B2069" t="s">
        <v>404</v>
      </c>
      <c r="C2069">
        <v>4430</v>
      </c>
      <c r="D2069">
        <v>2875</v>
      </c>
      <c r="E2069" t="s">
        <v>111</v>
      </c>
      <c r="F2069">
        <v>15</v>
      </c>
    </row>
    <row r="2070" spans="1:6" x14ac:dyDescent="0.2">
      <c r="A2070">
        <v>2019</v>
      </c>
      <c r="B2070" t="s">
        <v>404</v>
      </c>
      <c r="C2070">
        <v>4410</v>
      </c>
      <c r="D2070">
        <v>2745</v>
      </c>
      <c r="E2070" t="s">
        <v>110</v>
      </c>
      <c r="F2070">
        <v>10</v>
      </c>
    </row>
    <row r="2071" spans="1:6" x14ac:dyDescent="0.2">
      <c r="A2071">
        <v>2020</v>
      </c>
      <c r="B2071" t="s">
        <v>404</v>
      </c>
      <c r="C2071">
        <v>4010</v>
      </c>
      <c r="D2071">
        <v>2425</v>
      </c>
      <c r="E2071" t="s">
        <v>39</v>
      </c>
      <c r="F2071">
        <v>15</v>
      </c>
    </row>
    <row r="2072" spans="1:6" x14ac:dyDescent="0.2">
      <c r="A2072">
        <v>2021</v>
      </c>
      <c r="B2072" t="s">
        <v>404</v>
      </c>
      <c r="C2072">
        <v>4275</v>
      </c>
      <c r="D2072">
        <v>2825</v>
      </c>
      <c r="E2072" t="s">
        <v>406</v>
      </c>
      <c r="F2072">
        <v>15</v>
      </c>
    </row>
    <row r="2073" spans="1:6" x14ac:dyDescent="0.2">
      <c r="A2073">
        <v>2022</v>
      </c>
      <c r="B2073" t="s">
        <v>404</v>
      </c>
      <c r="C2073">
        <v>4420</v>
      </c>
      <c r="D2073">
        <v>2845</v>
      </c>
      <c r="E2073" t="s">
        <v>407</v>
      </c>
      <c r="F2073">
        <v>15</v>
      </c>
    </row>
    <row r="2074" spans="1:6" x14ac:dyDescent="0.2">
      <c r="A2074">
        <v>2023</v>
      </c>
      <c r="B2074" t="s">
        <v>404</v>
      </c>
      <c r="C2074">
        <v>4650</v>
      </c>
      <c r="D2074">
        <v>2755</v>
      </c>
      <c r="E2074" t="s">
        <v>408</v>
      </c>
      <c r="F2074">
        <v>10</v>
      </c>
    </row>
    <row r="2075" spans="1:6" x14ac:dyDescent="0.2">
      <c r="A2075">
        <v>2024</v>
      </c>
      <c r="B2075" t="s">
        <v>404</v>
      </c>
      <c r="C2075">
        <v>4535</v>
      </c>
      <c r="D2075">
        <v>2705</v>
      </c>
      <c r="E2075" t="s">
        <v>409</v>
      </c>
      <c r="F2075">
        <v>20</v>
      </c>
    </row>
    <row r="2076" spans="1:6" x14ac:dyDescent="0.2">
      <c r="A2076">
        <v>2025</v>
      </c>
      <c r="B2076" t="s">
        <v>404</v>
      </c>
      <c r="C2076">
        <v>4165</v>
      </c>
      <c r="D2076">
        <v>2405</v>
      </c>
      <c r="E2076" t="s">
        <v>999</v>
      </c>
      <c r="F2076">
        <v>15</v>
      </c>
    </row>
    <row r="2077" spans="1:6" x14ac:dyDescent="0.2">
      <c r="A2077">
        <v>2016</v>
      </c>
      <c r="B2077" t="s">
        <v>681</v>
      </c>
      <c r="C2077">
        <v>5</v>
      </c>
      <c r="D2077">
        <v>0</v>
      </c>
      <c r="E2077" t="s">
        <v>910</v>
      </c>
      <c r="F2077">
        <v>0</v>
      </c>
    </row>
    <row r="2078" spans="1:6" x14ac:dyDescent="0.2">
      <c r="A2078">
        <v>2017</v>
      </c>
      <c r="B2078" t="s">
        <v>681</v>
      </c>
      <c r="C2078">
        <v>5</v>
      </c>
      <c r="D2078">
        <v>5</v>
      </c>
      <c r="E2078" t="s">
        <v>910</v>
      </c>
      <c r="F2078">
        <v>0</v>
      </c>
    </row>
    <row r="2079" spans="1:6" x14ac:dyDescent="0.2">
      <c r="A2079">
        <v>2018</v>
      </c>
      <c r="B2079" t="s">
        <v>681</v>
      </c>
      <c r="C2079">
        <v>5</v>
      </c>
      <c r="D2079">
        <v>0</v>
      </c>
      <c r="E2079" t="s">
        <v>910</v>
      </c>
      <c r="F2079">
        <v>0</v>
      </c>
    </row>
    <row r="2080" spans="1:6" x14ac:dyDescent="0.2">
      <c r="A2080">
        <v>2019</v>
      </c>
      <c r="B2080" t="s">
        <v>681</v>
      </c>
      <c r="C2080">
        <v>10</v>
      </c>
      <c r="D2080">
        <v>5</v>
      </c>
      <c r="E2080" t="s">
        <v>910</v>
      </c>
      <c r="F2080">
        <v>0</v>
      </c>
    </row>
    <row r="2081" spans="1:6" x14ac:dyDescent="0.2">
      <c r="A2081">
        <v>2020</v>
      </c>
      <c r="B2081" t="s">
        <v>681</v>
      </c>
      <c r="C2081">
        <v>5</v>
      </c>
      <c r="D2081">
        <v>0</v>
      </c>
      <c r="E2081" t="s">
        <v>910</v>
      </c>
      <c r="F2081">
        <v>0</v>
      </c>
    </row>
    <row r="2082" spans="1:6" x14ac:dyDescent="0.2">
      <c r="A2082">
        <v>2021</v>
      </c>
      <c r="B2082" t="s">
        <v>681</v>
      </c>
      <c r="C2082">
        <v>5</v>
      </c>
      <c r="D2082">
        <v>0</v>
      </c>
      <c r="E2082" t="s">
        <v>910</v>
      </c>
      <c r="F2082">
        <v>0</v>
      </c>
    </row>
    <row r="2083" spans="1:6" x14ac:dyDescent="0.2">
      <c r="A2083">
        <v>2022</v>
      </c>
      <c r="B2083" t="s">
        <v>681</v>
      </c>
      <c r="C2083">
        <v>5</v>
      </c>
      <c r="D2083">
        <v>0</v>
      </c>
      <c r="E2083" t="s">
        <v>910</v>
      </c>
      <c r="F2083">
        <v>0</v>
      </c>
    </row>
    <row r="2084" spans="1:6" x14ac:dyDescent="0.2">
      <c r="A2084">
        <v>2023</v>
      </c>
      <c r="B2084" t="s">
        <v>681</v>
      </c>
      <c r="C2084">
        <v>5</v>
      </c>
      <c r="D2084">
        <v>0</v>
      </c>
      <c r="E2084" t="s">
        <v>910</v>
      </c>
      <c r="F2084">
        <v>0</v>
      </c>
    </row>
    <row r="2085" spans="1:6" x14ac:dyDescent="0.2">
      <c r="A2085">
        <v>2024</v>
      </c>
      <c r="B2085" t="s">
        <v>681</v>
      </c>
      <c r="C2085">
        <v>5</v>
      </c>
      <c r="D2085">
        <v>0</v>
      </c>
      <c r="E2085" t="s">
        <v>910</v>
      </c>
      <c r="F2085">
        <v>0</v>
      </c>
    </row>
    <row r="2086" spans="1:6" x14ac:dyDescent="0.2">
      <c r="A2086">
        <v>2025</v>
      </c>
      <c r="B2086" t="s">
        <v>681</v>
      </c>
      <c r="C2086">
        <v>10</v>
      </c>
      <c r="D2086">
        <v>0</v>
      </c>
      <c r="E2086" t="s">
        <v>910</v>
      </c>
      <c r="F2086">
        <v>0</v>
      </c>
    </row>
    <row r="2087" spans="1:6" x14ac:dyDescent="0.2">
      <c r="A2087">
        <v>2016</v>
      </c>
      <c r="B2087" t="s">
        <v>1168</v>
      </c>
      <c r="C2087">
        <v>21260</v>
      </c>
      <c r="D2087">
        <v>14800</v>
      </c>
      <c r="E2087" t="s">
        <v>97</v>
      </c>
      <c r="F2087">
        <v>50</v>
      </c>
    </row>
    <row r="2088" spans="1:6" x14ac:dyDescent="0.2">
      <c r="A2088">
        <v>2017</v>
      </c>
      <c r="B2088" t="s">
        <v>1168</v>
      </c>
      <c r="C2088">
        <v>20510</v>
      </c>
      <c r="D2088">
        <v>14375</v>
      </c>
      <c r="E2088" t="s">
        <v>99</v>
      </c>
      <c r="F2088">
        <v>40</v>
      </c>
    </row>
    <row r="2089" spans="1:6" x14ac:dyDescent="0.2">
      <c r="A2089">
        <v>2018</v>
      </c>
      <c r="B2089" t="s">
        <v>1168</v>
      </c>
      <c r="C2089">
        <v>19540</v>
      </c>
      <c r="D2089">
        <v>14125</v>
      </c>
      <c r="E2089" t="s">
        <v>102</v>
      </c>
      <c r="F2089">
        <v>35</v>
      </c>
    </row>
    <row r="2090" spans="1:6" x14ac:dyDescent="0.2">
      <c r="A2090">
        <v>2019</v>
      </c>
      <c r="B2090" t="s">
        <v>1168</v>
      </c>
      <c r="C2090">
        <v>18820</v>
      </c>
      <c r="D2090">
        <v>13905</v>
      </c>
      <c r="E2090" t="s">
        <v>885</v>
      </c>
      <c r="F2090">
        <v>30</v>
      </c>
    </row>
    <row r="2091" spans="1:6" x14ac:dyDescent="0.2">
      <c r="A2091">
        <v>2020</v>
      </c>
      <c r="B2091" t="s">
        <v>1168</v>
      </c>
      <c r="C2091">
        <v>18600</v>
      </c>
      <c r="D2091">
        <v>15065</v>
      </c>
      <c r="E2091" t="s">
        <v>881</v>
      </c>
      <c r="F2091">
        <v>65</v>
      </c>
    </row>
    <row r="2092" spans="1:6" x14ac:dyDescent="0.2">
      <c r="A2092">
        <v>2021</v>
      </c>
      <c r="B2092" t="s">
        <v>1168</v>
      </c>
      <c r="C2092">
        <v>19695</v>
      </c>
      <c r="D2092">
        <v>14990</v>
      </c>
      <c r="E2092" t="s">
        <v>886</v>
      </c>
      <c r="F2092">
        <v>30</v>
      </c>
    </row>
    <row r="2093" spans="1:6" x14ac:dyDescent="0.2">
      <c r="A2093">
        <v>2022</v>
      </c>
      <c r="B2093" t="s">
        <v>1168</v>
      </c>
      <c r="C2093">
        <v>18830</v>
      </c>
      <c r="D2093">
        <v>13775</v>
      </c>
      <c r="E2093" t="s">
        <v>170</v>
      </c>
      <c r="F2093">
        <v>40</v>
      </c>
    </row>
    <row r="2094" spans="1:6" x14ac:dyDescent="0.2">
      <c r="A2094">
        <v>2023</v>
      </c>
      <c r="B2094" t="s">
        <v>1168</v>
      </c>
      <c r="C2094">
        <v>18015</v>
      </c>
      <c r="D2094">
        <v>13025</v>
      </c>
      <c r="E2094" t="s">
        <v>102</v>
      </c>
      <c r="F2094">
        <v>65</v>
      </c>
    </row>
    <row r="2095" spans="1:6" x14ac:dyDescent="0.2">
      <c r="A2095">
        <v>2024</v>
      </c>
      <c r="B2095" t="s">
        <v>1168</v>
      </c>
      <c r="C2095">
        <v>17700</v>
      </c>
      <c r="D2095">
        <v>12930</v>
      </c>
      <c r="E2095" t="s">
        <v>176</v>
      </c>
      <c r="F2095">
        <v>75</v>
      </c>
    </row>
    <row r="2096" spans="1:6" x14ac:dyDescent="0.2">
      <c r="A2096">
        <v>2025</v>
      </c>
      <c r="B2096" t="s">
        <v>1168</v>
      </c>
      <c r="C2096">
        <v>18120</v>
      </c>
      <c r="D2096">
        <v>13480</v>
      </c>
      <c r="E2096" t="s">
        <v>247</v>
      </c>
      <c r="F2096">
        <v>70</v>
      </c>
    </row>
    <row r="2097" spans="1:6" x14ac:dyDescent="0.2">
      <c r="A2097">
        <v>2016</v>
      </c>
      <c r="B2097" t="s">
        <v>1168</v>
      </c>
      <c r="C2097">
        <v>488030</v>
      </c>
      <c r="D2097">
        <v>394295</v>
      </c>
      <c r="E2097" t="s">
        <v>874</v>
      </c>
      <c r="F2097">
        <v>3450</v>
      </c>
    </row>
    <row r="2098" spans="1:6" x14ac:dyDescent="0.2">
      <c r="A2098">
        <v>2017</v>
      </c>
      <c r="B2098" t="s">
        <v>1168</v>
      </c>
      <c r="C2098">
        <v>472190</v>
      </c>
      <c r="D2098">
        <v>391370</v>
      </c>
      <c r="E2098" t="s">
        <v>875</v>
      </c>
      <c r="F2098">
        <v>3100</v>
      </c>
    </row>
    <row r="2099" spans="1:6" x14ac:dyDescent="0.2">
      <c r="A2099">
        <v>2018</v>
      </c>
      <c r="B2099" t="s">
        <v>1168</v>
      </c>
      <c r="C2099">
        <v>463865</v>
      </c>
      <c r="D2099">
        <v>388025</v>
      </c>
      <c r="E2099" t="s">
        <v>876</v>
      </c>
      <c r="F2099">
        <v>2615</v>
      </c>
    </row>
    <row r="2100" spans="1:6" x14ac:dyDescent="0.2">
      <c r="A2100">
        <v>2019</v>
      </c>
      <c r="B2100" t="s">
        <v>1168</v>
      </c>
      <c r="C2100">
        <v>470175</v>
      </c>
      <c r="D2100">
        <v>394875</v>
      </c>
      <c r="E2100" t="s">
        <v>877</v>
      </c>
      <c r="F2100">
        <v>2770</v>
      </c>
    </row>
    <row r="2101" spans="1:6" x14ac:dyDescent="0.2">
      <c r="A2101">
        <v>2020</v>
      </c>
      <c r="B2101" t="s">
        <v>1168</v>
      </c>
      <c r="C2101">
        <v>479895</v>
      </c>
      <c r="D2101">
        <v>411755</v>
      </c>
      <c r="E2101" t="s">
        <v>878</v>
      </c>
      <c r="F2101">
        <v>3935</v>
      </c>
    </row>
    <row r="2102" spans="1:6" x14ac:dyDescent="0.2">
      <c r="A2102">
        <v>2021</v>
      </c>
      <c r="B2102" t="s">
        <v>1168</v>
      </c>
      <c r="C2102">
        <v>504460</v>
      </c>
      <c r="D2102">
        <v>417380</v>
      </c>
      <c r="E2102" t="s">
        <v>879</v>
      </c>
      <c r="F2102">
        <v>2250</v>
      </c>
    </row>
    <row r="2103" spans="1:6" x14ac:dyDescent="0.2">
      <c r="A2103">
        <v>2022</v>
      </c>
      <c r="B2103" t="s">
        <v>1168</v>
      </c>
      <c r="C2103">
        <v>517060</v>
      </c>
      <c r="D2103">
        <v>418085</v>
      </c>
      <c r="E2103" t="s">
        <v>880</v>
      </c>
      <c r="F2103">
        <v>3175</v>
      </c>
    </row>
    <row r="2104" spans="1:6" x14ac:dyDescent="0.2">
      <c r="A2104">
        <v>2023</v>
      </c>
      <c r="B2104" t="s">
        <v>1168</v>
      </c>
      <c r="C2104">
        <v>511065</v>
      </c>
      <c r="D2104">
        <v>414025</v>
      </c>
      <c r="E2104" t="s">
        <v>881</v>
      </c>
      <c r="F2104">
        <v>3275</v>
      </c>
    </row>
    <row r="2105" spans="1:6" x14ac:dyDescent="0.2">
      <c r="A2105">
        <v>2024</v>
      </c>
      <c r="B2105" t="s">
        <v>1168</v>
      </c>
      <c r="C2105">
        <v>513620</v>
      </c>
      <c r="D2105">
        <v>423820</v>
      </c>
      <c r="E2105" t="s">
        <v>882</v>
      </c>
      <c r="F2105">
        <v>3405</v>
      </c>
    </row>
    <row r="2106" spans="1:6" x14ac:dyDescent="0.2">
      <c r="A2106">
        <v>2025</v>
      </c>
      <c r="B2106" t="s">
        <v>1168</v>
      </c>
      <c r="C2106">
        <v>515195</v>
      </c>
      <c r="D2106">
        <v>431515</v>
      </c>
      <c r="E2106" t="s">
        <v>883</v>
      </c>
      <c r="F2106">
        <v>3625</v>
      </c>
    </row>
    <row r="2107" spans="1:6" x14ac:dyDescent="0.2">
      <c r="A2107">
        <v>2016</v>
      </c>
      <c r="B2107" t="s">
        <v>1168</v>
      </c>
      <c r="C2107">
        <v>52050</v>
      </c>
      <c r="D2107">
        <v>35670</v>
      </c>
      <c r="E2107" t="s">
        <v>888</v>
      </c>
      <c r="F2107">
        <v>265</v>
      </c>
    </row>
    <row r="2108" spans="1:6" x14ac:dyDescent="0.2">
      <c r="A2108">
        <v>2017</v>
      </c>
      <c r="B2108" t="s">
        <v>1168</v>
      </c>
      <c r="C2108">
        <v>51555</v>
      </c>
      <c r="D2108">
        <v>36540</v>
      </c>
      <c r="E2108" t="s">
        <v>889</v>
      </c>
      <c r="F2108">
        <v>270</v>
      </c>
    </row>
    <row r="2109" spans="1:6" x14ac:dyDescent="0.2">
      <c r="A2109">
        <v>2018</v>
      </c>
      <c r="B2109" t="s">
        <v>1168</v>
      </c>
      <c r="C2109">
        <v>51475</v>
      </c>
      <c r="D2109">
        <v>37105</v>
      </c>
      <c r="E2109" t="s">
        <v>890</v>
      </c>
      <c r="F2109">
        <v>205</v>
      </c>
    </row>
    <row r="2110" spans="1:6" x14ac:dyDescent="0.2">
      <c r="A2110">
        <v>2019</v>
      </c>
      <c r="B2110" t="s">
        <v>1168</v>
      </c>
      <c r="C2110">
        <v>49665</v>
      </c>
      <c r="D2110">
        <v>35725</v>
      </c>
      <c r="E2110" t="s">
        <v>891</v>
      </c>
      <c r="F2110">
        <v>260</v>
      </c>
    </row>
    <row r="2111" spans="1:6" x14ac:dyDescent="0.2">
      <c r="A2111">
        <v>2020</v>
      </c>
      <c r="B2111" t="s">
        <v>1168</v>
      </c>
      <c r="C2111">
        <v>50660</v>
      </c>
      <c r="D2111">
        <v>38510</v>
      </c>
      <c r="E2111" t="s">
        <v>892</v>
      </c>
      <c r="F2111">
        <v>515</v>
      </c>
    </row>
    <row r="2112" spans="1:6" x14ac:dyDescent="0.2">
      <c r="A2112">
        <v>2021</v>
      </c>
      <c r="B2112" t="s">
        <v>1168</v>
      </c>
      <c r="C2112">
        <v>54925</v>
      </c>
      <c r="D2112">
        <v>39300</v>
      </c>
      <c r="E2112" t="s">
        <v>169</v>
      </c>
      <c r="F2112">
        <v>225</v>
      </c>
    </row>
    <row r="2113" spans="1:6" x14ac:dyDescent="0.2">
      <c r="A2113">
        <v>2022</v>
      </c>
      <c r="B2113" t="s">
        <v>1168</v>
      </c>
      <c r="C2113">
        <v>50630</v>
      </c>
      <c r="D2113">
        <v>37320</v>
      </c>
      <c r="E2113" t="s">
        <v>893</v>
      </c>
      <c r="F2113">
        <v>385</v>
      </c>
    </row>
    <row r="2114" spans="1:6" x14ac:dyDescent="0.2">
      <c r="A2114">
        <v>2023</v>
      </c>
      <c r="B2114" t="s">
        <v>1168</v>
      </c>
      <c r="C2114">
        <v>47620</v>
      </c>
      <c r="D2114">
        <v>36840</v>
      </c>
      <c r="E2114" t="s">
        <v>894</v>
      </c>
      <c r="F2114">
        <v>420</v>
      </c>
    </row>
    <row r="2115" spans="1:6" x14ac:dyDescent="0.2">
      <c r="A2115">
        <v>2024</v>
      </c>
      <c r="B2115" t="s">
        <v>1168</v>
      </c>
      <c r="C2115">
        <v>48910</v>
      </c>
      <c r="D2115">
        <v>39310</v>
      </c>
      <c r="E2115" t="s">
        <v>895</v>
      </c>
      <c r="F2115">
        <v>425</v>
      </c>
    </row>
    <row r="2116" spans="1:6" x14ac:dyDescent="0.2">
      <c r="A2116">
        <v>2025</v>
      </c>
      <c r="B2116" t="s">
        <v>1168</v>
      </c>
      <c r="C2116">
        <v>49390</v>
      </c>
      <c r="D2116">
        <v>38945</v>
      </c>
      <c r="E2116" t="s">
        <v>896</v>
      </c>
      <c r="F2116">
        <v>435</v>
      </c>
    </row>
    <row r="2117" spans="1:6" x14ac:dyDescent="0.2">
      <c r="A2117">
        <v>2016</v>
      </c>
      <c r="B2117" t="s">
        <v>1168</v>
      </c>
      <c r="C2117">
        <v>25250</v>
      </c>
      <c r="D2117">
        <v>20715</v>
      </c>
      <c r="E2117" t="s">
        <v>898</v>
      </c>
      <c r="F2117">
        <v>155</v>
      </c>
    </row>
    <row r="2118" spans="1:6" x14ac:dyDescent="0.2">
      <c r="A2118">
        <v>2017</v>
      </c>
      <c r="B2118" t="s">
        <v>1168</v>
      </c>
      <c r="C2118">
        <v>24475</v>
      </c>
      <c r="D2118">
        <v>20665</v>
      </c>
      <c r="E2118" t="s">
        <v>899</v>
      </c>
      <c r="F2118">
        <v>145</v>
      </c>
    </row>
    <row r="2119" spans="1:6" x14ac:dyDescent="0.2">
      <c r="A2119">
        <v>2018</v>
      </c>
      <c r="B2119" t="s">
        <v>1168</v>
      </c>
      <c r="C2119">
        <v>23735</v>
      </c>
      <c r="D2119">
        <v>20030</v>
      </c>
      <c r="E2119" t="s">
        <v>899</v>
      </c>
      <c r="F2119">
        <v>145</v>
      </c>
    </row>
    <row r="2120" spans="1:6" x14ac:dyDescent="0.2">
      <c r="A2120">
        <v>2019</v>
      </c>
      <c r="B2120" t="s">
        <v>1168</v>
      </c>
      <c r="C2120">
        <v>23625</v>
      </c>
      <c r="D2120">
        <v>19830</v>
      </c>
      <c r="E2120" t="s">
        <v>900</v>
      </c>
      <c r="F2120">
        <v>125</v>
      </c>
    </row>
    <row r="2121" spans="1:6" x14ac:dyDescent="0.2">
      <c r="A2121">
        <v>2020</v>
      </c>
      <c r="B2121" t="s">
        <v>1168</v>
      </c>
      <c r="C2121">
        <v>23355</v>
      </c>
      <c r="D2121">
        <v>20070</v>
      </c>
      <c r="E2121" t="s">
        <v>901</v>
      </c>
      <c r="F2121">
        <v>240</v>
      </c>
    </row>
    <row r="2122" spans="1:6" x14ac:dyDescent="0.2">
      <c r="A2122">
        <v>2021</v>
      </c>
      <c r="B2122" t="s">
        <v>1168</v>
      </c>
      <c r="C2122">
        <v>24935</v>
      </c>
      <c r="D2122">
        <v>20340</v>
      </c>
      <c r="E2122" t="s">
        <v>902</v>
      </c>
      <c r="F2122">
        <v>125</v>
      </c>
    </row>
    <row r="2123" spans="1:6" x14ac:dyDescent="0.2">
      <c r="A2123">
        <v>2022</v>
      </c>
      <c r="B2123" t="s">
        <v>1168</v>
      </c>
      <c r="C2123">
        <v>25380</v>
      </c>
      <c r="D2123">
        <v>20180</v>
      </c>
      <c r="E2123" t="s">
        <v>903</v>
      </c>
      <c r="F2123">
        <v>205</v>
      </c>
    </row>
    <row r="2124" spans="1:6" x14ac:dyDescent="0.2">
      <c r="A2124">
        <v>2023</v>
      </c>
      <c r="B2124" t="s">
        <v>1168</v>
      </c>
      <c r="C2124">
        <v>23225</v>
      </c>
      <c r="D2124">
        <v>19005</v>
      </c>
      <c r="E2124" t="s">
        <v>904</v>
      </c>
      <c r="F2124">
        <v>190</v>
      </c>
    </row>
    <row r="2125" spans="1:6" x14ac:dyDescent="0.2">
      <c r="A2125">
        <v>2024</v>
      </c>
      <c r="B2125" t="s">
        <v>1168</v>
      </c>
      <c r="C2125">
        <v>23065</v>
      </c>
      <c r="D2125">
        <v>18980</v>
      </c>
      <c r="E2125" t="s">
        <v>905</v>
      </c>
      <c r="F2125">
        <v>165</v>
      </c>
    </row>
    <row r="2126" spans="1:6" x14ac:dyDescent="0.2">
      <c r="A2126">
        <v>2025</v>
      </c>
      <c r="B2126" t="s">
        <v>1168</v>
      </c>
      <c r="C2126">
        <v>22985</v>
      </c>
      <c r="D2126">
        <v>19120</v>
      </c>
      <c r="E2126" t="s">
        <v>906</v>
      </c>
      <c r="F2126">
        <v>215</v>
      </c>
    </row>
    <row r="2127" spans="1:6" x14ac:dyDescent="0.2">
      <c r="A2127">
        <v>2016</v>
      </c>
      <c r="B2127" t="s">
        <v>1168</v>
      </c>
      <c r="C2127">
        <v>74110</v>
      </c>
      <c r="D2127">
        <v>38610</v>
      </c>
      <c r="E2127" t="s">
        <v>188</v>
      </c>
      <c r="F2127">
        <v>480</v>
      </c>
    </row>
    <row r="2128" spans="1:6" x14ac:dyDescent="0.2">
      <c r="A2128">
        <v>2017</v>
      </c>
      <c r="B2128" t="s">
        <v>1168</v>
      </c>
      <c r="C2128">
        <v>76170</v>
      </c>
      <c r="D2128">
        <v>40510</v>
      </c>
      <c r="E2128" t="s">
        <v>954</v>
      </c>
      <c r="F2128">
        <v>510</v>
      </c>
    </row>
    <row r="2129" spans="1:6" x14ac:dyDescent="0.2">
      <c r="A2129">
        <v>2018</v>
      </c>
      <c r="B2129" t="s">
        <v>1168</v>
      </c>
      <c r="C2129">
        <v>81140</v>
      </c>
      <c r="D2129">
        <v>42485</v>
      </c>
      <c r="E2129" t="s">
        <v>379</v>
      </c>
      <c r="F2129">
        <v>495</v>
      </c>
    </row>
    <row r="2130" spans="1:6" x14ac:dyDescent="0.2">
      <c r="A2130">
        <v>2019</v>
      </c>
      <c r="B2130" t="s">
        <v>1168</v>
      </c>
      <c r="C2130">
        <v>87655</v>
      </c>
      <c r="D2130">
        <v>45455</v>
      </c>
      <c r="E2130" t="s">
        <v>395</v>
      </c>
      <c r="F2130">
        <v>570</v>
      </c>
    </row>
    <row r="2131" spans="1:6" x14ac:dyDescent="0.2">
      <c r="A2131">
        <v>2020</v>
      </c>
      <c r="B2131" t="s">
        <v>1168</v>
      </c>
      <c r="C2131">
        <v>98190</v>
      </c>
      <c r="D2131">
        <v>53035</v>
      </c>
      <c r="E2131" t="s">
        <v>81</v>
      </c>
      <c r="F2131">
        <v>780</v>
      </c>
    </row>
    <row r="2132" spans="1:6" x14ac:dyDescent="0.2">
      <c r="A2132">
        <v>2021</v>
      </c>
      <c r="B2132" t="s">
        <v>1168</v>
      </c>
      <c r="C2132">
        <v>110835</v>
      </c>
      <c r="D2132">
        <v>54285</v>
      </c>
      <c r="E2132" t="s">
        <v>398</v>
      </c>
      <c r="F2132">
        <v>705</v>
      </c>
    </row>
    <row r="2133" spans="1:6" x14ac:dyDescent="0.2">
      <c r="A2133">
        <v>2022</v>
      </c>
      <c r="B2133" t="s">
        <v>1168</v>
      </c>
      <c r="C2133">
        <v>125820</v>
      </c>
      <c r="D2133">
        <v>62455</v>
      </c>
      <c r="E2133" t="s">
        <v>1019</v>
      </c>
      <c r="F2133">
        <v>1070</v>
      </c>
    </row>
    <row r="2134" spans="1:6" x14ac:dyDescent="0.2">
      <c r="A2134">
        <v>2023</v>
      </c>
      <c r="B2134" t="s">
        <v>1168</v>
      </c>
      <c r="C2134">
        <v>128965</v>
      </c>
      <c r="D2134">
        <v>61005</v>
      </c>
      <c r="E2134" t="s">
        <v>125</v>
      </c>
      <c r="F2134">
        <v>920</v>
      </c>
    </row>
    <row r="2135" spans="1:6" x14ac:dyDescent="0.2">
      <c r="A2135">
        <v>2024</v>
      </c>
      <c r="B2135" t="s">
        <v>1168</v>
      </c>
      <c r="C2135">
        <v>126770</v>
      </c>
      <c r="D2135">
        <v>59575</v>
      </c>
      <c r="E2135" t="s">
        <v>912</v>
      </c>
      <c r="F2135">
        <v>1165</v>
      </c>
    </row>
    <row r="2136" spans="1:6" x14ac:dyDescent="0.2">
      <c r="A2136">
        <v>2025</v>
      </c>
      <c r="B2136" t="s">
        <v>1168</v>
      </c>
      <c r="C2136">
        <v>131975</v>
      </c>
      <c r="D2136">
        <v>64305</v>
      </c>
      <c r="E2136" t="s">
        <v>267</v>
      </c>
      <c r="F2136">
        <v>1155</v>
      </c>
    </row>
    <row r="2137" spans="1:6" x14ac:dyDescent="0.2">
      <c r="A2137">
        <v>2016</v>
      </c>
      <c r="B2137" t="s">
        <v>1168</v>
      </c>
      <c r="C2137">
        <v>53050</v>
      </c>
      <c r="D2137">
        <v>31085</v>
      </c>
      <c r="E2137" t="s">
        <v>1112</v>
      </c>
      <c r="F2137">
        <v>205</v>
      </c>
    </row>
    <row r="2138" spans="1:6" x14ac:dyDescent="0.2">
      <c r="A2138">
        <v>2017</v>
      </c>
      <c r="B2138" t="s">
        <v>1168</v>
      </c>
      <c r="C2138">
        <v>50705</v>
      </c>
      <c r="D2138">
        <v>30435</v>
      </c>
      <c r="E2138" t="s">
        <v>989</v>
      </c>
      <c r="F2138">
        <v>175</v>
      </c>
    </row>
    <row r="2139" spans="1:6" x14ac:dyDescent="0.2">
      <c r="A2139">
        <v>2018</v>
      </c>
      <c r="B2139" t="s">
        <v>1168</v>
      </c>
      <c r="C2139">
        <v>52125</v>
      </c>
      <c r="D2139">
        <v>31590</v>
      </c>
      <c r="E2139" t="s">
        <v>1159</v>
      </c>
      <c r="F2139">
        <v>195</v>
      </c>
    </row>
    <row r="2140" spans="1:6" x14ac:dyDescent="0.2">
      <c r="A2140">
        <v>2019</v>
      </c>
      <c r="B2140" t="s">
        <v>1168</v>
      </c>
      <c r="C2140">
        <v>52525</v>
      </c>
      <c r="D2140">
        <v>31450</v>
      </c>
      <c r="E2140" t="s">
        <v>263</v>
      </c>
      <c r="F2140">
        <v>210</v>
      </c>
    </row>
    <row r="2141" spans="1:6" x14ac:dyDescent="0.2">
      <c r="A2141">
        <v>2020</v>
      </c>
      <c r="B2141" t="s">
        <v>1168</v>
      </c>
      <c r="C2141">
        <v>52215</v>
      </c>
      <c r="D2141">
        <v>32035</v>
      </c>
      <c r="E2141" t="s">
        <v>1054</v>
      </c>
      <c r="F2141">
        <v>340</v>
      </c>
    </row>
    <row r="2142" spans="1:6" x14ac:dyDescent="0.2">
      <c r="A2142">
        <v>2021</v>
      </c>
      <c r="B2142" t="s">
        <v>1168</v>
      </c>
      <c r="C2142">
        <v>31275</v>
      </c>
      <c r="D2142">
        <v>15770</v>
      </c>
      <c r="E2142" t="s">
        <v>386</v>
      </c>
      <c r="F2142">
        <v>110</v>
      </c>
    </row>
    <row r="2143" spans="1:6" x14ac:dyDescent="0.2">
      <c r="A2143">
        <v>2022</v>
      </c>
      <c r="B2143" t="s">
        <v>1168</v>
      </c>
      <c r="C2143">
        <v>24015</v>
      </c>
      <c r="D2143">
        <v>11365</v>
      </c>
      <c r="E2143" t="s">
        <v>125</v>
      </c>
      <c r="F2143">
        <v>160</v>
      </c>
    </row>
    <row r="2144" spans="1:6" x14ac:dyDescent="0.2">
      <c r="A2144">
        <v>2023</v>
      </c>
      <c r="B2144" t="s">
        <v>1168</v>
      </c>
      <c r="C2144">
        <v>23135</v>
      </c>
      <c r="D2144">
        <v>10570</v>
      </c>
      <c r="E2144" t="s">
        <v>232</v>
      </c>
      <c r="F2144">
        <v>170</v>
      </c>
    </row>
    <row r="2145" spans="1:6" x14ac:dyDescent="0.2">
      <c r="A2145">
        <v>2024</v>
      </c>
      <c r="B2145" t="s">
        <v>1168</v>
      </c>
      <c r="C2145">
        <v>22145</v>
      </c>
      <c r="D2145">
        <v>10330</v>
      </c>
      <c r="E2145" t="s">
        <v>1017</v>
      </c>
      <c r="F2145">
        <v>125</v>
      </c>
    </row>
    <row r="2146" spans="1:6" x14ac:dyDescent="0.2">
      <c r="A2146">
        <v>2025</v>
      </c>
      <c r="B2146" t="s">
        <v>1168</v>
      </c>
      <c r="C2146">
        <v>22170</v>
      </c>
      <c r="D2146">
        <v>10360</v>
      </c>
      <c r="E2146" t="s">
        <v>1017</v>
      </c>
      <c r="F2146">
        <v>155</v>
      </c>
    </row>
    <row r="2147" spans="1:6" x14ac:dyDescent="0.2">
      <c r="A2147">
        <v>2016</v>
      </c>
      <c r="B2147" t="s">
        <v>1168</v>
      </c>
      <c r="C2147">
        <v>586585</v>
      </c>
      <c r="D2147">
        <v>465480</v>
      </c>
      <c r="E2147" t="s">
        <v>1169</v>
      </c>
      <c r="F2147">
        <v>3915</v>
      </c>
    </row>
    <row r="2148" spans="1:6" x14ac:dyDescent="0.2">
      <c r="A2148">
        <v>2017</v>
      </c>
      <c r="B2148" t="s">
        <v>1168</v>
      </c>
      <c r="C2148">
        <v>568730</v>
      </c>
      <c r="D2148">
        <v>462945</v>
      </c>
      <c r="E2148" t="s">
        <v>940</v>
      </c>
      <c r="F2148">
        <v>3560</v>
      </c>
    </row>
    <row r="2149" spans="1:6" x14ac:dyDescent="0.2">
      <c r="A2149">
        <v>2018</v>
      </c>
      <c r="B2149" t="s">
        <v>1168</v>
      </c>
      <c r="C2149">
        <v>558615</v>
      </c>
      <c r="D2149">
        <v>459285</v>
      </c>
      <c r="E2149" t="s">
        <v>1170</v>
      </c>
      <c r="F2149">
        <v>3000</v>
      </c>
    </row>
    <row r="2150" spans="1:6" x14ac:dyDescent="0.2">
      <c r="A2150">
        <v>2019</v>
      </c>
      <c r="B2150" t="s">
        <v>1168</v>
      </c>
      <c r="C2150">
        <v>562290</v>
      </c>
      <c r="D2150">
        <v>464335</v>
      </c>
      <c r="E2150" t="s">
        <v>1171</v>
      </c>
      <c r="F2150">
        <v>3185</v>
      </c>
    </row>
    <row r="2151" spans="1:6" x14ac:dyDescent="0.2">
      <c r="A2151">
        <v>2020</v>
      </c>
      <c r="B2151" t="s">
        <v>1168</v>
      </c>
      <c r="C2151">
        <v>572505</v>
      </c>
      <c r="D2151">
        <v>485400</v>
      </c>
      <c r="E2151" t="s">
        <v>1172</v>
      </c>
      <c r="F2151">
        <v>4755</v>
      </c>
    </row>
    <row r="2152" spans="1:6" x14ac:dyDescent="0.2">
      <c r="A2152">
        <v>2021</v>
      </c>
      <c r="B2152" t="s">
        <v>1168</v>
      </c>
      <c r="C2152">
        <v>604010</v>
      </c>
      <c r="D2152">
        <v>492005</v>
      </c>
      <c r="E2152" t="s">
        <v>1173</v>
      </c>
      <c r="F2152">
        <v>2635</v>
      </c>
    </row>
    <row r="2153" spans="1:6" x14ac:dyDescent="0.2">
      <c r="A2153">
        <v>2022</v>
      </c>
      <c r="B2153" t="s">
        <v>1168</v>
      </c>
      <c r="C2153">
        <v>611900</v>
      </c>
      <c r="D2153">
        <v>489360</v>
      </c>
      <c r="E2153" t="s">
        <v>1174</v>
      </c>
      <c r="F2153">
        <v>3810</v>
      </c>
    </row>
    <row r="2154" spans="1:6" x14ac:dyDescent="0.2">
      <c r="A2154">
        <v>2023</v>
      </c>
      <c r="B2154" t="s">
        <v>1168</v>
      </c>
      <c r="C2154">
        <v>599930</v>
      </c>
      <c r="D2154">
        <v>482895</v>
      </c>
      <c r="E2154" t="s">
        <v>1175</v>
      </c>
      <c r="F2154">
        <v>3945</v>
      </c>
    </row>
    <row r="2155" spans="1:6" x14ac:dyDescent="0.2">
      <c r="A2155">
        <v>2024</v>
      </c>
      <c r="B2155" t="s">
        <v>1168</v>
      </c>
      <c r="C2155">
        <v>603300</v>
      </c>
      <c r="D2155">
        <v>495040</v>
      </c>
      <c r="E2155" t="s">
        <v>898</v>
      </c>
      <c r="F2155">
        <v>4070</v>
      </c>
    </row>
    <row r="2156" spans="1:6" x14ac:dyDescent="0.2">
      <c r="A2156">
        <v>2025</v>
      </c>
      <c r="B2156" t="s">
        <v>1168</v>
      </c>
      <c r="C2156">
        <v>605690</v>
      </c>
      <c r="D2156">
        <v>503065</v>
      </c>
      <c r="E2156" t="s">
        <v>1144</v>
      </c>
      <c r="F2156">
        <v>4345</v>
      </c>
    </row>
    <row r="2157" spans="1:6" x14ac:dyDescent="0.2">
      <c r="A2157">
        <v>2016</v>
      </c>
      <c r="B2157" t="s">
        <v>1168</v>
      </c>
      <c r="C2157">
        <v>127165</v>
      </c>
      <c r="D2157">
        <v>69695</v>
      </c>
      <c r="E2157" t="s">
        <v>157</v>
      </c>
      <c r="F2157">
        <v>685</v>
      </c>
    </row>
    <row r="2158" spans="1:6" x14ac:dyDescent="0.2">
      <c r="A2158">
        <v>2017</v>
      </c>
      <c r="B2158" t="s">
        <v>1168</v>
      </c>
      <c r="C2158">
        <v>126875</v>
      </c>
      <c r="D2158">
        <v>70945</v>
      </c>
      <c r="E2158" t="s">
        <v>1163</v>
      </c>
      <c r="F2158">
        <v>685</v>
      </c>
    </row>
    <row r="2159" spans="1:6" x14ac:dyDescent="0.2">
      <c r="A2159">
        <v>2018</v>
      </c>
      <c r="B2159" t="s">
        <v>1168</v>
      </c>
      <c r="C2159">
        <v>133260</v>
      </c>
      <c r="D2159">
        <v>74075</v>
      </c>
      <c r="E2159" t="s">
        <v>397</v>
      </c>
      <c r="F2159">
        <v>685</v>
      </c>
    </row>
    <row r="2160" spans="1:6" x14ac:dyDescent="0.2">
      <c r="A2160">
        <v>2019</v>
      </c>
      <c r="B2160" t="s">
        <v>1168</v>
      </c>
      <c r="C2160">
        <v>140180</v>
      </c>
      <c r="D2160">
        <v>76905</v>
      </c>
      <c r="E2160" t="s">
        <v>130</v>
      </c>
      <c r="F2160">
        <v>780</v>
      </c>
    </row>
    <row r="2161" spans="1:6" x14ac:dyDescent="0.2">
      <c r="A2161">
        <v>2020</v>
      </c>
      <c r="B2161" t="s">
        <v>1168</v>
      </c>
      <c r="C2161">
        <v>150405</v>
      </c>
      <c r="D2161">
        <v>85075</v>
      </c>
      <c r="E2161" t="s">
        <v>193</v>
      </c>
      <c r="F2161">
        <v>1120</v>
      </c>
    </row>
    <row r="2162" spans="1:6" x14ac:dyDescent="0.2">
      <c r="A2162">
        <v>2021</v>
      </c>
      <c r="B2162" t="s">
        <v>1168</v>
      </c>
      <c r="C2162">
        <v>142110</v>
      </c>
      <c r="D2162">
        <v>70055</v>
      </c>
      <c r="E2162" t="s">
        <v>52</v>
      </c>
      <c r="F2162">
        <v>815</v>
      </c>
    </row>
    <row r="2163" spans="1:6" x14ac:dyDescent="0.2">
      <c r="A2163">
        <v>2022</v>
      </c>
      <c r="B2163" t="s">
        <v>1168</v>
      </c>
      <c r="C2163">
        <v>149840</v>
      </c>
      <c r="D2163">
        <v>73820</v>
      </c>
      <c r="E2163" t="s">
        <v>52</v>
      </c>
      <c r="F2163">
        <v>1230</v>
      </c>
    </row>
    <row r="2164" spans="1:6" x14ac:dyDescent="0.2">
      <c r="A2164">
        <v>2023</v>
      </c>
      <c r="B2164" t="s">
        <v>1168</v>
      </c>
      <c r="C2164">
        <v>152100</v>
      </c>
      <c r="D2164">
        <v>71570</v>
      </c>
      <c r="E2164" t="s">
        <v>149</v>
      </c>
      <c r="F2164">
        <v>1085</v>
      </c>
    </row>
    <row r="2165" spans="1:6" x14ac:dyDescent="0.2">
      <c r="A2165">
        <v>2024</v>
      </c>
      <c r="B2165" t="s">
        <v>1168</v>
      </c>
      <c r="C2165">
        <v>148910</v>
      </c>
      <c r="D2165">
        <v>69905</v>
      </c>
      <c r="E2165" t="s">
        <v>339</v>
      </c>
      <c r="F2165">
        <v>1295</v>
      </c>
    </row>
    <row r="2166" spans="1:6" x14ac:dyDescent="0.2">
      <c r="A2166">
        <v>2025</v>
      </c>
      <c r="B2166" t="s">
        <v>1168</v>
      </c>
      <c r="C2166">
        <v>154145</v>
      </c>
      <c r="D2166">
        <v>74660</v>
      </c>
      <c r="E2166" t="s">
        <v>51</v>
      </c>
      <c r="F2166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main_df</vt:lpstr>
      <vt:lpstr>GDP</vt:lpstr>
      <vt:lpstr>YU</vt:lpstr>
      <vt:lpstr>POP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2026-08-26T21:27:29Z</dcterms:created>
  <dcterms:modified xsi:type="dcterms:W3CDTF">2026-08-29T09:18:27Z</dcterms:modified>
</cp:coreProperties>
</file>