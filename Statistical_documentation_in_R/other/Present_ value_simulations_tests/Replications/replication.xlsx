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oycho.rusinov\Documents\GitHub\Estimating_price_elasticity\Statistical_documentation_in_R\Present_ value_simulations\Replications\"/>
    </mc:Choice>
  </mc:AlternateContent>
  <xr:revisionPtr revIDLastSave="0" documentId="13_ncr:1_{77C3D588-3009-4266-852F-FB1A4F3A733A}" xr6:coauthVersionLast="36" xr6:coauthVersionMax="36" xr10:uidLastSave="{00000000-0000-0000-0000-000000000000}"/>
  <bookViews>
    <workbookView xWindow="0" yWindow="0" windowWidth="23040" windowHeight="9300" firstSheet="1" activeTab="4" xr2:uid="{D5FA5C2B-B6C1-43C3-A157-47FDECF2447E}"/>
  </bookViews>
  <sheets>
    <sheet name="aggregate_level" sheetId="1" r:id="rId1"/>
    <sheet name="Country_PV" sheetId="2" r:id="rId2"/>
    <sheet name="Elasticities" sheetId="3" r:id="rId3"/>
    <sheet name="WB_correlations" sheetId="4" r:id="rId4"/>
    <sheet name="WB_R_excel_check" sheetId="5" r:id="rId5"/>
    <sheet name="placebo_denominator" sheetId="6" r:id="rId6"/>
  </sheets>
  <definedNames>
    <definedName name="solver_eng" localSheetId="4" hidden="1">1</definedName>
    <definedName name="solver_neg" localSheetId="4" hidden="1">1</definedName>
    <definedName name="solver_num" localSheetId="4" hidden="1">0</definedName>
    <definedName name="solver_opt" localSheetId="4" hidden="1">WB_R_excel_check!#REF!</definedName>
    <definedName name="solver_typ" localSheetId="4" hidden="1">1</definedName>
    <definedName name="solver_val" localSheetId="4" hidden="1">0</definedName>
    <definedName name="solver_ver" localSheetId="4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1" i="6" l="1"/>
  <c r="X1" i="6"/>
  <c r="R1" i="6"/>
  <c r="H4" i="6"/>
  <c r="H6" i="6"/>
  <c r="H8" i="6"/>
  <c r="H9" i="6"/>
  <c r="H14" i="6"/>
  <c r="H16" i="6"/>
  <c r="H18" i="6"/>
  <c r="H20" i="6"/>
  <c r="I20" i="6" s="1"/>
  <c r="J20" i="6" s="1"/>
  <c r="H21" i="6"/>
  <c r="I21" i="6" s="1"/>
  <c r="H26" i="6"/>
  <c r="H2" i="6"/>
  <c r="G11" i="6"/>
  <c r="G12" i="6"/>
  <c r="G13" i="6"/>
  <c r="G19" i="6"/>
  <c r="G24" i="6"/>
  <c r="G26" i="6"/>
  <c r="A1" i="6"/>
  <c r="B1" i="6"/>
  <c r="C1" i="6"/>
  <c r="D1" i="6"/>
  <c r="E1" i="6"/>
  <c r="F1" i="6"/>
  <c r="A2" i="6"/>
  <c r="G2" i="6" s="1"/>
  <c r="B2" i="6"/>
  <c r="C2" i="6"/>
  <c r="D2" i="6"/>
  <c r="E2" i="6"/>
  <c r="F2" i="6"/>
  <c r="A3" i="6"/>
  <c r="G3" i="6" s="1"/>
  <c r="B3" i="6"/>
  <c r="H3" i="6" s="1"/>
  <c r="C3" i="6"/>
  <c r="D3" i="6"/>
  <c r="E3" i="6"/>
  <c r="F3" i="6"/>
  <c r="A4" i="6"/>
  <c r="G4" i="6" s="1"/>
  <c r="B4" i="6"/>
  <c r="C4" i="6"/>
  <c r="D4" i="6"/>
  <c r="E4" i="6"/>
  <c r="F4" i="6"/>
  <c r="A5" i="6"/>
  <c r="G5" i="6" s="1"/>
  <c r="B5" i="6"/>
  <c r="H5" i="6" s="1"/>
  <c r="C5" i="6"/>
  <c r="D5" i="6"/>
  <c r="E5" i="6"/>
  <c r="F5" i="6"/>
  <c r="A6" i="6"/>
  <c r="G6" i="6" s="1"/>
  <c r="B6" i="6"/>
  <c r="C6" i="6"/>
  <c r="D6" i="6"/>
  <c r="E6" i="6"/>
  <c r="F6" i="6"/>
  <c r="A7" i="6"/>
  <c r="G7" i="6" s="1"/>
  <c r="B7" i="6"/>
  <c r="H7" i="6" s="1"/>
  <c r="C7" i="6"/>
  <c r="D7" i="6"/>
  <c r="E7" i="6"/>
  <c r="F7" i="6"/>
  <c r="A8" i="6"/>
  <c r="G8" i="6" s="1"/>
  <c r="B8" i="6"/>
  <c r="C8" i="6"/>
  <c r="D8" i="6"/>
  <c r="E8" i="6"/>
  <c r="F8" i="6"/>
  <c r="A9" i="6"/>
  <c r="G9" i="6" s="1"/>
  <c r="B9" i="6"/>
  <c r="C9" i="6"/>
  <c r="D9" i="6"/>
  <c r="E9" i="6"/>
  <c r="F9" i="6"/>
  <c r="A10" i="6"/>
  <c r="G10" i="6" s="1"/>
  <c r="B10" i="6"/>
  <c r="H10" i="6" s="1"/>
  <c r="C10" i="6"/>
  <c r="D10" i="6"/>
  <c r="E10" i="6"/>
  <c r="F10" i="6"/>
  <c r="A11" i="6"/>
  <c r="B11" i="6"/>
  <c r="H11" i="6" s="1"/>
  <c r="C11" i="6"/>
  <c r="D11" i="6"/>
  <c r="E11" i="6"/>
  <c r="F11" i="6"/>
  <c r="A12" i="6"/>
  <c r="B12" i="6"/>
  <c r="H12" i="6" s="1"/>
  <c r="C12" i="6"/>
  <c r="D12" i="6"/>
  <c r="E12" i="6"/>
  <c r="F12" i="6"/>
  <c r="A13" i="6"/>
  <c r="B13" i="6"/>
  <c r="H13" i="6" s="1"/>
  <c r="C13" i="6"/>
  <c r="D13" i="6"/>
  <c r="E13" i="6"/>
  <c r="F13" i="6"/>
  <c r="A14" i="6"/>
  <c r="G14" i="6" s="1"/>
  <c r="B14" i="6"/>
  <c r="C14" i="6"/>
  <c r="D14" i="6"/>
  <c r="E14" i="6"/>
  <c r="F14" i="6"/>
  <c r="A15" i="6"/>
  <c r="G15" i="6" s="1"/>
  <c r="B15" i="6"/>
  <c r="H15" i="6" s="1"/>
  <c r="C15" i="6"/>
  <c r="D15" i="6"/>
  <c r="E15" i="6"/>
  <c r="F15" i="6"/>
  <c r="A16" i="6"/>
  <c r="G16" i="6" s="1"/>
  <c r="B16" i="6"/>
  <c r="C16" i="6"/>
  <c r="D16" i="6"/>
  <c r="E16" i="6"/>
  <c r="F16" i="6"/>
  <c r="A17" i="6"/>
  <c r="G17" i="6" s="1"/>
  <c r="B17" i="6"/>
  <c r="H17" i="6" s="1"/>
  <c r="C17" i="6"/>
  <c r="D17" i="6"/>
  <c r="E17" i="6"/>
  <c r="F17" i="6"/>
  <c r="A18" i="6"/>
  <c r="G18" i="6" s="1"/>
  <c r="B18" i="6"/>
  <c r="C18" i="6"/>
  <c r="D18" i="6"/>
  <c r="E18" i="6"/>
  <c r="F18" i="6"/>
  <c r="A19" i="6"/>
  <c r="B19" i="6"/>
  <c r="H19" i="6" s="1"/>
  <c r="C19" i="6"/>
  <c r="D19" i="6"/>
  <c r="E19" i="6"/>
  <c r="F19" i="6"/>
  <c r="A20" i="6"/>
  <c r="G20" i="6" s="1"/>
  <c r="B20" i="6"/>
  <c r="C20" i="6"/>
  <c r="D20" i="6"/>
  <c r="E20" i="6"/>
  <c r="F20" i="6"/>
  <c r="A21" i="6"/>
  <c r="G21" i="6" s="1"/>
  <c r="B21" i="6"/>
  <c r="C21" i="6"/>
  <c r="D21" i="6"/>
  <c r="E21" i="6"/>
  <c r="F21" i="6"/>
  <c r="A22" i="6"/>
  <c r="G22" i="6" s="1"/>
  <c r="B22" i="6"/>
  <c r="H22" i="6" s="1"/>
  <c r="C22" i="6"/>
  <c r="D22" i="6"/>
  <c r="E22" i="6"/>
  <c r="F22" i="6"/>
  <c r="A23" i="6"/>
  <c r="G23" i="6" s="1"/>
  <c r="B23" i="6"/>
  <c r="H23" i="6" s="1"/>
  <c r="C23" i="6"/>
  <c r="D23" i="6"/>
  <c r="E23" i="6"/>
  <c r="F23" i="6"/>
  <c r="A24" i="6"/>
  <c r="B24" i="6"/>
  <c r="H24" i="6" s="1"/>
  <c r="C24" i="6"/>
  <c r="D24" i="6"/>
  <c r="E24" i="6"/>
  <c r="F24" i="6"/>
  <c r="A25" i="6"/>
  <c r="G25" i="6" s="1"/>
  <c r="B25" i="6"/>
  <c r="H25" i="6" s="1"/>
  <c r="I25" i="6" s="1"/>
  <c r="C25" i="6"/>
  <c r="D25" i="6"/>
  <c r="E25" i="6"/>
  <c r="F25" i="6"/>
  <c r="A26" i="6"/>
  <c r="B26" i="6"/>
  <c r="C26" i="6"/>
  <c r="D26" i="6"/>
  <c r="E26" i="6"/>
  <c r="F26" i="6"/>
  <c r="AB21" i="4"/>
  <c r="V21" i="4"/>
  <c r="P21" i="4"/>
  <c r="U4" i="3"/>
  <c r="V4" i="3"/>
  <c r="W4" i="3"/>
  <c r="U5" i="3"/>
  <c r="V5" i="3"/>
  <c r="W5" i="3"/>
  <c r="U6" i="3"/>
  <c r="V6" i="3"/>
  <c r="W6" i="3"/>
  <c r="U7" i="3"/>
  <c r="V7" i="3"/>
  <c r="W7" i="3"/>
  <c r="U8" i="3"/>
  <c r="V8" i="3"/>
  <c r="W8" i="3"/>
  <c r="U9" i="3"/>
  <c r="V9" i="3"/>
  <c r="W9" i="3"/>
  <c r="U10" i="3"/>
  <c r="V10" i="3"/>
  <c r="W10" i="3"/>
  <c r="U11" i="3"/>
  <c r="V11" i="3"/>
  <c r="W11" i="3"/>
  <c r="U12" i="3"/>
  <c r="V12" i="3"/>
  <c r="W12" i="3"/>
  <c r="U13" i="3"/>
  <c r="V13" i="3"/>
  <c r="W13" i="3"/>
  <c r="U14" i="3"/>
  <c r="V14" i="3"/>
  <c r="W14" i="3"/>
  <c r="U15" i="3"/>
  <c r="V15" i="3"/>
  <c r="W15" i="3"/>
  <c r="U16" i="3"/>
  <c r="V16" i="3"/>
  <c r="W16" i="3"/>
  <c r="U17" i="3"/>
  <c r="V17" i="3"/>
  <c r="W17" i="3"/>
  <c r="U18" i="3"/>
  <c r="V18" i="3"/>
  <c r="W18" i="3"/>
  <c r="U19" i="3"/>
  <c r="V19" i="3"/>
  <c r="W19" i="3"/>
  <c r="U20" i="3"/>
  <c r="V20" i="3"/>
  <c r="W20" i="3"/>
  <c r="U21" i="3"/>
  <c r="V21" i="3"/>
  <c r="W21" i="3"/>
  <c r="U22" i="3"/>
  <c r="V22" i="3"/>
  <c r="W22" i="3"/>
  <c r="U23" i="3"/>
  <c r="V23" i="3"/>
  <c r="W23" i="3"/>
  <c r="U24" i="3"/>
  <c r="V24" i="3"/>
  <c r="W24" i="3"/>
  <c r="U25" i="3"/>
  <c r="V25" i="3"/>
  <c r="W25" i="3"/>
  <c r="U26" i="3"/>
  <c r="V26" i="3"/>
  <c r="W26" i="3"/>
  <c r="U27" i="3"/>
  <c r="V27" i="3"/>
  <c r="W27" i="3"/>
  <c r="U28" i="3"/>
  <c r="V28" i="3"/>
  <c r="W28" i="3"/>
  <c r="V3" i="3"/>
  <c r="W3" i="3"/>
  <c r="U3" i="3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F10" i="2"/>
  <c r="AB71" i="2"/>
  <c r="AE2" i="5"/>
  <c r="E2" i="4"/>
  <c r="Y2" i="5" s="1"/>
  <c r="F2" i="4"/>
  <c r="Z2" i="5" s="1"/>
  <c r="G2" i="4"/>
  <c r="AA2" i="5" s="1"/>
  <c r="H2" i="4"/>
  <c r="AB2" i="5" s="1"/>
  <c r="I2" i="4"/>
  <c r="AC2" i="5" s="1"/>
  <c r="J2" i="4"/>
  <c r="AD2" i="5" s="1"/>
  <c r="D2" i="4"/>
  <c r="X2" i="5" s="1"/>
  <c r="D3" i="4"/>
  <c r="K3" i="4" s="1"/>
  <c r="AE3" i="5" s="1"/>
  <c r="AM3" i="5" s="1"/>
  <c r="D4" i="4"/>
  <c r="D5" i="4"/>
  <c r="K5" i="4" s="1"/>
  <c r="AE5" i="5" s="1"/>
  <c r="AM5" i="5" s="1"/>
  <c r="D6" i="4"/>
  <c r="K6" i="4" s="1"/>
  <c r="AE6" i="5" s="1"/>
  <c r="AM6" i="5" s="1"/>
  <c r="D7" i="4"/>
  <c r="K7" i="4" s="1"/>
  <c r="AE7" i="5" s="1"/>
  <c r="AM7" i="5" s="1"/>
  <c r="D8" i="4"/>
  <c r="K8" i="4" s="1"/>
  <c r="AE8" i="5" s="1"/>
  <c r="AM8" i="5" s="1"/>
  <c r="D9" i="4"/>
  <c r="K9" i="4" s="1"/>
  <c r="AE9" i="5" s="1"/>
  <c r="AM9" i="5" s="1"/>
  <c r="D10" i="4"/>
  <c r="K10" i="4" s="1"/>
  <c r="AE10" i="5" s="1"/>
  <c r="AM10" i="5" s="1"/>
  <c r="D11" i="4"/>
  <c r="K11" i="4" s="1"/>
  <c r="AE11" i="5" s="1"/>
  <c r="AM11" i="5" s="1"/>
  <c r="D12" i="4"/>
  <c r="K12" i="4" s="1"/>
  <c r="AE12" i="5" s="1"/>
  <c r="AM12" i="5" s="1"/>
  <c r="D13" i="4"/>
  <c r="K13" i="4" s="1"/>
  <c r="AE13" i="5" s="1"/>
  <c r="AM13" i="5" s="1"/>
  <c r="D14" i="4"/>
  <c r="K14" i="4" s="1"/>
  <c r="AE14" i="5" s="1"/>
  <c r="AM14" i="5" s="1"/>
  <c r="D15" i="4"/>
  <c r="K15" i="4" s="1"/>
  <c r="AE15" i="5" s="1"/>
  <c r="AM15" i="5" s="1"/>
  <c r="D16" i="4"/>
  <c r="D17" i="4"/>
  <c r="K17" i="4" s="1"/>
  <c r="AE17" i="5" s="1"/>
  <c r="AM17" i="5" s="1"/>
  <c r="D18" i="4"/>
  <c r="K18" i="4" s="1"/>
  <c r="AE18" i="5" s="1"/>
  <c r="AM18" i="5" s="1"/>
  <c r="D19" i="4"/>
  <c r="K19" i="4" s="1"/>
  <c r="AE19" i="5" s="1"/>
  <c r="AM19" i="5" s="1"/>
  <c r="D20" i="4"/>
  <c r="K20" i="4" s="1"/>
  <c r="AE20" i="5" s="1"/>
  <c r="AM20" i="5" s="1"/>
  <c r="D21" i="4"/>
  <c r="K21" i="4" s="1"/>
  <c r="AE21" i="5" s="1"/>
  <c r="AM21" i="5" s="1"/>
  <c r="D22" i="4"/>
  <c r="K22" i="4" s="1"/>
  <c r="AE22" i="5" s="1"/>
  <c r="AM22" i="5" s="1"/>
  <c r="D23" i="4"/>
  <c r="K23" i="4" s="1"/>
  <c r="AE23" i="5" s="1"/>
  <c r="AM23" i="5" s="1"/>
  <c r="D24" i="4"/>
  <c r="K24" i="4" s="1"/>
  <c r="AE24" i="5" s="1"/>
  <c r="AM24" i="5" s="1"/>
  <c r="D25" i="4"/>
  <c r="K25" i="4" s="1"/>
  <c r="AE25" i="5" s="1"/>
  <c r="AM25" i="5" s="1"/>
  <c r="D26" i="4"/>
  <c r="K26" i="4" s="1"/>
  <c r="AE26" i="5" s="1"/>
  <c r="AM26" i="5" s="1"/>
  <c r="D27" i="4"/>
  <c r="K27" i="4" s="1"/>
  <c r="AE27" i="5" s="1"/>
  <c r="AM27" i="5" s="1"/>
  <c r="J25" i="6" l="1"/>
  <c r="J23" i="6"/>
  <c r="J21" i="6"/>
  <c r="J17" i="6"/>
  <c r="J13" i="6"/>
  <c r="J11" i="6"/>
  <c r="J7" i="6"/>
  <c r="J5" i="6"/>
  <c r="J3" i="6"/>
  <c r="I23" i="6"/>
  <c r="I17" i="6"/>
  <c r="I13" i="6"/>
  <c r="I7" i="6"/>
  <c r="I5" i="6"/>
  <c r="I18" i="6"/>
  <c r="J18" i="6" s="1"/>
  <c r="I16" i="6"/>
  <c r="J16" i="6" s="1"/>
  <c r="J26" i="6"/>
  <c r="J12" i="6"/>
  <c r="I6" i="6"/>
  <c r="J6" i="6" s="1"/>
  <c r="I24" i="6"/>
  <c r="J24" i="6" s="1"/>
  <c r="I22" i="6"/>
  <c r="J22" i="6" s="1"/>
  <c r="I10" i="6"/>
  <c r="J10" i="6" s="1"/>
  <c r="I4" i="6"/>
  <c r="J4" i="6" s="1"/>
  <c r="I2" i="6"/>
  <c r="J2" i="6" s="1"/>
  <c r="I19" i="6"/>
  <c r="J19" i="6" s="1"/>
  <c r="I15" i="6"/>
  <c r="J15" i="6" s="1"/>
  <c r="I11" i="6"/>
  <c r="I3" i="6"/>
  <c r="I14" i="6"/>
  <c r="I9" i="6"/>
  <c r="J9" i="6" s="1"/>
  <c r="I8" i="6"/>
  <c r="J8" i="6" s="1"/>
  <c r="J14" i="6"/>
  <c r="I12" i="6"/>
  <c r="I26" i="6"/>
  <c r="X12" i="5"/>
  <c r="P1" i="4"/>
  <c r="V1" i="4"/>
  <c r="X21" i="5"/>
  <c r="AB1" i="4"/>
  <c r="X11" i="5"/>
  <c r="X10" i="5"/>
  <c r="X22" i="5"/>
  <c r="X9" i="5"/>
  <c r="X18" i="5"/>
  <c r="X8" i="5"/>
  <c r="X23" i="5"/>
  <c r="X6" i="5"/>
  <c r="X5" i="5"/>
  <c r="X17" i="5"/>
  <c r="X24" i="5"/>
  <c r="K16" i="4"/>
  <c r="AE16" i="5" s="1"/>
  <c r="AM16" i="5" s="1"/>
  <c r="X16" i="5"/>
  <c r="K4" i="4"/>
  <c r="AE4" i="5" s="1"/>
  <c r="AM4" i="5" s="1"/>
  <c r="X4" i="5"/>
  <c r="X3" i="5"/>
  <c r="X25" i="5"/>
  <c r="X27" i="5"/>
  <c r="X19" i="5"/>
  <c r="X13" i="5"/>
  <c r="X7" i="5"/>
  <c r="X15" i="5"/>
  <c r="X26" i="5"/>
  <c r="X20" i="5"/>
  <c r="X14" i="5"/>
  <c r="H4" i="4" l="1"/>
  <c r="AB4" i="5" s="1"/>
  <c r="AJ4" i="5" s="1"/>
  <c r="I4" i="4"/>
  <c r="AC4" i="5" s="1"/>
  <c r="AK4" i="5" s="1"/>
  <c r="J4" i="4"/>
  <c r="AD4" i="5" s="1"/>
  <c r="AL4" i="5" s="1"/>
  <c r="H5" i="4"/>
  <c r="AB5" i="5" s="1"/>
  <c r="AJ5" i="5" s="1"/>
  <c r="I7" i="4"/>
  <c r="AC7" i="5" s="1"/>
  <c r="AK7" i="5" s="1"/>
  <c r="J7" i="4"/>
  <c r="AD7" i="5" s="1"/>
  <c r="AL7" i="5" s="1"/>
  <c r="H8" i="4"/>
  <c r="AB8" i="5" s="1"/>
  <c r="AJ8" i="5" s="1"/>
  <c r="I8" i="4"/>
  <c r="AC8" i="5" s="1"/>
  <c r="AK8" i="5" s="1"/>
  <c r="J8" i="4"/>
  <c r="AD8" i="5" s="1"/>
  <c r="AL8" i="5" s="1"/>
  <c r="I10" i="4"/>
  <c r="AC10" i="5" s="1"/>
  <c r="AK10" i="5" s="1"/>
  <c r="J10" i="4"/>
  <c r="AD10" i="5" s="1"/>
  <c r="AL10" i="5" s="1"/>
  <c r="H11" i="4"/>
  <c r="AB11" i="5" s="1"/>
  <c r="AJ11" i="5" s="1"/>
  <c r="I11" i="4"/>
  <c r="AC11" i="5" s="1"/>
  <c r="AK11" i="5" s="1"/>
  <c r="J11" i="4"/>
  <c r="AD11" i="5" s="1"/>
  <c r="AL11" i="5" s="1"/>
  <c r="H12" i="4"/>
  <c r="AB12" i="5" s="1"/>
  <c r="AJ12" i="5" s="1"/>
  <c r="I14" i="4"/>
  <c r="AC14" i="5" s="1"/>
  <c r="AK14" i="5" s="1"/>
  <c r="J14" i="4"/>
  <c r="AD14" i="5" s="1"/>
  <c r="AL14" i="5" s="1"/>
  <c r="H15" i="4"/>
  <c r="AB15" i="5" s="1"/>
  <c r="AJ15" i="5" s="1"/>
  <c r="I15" i="4"/>
  <c r="AC15" i="5" s="1"/>
  <c r="AK15" i="5" s="1"/>
  <c r="J15" i="4"/>
  <c r="AD15" i="5" s="1"/>
  <c r="AL15" i="5" s="1"/>
  <c r="H16" i="4"/>
  <c r="AB16" i="5" s="1"/>
  <c r="AJ16" i="5" s="1"/>
  <c r="I18" i="4"/>
  <c r="AC18" i="5" s="1"/>
  <c r="AK18" i="5" s="1"/>
  <c r="J18" i="4"/>
  <c r="AD18" i="5" s="1"/>
  <c r="AL18" i="5" s="1"/>
  <c r="H19" i="4"/>
  <c r="AB19" i="5" s="1"/>
  <c r="AJ19" i="5" s="1"/>
  <c r="I19" i="4"/>
  <c r="AC19" i="5" s="1"/>
  <c r="AK19" i="5" s="1"/>
  <c r="J19" i="4"/>
  <c r="AD19" i="5" s="1"/>
  <c r="AL19" i="5" s="1"/>
  <c r="H20" i="4"/>
  <c r="AB20" i="5" s="1"/>
  <c r="AJ20" i="5" s="1"/>
  <c r="I22" i="4"/>
  <c r="AC22" i="5" s="1"/>
  <c r="AK22" i="5" s="1"/>
  <c r="J22" i="4"/>
  <c r="AD22" i="5" s="1"/>
  <c r="AL22" i="5" s="1"/>
  <c r="H23" i="4"/>
  <c r="AB23" i="5" s="1"/>
  <c r="AJ23" i="5" s="1"/>
  <c r="I23" i="4"/>
  <c r="AC23" i="5" s="1"/>
  <c r="AK23" i="5" s="1"/>
  <c r="J23" i="4"/>
  <c r="AD23" i="5" s="1"/>
  <c r="AL23" i="5" s="1"/>
  <c r="H24" i="4"/>
  <c r="AB24" i="5" s="1"/>
  <c r="AJ24" i="5" s="1"/>
  <c r="I26" i="4"/>
  <c r="AC26" i="5" s="1"/>
  <c r="AK26" i="5" s="1"/>
  <c r="J26" i="4"/>
  <c r="AD26" i="5" s="1"/>
  <c r="AL26" i="5" s="1"/>
  <c r="H27" i="4"/>
  <c r="AB27" i="5" s="1"/>
  <c r="AJ27" i="5" s="1"/>
  <c r="I27" i="4"/>
  <c r="AC27" i="5" s="1"/>
  <c r="AK27" i="5" s="1"/>
  <c r="J27" i="4"/>
  <c r="AD27" i="5" s="1"/>
  <c r="AL27" i="5" s="1"/>
  <c r="I3" i="4"/>
  <c r="AC3" i="5" s="1"/>
  <c r="AK3" i="5" s="1"/>
  <c r="N3" i="3"/>
  <c r="H3" i="4" s="1"/>
  <c r="AB3" i="5" s="1"/>
  <c r="AJ3" i="5" s="1"/>
  <c r="N4" i="3"/>
  <c r="O4" i="3"/>
  <c r="P4" i="3"/>
  <c r="N5" i="3"/>
  <c r="O5" i="3"/>
  <c r="I5" i="4" s="1"/>
  <c r="AC5" i="5" s="1"/>
  <c r="AK5" i="5" s="1"/>
  <c r="P5" i="3"/>
  <c r="J5" i="4" s="1"/>
  <c r="AD5" i="5" s="1"/>
  <c r="AL5" i="5" s="1"/>
  <c r="N6" i="3"/>
  <c r="H6" i="4" s="1"/>
  <c r="AB6" i="5" s="1"/>
  <c r="AJ6" i="5" s="1"/>
  <c r="O6" i="3"/>
  <c r="I6" i="4" s="1"/>
  <c r="AC6" i="5" s="1"/>
  <c r="AK6" i="5" s="1"/>
  <c r="P6" i="3"/>
  <c r="J6" i="4" s="1"/>
  <c r="AD6" i="5" s="1"/>
  <c r="AL6" i="5" s="1"/>
  <c r="N7" i="3"/>
  <c r="H7" i="4" s="1"/>
  <c r="AB7" i="5" s="1"/>
  <c r="AJ7" i="5" s="1"/>
  <c r="O7" i="3"/>
  <c r="P7" i="3"/>
  <c r="N8" i="3"/>
  <c r="O8" i="3"/>
  <c r="P8" i="3"/>
  <c r="N9" i="3"/>
  <c r="O9" i="3"/>
  <c r="P9" i="3"/>
  <c r="N10" i="3"/>
  <c r="H9" i="4" s="1"/>
  <c r="AB9" i="5" s="1"/>
  <c r="AJ9" i="5" s="1"/>
  <c r="O10" i="3"/>
  <c r="I9" i="4" s="1"/>
  <c r="AC9" i="5" s="1"/>
  <c r="AK9" i="5" s="1"/>
  <c r="P10" i="3"/>
  <c r="J9" i="4" s="1"/>
  <c r="AD9" i="5" s="1"/>
  <c r="AL9" i="5" s="1"/>
  <c r="N11" i="3"/>
  <c r="H10" i="4" s="1"/>
  <c r="AB10" i="5" s="1"/>
  <c r="AJ10" i="5" s="1"/>
  <c r="O11" i="3"/>
  <c r="P11" i="3"/>
  <c r="N12" i="3"/>
  <c r="O12" i="3"/>
  <c r="P12" i="3"/>
  <c r="N13" i="3"/>
  <c r="O13" i="3"/>
  <c r="I12" i="4" s="1"/>
  <c r="AC12" i="5" s="1"/>
  <c r="AK12" i="5" s="1"/>
  <c r="P13" i="3"/>
  <c r="J12" i="4" s="1"/>
  <c r="AD12" i="5" s="1"/>
  <c r="AL12" i="5" s="1"/>
  <c r="N14" i="3"/>
  <c r="H13" i="4" s="1"/>
  <c r="AB13" i="5" s="1"/>
  <c r="AJ13" i="5" s="1"/>
  <c r="O14" i="3"/>
  <c r="I13" i="4" s="1"/>
  <c r="AC13" i="5" s="1"/>
  <c r="AK13" i="5" s="1"/>
  <c r="P14" i="3"/>
  <c r="J13" i="4" s="1"/>
  <c r="AD13" i="5" s="1"/>
  <c r="AL13" i="5" s="1"/>
  <c r="N15" i="3"/>
  <c r="H14" i="4" s="1"/>
  <c r="AB14" i="5" s="1"/>
  <c r="AJ14" i="5" s="1"/>
  <c r="O15" i="3"/>
  <c r="P15" i="3"/>
  <c r="N16" i="3"/>
  <c r="O16" i="3"/>
  <c r="P16" i="3"/>
  <c r="N17" i="3"/>
  <c r="O17" i="3"/>
  <c r="I16" i="4" s="1"/>
  <c r="AC16" i="5" s="1"/>
  <c r="AK16" i="5" s="1"/>
  <c r="P17" i="3"/>
  <c r="J16" i="4" s="1"/>
  <c r="AD16" i="5" s="1"/>
  <c r="AL16" i="5" s="1"/>
  <c r="N18" i="3"/>
  <c r="H17" i="4" s="1"/>
  <c r="AB17" i="5" s="1"/>
  <c r="AJ17" i="5" s="1"/>
  <c r="O18" i="3"/>
  <c r="I17" i="4" s="1"/>
  <c r="AC17" i="5" s="1"/>
  <c r="AK17" i="5" s="1"/>
  <c r="P18" i="3"/>
  <c r="J17" i="4" s="1"/>
  <c r="AD17" i="5" s="1"/>
  <c r="AL17" i="5" s="1"/>
  <c r="N19" i="3"/>
  <c r="H18" i="4" s="1"/>
  <c r="AB18" i="5" s="1"/>
  <c r="AJ18" i="5" s="1"/>
  <c r="O19" i="3"/>
  <c r="P19" i="3"/>
  <c r="N20" i="3"/>
  <c r="O20" i="3"/>
  <c r="P20" i="3"/>
  <c r="N21" i="3"/>
  <c r="O21" i="3"/>
  <c r="I20" i="4" s="1"/>
  <c r="AC20" i="5" s="1"/>
  <c r="AK20" i="5" s="1"/>
  <c r="P21" i="3"/>
  <c r="J20" i="4" s="1"/>
  <c r="AD20" i="5" s="1"/>
  <c r="AL20" i="5" s="1"/>
  <c r="N22" i="3"/>
  <c r="H21" i="4" s="1"/>
  <c r="AB21" i="5" s="1"/>
  <c r="AJ21" i="5" s="1"/>
  <c r="O22" i="3"/>
  <c r="I21" i="4" s="1"/>
  <c r="AC21" i="5" s="1"/>
  <c r="AK21" i="5" s="1"/>
  <c r="P22" i="3"/>
  <c r="J21" i="4" s="1"/>
  <c r="AD21" i="5" s="1"/>
  <c r="AL21" i="5" s="1"/>
  <c r="N23" i="3"/>
  <c r="H22" i="4" s="1"/>
  <c r="AB22" i="5" s="1"/>
  <c r="AJ22" i="5" s="1"/>
  <c r="O23" i="3"/>
  <c r="P23" i="3"/>
  <c r="N24" i="3"/>
  <c r="O24" i="3"/>
  <c r="P24" i="3"/>
  <c r="N25" i="3"/>
  <c r="O25" i="3"/>
  <c r="I24" i="4" s="1"/>
  <c r="AC24" i="5" s="1"/>
  <c r="AK24" i="5" s="1"/>
  <c r="P25" i="3"/>
  <c r="J24" i="4" s="1"/>
  <c r="AD24" i="5" s="1"/>
  <c r="AL24" i="5" s="1"/>
  <c r="N26" i="3"/>
  <c r="H25" i="4" s="1"/>
  <c r="AB25" i="5" s="1"/>
  <c r="AJ25" i="5" s="1"/>
  <c r="O26" i="3"/>
  <c r="I25" i="4" s="1"/>
  <c r="AC25" i="5" s="1"/>
  <c r="AK25" i="5" s="1"/>
  <c r="P26" i="3"/>
  <c r="J25" i="4" s="1"/>
  <c r="AD25" i="5" s="1"/>
  <c r="AL25" i="5" s="1"/>
  <c r="N27" i="3"/>
  <c r="H26" i="4" s="1"/>
  <c r="AB26" i="5" s="1"/>
  <c r="AJ26" i="5" s="1"/>
  <c r="O27" i="3"/>
  <c r="P27" i="3"/>
  <c r="N28" i="3"/>
  <c r="O28" i="3"/>
  <c r="P28" i="3"/>
  <c r="Q3" i="3"/>
  <c r="P3" i="3"/>
  <c r="J3" i="4" s="1"/>
  <c r="AD3" i="5" s="1"/>
  <c r="AL3" i="5" s="1"/>
  <c r="O3" i="3"/>
  <c r="G2" i="3"/>
  <c r="H2" i="3"/>
  <c r="I2" i="3"/>
  <c r="J2" i="3"/>
  <c r="K2" i="3"/>
  <c r="G3" i="3"/>
  <c r="H3" i="3"/>
  <c r="I3" i="3"/>
  <c r="J3" i="3"/>
  <c r="K3" i="3"/>
  <c r="G4" i="3"/>
  <c r="Q5" i="3" s="1"/>
  <c r="H4" i="3"/>
  <c r="I4" i="3"/>
  <c r="J4" i="3"/>
  <c r="K4" i="3"/>
  <c r="G5" i="3"/>
  <c r="H5" i="3"/>
  <c r="I5" i="3"/>
  <c r="J5" i="3"/>
  <c r="K5" i="3"/>
  <c r="G6" i="3"/>
  <c r="H6" i="3"/>
  <c r="I6" i="3"/>
  <c r="J6" i="3"/>
  <c r="K6" i="3"/>
  <c r="G7" i="3"/>
  <c r="H7" i="3"/>
  <c r="I7" i="3"/>
  <c r="J7" i="3"/>
  <c r="K7" i="3"/>
  <c r="G8" i="3"/>
  <c r="H8" i="3"/>
  <c r="I8" i="3"/>
  <c r="J8" i="3"/>
  <c r="G9" i="3"/>
  <c r="H9" i="3"/>
  <c r="I9" i="3"/>
  <c r="J9" i="3"/>
  <c r="K9" i="3"/>
  <c r="G10" i="3"/>
  <c r="H10" i="3"/>
  <c r="I10" i="3"/>
  <c r="J10" i="3"/>
  <c r="K10" i="3"/>
  <c r="G11" i="3"/>
  <c r="H11" i="3"/>
  <c r="I11" i="3"/>
  <c r="G12" i="3"/>
  <c r="H12" i="3"/>
  <c r="I12" i="3"/>
  <c r="J12" i="3"/>
  <c r="G13" i="3"/>
  <c r="H13" i="3"/>
  <c r="I13" i="3"/>
  <c r="J13" i="3"/>
  <c r="G14" i="3"/>
  <c r="H14" i="3"/>
  <c r="I14" i="3"/>
  <c r="J14" i="3"/>
  <c r="G15" i="3"/>
  <c r="H15" i="3"/>
  <c r="I15" i="3"/>
  <c r="J15" i="3"/>
  <c r="K15" i="3"/>
  <c r="G16" i="3"/>
  <c r="H16" i="3"/>
  <c r="I16" i="3"/>
  <c r="J16" i="3"/>
  <c r="G17" i="3"/>
  <c r="H17" i="3"/>
  <c r="I17" i="3"/>
  <c r="J17" i="3"/>
  <c r="K17" i="3"/>
  <c r="G18" i="3"/>
  <c r="H18" i="3"/>
  <c r="I18" i="3"/>
  <c r="J18" i="3"/>
  <c r="G19" i="3"/>
  <c r="H19" i="3"/>
  <c r="I19" i="3"/>
  <c r="J19" i="3"/>
  <c r="G20" i="3"/>
  <c r="H20" i="3"/>
  <c r="I20" i="3"/>
  <c r="J20" i="3"/>
  <c r="K20" i="3"/>
  <c r="G21" i="3"/>
  <c r="H21" i="3"/>
  <c r="I21" i="3"/>
  <c r="J21" i="3"/>
  <c r="G22" i="3"/>
  <c r="H22" i="3"/>
  <c r="I22" i="3"/>
  <c r="J22" i="3"/>
  <c r="G23" i="3"/>
  <c r="H23" i="3"/>
  <c r="I23" i="3"/>
  <c r="J23" i="3"/>
  <c r="G24" i="3"/>
  <c r="H24" i="3"/>
  <c r="I24" i="3"/>
  <c r="J24" i="3"/>
  <c r="G25" i="3"/>
  <c r="H25" i="3"/>
  <c r="I25" i="3"/>
  <c r="J25" i="3"/>
  <c r="G26" i="3"/>
  <c r="H26" i="3"/>
  <c r="I26" i="3"/>
  <c r="J26" i="3"/>
  <c r="K26" i="3"/>
  <c r="G27" i="3"/>
  <c r="H27" i="3"/>
  <c r="I27" i="3"/>
  <c r="J27" i="3"/>
  <c r="K27" i="3"/>
  <c r="G28" i="3"/>
  <c r="H28" i="3"/>
  <c r="I28" i="3"/>
  <c r="J28" i="3"/>
  <c r="H16" i="2"/>
  <c r="H17" i="2"/>
  <c r="K18" i="3" s="1"/>
  <c r="H18" i="2"/>
  <c r="K19" i="3" s="1"/>
  <c r="H19" i="2"/>
  <c r="H20" i="2"/>
  <c r="K21" i="3" s="1"/>
  <c r="H21" i="2"/>
  <c r="K22" i="3" s="1"/>
  <c r="H22" i="2"/>
  <c r="K23" i="3" s="1"/>
  <c r="H23" i="2"/>
  <c r="K24" i="3" s="1"/>
  <c r="H24" i="2"/>
  <c r="K25" i="3" s="1"/>
  <c r="H25" i="2"/>
  <c r="H26" i="2"/>
  <c r="H27" i="2"/>
  <c r="K28" i="3" s="1"/>
  <c r="G22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41" i="2"/>
  <c r="K242" i="2"/>
  <c r="K243" i="2" s="1"/>
  <c r="N241" i="2"/>
  <c r="M241" i="2"/>
  <c r="O241" i="2" s="1"/>
  <c r="P241" i="2" s="1"/>
  <c r="G27" i="2"/>
  <c r="G26" i="2"/>
  <c r="G25" i="2"/>
  <c r="G24" i="2"/>
  <c r="G23" i="2"/>
  <c r="G21" i="2"/>
  <c r="G20" i="2"/>
  <c r="G19" i="2"/>
  <c r="G18" i="2"/>
  <c r="G17" i="2"/>
  <c r="G16" i="2"/>
  <c r="G15" i="2"/>
  <c r="H15" i="2"/>
  <c r="K16" i="3" s="1"/>
  <c r="G14" i="2"/>
  <c r="H14" i="2"/>
  <c r="G13" i="2"/>
  <c r="H13" i="2" s="1"/>
  <c r="K14" i="3" s="1"/>
  <c r="G12" i="2"/>
  <c r="H12" i="2"/>
  <c r="K13" i="3" s="1"/>
  <c r="AJ208" i="2"/>
  <c r="AJ209" i="2"/>
  <c r="AJ210" i="2"/>
  <c r="AJ211" i="2"/>
  <c r="AJ212" i="2"/>
  <c r="AJ213" i="2"/>
  <c r="AJ214" i="2"/>
  <c r="AJ215" i="2"/>
  <c r="AJ216" i="2"/>
  <c r="AJ217" i="2"/>
  <c r="AJ218" i="2"/>
  <c r="AJ219" i="2"/>
  <c r="AJ220" i="2"/>
  <c r="AJ221" i="2"/>
  <c r="AJ222" i="2"/>
  <c r="AJ223" i="2"/>
  <c r="AJ224" i="2"/>
  <c r="AJ225" i="2"/>
  <c r="AJ226" i="2"/>
  <c r="AJ227" i="2"/>
  <c r="AJ228" i="2"/>
  <c r="AJ229" i="2"/>
  <c r="AJ230" i="2"/>
  <c r="AJ231" i="2"/>
  <c r="AJ232" i="2"/>
  <c r="AJ233" i="2"/>
  <c r="AJ234" i="2"/>
  <c r="AJ235" i="2"/>
  <c r="AJ236" i="2"/>
  <c r="AJ207" i="2"/>
  <c r="AB208" i="2"/>
  <c r="AB209" i="2"/>
  <c r="AB210" i="2"/>
  <c r="AB211" i="2"/>
  <c r="AB212" i="2"/>
  <c r="AB213" i="2"/>
  <c r="AB214" i="2"/>
  <c r="AB215" i="2"/>
  <c r="AB216" i="2"/>
  <c r="AB217" i="2"/>
  <c r="AB218" i="2"/>
  <c r="AB219" i="2"/>
  <c r="AB220" i="2"/>
  <c r="AB221" i="2"/>
  <c r="AB222" i="2"/>
  <c r="AB223" i="2"/>
  <c r="AB224" i="2"/>
  <c r="AB225" i="2"/>
  <c r="AB226" i="2"/>
  <c r="AB227" i="2"/>
  <c r="AB228" i="2"/>
  <c r="AB229" i="2"/>
  <c r="AB230" i="2"/>
  <c r="AB231" i="2"/>
  <c r="AB232" i="2"/>
  <c r="AB233" i="2"/>
  <c r="AB234" i="2"/>
  <c r="AB235" i="2"/>
  <c r="AB236" i="2"/>
  <c r="AB207" i="2"/>
  <c r="AC207" i="2" s="1"/>
  <c r="AE207" i="2" s="1"/>
  <c r="AF207" i="2" s="1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07" i="2"/>
  <c r="M207" i="2" s="1"/>
  <c r="O207" i="2" s="1"/>
  <c r="P207" i="2" s="1"/>
  <c r="S211" i="2"/>
  <c r="AI210" i="2"/>
  <c r="AK210" i="2" s="1"/>
  <c r="AA210" i="2"/>
  <c r="AA211" i="2" s="1"/>
  <c r="U210" i="2"/>
  <c r="AI209" i="2"/>
  <c r="AA209" i="2"/>
  <c r="AC209" i="2" s="1"/>
  <c r="K209" i="2"/>
  <c r="K210" i="2" s="1"/>
  <c r="K211" i="2" s="1"/>
  <c r="K212" i="2" s="1"/>
  <c r="AI208" i="2"/>
  <c r="AA208" i="2"/>
  <c r="AC208" i="2" s="1"/>
  <c r="S208" i="2"/>
  <c r="S209" i="2" s="1"/>
  <c r="S210" i="2" s="1"/>
  <c r="K208" i="2"/>
  <c r="AL207" i="2"/>
  <c r="AK207" i="2"/>
  <c r="AM207" i="2" s="1"/>
  <c r="AN207" i="2" s="1"/>
  <c r="AD207" i="2"/>
  <c r="W207" i="2"/>
  <c r="Y207" i="2" s="1"/>
  <c r="V208" i="2" s="1"/>
  <c r="V207" i="2"/>
  <c r="U207" i="2"/>
  <c r="N207" i="2"/>
  <c r="AJ173" i="2"/>
  <c r="AJ174" i="2"/>
  <c r="AJ175" i="2"/>
  <c r="AK175" i="2" s="1"/>
  <c r="AJ17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B174" i="2"/>
  <c r="AB175" i="2"/>
  <c r="AB176" i="2"/>
  <c r="AB177" i="2"/>
  <c r="AB178" i="2"/>
  <c r="AB179" i="2"/>
  <c r="AB180" i="2"/>
  <c r="AB181" i="2"/>
  <c r="AB182" i="2"/>
  <c r="AB183" i="2"/>
  <c r="AB184" i="2"/>
  <c r="AB185" i="2"/>
  <c r="AB186" i="2"/>
  <c r="AB187" i="2"/>
  <c r="AB188" i="2"/>
  <c r="AB189" i="2"/>
  <c r="AB190" i="2"/>
  <c r="AB191" i="2"/>
  <c r="AB192" i="2"/>
  <c r="AB193" i="2"/>
  <c r="AB194" i="2"/>
  <c r="AB195" i="2"/>
  <c r="AB196" i="2"/>
  <c r="AB197" i="2"/>
  <c r="AB198" i="2"/>
  <c r="AB199" i="2"/>
  <c r="AB200" i="2"/>
  <c r="AB201" i="2"/>
  <c r="AB202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AB173" i="2"/>
  <c r="AC173" i="2" s="1"/>
  <c r="AE173" i="2" s="1"/>
  <c r="AF173" i="2" s="1"/>
  <c r="T173" i="2"/>
  <c r="L173" i="2"/>
  <c r="AI178" i="2"/>
  <c r="AI179" i="2" s="1"/>
  <c r="S178" i="2"/>
  <c r="AI177" i="2"/>
  <c r="AK177" i="2" s="1"/>
  <c r="U177" i="2"/>
  <c r="K177" i="2"/>
  <c r="AI176" i="2"/>
  <c r="AA176" i="2"/>
  <c r="AA177" i="2" s="1"/>
  <c r="S176" i="2"/>
  <c r="S177" i="2" s="1"/>
  <c r="K176" i="2"/>
  <c r="AI175" i="2"/>
  <c r="AA175" i="2"/>
  <c r="S175" i="2"/>
  <c r="AK174" i="2"/>
  <c r="AI174" i="2"/>
  <c r="AA174" i="2"/>
  <c r="U174" i="2"/>
  <c r="S174" i="2"/>
  <c r="K174" i="2"/>
  <c r="K175" i="2" s="1"/>
  <c r="AL173" i="2"/>
  <c r="AK173" i="2"/>
  <c r="AM173" i="2" s="1"/>
  <c r="AO173" i="2" s="1"/>
  <c r="AL174" i="2" s="1"/>
  <c r="AD173" i="2"/>
  <c r="V173" i="2"/>
  <c r="U173" i="2"/>
  <c r="N173" i="2"/>
  <c r="M173" i="2"/>
  <c r="O173" i="2" s="1"/>
  <c r="P173" i="2" s="1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B140" i="2"/>
  <c r="AC140" i="2" s="1"/>
  <c r="AB141" i="2"/>
  <c r="AB142" i="2"/>
  <c r="AB143" i="2"/>
  <c r="AB144" i="2"/>
  <c r="AB145" i="2"/>
  <c r="AB146" i="2"/>
  <c r="AB147" i="2"/>
  <c r="AB148" i="2"/>
  <c r="AB149" i="2"/>
  <c r="AB150" i="2"/>
  <c r="AB151" i="2"/>
  <c r="AB152" i="2"/>
  <c r="AB153" i="2"/>
  <c r="AB154" i="2"/>
  <c r="AB155" i="2"/>
  <c r="AB156" i="2"/>
  <c r="AB157" i="2"/>
  <c r="AB158" i="2"/>
  <c r="AB159" i="2"/>
  <c r="AB160" i="2"/>
  <c r="AB161" i="2"/>
  <c r="AB162" i="2"/>
  <c r="AB163" i="2"/>
  <c r="AB164" i="2"/>
  <c r="AB165" i="2"/>
  <c r="AB166" i="2"/>
  <c r="AB167" i="2"/>
  <c r="AB168" i="2"/>
  <c r="T140" i="2"/>
  <c r="U140" i="2" s="1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B106" i="2"/>
  <c r="AB107" i="2"/>
  <c r="AB108" i="2"/>
  <c r="AB109" i="2"/>
  <c r="AB110" i="2"/>
  <c r="AB111" i="2"/>
  <c r="AB112" i="2"/>
  <c r="AB113" i="2"/>
  <c r="AB114" i="2"/>
  <c r="AB115" i="2"/>
  <c r="AB116" i="2"/>
  <c r="AB117" i="2"/>
  <c r="AB118" i="2"/>
  <c r="AB119" i="2"/>
  <c r="AB120" i="2"/>
  <c r="AB121" i="2"/>
  <c r="AB122" i="2"/>
  <c r="AB123" i="2"/>
  <c r="AB124" i="2"/>
  <c r="AB125" i="2"/>
  <c r="AB126" i="2"/>
  <c r="AB127" i="2"/>
  <c r="AB128" i="2"/>
  <c r="AB129" i="2"/>
  <c r="AB130" i="2"/>
  <c r="AB131" i="2"/>
  <c r="AB132" i="2"/>
  <c r="AB133" i="2"/>
  <c r="AB134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AJ139" i="2"/>
  <c r="AB139" i="2"/>
  <c r="T139" i="2"/>
  <c r="L139" i="2"/>
  <c r="AJ105" i="2"/>
  <c r="AB105" i="2"/>
  <c r="T105" i="2"/>
  <c r="U105" i="2" s="1"/>
  <c r="W105" i="2" s="1"/>
  <c r="L105" i="2"/>
  <c r="M105" i="2" s="1"/>
  <c r="O105" i="2" s="1"/>
  <c r="S142" i="2"/>
  <c r="U141" i="2"/>
  <c r="S141" i="2"/>
  <c r="K141" i="2"/>
  <c r="AI140" i="2"/>
  <c r="AA140" i="2"/>
  <c r="AA141" i="2" s="1"/>
  <c r="S140" i="2"/>
  <c r="K140" i="2"/>
  <c r="AL139" i="2"/>
  <c r="AK139" i="2"/>
  <c r="AM139" i="2" s="1"/>
  <c r="AD139" i="2"/>
  <c r="AC139" i="2"/>
  <c r="AE139" i="2" s="1"/>
  <c r="AF139" i="2" s="1"/>
  <c r="W139" i="2"/>
  <c r="Y139" i="2" s="1"/>
  <c r="V140" i="2" s="1"/>
  <c r="V139" i="2"/>
  <c r="U139" i="2"/>
  <c r="P139" i="2"/>
  <c r="N139" i="2"/>
  <c r="M139" i="2"/>
  <c r="O139" i="2" s="1"/>
  <c r="AA107" i="2"/>
  <c r="U107" i="2"/>
  <c r="S107" i="2"/>
  <c r="S108" i="2" s="1"/>
  <c r="AI106" i="2"/>
  <c r="AC106" i="2"/>
  <c r="AA106" i="2"/>
  <c r="S106" i="2"/>
  <c r="U106" i="2" s="1"/>
  <c r="K106" i="2"/>
  <c r="AN105" i="2"/>
  <c r="AM105" i="2"/>
  <c r="AO105" i="2" s="1"/>
  <c r="AL106" i="2" s="1"/>
  <c r="AL105" i="2"/>
  <c r="AK105" i="2"/>
  <c r="AD105" i="2"/>
  <c r="AC105" i="2"/>
  <c r="AE105" i="2" s="1"/>
  <c r="AG105" i="2" s="1"/>
  <c r="AD106" i="2" s="1"/>
  <c r="V105" i="2"/>
  <c r="N105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71" i="2"/>
  <c r="G9" i="2"/>
  <c r="H9" i="2" s="1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71" i="2"/>
  <c r="AA73" i="2"/>
  <c r="AC73" i="2" s="1"/>
  <c r="S73" i="2"/>
  <c r="S74" i="2" s="1"/>
  <c r="AI72" i="2"/>
  <c r="AI73" i="2" s="1"/>
  <c r="AI74" i="2" s="1"/>
  <c r="AI75" i="2" s="1"/>
  <c r="AA72" i="2"/>
  <c r="AC72" i="2" s="1"/>
  <c r="S72" i="2"/>
  <c r="AL71" i="2"/>
  <c r="AK71" i="2"/>
  <c r="AM71" i="2" s="1"/>
  <c r="AD71" i="2"/>
  <c r="AC71" i="2"/>
  <c r="AE71" i="2" s="1"/>
  <c r="AF71" i="2" s="1"/>
  <c r="V71" i="2"/>
  <c r="U71" i="2"/>
  <c r="W71" i="2" s="1"/>
  <c r="G7" i="2"/>
  <c r="G6" i="2"/>
  <c r="H6" i="2"/>
  <c r="H7" i="2"/>
  <c r="K8" i="3" s="1"/>
  <c r="Q8" i="3" s="1"/>
  <c r="R8" i="3" s="1"/>
  <c r="E8" i="4" s="1"/>
  <c r="Y8" i="5" s="1"/>
  <c r="AG8" i="5" s="1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37" i="2"/>
  <c r="AI38" i="2"/>
  <c r="AI39" i="2" s="1"/>
  <c r="AI40" i="2" s="1"/>
  <c r="AI41" i="2" s="1"/>
  <c r="AL37" i="2"/>
  <c r="AA38" i="2"/>
  <c r="AD37" i="2"/>
  <c r="T38" i="2"/>
  <c r="S38" i="2"/>
  <c r="S39" i="2" s="1"/>
  <c r="V37" i="2"/>
  <c r="L72" i="2"/>
  <c r="L73" i="2"/>
  <c r="K72" i="2"/>
  <c r="K73" i="2" s="1"/>
  <c r="N71" i="2"/>
  <c r="K38" i="2"/>
  <c r="K39" i="2" s="1"/>
  <c r="N37" i="2"/>
  <c r="Y3" i="2"/>
  <c r="V4" i="2"/>
  <c r="V5" i="2" s="1"/>
  <c r="F3" i="2"/>
  <c r="F4" i="2"/>
  <c r="F5" i="2"/>
  <c r="T39" i="2" s="1"/>
  <c r="F6" i="2"/>
  <c r="F7" i="2"/>
  <c r="F8" i="2"/>
  <c r="F9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" i="2"/>
  <c r="G8" i="1"/>
  <c r="H8" i="1"/>
  <c r="F8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177" i="1"/>
  <c r="P208" i="1"/>
  <c r="L207" i="1"/>
  <c r="J179" i="1"/>
  <c r="J180" i="1" s="1"/>
  <c r="J178" i="1"/>
  <c r="L178" i="1" s="1"/>
  <c r="M177" i="1"/>
  <c r="L177" i="1"/>
  <c r="N177" i="1" s="1"/>
  <c r="O177" i="1" s="1"/>
  <c r="G7" i="1"/>
  <c r="H7" i="1"/>
  <c r="F7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42" i="1"/>
  <c r="L142" i="1" s="1"/>
  <c r="N142" i="1" s="1"/>
  <c r="O142" i="1" s="1"/>
  <c r="P173" i="1"/>
  <c r="L172" i="1"/>
  <c r="J144" i="1"/>
  <c r="J145" i="1" s="1"/>
  <c r="J143" i="1"/>
  <c r="L143" i="1" s="1"/>
  <c r="M142" i="1"/>
  <c r="H6" i="1"/>
  <c r="G6" i="1"/>
  <c r="F6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07" i="1"/>
  <c r="P138" i="1"/>
  <c r="L137" i="1"/>
  <c r="J111" i="1"/>
  <c r="L109" i="1"/>
  <c r="J109" i="1"/>
  <c r="J110" i="1" s="1"/>
  <c r="L110" i="1" s="1"/>
  <c r="J108" i="1"/>
  <c r="L108" i="1" s="1"/>
  <c r="M107" i="1"/>
  <c r="L107" i="1"/>
  <c r="N107" i="1" s="1"/>
  <c r="O107" i="1" s="1"/>
  <c r="H5" i="1"/>
  <c r="G5" i="1"/>
  <c r="F5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72" i="1"/>
  <c r="L72" i="1" s="1"/>
  <c r="N72" i="1" s="1"/>
  <c r="O72" i="1" s="1"/>
  <c r="P103" i="1"/>
  <c r="L102" i="1"/>
  <c r="J73" i="1"/>
  <c r="J74" i="1" s="1"/>
  <c r="M72" i="1"/>
  <c r="H4" i="1"/>
  <c r="G4" i="1"/>
  <c r="G3" i="1"/>
  <c r="F4" i="1"/>
  <c r="F3" i="1"/>
  <c r="M59" i="1"/>
  <c r="P38" i="1"/>
  <c r="P68" i="1"/>
  <c r="N39" i="1"/>
  <c r="P39" i="1" s="1"/>
  <c r="M40" i="1" s="1"/>
  <c r="M39" i="1"/>
  <c r="N38" i="1"/>
  <c r="O38" i="1" s="1"/>
  <c r="O39" i="1"/>
  <c r="O37" i="1"/>
  <c r="N37" i="1"/>
  <c r="M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37" i="1"/>
  <c r="K6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37" i="1"/>
  <c r="J38" i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K5" i="1"/>
  <c r="L5" i="1"/>
  <c r="M5" i="1"/>
  <c r="K6" i="1"/>
  <c r="L6" i="1"/>
  <c r="K7" i="1"/>
  <c r="L7" i="1"/>
  <c r="K8" i="1"/>
  <c r="L8" i="1"/>
  <c r="K11" i="1"/>
  <c r="L11" i="1"/>
  <c r="K12" i="1"/>
  <c r="L12" i="1"/>
  <c r="K13" i="1"/>
  <c r="L13" i="1"/>
  <c r="K14" i="1"/>
  <c r="L14" i="1"/>
  <c r="K17" i="1"/>
  <c r="L17" i="1"/>
  <c r="K18" i="1"/>
  <c r="L18" i="1"/>
  <c r="K19" i="1"/>
  <c r="L19" i="1"/>
  <c r="K20" i="1"/>
  <c r="L20" i="1"/>
  <c r="K33" i="1"/>
  <c r="L33" i="1"/>
  <c r="P4" i="1"/>
  <c r="O4" i="1"/>
  <c r="N4" i="1"/>
  <c r="M4" i="1"/>
  <c r="L4" i="1"/>
  <c r="K4" i="1"/>
  <c r="P3" i="1"/>
  <c r="O3" i="1"/>
  <c r="N3" i="1"/>
  <c r="M3" i="1"/>
  <c r="L3" i="1"/>
  <c r="K3" i="1"/>
  <c r="J21" i="1"/>
  <c r="K21" i="1" s="1"/>
  <c r="L21" i="1" s="1"/>
  <c r="J22" i="1"/>
  <c r="K22" i="1" s="1"/>
  <c r="L22" i="1" s="1"/>
  <c r="J23" i="1"/>
  <c r="K23" i="1" s="1"/>
  <c r="L23" i="1" s="1"/>
  <c r="J24" i="1"/>
  <c r="K24" i="1" s="1"/>
  <c r="L24" i="1" s="1"/>
  <c r="J25" i="1"/>
  <c r="J26" i="1" s="1"/>
  <c r="J5" i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4" i="1"/>
  <c r="S5" i="3" l="1"/>
  <c r="F5" i="4" s="1"/>
  <c r="Z5" i="5" s="1"/>
  <c r="AH5" i="5" s="1"/>
  <c r="R5" i="3"/>
  <c r="E5" i="4" s="1"/>
  <c r="Y5" i="5" s="1"/>
  <c r="AG5" i="5" s="1"/>
  <c r="Q19" i="3"/>
  <c r="Q23" i="3"/>
  <c r="T23" i="3" s="1"/>
  <c r="G22" i="4" s="1"/>
  <c r="AA22" i="5" s="1"/>
  <c r="AI22" i="5" s="1"/>
  <c r="Q24" i="3"/>
  <c r="R24" i="3" s="1"/>
  <c r="E23" i="4" s="1"/>
  <c r="Y23" i="5" s="1"/>
  <c r="AG23" i="5" s="1"/>
  <c r="Q25" i="3"/>
  <c r="Q26" i="3"/>
  <c r="S26" i="3" s="1"/>
  <c r="F25" i="4" s="1"/>
  <c r="Z25" i="5" s="1"/>
  <c r="AH25" i="5" s="1"/>
  <c r="Q16" i="3"/>
  <c r="S16" i="3" s="1"/>
  <c r="F15" i="4" s="1"/>
  <c r="Z15" i="5" s="1"/>
  <c r="AH15" i="5" s="1"/>
  <c r="Q28" i="3"/>
  <c r="T28" i="3" s="1"/>
  <c r="G27" i="4" s="1"/>
  <c r="AA27" i="5" s="1"/>
  <c r="AI27" i="5" s="1"/>
  <c r="Q21" i="3"/>
  <c r="S21" i="3" s="1"/>
  <c r="F20" i="4" s="1"/>
  <c r="Z20" i="5" s="1"/>
  <c r="AH20" i="5" s="1"/>
  <c r="T19" i="3"/>
  <c r="G18" i="4" s="1"/>
  <c r="AA18" i="5" s="1"/>
  <c r="AI18" i="5" s="1"/>
  <c r="R19" i="3"/>
  <c r="E18" i="4" s="1"/>
  <c r="Y18" i="5" s="1"/>
  <c r="AG18" i="5" s="1"/>
  <c r="Q13" i="3"/>
  <c r="Q10" i="3"/>
  <c r="S10" i="3" s="1"/>
  <c r="F9" i="4" s="1"/>
  <c r="Z9" i="5" s="1"/>
  <c r="AH9" i="5" s="1"/>
  <c r="Q4" i="3"/>
  <c r="T4" i="3" s="1"/>
  <c r="G4" i="4" s="1"/>
  <c r="AA4" i="5" s="1"/>
  <c r="AI4" i="5" s="1"/>
  <c r="Q27" i="3"/>
  <c r="Q20" i="3"/>
  <c r="Q17" i="3"/>
  <c r="S17" i="3" s="1"/>
  <c r="F16" i="4" s="1"/>
  <c r="Z16" i="5" s="1"/>
  <c r="AH16" i="5" s="1"/>
  <c r="Q9" i="3"/>
  <c r="T9" i="3" s="1"/>
  <c r="Q6" i="3"/>
  <c r="S6" i="3" s="1"/>
  <c r="F6" i="4" s="1"/>
  <c r="Z6" i="5" s="1"/>
  <c r="AH6" i="5" s="1"/>
  <c r="S19" i="3"/>
  <c r="F18" i="4" s="1"/>
  <c r="Z18" i="5" s="1"/>
  <c r="AH18" i="5" s="1"/>
  <c r="R28" i="3"/>
  <c r="E27" i="4" s="1"/>
  <c r="Y27" i="5" s="1"/>
  <c r="AG27" i="5" s="1"/>
  <c r="Q18" i="3"/>
  <c r="S18" i="3" s="1"/>
  <c r="F17" i="4" s="1"/>
  <c r="Z17" i="5" s="1"/>
  <c r="AH17" i="5" s="1"/>
  <c r="Q7" i="3"/>
  <c r="R7" i="3" s="1"/>
  <c r="E7" i="4" s="1"/>
  <c r="Y7" i="5" s="1"/>
  <c r="AG7" i="5" s="1"/>
  <c r="Q15" i="3"/>
  <c r="Q22" i="3"/>
  <c r="Q14" i="3"/>
  <c r="T14" i="3" s="1"/>
  <c r="G13" i="4" s="1"/>
  <c r="AA13" i="5" s="1"/>
  <c r="AI13" i="5" s="1"/>
  <c r="S24" i="3"/>
  <c r="F23" i="4" s="1"/>
  <c r="Z23" i="5" s="1"/>
  <c r="AH23" i="5" s="1"/>
  <c r="S23" i="3"/>
  <c r="F22" i="4" s="1"/>
  <c r="Z22" i="5" s="1"/>
  <c r="AH22" i="5" s="1"/>
  <c r="T8" i="3"/>
  <c r="G8" i="4" s="1"/>
  <c r="AA8" i="5" s="1"/>
  <c r="AI8" i="5" s="1"/>
  <c r="R23" i="3"/>
  <c r="E22" i="4" s="1"/>
  <c r="Y22" i="5" s="1"/>
  <c r="AG22" i="5" s="1"/>
  <c r="R18" i="3"/>
  <c r="E17" i="4" s="1"/>
  <c r="Y17" i="5" s="1"/>
  <c r="AG17" i="5" s="1"/>
  <c r="S8" i="3"/>
  <c r="F8" i="4" s="1"/>
  <c r="Z8" i="5" s="1"/>
  <c r="AH8" i="5" s="1"/>
  <c r="T5" i="3"/>
  <c r="G5" i="4" s="1"/>
  <c r="AA5" i="5" s="1"/>
  <c r="AI5" i="5" s="1"/>
  <c r="T24" i="3"/>
  <c r="G23" i="4" s="1"/>
  <c r="AA23" i="5" s="1"/>
  <c r="AI23" i="5" s="1"/>
  <c r="T17" i="3"/>
  <c r="G16" i="4" s="1"/>
  <c r="AA16" i="5" s="1"/>
  <c r="AI16" i="5" s="1"/>
  <c r="R3" i="3"/>
  <c r="E3" i="4" s="1"/>
  <c r="Y3" i="5" s="1"/>
  <c r="AG3" i="5" s="1"/>
  <c r="S3" i="3"/>
  <c r="F3" i="4" s="1"/>
  <c r="Z3" i="5" s="1"/>
  <c r="AH3" i="5" s="1"/>
  <c r="T3" i="3"/>
  <c r="G3" i="4" s="1"/>
  <c r="AA3" i="5" s="1"/>
  <c r="AI3" i="5" s="1"/>
  <c r="Q241" i="2"/>
  <c r="N242" i="2" s="1"/>
  <c r="K244" i="2"/>
  <c r="M243" i="2"/>
  <c r="M242" i="2"/>
  <c r="AK209" i="2"/>
  <c r="AK208" i="2"/>
  <c r="U211" i="2"/>
  <c r="M208" i="2"/>
  <c r="O208" i="2" s="1"/>
  <c r="P208" i="2" s="1"/>
  <c r="Q207" i="2"/>
  <c r="N208" i="2" s="1"/>
  <c r="W208" i="2"/>
  <c r="X208" i="2" s="1"/>
  <c r="AC211" i="2"/>
  <c r="AA212" i="2"/>
  <c r="K213" i="2"/>
  <c r="M212" i="2"/>
  <c r="AC210" i="2"/>
  <c r="AO207" i="2"/>
  <c r="AL208" i="2" s="1"/>
  <c r="M211" i="2"/>
  <c r="M209" i="2"/>
  <c r="M210" i="2"/>
  <c r="X207" i="2"/>
  <c r="AG207" i="2"/>
  <c r="AD208" i="2" s="1"/>
  <c r="AI211" i="2"/>
  <c r="S212" i="2"/>
  <c r="U209" i="2"/>
  <c r="U208" i="2"/>
  <c r="AK176" i="2"/>
  <c r="AC175" i="2"/>
  <c r="AC174" i="2"/>
  <c r="U178" i="2"/>
  <c r="U175" i="2"/>
  <c r="M176" i="2"/>
  <c r="M175" i="2"/>
  <c r="AM174" i="2"/>
  <c r="AN174" i="2" s="1"/>
  <c r="K178" i="2"/>
  <c r="M177" i="2"/>
  <c r="AN173" i="2"/>
  <c r="AI180" i="2"/>
  <c r="AK179" i="2"/>
  <c r="AK178" i="2"/>
  <c r="S179" i="2"/>
  <c r="W173" i="2"/>
  <c r="X173" i="2" s="1"/>
  <c r="AC177" i="2"/>
  <c r="AA178" i="2"/>
  <c r="AC176" i="2"/>
  <c r="AG173" i="2"/>
  <c r="AD174" i="2" s="1"/>
  <c r="Q173" i="2"/>
  <c r="N174" i="2" s="1"/>
  <c r="U176" i="2"/>
  <c r="M174" i="2"/>
  <c r="M140" i="2"/>
  <c r="AK106" i="2"/>
  <c r="AM106" i="2" s="1"/>
  <c r="AN106" i="2" s="1"/>
  <c r="M106" i="2"/>
  <c r="AO139" i="2"/>
  <c r="AL140" i="2" s="1"/>
  <c r="AN139" i="2"/>
  <c r="AF105" i="2"/>
  <c r="Q105" i="2"/>
  <c r="N106" i="2" s="1"/>
  <c r="P105" i="2"/>
  <c r="Y105" i="2"/>
  <c r="V106" i="2" s="1"/>
  <c r="X105" i="2"/>
  <c r="W140" i="2"/>
  <c r="X140" i="2" s="1"/>
  <c r="S109" i="2"/>
  <c r="U108" i="2"/>
  <c r="AI107" i="2"/>
  <c r="X139" i="2"/>
  <c r="K107" i="2"/>
  <c r="S143" i="2"/>
  <c r="U142" i="2"/>
  <c r="AE106" i="2"/>
  <c r="AF106" i="2" s="1"/>
  <c r="AA108" i="2"/>
  <c r="AC107" i="2"/>
  <c r="M141" i="2"/>
  <c r="K142" i="2"/>
  <c r="AG139" i="2"/>
  <c r="AD140" i="2" s="1"/>
  <c r="AI141" i="2"/>
  <c r="AK140" i="2"/>
  <c r="AM140" i="2" s="1"/>
  <c r="AC141" i="2"/>
  <c r="AA142" i="2"/>
  <c r="Q139" i="2"/>
  <c r="N140" i="2" s="1"/>
  <c r="U72" i="2"/>
  <c r="AI76" i="2"/>
  <c r="AK75" i="2"/>
  <c r="AG71" i="2"/>
  <c r="AD72" i="2" s="1"/>
  <c r="U74" i="2"/>
  <c r="S75" i="2"/>
  <c r="U73" i="2"/>
  <c r="AK74" i="2"/>
  <c r="AO71" i="2"/>
  <c r="AL72" i="2" s="1"/>
  <c r="AN71" i="2"/>
  <c r="AK73" i="2"/>
  <c r="X71" i="2"/>
  <c r="Y71" i="2"/>
  <c r="V72" i="2" s="1"/>
  <c r="AK72" i="2"/>
  <c r="AA74" i="2"/>
  <c r="L39" i="2"/>
  <c r="M39" i="2" s="1"/>
  <c r="K40" i="2"/>
  <c r="AK41" i="2"/>
  <c r="AI42" i="2"/>
  <c r="AI43" i="2" s="1"/>
  <c r="AK43" i="2" s="1"/>
  <c r="V6" i="2"/>
  <c r="W5" i="2"/>
  <c r="X5" i="2" s="1"/>
  <c r="AC37" i="2"/>
  <c r="AE37" i="2" s="1"/>
  <c r="AF37" i="2" s="1"/>
  <c r="T37" i="2"/>
  <c r="U37" i="2" s="1"/>
  <c r="W37" i="2" s="1"/>
  <c r="AK38" i="2"/>
  <c r="L71" i="2"/>
  <c r="M71" i="2" s="1"/>
  <c r="O71" i="2" s="1"/>
  <c r="P71" i="2" s="1"/>
  <c r="W3" i="2"/>
  <c r="X3" i="2" s="1"/>
  <c r="Z3" i="2" s="1"/>
  <c r="AA3" i="2" s="1"/>
  <c r="W4" i="2"/>
  <c r="X4" i="2" s="1"/>
  <c r="L38" i="2"/>
  <c r="M38" i="2" s="1"/>
  <c r="AK37" i="2"/>
  <c r="AM37" i="2" s="1"/>
  <c r="AN37" i="2" s="1"/>
  <c r="AK39" i="2"/>
  <c r="L37" i="2"/>
  <c r="M37" i="2" s="1"/>
  <c r="O37" i="2" s="1"/>
  <c r="P37" i="2" s="1"/>
  <c r="AI44" i="2"/>
  <c r="AK40" i="2"/>
  <c r="AA39" i="2"/>
  <c r="AC38" i="2"/>
  <c r="X37" i="2"/>
  <c r="Y37" i="2"/>
  <c r="V38" i="2" s="1"/>
  <c r="U39" i="2"/>
  <c r="S40" i="2"/>
  <c r="T40" i="2" s="1"/>
  <c r="U38" i="2"/>
  <c r="W38" i="2" s="1"/>
  <c r="M73" i="2"/>
  <c r="K74" i="2"/>
  <c r="L74" i="2" s="1"/>
  <c r="M72" i="2"/>
  <c r="Q37" i="2"/>
  <c r="N38" i="2" s="1"/>
  <c r="J181" i="1"/>
  <c r="L180" i="1"/>
  <c r="L179" i="1"/>
  <c r="P177" i="1"/>
  <c r="M178" i="1" s="1"/>
  <c r="P142" i="1"/>
  <c r="M143" i="1" s="1"/>
  <c r="N143" i="1"/>
  <c r="O143" i="1" s="1"/>
  <c r="L145" i="1"/>
  <c r="J146" i="1"/>
  <c r="L144" i="1"/>
  <c r="J112" i="1"/>
  <c r="L111" i="1"/>
  <c r="P107" i="1"/>
  <c r="M108" i="1" s="1"/>
  <c r="N108" i="1"/>
  <c r="O108" i="1" s="1"/>
  <c r="P72" i="1"/>
  <c r="M73" i="1" s="1"/>
  <c r="J75" i="1"/>
  <c r="L74" i="1"/>
  <c r="L73" i="1"/>
  <c r="N73" i="1" s="1"/>
  <c r="O73" i="1" s="1"/>
  <c r="N40" i="1"/>
  <c r="O40" i="1" s="1"/>
  <c r="P37" i="1"/>
  <c r="M38" i="1" s="1"/>
  <c r="J27" i="1"/>
  <c r="K26" i="1"/>
  <c r="L26" i="1" s="1"/>
  <c r="K25" i="1"/>
  <c r="L25" i="1" s="1"/>
  <c r="K16" i="1"/>
  <c r="L16" i="1" s="1"/>
  <c r="K10" i="1"/>
  <c r="L10" i="1" s="1"/>
  <c r="K15" i="1"/>
  <c r="L15" i="1" s="1"/>
  <c r="K9" i="1"/>
  <c r="L9" i="1" s="1"/>
  <c r="N5" i="1"/>
  <c r="O5" i="1" s="1"/>
  <c r="P5" i="1"/>
  <c r="M6" i="1" s="1"/>
  <c r="R21" i="3" l="1"/>
  <c r="E20" i="4" s="1"/>
  <c r="Y20" i="5" s="1"/>
  <c r="AG20" i="5" s="1"/>
  <c r="T26" i="3"/>
  <c r="G25" i="4" s="1"/>
  <c r="AA25" i="5" s="1"/>
  <c r="AI25" i="5" s="1"/>
  <c r="T21" i="3"/>
  <c r="G20" i="4" s="1"/>
  <c r="AA20" i="5" s="1"/>
  <c r="AI20" i="5" s="1"/>
  <c r="R17" i="3"/>
  <c r="E16" i="4" s="1"/>
  <c r="Y16" i="5" s="1"/>
  <c r="AG16" i="5" s="1"/>
  <c r="R26" i="3"/>
  <c r="E25" i="4" s="1"/>
  <c r="Y25" i="5" s="1"/>
  <c r="AG25" i="5" s="1"/>
  <c r="S9" i="3"/>
  <c r="S4" i="3"/>
  <c r="F4" i="4" s="1"/>
  <c r="Z4" i="5" s="1"/>
  <c r="AH4" i="5" s="1"/>
  <c r="R14" i="3"/>
  <c r="E13" i="4" s="1"/>
  <c r="Y13" i="5" s="1"/>
  <c r="AG13" i="5" s="1"/>
  <c r="S14" i="3"/>
  <c r="F13" i="4" s="1"/>
  <c r="Z13" i="5" s="1"/>
  <c r="AH13" i="5" s="1"/>
  <c r="T7" i="3"/>
  <c r="G7" i="4" s="1"/>
  <c r="AA7" i="5" s="1"/>
  <c r="AI7" i="5" s="1"/>
  <c r="T16" i="3"/>
  <c r="G15" i="4" s="1"/>
  <c r="AA15" i="5" s="1"/>
  <c r="AI15" i="5" s="1"/>
  <c r="R4" i="3"/>
  <c r="E4" i="4" s="1"/>
  <c r="Y4" i="5" s="1"/>
  <c r="AG4" i="5" s="1"/>
  <c r="R16" i="3"/>
  <c r="E15" i="4" s="1"/>
  <c r="Y15" i="5" s="1"/>
  <c r="AG15" i="5" s="1"/>
  <c r="S15" i="3"/>
  <c r="F14" i="4" s="1"/>
  <c r="Z14" i="5" s="1"/>
  <c r="AH14" i="5" s="1"/>
  <c r="R15" i="3"/>
  <c r="E14" i="4" s="1"/>
  <c r="Y14" i="5" s="1"/>
  <c r="AG14" i="5" s="1"/>
  <c r="T15" i="3"/>
  <c r="G14" i="4" s="1"/>
  <c r="AA14" i="5" s="1"/>
  <c r="AI14" i="5" s="1"/>
  <c r="R13" i="3"/>
  <c r="E12" i="4" s="1"/>
  <c r="Y12" i="5" s="1"/>
  <c r="AG12" i="5" s="1"/>
  <c r="S13" i="3"/>
  <c r="F12" i="4" s="1"/>
  <c r="Z12" i="5" s="1"/>
  <c r="AH12" i="5" s="1"/>
  <c r="T13" i="3"/>
  <c r="G12" i="4" s="1"/>
  <c r="AA12" i="5" s="1"/>
  <c r="AI12" i="5" s="1"/>
  <c r="T6" i="3"/>
  <c r="G6" i="4" s="1"/>
  <c r="AA6" i="5" s="1"/>
  <c r="AI6" i="5" s="1"/>
  <c r="T18" i="3"/>
  <c r="G17" i="4" s="1"/>
  <c r="AA17" i="5" s="1"/>
  <c r="AI17" i="5" s="1"/>
  <c r="T10" i="3"/>
  <c r="G9" i="4" s="1"/>
  <c r="AA9" i="5" s="1"/>
  <c r="AI9" i="5" s="1"/>
  <c r="R10" i="3"/>
  <c r="E9" i="4" s="1"/>
  <c r="Y9" i="5" s="1"/>
  <c r="AG9" i="5" s="1"/>
  <c r="S7" i="3"/>
  <c r="F7" i="4" s="1"/>
  <c r="Z7" i="5" s="1"/>
  <c r="AH7" i="5" s="1"/>
  <c r="R6" i="3"/>
  <c r="E6" i="4" s="1"/>
  <c r="Y6" i="5" s="1"/>
  <c r="AG6" i="5" s="1"/>
  <c r="R9" i="3"/>
  <c r="T20" i="3"/>
  <c r="G19" i="4" s="1"/>
  <c r="AA19" i="5" s="1"/>
  <c r="AI19" i="5" s="1"/>
  <c r="R20" i="3"/>
  <c r="E19" i="4" s="1"/>
  <c r="Y19" i="5" s="1"/>
  <c r="AG19" i="5" s="1"/>
  <c r="S20" i="3"/>
  <c r="F19" i="4" s="1"/>
  <c r="Z19" i="5" s="1"/>
  <c r="AH19" i="5" s="1"/>
  <c r="S25" i="3"/>
  <c r="F24" i="4" s="1"/>
  <c r="Z24" i="5" s="1"/>
  <c r="AH24" i="5" s="1"/>
  <c r="R25" i="3"/>
  <c r="E24" i="4" s="1"/>
  <c r="Y24" i="5" s="1"/>
  <c r="AG24" i="5" s="1"/>
  <c r="T25" i="3"/>
  <c r="G24" i="4" s="1"/>
  <c r="AA24" i="5" s="1"/>
  <c r="AI24" i="5" s="1"/>
  <c r="R27" i="3"/>
  <c r="E26" i="4" s="1"/>
  <c r="Y26" i="5" s="1"/>
  <c r="AG26" i="5" s="1"/>
  <c r="S27" i="3"/>
  <c r="F26" i="4" s="1"/>
  <c r="Z26" i="5" s="1"/>
  <c r="AH26" i="5" s="1"/>
  <c r="T27" i="3"/>
  <c r="G26" i="4" s="1"/>
  <c r="AA26" i="5" s="1"/>
  <c r="AI26" i="5" s="1"/>
  <c r="S28" i="3"/>
  <c r="F27" i="4" s="1"/>
  <c r="Z27" i="5" s="1"/>
  <c r="AH27" i="5" s="1"/>
  <c r="R22" i="3"/>
  <c r="E21" i="4" s="1"/>
  <c r="Y21" i="5" s="1"/>
  <c r="AG21" i="5" s="1"/>
  <c r="T22" i="3"/>
  <c r="G21" i="4" s="1"/>
  <c r="AA21" i="5" s="1"/>
  <c r="AI21" i="5" s="1"/>
  <c r="S22" i="3"/>
  <c r="F21" i="4" s="1"/>
  <c r="Z21" i="5" s="1"/>
  <c r="AH21" i="5" s="1"/>
  <c r="O242" i="2"/>
  <c r="P242" i="2" s="1"/>
  <c r="K245" i="2"/>
  <c r="M244" i="2"/>
  <c r="Q208" i="2"/>
  <c r="N209" i="2" s="1"/>
  <c r="AM208" i="2"/>
  <c r="AN208" i="2" s="1"/>
  <c r="S213" i="2"/>
  <c r="U212" i="2"/>
  <c r="M213" i="2"/>
  <c r="K214" i="2"/>
  <c r="AK211" i="2"/>
  <c r="AI212" i="2"/>
  <c r="AC212" i="2"/>
  <c r="AA213" i="2"/>
  <c r="AE208" i="2"/>
  <c r="AF208" i="2" s="1"/>
  <c r="Y208" i="2"/>
  <c r="V209" i="2" s="1"/>
  <c r="Y173" i="2"/>
  <c r="V174" i="2" s="1"/>
  <c r="S180" i="2"/>
  <c r="U179" i="2"/>
  <c r="AI181" i="2"/>
  <c r="AK180" i="2"/>
  <c r="O174" i="2"/>
  <c r="P174" i="2" s="1"/>
  <c r="M178" i="2"/>
  <c r="K179" i="2"/>
  <c r="AE174" i="2"/>
  <c r="AF174" i="2" s="1"/>
  <c r="AC178" i="2"/>
  <c r="AA179" i="2"/>
  <c r="AO174" i="2"/>
  <c r="AL175" i="2" s="1"/>
  <c r="O106" i="2"/>
  <c r="P106" i="2" s="1"/>
  <c r="Y140" i="2"/>
  <c r="V141" i="2" s="1"/>
  <c r="W141" i="2" s="1"/>
  <c r="X141" i="2" s="1"/>
  <c r="AO106" i="2"/>
  <c r="AL107" i="2" s="1"/>
  <c r="AG106" i="2"/>
  <c r="AD107" i="2" s="1"/>
  <c r="AN140" i="2"/>
  <c r="AO140" i="2"/>
  <c r="AL141" i="2" s="1"/>
  <c r="S144" i="2"/>
  <c r="U143" i="2"/>
  <c r="AI142" i="2"/>
  <c r="AK141" i="2"/>
  <c r="M107" i="2"/>
  <c r="K108" i="2"/>
  <c r="AI108" i="2"/>
  <c r="AK107" i="2"/>
  <c r="M142" i="2"/>
  <c r="K143" i="2"/>
  <c r="S110" i="2"/>
  <c r="U109" i="2"/>
  <c r="AA109" i="2"/>
  <c r="AC108" i="2"/>
  <c r="O140" i="2"/>
  <c r="P140" i="2" s="1"/>
  <c r="W106" i="2"/>
  <c r="X106" i="2" s="1"/>
  <c r="AE140" i="2"/>
  <c r="AF140" i="2" s="1"/>
  <c r="AC142" i="2"/>
  <c r="AA143" i="2"/>
  <c r="W72" i="2"/>
  <c r="X72" i="2" s="1"/>
  <c r="U75" i="2"/>
  <c r="S76" i="2"/>
  <c r="AM72" i="2"/>
  <c r="AN72" i="2" s="1"/>
  <c r="AE72" i="2"/>
  <c r="AF72" i="2" s="1"/>
  <c r="AC74" i="2"/>
  <c r="AA75" i="2"/>
  <c r="AI77" i="2"/>
  <c r="AK76" i="2"/>
  <c r="Q71" i="2"/>
  <c r="N72" i="2" s="1"/>
  <c r="AO37" i="2"/>
  <c r="AL38" i="2" s="1"/>
  <c r="AM38" i="2" s="1"/>
  <c r="AN38" i="2" s="1"/>
  <c r="K41" i="2"/>
  <c r="L40" i="2"/>
  <c r="M40" i="2" s="1"/>
  <c r="AG37" i="2"/>
  <c r="AD38" i="2" s="1"/>
  <c r="AE38" i="2" s="1"/>
  <c r="AF38" i="2" s="1"/>
  <c r="AK42" i="2"/>
  <c r="V7" i="2"/>
  <c r="W6" i="2"/>
  <c r="X6" i="2" s="1"/>
  <c r="AK44" i="2"/>
  <c r="AI45" i="2"/>
  <c r="AC39" i="2"/>
  <c r="AA40" i="2"/>
  <c r="X38" i="2"/>
  <c r="Y38" i="2"/>
  <c r="V39" i="2" s="1"/>
  <c r="S41" i="2"/>
  <c r="T41" i="2" s="1"/>
  <c r="U40" i="2"/>
  <c r="O72" i="2"/>
  <c r="P72" i="2" s="1"/>
  <c r="K75" i="2"/>
  <c r="L75" i="2" s="1"/>
  <c r="M74" i="2"/>
  <c r="O38" i="2"/>
  <c r="P38" i="2" s="1"/>
  <c r="AB3" i="2"/>
  <c r="Y4" i="2" s="1"/>
  <c r="Z4" i="2" s="1"/>
  <c r="AA4" i="2" s="1"/>
  <c r="J182" i="1"/>
  <c r="L181" i="1"/>
  <c r="N178" i="1"/>
  <c r="O178" i="1" s="1"/>
  <c r="J147" i="1"/>
  <c r="L146" i="1"/>
  <c r="P143" i="1"/>
  <c r="M144" i="1" s="1"/>
  <c r="P108" i="1"/>
  <c r="M109" i="1" s="1"/>
  <c r="L112" i="1"/>
  <c r="J113" i="1"/>
  <c r="L75" i="1"/>
  <c r="J76" i="1"/>
  <c r="P73" i="1"/>
  <c r="M74" i="1" s="1"/>
  <c r="P40" i="1"/>
  <c r="M41" i="1" s="1"/>
  <c r="K27" i="1"/>
  <c r="L27" i="1" s="1"/>
  <c r="J28" i="1"/>
  <c r="N6" i="1"/>
  <c r="O6" i="1" s="1"/>
  <c r="Q242" i="2" l="1"/>
  <c r="N243" i="2" s="1"/>
  <c r="O243" i="2" s="1"/>
  <c r="P243" i="2" s="1"/>
  <c r="M245" i="2"/>
  <c r="K246" i="2"/>
  <c r="AG208" i="2"/>
  <c r="AD209" i="2" s="1"/>
  <c r="AE209" i="2"/>
  <c r="AF209" i="2" s="1"/>
  <c r="AA214" i="2"/>
  <c r="AC213" i="2"/>
  <c r="AK212" i="2"/>
  <c r="AI213" i="2"/>
  <c r="K215" i="2"/>
  <c r="M214" i="2"/>
  <c r="U213" i="2"/>
  <c r="S214" i="2"/>
  <c r="W209" i="2"/>
  <c r="X209" i="2" s="1"/>
  <c r="Y209" i="2"/>
  <c r="V210" i="2" s="1"/>
  <c r="AO208" i="2"/>
  <c r="AL209" i="2" s="1"/>
  <c r="O209" i="2"/>
  <c r="P209" i="2" s="1"/>
  <c r="AG174" i="2"/>
  <c r="AD175" i="2" s="1"/>
  <c r="M179" i="2"/>
  <c r="K180" i="2"/>
  <c r="Q174" i="2"/>
  <c r="N175" i="2" s="1"/>
  <c r="AI182" i="2"/>
  <c r="AK181" i="2"/>
  <c r="AM175" i="2"/>
  <c r="AN175" i="2" s="1"/>
  <c r="S181" i="2"/>
  <c r="U180" i="2"/>
  <c r="AC179" i="2"/>
  <c r="AA180" i="2"/>
  <c r="W174" i="2"/>
  <c r="X174" i="2" s="1"/>
  <c r="AM107" i="2"/>
  <c r="Q106" i="2"/>
  <c r="N107" i="2" s="1"/>
  <c r="AE107" i="2"/>
  <c r="AF107" i="2" s="1"/>
  <c r="AN107" i="2"/>
  <c r="AO107" i="2"/>
  <c r="AL108" i="2" s="1"/>
  <c r="U144" i="2"/>
  <c r="S145" i="2"/>
  <c r="K109" i="2"/>
  <c r="M108" i="2"/>
  <c r="Y141" i="2"/>
  <c r="V142" i="2" s="1"/>
  <c r="AC143" i="2"/>
  <c r="AA144" i="2"/>
  <c r="AG140" i="2"/>
  <c r="AD141" i="2" s="1"/>
  <c r="S111" i="2"/>
  <c r="U110" i="2"/>
  <c r="Q140" i="2"/>
  <c r="N141" i="2" s="1"/>
  <c r="M143" i="2"/>
  <c r="K144" i="2"/>
  <c r="AM141" i="2"/>
  <c r="AN141" i="2" s="1"/>
  <c r="AI109" i="2"/>
  <c r="AK108" i="2"/>
  <c r="AC109" i="2"/>
  <c r="AA110" i="2"/>
  <c r="AI143" i="2"/>
  <c r="AK142" i="2"/>
  <c r="Y106" i="2"/>
  <c r="V107" i="2" s="1"/>
  <c r="Y72" i="2"/>
  <c r="V73" i="2" s="1"/>
  <c r="W73" i="2" s="1"/>
  <c r="X73" i="2" s="1"/>
  <c r="AI78" i="2"/>
  <c r="AK77" i="2"/>
  <c r="AG72" i="2"/>
  <c r="AD73" i="2" s="1"/>
  <c r="AO72" i="2"/>
  <c r="AL73" i="2" s="1"/>
  <c r="AA76" i="2"/>
  <c r="AC75" i="2"/>
  <c r="S77" i="2"/>
  <c r="U76" i="2"/>
  <c r="V8" i="2"/>
  <c r="W7" i="2"/>
  <c r="X7" i="2" s="1"/>
  <c r="L41" i="2"/>
  <c r="M41" i="2" s="1"/>
  <c r="K42" i="2"/>
  <c r="AO38" i="2"/>
  <c r="AL39" i="2" s="1"/>
  <c r="AI46" i="2"/>
  <c r="AK45" i="2"/>
  <c r="AG38" i="2"/>
  <c r="AD39" i="2" s="1"/>
  <c r="AC40" i="2"/>
  <c r="AA41" i="2"/>
  <c r="S42" i="2"/>
  <c r="T42" i="2" s="1"/>
  <c r="U41" i="2"/>
  <c r="W39" i="2"/>
  <c r="X39" i="2" s="1"/>
  <c r="M75" i="2"/>
  <c r="K76" i="2"/>
  <c r="L76" i="2" s="1"/>
  <c r="Q72" i="2"/>
  <c r="N73" i="2" s="1"/>
  <c r="Q38" i="2"/>
  <c r="N39" i="2" s="1"/>
  <c r="AB4" i="2"/>
  <c r="Y5" i="2" s="1"/>
  <c r="Z5" i="2" s="1"/>
  <c r="AA5" i="2" s="1"/>
  <c r="P178" i="1"/>
  <c r="M179" i="1" s="1"/>
  <c r="N179" i="1" s="1"/>
  <c r="O179" i="1" s="1"/>
  <c r="J183" i="1"/>
  <c r="L182" i="1"/>
  <c r="L147" i="1"/>
  <c r="J148" i="1"/>
  <c r="N144" i="1"/>
  <c r="O144" i="1" s="1"/>
  <c r="L113" i="1"/>
  <c r="J114" i="1"/>
  <c r="N109" i="1"/>
  <c r="O109" i="1" s="1"/>
  <c r="J77" i="1"/>
  <c r="L76" i="1"/>
  <c r="N74" i="1"/>
  <c r="O74" i="1" s="1"/>
  <c r="N41" i="1"/>
  <c r="O41" i="1" s="1"/>
  <c r="K28" i="1"/>
  <c r="L28" i="1" s="1"/>
  <c r="J29" i="1"/>
  <c r="P6" i="1"/>
  <c r="M7" i="1" s="1"/>
  <c r="Q243" i="2" l="1"/>
  <c r="N244" i="2" s="1"/>
  <c r="M246" i="2"/>
  <c r="K247" i="2"/>
  <c r="W210" i="2"/>
  <c r="X210" i="2" s="1"/>
  <c r="Y210" i="2"/>
  <c r="V211" i="2" s="1"/>
  <c r="U214" i="2"/>
  <c r="S215" i="2"/>
  <c r="K216" i="2"/>
  <c r="M215" i="2"/>
  <c r="AK213" i="2"/>
  <c r="AI214" i="2"/>
  <c r="AC214" i="2"/>
  <c r="AA215" i="2"/>
  <c r="Q209" i="2"/>
  <c r="N210" i="2" s="1"/>
  <c r="AM209" i="2"/>
  <c r="AN209" i="2" s="1"/>
  <c r="AG209" i="2"/>
  <c r="AD210" i="2" s="1"/>
  <c r="AA181" i="2"/>
  <c r="AC180" i="2"/>
  <c r="U181" i="2"/>
  <c r="S182" i="2"/>
  <c r="AO175" i="2"/>
  <c r="AL176" i="2" s="1"/>
  <c r="AK182" i="2"/>
  <c r="AI183" i="2"/>
  <c r="O175" i="2"/>
  <c r="P175" i="2" s="1"/>
  <c r="K181" i="2"/>
  <c r="M180" i="2"/>
  <c r="Y174" i="2"/>
  <c r="V175" i="2" s="1"/>
  <c r="AE175" i="2"/>
  <c r="AF175" i="2" s="1"/>
  <c r="O107" i="2"/>
  <c r="P107" i="2" s="1"/>
  <c r="AG107" i="2"/>
  <c r="AD108" i="2" s="1"/>
  <c r="AE108" i="2" s="1"/>
  <c r="AF108" i="2" s="1"/>
  <c r="M144" i="2"/>
  <c r="K145" i="2"/>
  <c r="M109" i="2"/>
  <c r="K110" i="2"/>
  <c r="AC110" i="2"/>
  <c r="AA111" i="2"/>
  <c r="S146" i="2"/>
  <c r="U145" i="2"/>
  <c r="AC144" i="2"/>
  <c r="AA145" i="2"/>
  <c r="W142" i="2"/>
  <c r="X142" i="2" s="1"/>
  <c r="O141" i="2"/>
  <c r="P141" i="2" s="1"/>
  <c r="S112" i="2"/>
  <c r="U111" i="2"/>
  <c r="AK109" i="2"/>
  <c r="AI110" i="2"/>
  <c r="AO141" i="2"/>
  <c r="AL142" i="2" s="1"/>
  <c r="W107" i="2"/>
  <c r="X107" i="2" s="1"/>
  <c r="AI144" i="2"/>
  <c r="AK143" i="2"/>
  <c r="AE141" i="2"/>
  <c r="AF141" i="2" s="1"/>
  <c r="AM108" i="2"/>
  <c r="AN108" i="2" s="1"/>
  <c r="Y73" i="2"/>
  <c r="V74" i="2" s="1"/>
  <c r="S78" i="2"/>
  <c r="U77" i="2"/>
  <c r="AC76" i="2"/>
  <c r="AA77" i="2"/>
  <c r="AM73" i="2"/>
  <c r="AN73" i="2" s="1"/>
  <c r="AE73" i="2"/>
  <c r="AF73" i="2" s="1"/>
  <c r="AI79" i="2"/>
  <c r="AK78" i="2"/>
  <c r="L42" i="2"/>
  <c r="M42" i="2" s="1"/>
  <c r="K43" i="2"/>
  <c r="V9" i="2"/>
  <c r="W8" i="2"/>
  <c r="X8" i="2" s="1"/>
  <c r="AK46" i="2"/>
  <c r="AI47" i="2"/>
  <c r="AM39" i="2"/>
  <c r="AN39" i="2" s="1"/>
  <c r="AE39" i="2"/>
  <c r="AF39" i="2" s="1"/>
  <c r="AC41" i="2"/>
  <c r="AA42" i="2"/>
  <c r="Y39" i="2"/>
  <c r="V40" i="2" s="1"/>
  <c r="U42" i="2"/>
  <c r="S43" i="2"/>
  <c r="T43" i="2" s="1"/>
  <c r="O73" i="2"/>
  <c r="P73" i="2" s="1"/>
  <c r="K77" i="2"/>
  <c r="L77" i="2" s="1"/>
  <c r="M76" i="2"/>
  <c r="O39" i="2"/>
  <c r="P39" i="2" s="1"/>
  <c r="AB5" i="2"/>
  <c r="Y6" i="2" s="1"/>
  <c r="P179" i="1"/>
  <c r="M180" i="1" s="1"/>
  <c r="L183" i="1"/>
  <c r="J184" i="1"/>
  <c r="J149" i="1"/>
  <c r="L148" i="1"/>
  <c r="P144" i="1"/>
  <c r="M145" i="1" s="1"/>
  <c r="P109" i="1"/>
  <c r="M110" i="1" s="1"/>
  <c r="N110" i="1"/>
  <c r="O110" i="1" s="1"/>
  <c r="J115" i="1"/>
  <c r="L114" i="1"/>
  <c r="P74" i="1"/>
  <c r="M75" i="1" s="1"/>
  <c r="N75" i="1"/>
  <c r="O75" i="1" s="1"/>
  <c r="L77" i="1"/>
  <c r="J78" i="1"/>
  <c r="P41" i="1"/>
  <c r="M42" i="1" s="1"/>
  <c r="K29" i="1"/>
  <c r="L29" i="1" s="1"/>
  <c r="J30" i="1"/>
  <c r="N7" i="1"/>
  <c r="O7" i="1" s="1"/>
  <c r="K248" i="2" l="1"/>
  <c r="M247" i="2"/>
  <c r="O244" i="2"/>
  <c r="P244" i="2" s="1"/>
  <c r="O210" i="2"/>
  <c r="P210" i="2" s="1"/>
  <c r="AA216" i="2"/>
  <c r="AC215" i="2"/>
  <c r="AK214" i="2"/>
  <c r="AI215" i="2"/>
  <c r="K217" i="2"/>
  <c r="M216" i="2"/>
  <c r="S216" i="2"/>
  <c r="U215" i="2"/>
  <c r="AE210" i="2"/>
  <c r="AF210" i="2" s="1"/>
  <c r="W211" i="2"/>
  <c r="X211" i="2" s="1"/>
  <c r="AO209" i="2"/>
  <c r="AL210" i="2" s="1"/>
  <c r="AG175" i="2"/>
  <c r="AD176" i="2" s="1"/>
  <c r="AE176" i="2" s="1"/>
  <c r="AF176" i="2" s="1"/>
  <c r="W175" i="2"/>
  <c r="X175" i="2" s="1"/>
  <c r="Q175" i="2"/>
  <c r="N176" i="2" s="1"/>
  <c r="AI184" i="2"/>
  <c r="AK183" i="2"/>
  <c r="AM176" i="2"/>
  <c r="AN176" i="2" s="1"/>
  <c r="AO176" i="2"/>
  <c r="AL177" i="2" s="1"/>
  <c r="M181" i="2"/>
  <c r="K182" i="2"/>
  <c r="S183" i="2"/>
  <c r="U182" i="2"/>
  <c r="AC181" i="2"/>
  <c r="AA182" i="2"/>
  <c r="AG108" i="2"/>
  <c r="AD109" i="2" s="1"/>
  <c r="AE109" i="2" s="1"/>
  <c r="AF109" i="2" s="1"/>
  <c r="Q107" i="2"/>
  <c r="N108" i="2" s="1"/>
  <c r="O108" i="2" s="1"/>
  <c r="P108" i="2" s="1"/>
  <c r="AG141" i="2"/>
  <c r="AD142" i="2" s="1"/>
  <c r="AE142" i="2" s="1"/>
  <c r="AF142" i="2" s="1"/>
  <c r="Y142" i="2"/>
  <c r="V143" i="2" s="1"/>
  <c r="AO108" i="2"/>
  <c r="AL109" i="2" s="1"/>
  <c r="AI145" i="2"/>
  <c r="AK144" i="2"/>
  <c r="Y107" i="2"/>
  <c r="V108" i="2" s="1"/>
  <c r="AA146" i="2"/>
  <c r="AC145" i="2"/>
  <c r="AM142" i="2"/>
  <c r="AN142" i="2" s="1"/>
  <c r="AI111" i="2"/>
  <c r="AK110" i="2"/>
  <c r="U146" i="2"/>
  <c r="S147" i="2"/>
  <c r="S113" i="2"/>
  <c r="U112" i="2"/>
  <c r="AA112" i="2"/>
  <c r="AC111" i="2"/>
  <c r="Q141" i="2"/>
  <c r="N142" i="2" s="1"/>
  <c r="M110" i="2"/>
  <c r="K111" i="2"/>
  <c r="AM109" i="2"/>
  <c r="AN109" i="2" s="1"/>
  <c r="Q108" i="2"/>
  <c r="N109" i="2" s="1"/>
  <c r="K146" i="2"/>
  <c r="M145" i="2"/>
  <c r="AG73" i="2"/>
  <c r="AD74" i="2" s="1"/>
  <c r="AE74" i="2" s="1"/>
  <c r="AF74" i="2" s="1"/>
  <c r="AK79" i="2"/>
  <c r="AI80" i="2"/>
  <c r="AO73" i="2"/>
  <c r="AL74" i="2" s="1"/>
  <c r="AC77" i="2"/>
  <c r="AA78" i="2"/>
  <c r="U78" i="2"/>
  <c r="S79" i="2"/>
  <c r="W74" i="2"/>
  <c r="X74" i="2" s="1"/>
  <c r="V10" i="2"/>
  <c r="W9" i="2"/>
  <c r="X9" i="2" s="1"/>
  <c r="L43" i="2"/>
  <c r="M43" i="2" s="1"/>
  <c r="K44" i="2"/>
  <c r="AO39" i="2"/>
  <c r="AL40" i="2" s="1"/>
  <c r="AI48" i="2"/>
  <c r="AK47" i="2"/>
  <c r="AG39" i="2"/>
  <c r="AD40" i="2" s="1"/>
  <c r="AC42" i="2"/>
  <c r="AA43" i="2"/>
  <c r="S44" i="2"/>
  <c r="T44" i="2" s="1"/>
  <c r="U43" i="2"/>
  <c r="W40" i="2"/>
  <c r="X40" i="2" s="1"/>
  <c r="Q73" i="2"/>
  <c r="N74" i="2" s="1"/>
  <c r="O74" i="2" s="1"/>
  <c r="P74" i="2" s="1"/>
  <c r="K78" i="2"/>
  <c r="L78" i="2" s="1"/>
  <c r="M77" i="2"/>
  <c r="Q39" i="2"/>
  <c r="N40" i="2" s="1"/>
  <c r="O40" i="2"/>
  <c r="P40" i="2" s="1"/>
  <c r="Z6" i="2"/>
  <c r="AA6" i="2" s="1"/>
  <c r="J185" i="1"/>
  <c r="L184" i="1"/>
  <c r="N180" i="1"/>
  <c r="O180" i="1" s="1"/>
  <c r="J150" i="1"/>
  <c r="L149" i="1"/>
  <c r="N145" i="1"/>
  <c r="O145" i="1" s="1"/>
  <c r="L115" i="1"/>
  <c r="J116" i="1"/>
  <c r="P110" i="1"/>
  <c r="M111" i="1" s="1"/>
  <c r="P75" i="1"/>
  <c r="M76" i="1" s="1"/>
  <c r="N76" i="1" s="1"/>
  <c r="O76" i="1" s="1"/>
  <c r="J79" i="1"/>
  <c r="L78" i="1"/>
  <c r="N42" i="1"/>
  <c r="O42" i="1" s="1"/>
  <c r="J31" i="1"/>
  <c r="K30" i="1"/>
  <c r="L30" i="1" s="1"/>
  <c r="P7" i="1"/>
  <c r="M8" i="1" s="1"/>
  <c r="Q244" i="2" l="1"/>
  <c r="N245" i="2" s="1"/>
  <c r="O245" i="2"/>
  <c r="P245" i="2" s="1"/>
  <c r="K249" i="2"/>
  <c r="M248" i="2"/>
  <c r="AG210" i="2"/>
  <c r="AD211" i="2" s="1"/>
  <c r="Y211" i="2"/>
  <c r="V212" i="2" s="1"/>
  <c r="AE211" i="2"/>
  <c r="AF211" i="2" s="1"/>
  <c r="U216" i="2"/>
  <c r="S217" i="2"/>
  <c r="K218" i="2"/>
  <c r="M217" i="2"/>
  <c r="AI216" i="2"/>
  <c r="AK215" i="2"/>
  <c r="AM210" i="2"/>
  <c r="AN210" i="2" s="1"/>
  <c r="AA217" i="2"/>
  <c r="AC216" i="2"/>
  <c r="W212" i="2"/>
  <c r="X212" i="2" s="1"/>
  <c r="Q210" i="2"/>
  <c r="N211" i="2" s="1"/>
  <c r="Y175" i="2"/>
  <c r="V176" i="2" s="1"/>
  <c r="W176" i="2"/>
  <c r="X176" i="2" s="1"/>
  <c r="AG176" i="2"/>
  <c r="AD177" i="2" s="1"/>
  <c r="U183" i="2"/>
  <c r="S184" i="2"/>
  <c r="M182" i="2"/>
  <c r="K183" i="2"/>
  <c r="AM177" i="2"/>
  <c r="AN177" i="2" s="1"/>
  <c r="AK184" i="2"/>
  <c r="AI185" i="2"/>
  <c r="AA183" i="2"/>
  <c r="AC182" i="2"/>
  <c r="O176" i="2"/>
  <c r="P176" i="2" s="1"/>
  <c r="W143" i="2"/>
  <c r="X143" i="2" s="1"/>
  <c r="AK145" i="2"/>
  <c r="AI146" i="2"/>
  <c r="AI112" i="2"/>
  <c r="AK111" i="2"/>
  <c r="O142" i="2"/>
  <c r="P142" i="2" s="1"/>
  <c r="AO142" i="2"/>
  <c r="AL143" i="2" s="1"/>
  <c r="S148" i="2"/>
  <c r="U147" i="2"/>
  <c r="AA113" i="2"/>
  <c r="AC112" i="2"/>
  <c r="AC146" i="2"/>
  <c r="AA147" i="2"/>
  <c r="W108" i="2"/>
  <c r="X108" i="2" s="1"/>
  <c r="AO109" i="2"/>
  <c r="AL110" i="2" s="1"/>
  <c r="M111" i="2"/>
  <c r="K112" i="2"/>
  <c r="M146" i="2"/>
  <c r="K147" i="2"/>
  <c r="U113" i="2"/>
  <c r="S114" i="2"/>
  <c r="O109" i="2"/>
  <c r="P109" i="2" s="1"/>
  <c r="AG142" i="2"/>
  <c r="AD143" i="2" s="1"/>
  <c r="AG109" i="2"/>
  <c r="AD110" i="2" s="1"/>
  <c r="Y74" i="2"/>
  <c r="V75" i="2" s="1"/>
  <c r="U79" i="2"/>
  <c r="S80" i="2"/>
  <c r="AA79" i="2"/>
  <c r="AC78" i="2"/>
  <c r="AG74" i="2"/>
  <c r="AD75" i="2" s="1"/>
  <c r="AM74" i="2"/>
  <c r="AN74" i="2" s="1"/>
  <c r="AI81" i="2"/>
  <c r="AK80" i="2"/>
  <c r="L44" i="2"/>
  <c r="M44" i="2" s="1"/>
  <c r="K45" i="2"/>
  <c r="V11" i="2"/>
  <c r="W10" i="2"/>
  <c r="X10" i="2" s="1"/>
  <c r="AM40" i="2"/>
  <c r="AN40" i="2" s="1"/>
  <c r="AK48" i="2"/>
  <c r="AI49" i="2"/>
  <c r="AE40" i="2"/>
  <c r="AF40" i="2" s="1"/>
  <c r="AA44" i="2"/>
  <c r="AC43" i="2"/>
  <c r="Y40" i="2"/>
  <c r="V41" i="2" s="1"/>
  <c r="U44" i="2"/>
  <c r="S45" i="2"/>
  <c r="T45" i="2" s="1"/>
  <c r="Q74" i="2"/>
  <c r="N75" i="2" s="1"/>
  <c r="M78" i="2"/>
  <c r="K79" i="2"/>
  <c r="L79" i="2" s="1"/>
  <c r="Q40" i="2"/>
  <c r="N41" i="2" s="1"/>
  <c r="AB6" i="2"/>
  <c r="Y7" i="2" s="1"/>
  <c r="P180" i="1"/>
  <c r="M181" i="1" s="1"/>
  <c r="L185" i="1"/>
  <c r="J186" i="1"/>
  <c r="L150" i="1"/>
  <c r="J151" i="1"/>
  <c r="P145" i="1"/>
  <c r="M146" i="1" s="1"/>
  <c r="N111" i="1"/>
  <c r="O111" i="1" s="1"/>
  <c r="J117" i="1"/>
  <c r="L116" i="1"/>
  <c r="J80" i="1"/>
  <c r="L79" i="1"/>
  <c r="P76" i="1"/>
  <c r="M77" i="1" s="1"/>
  <c r="P42" i="1"/>
  <c r="M43" i="1" s="1"/>
  <c r="J32" i="1"/>
  <c r="K32" i="1" s="1"/>
  <c r="L32" i="1" s="1"/>
  <c r="K31" i="1"/>
  <c r="L31" i="1" s="1"/>
  <c r="N8" i="1"/>
  <c r="O8" i="1" s="1"/>
  <c r="M249" i="2" l="1"/>
  <c r="K250" i="2"/>
  <c r="Q245" i="2"/>
  <c r="N246" i="2" s="1"/>
  <c r="AO210" i="2"/>
  <c r="AL211" i="2" s="1"/>
  <c r="AM211" i="2" s="1"/>
  <c r="AN211" i="2" s="1"/>
  <c r="Y212" i="2"/>
  <c r="V213" i="2" s="1"/>
  <c r="AC217" i="2"/>
  <c r="AA218" i="2"/>
  <c r="AK216" i="2"/>
  <c r="AI217" i="2"/>
  <c r="M218" i="2"/>
  <c r="K219" i="2"/>
  <c r="U217" i="2"/>
  <c r="S218" i="2"/>
  <c r="O211" i="2"/>
  <c r="P211" i="2" s="1"/>
  <c r="W213" i="2"/>
  <c r="X213" i="2" s="1"/>
  <c r="AG211" i="2"/>
  <c r="AD212" i="2" s="1"/>
  <c r="Y176" i="2"/>
  <c r="V177" i="2" s="1"/>
  <c r="W177" i="2" s="1"/>
  <c r="X177" i="2" s="1"/>
  <c r="AA184" i="2"/>
  <c r="AC183" i="2"/>
  <c r="AK185" i="2"/>
  <c r="AI186" i="2"/>
  <c r="AO177" i="2"/>
  <c r="AL178" i="2" s="1"/>
  <c r="K184" i="2"/>
  <c r="M183" i="2"/>
  <c r="S185" i="2"/>
  <c r="U184" i="2"/>
  <c r="Q176" i="2"/>
  <c r="N177" i="2" s="1"/>
  <c r="AE177" i="2"/>
  <c r="AF177" i="2" s="1"/>
  <c r="Y143" i="2"/>
  <c r="V144" i="2" s="1"/>
  <c r="W144" i="2"/>
  <c r="X144" i="2" s="1"/>
  <c r="Q109" i="2"/>
  <c r="N110" i="2" s="1"/>
  <c r="AC113" i="2"/>
  <c r="AA114" i="2"/>
  <c r="M147" i="2"/>
  <c r="K148" i="2"/>
  <c r="S149" i="2"/>
  <c r="U148" i="2"/>
  <c r="AM143" i="2"/>
  <c r="AN143" i="2" s="1"/>
  <c r="AO143" i="2"/>
  <c r="AL144" i="2" s="1"/>
  <c r="AC147" i="2"/>
  <c r="AA148" i="2"/>
  <c r="Q142" i="2"/>
  <c r="N143" i="2" s="1"/>
  <c r="K113" i="2"/>
  <c r="M112" i="2"/>
  <c r="AE110" i="2"/>
  <c r="AF110" i="2" s="1"/>
  <c r="AM110" i="2"/>
  <c r="AN110" i="2" s="1"/>
  <c r="U114" i="2"/>
  <c r="S115" i="2"/>
  <c r="AE143" i="2"/>
  <c r="AF143" i="2" s="1"/>
  <c r="AK112" i="2"/>
  <c r="AI113" i="2"/>
  <c r="Y108" i="2"/>
  <c r="V109" i="2" s="1"/>
  <c r="AI147" i="2"/>
  <c r="AK146" i="2"/>
  <c r="W75" i="2"/>
  <c r="X75" i="2" s="1"/>
  <c r="AE75" i="2"/>
  <c r="AF75" i="2" s="1"/>
  <c r="AO74" i="2"/>
  <c r="AL75" i="2" s="1"/>
  <c r="S81" i="2"/>
  <c r="U80" i="2"/>
  <c r="AI82" i="2"/>
  <c r="AK81" i="2"/>
  <c r="AA80" i="2"/>
  <c r="AC79" i="2"/>
  <c r="W11" i="2"/>
  <c r="X11" i="2" s="1"/>
  <c r="V12" i="2"/>
  <c r="L45" i="2"/>
  <c r="M45" i="2" s="1"/>
  <c r="K46" i="2"/>
  <c r="AK49" i="2"/>
  <c r="AI50" i="2"/>
  <c r="AO40" i="2"/>
  <c r="AL41" i="2" s="1"/>
  <c r="AG40" i="2"/>
  <c r="AD41" i="2" s="1"/>
  <c r="AC44" i="2"/>
  <c r="AA45" i="2"/>
  <c r="S46" i="2"/>
  <c r="T46" i="2" s="1"/>
  <c r="U45" i="2"/>
  <c r="W41" i="2"/>
  <c r="X41" i="2" s="1"/>
  <c r="K80" i="2"/>
  <c r="L80" i="2" s="1"/>
  <c r="M79" i="2"/>
  <c r="O75" i="2"/>
  <c r="P75" i="2" s="1"/>
  <c r="O41" i="2"/>
  <c r="P41" i="2" s="1"/>
  <c r="Z7" i="2"/>
  <c r="AA7" i="2" s="1"/>
  <c r="J187" i="1"/>
  <c r="L186" i="1"/>
  <c r="N181" i="1"/>
  <c r="O181" i="1" s="1"/>
  <c r="N146" i="1"/>
  <c r="O146" i="1" s="1"/>
  <c r="J152" i="1"/>
  <c r="L151" i="1"/>
  <c r="L117" i="1"/>
  <c r="J118" i="1"/>
  <c r="P111" i="1"/>
  <c r="M112" i="1" s="1"/>
  <c r="N77" i="1"/>
  <c r="O77" i="1" s="1"/>
  <c r="L80" i="1"/>
  <c r="J81" i="1"/>
  <c r="N43" i="1"/>
  <c r="O43" i="1" s="1"/>
  <c r="P8" i="1"/>
  <c r="M9" i="1" s="1"/>
  <c r="N9" i="1"/>
  <c r="O9" i="1" s="1"/>
  <c r="P9" i="1"/>
  <c r="M10" i="1" s="1"/>
  <c r="O246" i="2" l="1"/>
  <c r="P246" i="2" s="1"/>
  <c r="M250" i="2"/>
  <c r="K251" i="2"/>
  <c r="Q211" i="2"/>
  <c r="N212" i="2" s="1"/>
  <c r="S219" i="2"/>
  <c r="U218" i="2"/>
  <c r="K220" i="2"/>
  <c r="M219" i="2"/>
  <c r="AK217" i="2"/>
  <c r="AI218" i="2"/>
  <c r="AE212" i="2"/>
  <c r="AF212" i="2" s="1"/>
  <c r="AO211" i="2"/>
  <c r="AL212" i="2" s="1"/>
  <c r="AC218" i="2"/>
  <c r="AA219" i="2"/>
  <c r="Y213" i="2"/>
  <c r="V214" i="2" s="1"/>
  <c r="AG177" i="2"/>
  <c r="AD178" i="2" s="1"/>
  <c r="Y177" i="2"/>
  <c r="V178" i="2" s="1"/>
  <c r="O177" i="2"/>
  <c r="P177" i="2" s="1"/>
  <c r="S186" i="2"/>
  <c r="U185" i="2"/>
  <c r="K185" i="2"/>
  <c r="M184" i="2"/>
  <c r="AM178" i="2"/>
  <c r="AN178" i="2" s="1"/>
  <c r="AI187" i="2"/>
  <c r="AK186" i="2"/>
  <c r="AC184" i="2"/>
  <c r="AA185" i="2"/>
  <c r="Y144" i="2"/>
  <c r="V145" i="2" s="1"/>
  <c r="W145" i="2" s="1"/>
  <c r="X145" i="2" s="1"/>
  <c r="AO110" i="2"/>
  <c r="AL111" i="2" s="1"/>
  <c r="AM144" i="2"/>
  <c r="AN144" i="2" s="1"/>
  <c r="U149" i="2"/>
  <c r="S150" i="2"/>
  <c r="K149" i="2"/>
  <c r="M148" i="2"/>
  <c r="AG110" i="2"/>
  <c r="AD111" i="2" s="1"/>
  <c r="AA115" i="2"/>
  <c r="AC114" i="2"/>
  <c r="AG143" i="2"/>
  <c r="AD144" i="2" s="1"/>
  <c r="AM111" i="2"/>
  <c r="AN111" i="2" s="1"/>
  <c r="W109" i="2"/>
  <c r="X109" i="2" s="1"/>
  <c r="M113" i="2"/>
  <c r="K114" i="2"/>
  <c r="O110" i="2"/>
  <c r="P110" i="2" s="1"/>
  <c r="S116" i="2"/>
  <c r="U115" i="2"/>
  <c r="AI148" i="2"/>
  <c r="AK147" i="2"/>
  <c r="AI114" i="2"/>
  <c r="AK113" i="2"/>
  <c r="O143" i="2"/>
  <c r="P143" i="2" s="1"/>
  <c r="AA149" i="2"/>
  <c r="AC148" i="2"/>
  <c r="AC80" i="2"/>
  <c r="AA81" i="2"/>
  <c r="AI83" i="2"/>
  <c r="AK82" i="2"/>
  <c r="S82" i="2"/>
  <c r="U81" i="2"/>
  <c r="AM75" i="2"/>
  <c r="AN75" i="2" s="1"/>
  <c r="AG75" i="2"/>
  <c r="AD76" i="2" s="1"/>
  <c r="Y75" i="2"/>
  <c r="V76" i="2" s="1"/>
  <c r="L46" i="2"/>
  <c r="M46" i="2" s="1"/>
  <c r="K47" i="2"/>
  <c r="Q41" i="2"/>
  <c r="N42" i="2" s="1"/>
  <c r="W12" i="2"/>
  <c r="X12" i="2" s="1"/>
  <c r="V13" i="2"/>
  <c r="AM41" i="2"/>
  <c r="AN41" i="2" s="1"/>
  <c r="AI51" i="2"/>
  <c r="AK50" i="2"/>
  <c r="AA46" i="2"/>
  <c r="AC45" i="2"/>
  <c r="AE41" i="2"/>
  <c r="AF41" i="2" s="1"/>
  <c r="Y41" i="2"/>
  <c r="V42" i="2" s="1"/>
  <c r="U46" i="2"/>
  <c r="S47" i="2"/>
  <c r="T47" i="2" s="1"/>
  <c r="Q75" i="2"/>
  <c r="N76" i="2" s="1"/>
  <c r="M80" i="2"/>
  <c r="K81" i="2"/>
  <c r="L81" i="2" s="1"/>
  <c r="O42" i="2"/>
  <c r="P42" i="2" s="1"/>
  <c r="AB7" i="2"/>
  <c r="Y8" i="2" s="1"/>
  <c r="Z8" i="2" s="1"/>
  <c r="AA8" i="2" s="1"/>
  <c r="P181" i="1"/>
  <c r="M182" i="1" s="1"/>
  <c r="J188" i="1"/>
  <c r="L187" i="1"/>
  <c r="L152" i="1"/>
  <c r="J153" i="1"/>
  <c r="P146" i="1"/>
  <c r="M147" i="1" s="1"/>
  <c r="N112" i="1"/>
  <c r="O112" i="1" s="1"/>
  <c r="J119" i="1"/>
  <c r="L118" i="1"/>
  <c r="P77" i="1"/>
  <c r="M78" i="1" s="1"/>
  <c r="N78" i="1"/>
  <c r="O78" i="1" s="1"/>
  <c r="J82" i="1"/>
  <c r="L81" i="1"/>
  <c r="P43" i="1"/>
  <c r="M44" i="1" s="1"/>
  <c r="N10" i="1"/>
  <c r="O10" i="1" s="1"/>
  <c r="P10" i="1"/>
  <c r="M11" i="1" s="1"/>
  <c r="Q246" i="2" l="1"/>
  <c r="N247" i="2" s="1"/>
  <c r="K252" i="2"/>
  <c r="M251" i="2"/>
  <c r="AM212" i="2"/>
  <c r="AN212" i="2" s="1"/>
  <c r="AO212" i="2"/>
  <c r="AL213" i="2" s="1"/>
  <c r="AG212" i="2"/>
  <c r="AD213" i="2" s="1"/>
  <c r="AC219" i="2"/>
  <c r="AA220" i="2"/>
  <c r="AK218" i="2"/>
  <c r="AI219" i="2"/>
  <c r="M220" i="2"/>
  <c r="K221" i="2"/>
  <c r="U219" i="2"/>
  <c r="S220" i="2"/>
  <c r="W214" i="2"/>
  <c r="X214" i="2" s="1"/>
  <c r="O212" i="2"/>
  <c r="P212" i="2" s="1"/>
  <c r="AO178" i="2"/>
  <c r="AL179" i="2" s="1"/>
  <c r="AI188" i="2"/>
  <c r="AK187" i="2"/>
  <c r="M185" i="2"/>
  <c r="K186" i="2"/>
  <c r="S187" i="2"/>
  <c r="U186" i="2"/>
  <c r="Q177" i="2"/>
  <c r="N178" i="2" s="1"/>
  <c r="AA186" i="2"/>
  <c r="AC185" i="2"/>
  <c r="W178" i="2"/>
  <c r="X178" i="2" s="1"/>
  <c r="AE178" i="2"/>
  <c r="AF178" i="2" s="1"/>
  <c r="Y145" i="2"/>
  <c r="V146" i="2" s="1"/>
  <c r="Q110" i="2"/>
  <c r="N111" i="2" s="1"/>
  <c r="AA116" i="2"/>
  <c r="AC115" i="2"/>
  <c r="S117" i="2"/>
  <c r="U116" i="2"/>
  <c r="AE111" i="2"/>
  <c r="AF111" i="2" s="1"/>
  <c r="AE144" i="2"/>
  <c r="AF144" i="2" s="1"/>
  <c r="O111" i="2"/>
  <c r="P111" i="2" s="1"/>
  <c r="AA150" i="2"/>
  <c r="AC149" i="2"/>
  <c r="K115" i="2"/>
  <c r="M114" i="2"/>
  <c r="U150" i="2"/>
  <c r="S151" i="2"/>
  <c r="AI115" i="2"/>
  <c r="AK114" i="2"/>
  <c r="AK148" i="2"/>
  <c r="AI149" i="2"/>
  <c r="W146" i="2"/>
  <c r="X146" i="2" s="1"/>
  <c r="AO111" i="2"/>
  <c r="AL112" i="2" s="1"/>
  <c r="M149" i="2"/>
  <c r="K150" i="2"/>
  <c r="Q143" i="2"/>
  <c r="N144" i="2" s="1"/>
  <c r="Y109" i="2"/>
  <c r="V110" i="2" s="1"/>
  <c r="AO144" i="2"/>
  <c r="AL145" i="2" s="1"/>
  <c r="W76" i="2"/>
  <c r="X76" i="2" s="1"/>
  <c r="AE76" i="2"/>
  <c r="AF76" i="2" s="1"/>
  <c r="AO75" i="2"/>
  <c r="AL76" i="2" s="1"/>
  <c r="U82" i="2"/>
  <c r="S83" i="2"/>
  <c r="AK83" i="2"/>
  <c r="AI84" i="2"/>
  <c r="AC81" i="2"/>
  <c r="AA82" i="2"/>
  <c r="AG41" i="2"/>
  <c r="AD42" i="2" s="1"/>
  <c r="AE42" i="2" s="1"/>
  <c r="AF42" i="2" s="1"/>
  <c r="W13" i="2"/>
  <c r="X13" i="2" s="1"/>
  <c r="V14" i="2"/>
  <c r="L47" i="2"/>
  <c r="M47" i="2" s="1"/>
  <c r="K48" i="2"/>
  <c r="AK51" i="2"/>
  <c r="AI52" i="2"/>
  <c r="AO41" i="2"/>
  <c r="AL42" i="2" s="1"/>
  <c r="AC46" i="2"/>
  <c r="AA47" i="2"/>
  <c r="U47" i="2"/>
  <c r="S48" i="2"/>
  <c r="T48" i="2" s="1"/>
  <c r="W42" i="2"/>
  <c r="X42" i="2" s="1"/>
  <c r="K82" i="2"/>
  <c r="L82" i="2" s="1"/>
  <c r="M81" i="2"/>
  <c r="O76" i="2"/>
  <c r="P76" i="2" s="1"/>
  <c r="Q42" i="2"/>
  <c r="N43" i="2" s="1"/>
  <c r="AB8" i="2"/>
  <c r="Y9" i="2" s="1"/>
  <c r="L188" i="1"/>
  <c r="J189" i="1"/>
  <c r="N182" i="1"/>
  <c r="O182" i="1" s="1"/>
  <c r="N147" i="1"/>
  <c r="O147" i="1" s="1"/>
  <c r="J154" i="1"/>
  <c r="L153" i="1"/>
  <c r="J120" i="1"/>
  <c r="L119" i="1"/>
  <c r="P112" i="1"/>
  <c r="M113" i="1" s="1"/>
  <c r="L82" i="1"/>
  <c r="J83" i="1"/>
  <c r="P78" i="1"/>
  <c r="M79" i="1" s="1"/>
  <c r="N44" i="1"/>
  <c r="O44" i="1" s="1"/>
  <c r="P44" i="1"/>
  <c r="M45" i="1" s="1"/>
  <c r="N11" i="1"/>
  <c r="O11" i="1" s="1"/>
  <c r="O247" i="2" l="1"/>
  <c r="P247" i="2" s="1"/>
  <c r="K253" i="2"/>
  <c r="M252" i="2"/>
  <c r="Q212" i="2"/>
  <c r="N213" i="2" s="1"/>
  <c r="AK219" i="2"/>
  <c r="AI220" i="2"/>
  <c r="AE213" i="2"/>
  <c r="AF213" i="2" s="1"/>
  <c r="U220" i="2"/>
  <c r="S221" i="2"/>
  <c r="M221" i="2"/>
  <c r="K222" i="2"/>
  <c r="AC220" i="2"/>
  <c r="AA221" i="2"/>
  <c r="O213" i="2"/>
  <c r="P213" i="2" s="1"/>
  <c r="AM213" i="2"/>
  <c r="AN213" i="2" s="1"/>
  <c r="Y214" i="2"/>
  <c r="V215" i="2" s="1"/>
  <c r="AG178" i="2"/>
  <c r="AD179" i="2" s="1"/>
  <c r="Y178" i="2"/>
  <c r="V179" i="2" s="1"/>
  <c r="W179" i="2"/>
  <c r="X179" i="2" s="1"/>
  <c r="Y179" i="2"/>
  <c r="V180" i="2" s="1"/>
  <c r="AC186" i="2"/>
  <c r="AA187" i="2"/>
  <c r="O178" i="2"/>
  <c r="P178" i="2" s="1"/>
  <c r="S188" i="2"/>
  <c r="U187" i="2"/>
  <c r="M186" i="2"/>
  <c r="K187" i="2"/>
  <c r="AE179" i="2"/>
  <c r="AF179" i="2" s="1"/>
  <c r="AK188" i="2"/>
  <c r="AI189" i="2"/>
  <c r="AM179" i="2"/>
  <c r="AN179" i="2" s="1"/>
  <c r="Q111" i="2"/>
  <c r="N112" i="2" s="1"/>
  <c r="AG144" i="2"/>
  <c r="AD145" i="2" s="1"/>
  <c r="AE145" i="2" s="1"/>
  <c r="AF145" i="2" s="1"/>
  <c r="AG111" i="2"/>
  <c r="AD112" i="2" s="1"/>
  <c r="AE112" i="2" s="1"/>
  <c r="AF112" i="2" s="1"/>
  <c r="AC116" i="2"/>
  <c r="AA117" i="2"/>
  <c r="O112" i="2"/>
  <c r="P112" i="2" s="1"/>
  <c r="Y146" i="2"/>
  <c r="V147" i="2" s="1"/>
  <c r="AI150" i="2"/>
  <c r="AK149" i="2"/>
  <c r="K116" i="2"/>
  <c r="M115" i="2"/>
  <c r="AM112" i="2"/>
  <c r="AN112" i="2" s="1"/>
  <c r="AM145" i="2"/>
  <c r="AN145" i="2" s="1"/>
  <c r="S152" i="2"/>
  <c r="U151" i="2"/>
  <c r="AC150" i="2"/>
  <c r="AA151" i="2"/>
  <c r="W110" i="2"/>
  <c r="X110" i="2" s="1"/>
  <c r="U117" i="2"/>
  <c r="S118" i="2"/>
  <c r="M150" i="2"/>
  <c r="K151" i="2"/>
  <c r="AI116" i="2"/>
  <c r="AK115" i="2"/>
  <c r="O144" i="2"/>
  <c r="P144" i="2" s="1"/>
  <c r="AG76" i="2"/>
  <c r="AD77" i="2" s="1"/>
  <c r="AE77" i="2" s="1"/>
  <c r="AF77" i="2" s="1"/>
  <c r="Y76" i="2"/>
  <c r="V77" i="2" s="1"/>
  <c r="W77" i="2" s="1"/>
  <c r="X77" i="2" s="1"/>
  <c r="AA83" i="2"/>
  <c r="AC82" i="2"/>
  <c r="AK84" i="2"/>
  <c r="AI85" i="2"/>
  <c r="U83" i="2"/>
  <c r="S84" i="2"/>
  <c r="AM76" i="2"/>
  <c r="AN76" i="2" s="1"/>
  <c r="L48" i="2"/>
  <c r="M48" i="2" s="1"/>
  <c r="K49" i="2"/>
  <c r="W14" i="2"/>
  <c r="X14" i="2" s="1"/>
  <c r="V15" i="2"/>
  <c r="AM42" i="2"/>
  <c r="AN42" i="2" s="1"/>
  <c r="AI53" i="2"/>
  <c r="AK52" i="2"/>
  <c r="AG42" i="2"/>
  <c r="AD43" i="2" s="1"/>
  <c r="AA48" i="2"/>
  <c r="AC47" i="2"/>
  <c r="Y42" i="2"/>
  <c r="V43" i="2" s="1"/>
  <c r="W43" i="2" s="1"/>
  <c r="X43" i="2" s="1"/>
  <c r="S49" i="2"/>
  <c r="T49" i="2" s="1"/>
  <c r="U48" i="2"/>
  <c r="Q76" i="2"/>
  <c r="N77" i="2" s="1"/>
  <c r="M82" i="2"/>
  <c r="K83" i="2"/>
  <c r="L83" i="2" s="1"/>
  <c r="O43" i="2"/>
  <c r="P43" i="2" s="1"/>
  <c r="Z9" i="2"/>
  <c r="AA9" i="2" s="1"/>
  <c r="P182" i="1"/>
  <c r="M183" i="1" s="1"/>
  <c r="J190" i="1"/>
  <c r="L189" i="1"/>
  <c r="L154" i="1"/>
  <c r="J155" i="1"/>
  <c r="P147" i="1"/>
  <c r="M148" i="1" s="1"/>
  <c r="L120" i="1"/>
  <c r="J121" i="1"/>
  <c r="N113" i="1"/>
  <c r="O113" i="1" s="1"/>
  <c r="N79" i="1"/>
  <c r="O79" i="1" s="1"/>
  <c r="J84" i="1"/>
  <c r="L83" i="1"/>
  <c r="N45" i="1"/>
  <c r="O45" i="1" s="1"/>
  <c r="P45" i="1"/>
  <c r="M46" i="1" s="1"/>
  <c r="P11" i="1"/>
  <c r="M12" i="1" s="1"/>
  <c r="Q247" i="2" l="1"/>
  <c r="N248" i="2" s="1"/>
  <c r="M253" i="2"/>
  <c r="K254" i="2"/>
  <c r="W215" i="2"/>
  <c r="X215" i="2" s="1"/>
  <c r="AG213" i="2"/>
  <c r="AD214" i="2" s="1"/>
  <c r="AI221" i="2"/>
  <c r="AK220" i="2"/>
  <c r="AO213" i="2"/>
  <c r="AL214" i="2" s="1"/>
  <c r="Q213" i="2"/>
  <c r="N214" i="2" s="1"/>
  <c r="AC221" i="2"/>
  <c r="AA222" i="2"/>
  <c r="M222" i="2"/>
  <c r="K223" i="2"/>
  <c r="S222" i="2"/>
  <c r="U221" i="2"/>
  <c r="M187" i="2"/>
  <c r="K188" i="2"/>
  <c r="S189" i="2"/>
  <c r="U188" i="2"/>
  <c r="Q178" i="2"/>
  <c r="N179" i="2" s="1"/>
  <c r="AO179" i="2"/>
  <c r="AL180" i="2" s="1"/>
  <c r="AC187" i="2"/>
  <c r="AA188" i="2"/>
  <c r="AG179" i="2"/>
  <c r="AD180" i="2" s="1"/>
  <c r="AK189" i="2"/>
  <c r="AI190" i="2"/>
  <c r="W180" i="2"/>
  <c r="X180" i="2" s="1"/>
  <c r="AG145" i="2"/>
  <c r="AD146" i="2" s="1"/>
  <c r="Q144" i="2"/>
  <c r="N145" i="2" s="1"/>
  <c r="O145" i="2" s="1"/>
  <c r="P145" i="2" s="1"/>
  <c r="S119" i="2"/>
  <c r="U118" i="2"/>
  <c r="AO112" i="2"/>
  <c r="AL113" i="2" s="1"/>
  <c r="M116" i="2"/>
  <c r="K117" i="2"/>
  <c r="AE146" i="2"/>
  <c r="AF146" i="2" s="1"/>
  <c r="AG112" i="2"/>
  <c r="AD113" i="2" s="1"/>
  <c r="AA152" i="2"/>
  <c r="AC151" i="2"/>
  <c r="AI151" i="2"/>
  <c r="AK150" i="2"/>
  <c r="Y110" i="2"/>
  <c r="V111" i="2" s="1"/>
  <c r="AI117" i="2"/>
  <c r="AK116" i="2"/>
  <c r="U152" i="2"/>
  <c r="S153" i="2"/>
  <c r="K152" i="2"/>
  <c r="M151" i="2"/>
  <c r="Q112" i="2"/>
  <c r="N113" i="2" s="1"/>
  <c r="W147" i="2"/>
  <c r="X147" i="2" s="1"/>
  <c r="AO145" i="2"/>
  <c r="AL146" i="2" s="1"/>
  <c r="AA118" i="2"/>
  <c r="AC117" i="2"/>
  <c r="AG77" i="2"/>
  <c r="AD78" i="2" s="1"/>
  <c r="AO76" i="2"/>
  <c r="AL77" i="2" s="1"/>
  <c r="U84" i="2"/>
  <c r="S85" i="2"/>
  <c r="AI86" i="2"/>
  <c r="AK85" i="2"/>
  <c r="AE78" i="2"/>
  <c r="AF78" i="2" s="1"/>
  <c r="AA84" i="2"/>
  <c r="AC83" i="2"/>
  <c r="Y77" i="2"/>
  <c r="V78" i="2" s="1"/>
  <c r="AO42" i="2"/>
  <c r="AL43" i="2" s="1"/>
  <c r="AM43" i="2" s="1"/>
  <c r="AN43" i="2" s="1"/>
  <c r="W15" i="2"/>
  <c r="X15" i="2" s="1"/>
  <c r="V16" i="2"/>
  <c r="L49" i="2"/>
  <c r="M49" i="2" s="1"/>
  <c r="K50" i="2"/>
  <c r="AK53" i="2"/>
  <c r="AI54" i="2"/>
  <c r="AA49" i="2"/>
  <c r="AC48" i="2"/>
  <c r="AE43" i="2"/>
  <c r="AF43" i="2" s="1"/>
  <c r="U49" i="2"/>
  <c r="S50" i="2"/>
  <c r="T50" i="2" s="1"/>
  <c r="Y43" i="2"/>
  <c r="V44" i="2" s="1"/>
  <c r="K84" i="2"/>
  <c r="L84" i="2" s="1"/>
  <c r="M83" i="2"/>
  <c r="O77" i="2"/>
  <c r="P77" i="2" s="1"/>
  <c r="Q43" i="2"/>
  <c r="N44" i="2" s="1"/>
  <c r="AB9" i="2"/>
  <c r="Y10" i="2" s="1"/>
  <c r="L190" i="1"/>
  <c r="J191" i="1"/>
  <c r="N183" i="1"/>
  <c r="O183" i="1" s="1"/>
  <c r="N148" i="1"/>
  <c r="O148" i="1" s="1"/>
  <c r="L155" i="1"/>
  <c r="J156" i="1"/>
  <c r="P113" i="1"/>
  <c r="M114" i="1" s="1"/>
  <c r="J122" i="1"/>
  <c r="L121" i="1"/>
  <c r="L84" i="1"/>
  <c r="J85" i="1"/>
  <c r="P79" i="1"/>
  <c r="M80" i="1" s="1"/>
  <c r="N46" i="1"/>
  <c r="O46" i="1" s="1"/>
  <c r="P46" i="1"/>
  <c r="M47" i="1" s="1"/>
  <c r="N12" i="1"/>
  <c r="O12" i="1" s="1"/>
  <c r="O248" i="2" l="1"/>
  <c r="P248" i="2" s="1"/>
  <c r="Q248" i="2"/>
  <c r="N249" i="2" s="1"/>
  <c r="O249" i="2" s="1"/>
  <c r="P249" i="2" s="1"/>
  <c r="K255" i="2"/>
  <c r="M254" i="2"/>
  <c r="Y215" i="2"/>
  <c r="V216" i="2" s="1"/>
  <c r="AA223" i="2"/>
  <c r="AC222" i="2"/>
  <c r="O214" i="2"/>
  <c r="P214" i="2" s="1"/>
  <c r="AM214" i="2"/>
  <c r="AN214" i="2" s="1"/>
  <c r="AK221" i="2"/>
  <c r="AI222" i="2"/>
  <c r="U222" i="2"/>
  <c r="S223" i="2"/>
  <c r="M223" i="2"/>
  <c r="K224" i="2"/>
  <c r="AE214" i="2"/>
  <c r="AF214" i="2" s="1"/>
  <c r="W216" i="2"/>
  <c r="X216" i="2" s="1"/>
  <c r="Y180" i="2"/>
  <c r="V181" i="2" s="1"/>
  <c r="W181" i="2"/>
  <c r="X181" i="2" s="1"/>
  <c r="AK190" i="2"/>
  <c r="AI191" i="2"/>
  <c r="AE180" i="2"/>
  <c r="AF180" i="2" s="1"/>
  <c r="AC188" i="2"/>
  <c r="AA189" i="2"/>
  <c r="AM180" i="2"/>
  <c r="AN180" i="2" s="1"/>
  <c r="AO180" i="2"/>
  <c r="AL181" i="2" s="1"/>
  <c r="O179" i="2"/>
  <c r="P179" i="2" s="1"/>
  <c r="Q179" i="2"/>
  <c r="N180" i="2" s="1"/>
  <c r="S190" i="2"/>
  <c r="U189" i="2"/>
  <c r="K189" i="2"/>
  <c r="M188" i="2"/>
  <c r="AM146" i="2"/>
  <c r="AN146" i="2" s="1"/>
  <c r="Q145" i="2"/>
  <c r="N146" i="2" s="1"/>
  <c r="AA153" i="2"/>
  <c r="AC152" i="2"/>
  <c r="M152" i="2"/>
  <c r="K153" i="2"/>
  <c r="AE113" i="2"/>
  <c r="AF113" i="2" s="1"/>
  <c r="U153" i="2"/>
  <c r="S154" i="2"/>
  <c r="AG146" i="2"/>
  <c r="AD147" i="2" s="1"/>
  <c r="U119" i="2"/>
  <c r="S120" i="2"/>
  <c r="O113" i="2"/>
  <c r="P113" i="2" s="1"/>
  <c r="AI118" i="2"/>
  <c r="AK117" i="2"/>
  <c r="AK151" i="2"/>
  <c r="AI152" i="2"/>
  <c r="W111" i="2"/>
  <c r="X111" i="2" s="1"/>
  <c r="AM113" i="2"/>
  <c r="AN113" i="2" s="1"/>
  <c r="Y147" i="2"/>
  <c r="V148" i="2" s="1"/>
  <c r="K118" i="2"/>
  <c r="M117" i="2"/>
  <c r="AC118" i="2"/>
  <c r="AA119" i="2"/>
  <c r="S86" i="2"/>
  <c r="U85" i="2"/>
  <c r="AM77" i="2"/>
  <c r="AN77" i="2" s="1"/>
  <c r="W78" i="2"/>
  <c r="X78" i="2" s="1"/>
  <c r="Y78" i="2"/>
  <c r="V79" i="2" s="1"/>
  <c r="AC84" i="2"/>
  <c r="AA85" i="2"/>
  <c r="AG78" i="2"/>
  <c r="AD79" i="2" s="1"/>
  <c r="AI87" i="2"/>
  <c r="AK86" i="2"/>
  <c r="AO43" i="2"/>
  <c r="AL44" i="2" s="1"/>
  <c r="AM44" i="2" s="1"/>
  <c r="AN44" i="2" s="1"/>
  <c r="L50" i="2"/>
  <c r="M50" i="2" s="1"/>
  <c r="K51" i="2"/>
  <c r="W16" i="2"/>
  <c r="X16" i="2" s="1"/>
  <c r="V17" i="2"/>
  <c r="AG43" i="2"/>
  <c r="AD44" i="2" s="1"/>
  <c r="AE44" i="2" s="1"/>
  <c r="AF44" i="2" s="1"/>
  <c r="AI55" i="2"/>
  <c r="AK54" i="2"/>
  <c r="AC49" i="2"/>
  <c r="AA50" i="2"/>
  <c r="W44" i="2"/>
  <c r="X44" i="2" s="1"/>
  <c r="Y44" i="2"/>
  <c r="V45" i="2" s="1"/>
  <c r="S51" i="2"/>
  <c r="T51" i="2" s="1"/>
  <c r="U50" i="2"/>
  <c r="Q77" i="2"/>
  <c r="N78" i="2" s="1"/>
  <c r="K85" i="2"/>
  <c r="L85" i="2" s="1"/>
  <c r="M84" i="2"/>
  <c r="O44" i="2"/>
  <c r="P44" i="2" s="1"/>
  <c r="Z10" i="2"/>
  <c r="AA10" i="2" s="1"/>
  <c r="P183" i="1"/>
  <c r="M184" i="1" s="1"/>
  <c r="J192" i="1"/>
  <c r="L191" i="1"/>
  <c r="P148" i="1"/>
  <c r="M149" i="1" s="1"/>
  <c r="J157" i="1"/>
  <c r="L156" i="1"/>
  <c r="L122" i="1"/>
  <c r="J123" i="1"/>
  <c r="N114" i="1"/>
  <c r="O114" i="1" s="1"/>
  <c r="N80" i="1"/>
  <c r="O80" i="1" s="1"/>
  <c r="L85" i="1"/>
  <c r="J86" i="1"/>
  <c r="N47" i="1"/>
  <c r="O47" i="1" s="1"/>
  <c r="P47" i="1"/>
  <c r="M48" i="1" s="1"/>
  <c r="P12" i="1"/>
  <c r="M13" i="1" s="1"/>
  <c r="N13" i="1"/>
  <c r="O13" i="1" s="1"/>
  <c r="P13" i="1"/>
  <c r="M14" i="1" s="1"/>
  <c r="Q249" i="2" l="1"/>
  <c r="N250" i="2" s="1"/>
  <c r="O250" i="2" s="1"/>
  <c r="P250" i="2" s="1"/>
  <c r="Q250" i="2"/>
  <c r="N251" i="2" s="1"/>
  <c r="K256" i="2"/>
  <c r="M255" i="2"/>
  <c r="M224" i="2"/>
  <c r="K225" i="2"/>
  <c r="U223" i="2"/>
  <c r="S224" i="2"/>
  <c r="AI223" i="2"/>
  <c r="AK222" i="2"/>
  <c r="AO214" i="2"/>
  <c r="AL215" i="2" s="1"/>
  <c r="Y216" i="2"/>
  <c r="V217" i="2" s="1"/>
  <c r="Q214" i="2"/>
  <c r="N215" i="2" s="1"/>
  <c r="AG214" i="2"/>
  <c r="AD215" i="2" s="1"/>
  <c r="AC223" i="2"/>
  <c r="AA224" i="2"/>
  <c r="AM181" i="2"/>
  <c r="AN181" i="2" s="1"/>
  <c r="O180" i="2"/>
  <c r="P180" i="2" s="1"/>
  <c r="AC189" i="2"/>
  <c r="AA190" i="2"/>
  <c r="AG180" i="2"/>
  <c r="AD181" i="2" s="1"/>
  <c r="AI192" i="2"/>
  <c r="AK191" i="2"/>
  <c r="K190" i="2"/>
  <c r="M189" i="2"/>
  <c r="U190" i="2"/>
  <c r="S191" i="2"/>
  <c r="Y181" i="2"/>
  <c r="V182" i="2" s="1"/>
  <c r="Y111" i="2"/>
  <c r="V112" i="2" s="1"/>
  <c r="W112" i="2" s="1"/>
  <c r="X112" i="2" s="1"/>
  <c r="AO113" i="2"/>
  <c r="AL114" i="2" s="1"/>
  <c r="AM114" i="2" s="1"/>
  <c r="AN114" i="2" s="1"/>
  <c r="AE147" i="2"/>
  <c r="AF147" i="2" s="1"/>
  <c r="S155" i="2"/>
  <c r="U154" i="2"/>
  <c r="AI153" i="2"/>
  <c r="AK152" i="2"/>
  <c r="AG113" i="2"/>
  <c r="AD114" i="2" s="1"/>
  <c r="M153" i="2"/>
  <c r="K154" i="2"/>
  <c r="AI119" i="2"/>
  <c r="AK118" i="2"/>
  <c r="W148" i="2"/>
  <c r="X148" i="2" s="1"/>
  <c r="AC119" i="2"/>
  <c r="AA120" i="2"/>
  <c r="AC153" i="2"/>
  <c r="AA154" i="2"/>
  <c r="Q113" i="2"/>
  <c r="N114" i="2" s="1"/>
  <c r="O146" i="2"/>
  <c r="P146" i="2" s="1"/>
  <c r="K119" i="2"/>
  <c r="M118" i="2"/>
  <c r="S121" i="2"/>
  <c r="U120" i="2"/>
  <c r="AO146" i="2"/>
  <c r="AL147" i="2" s="1"/>
  <c r="AO77" i="2"/>
  <c r="AL78" i="2" s="1"/>
  <c r="U86" i="2"/>
  <c r="S87" i="2"/>
  <c r="AI88" i="2"/>
  <c r="AK87" i="2"/>
  <c r="AE79" i="2"/>
  <c r="AF79" i="2" s="1"/>
  <c r="AC85" i="2"/>
  <c r="AA86" i="2"/>
  <c r="W79" i="2"/>
  <c r="X79" i="2" s="1"/>
  <c r="Y79" i="2"/>
  <c r="V80" i="2" s="1"/>
  <c r="AM78" i="2"/>
  <c r="AN78" i="2" s="1"/>
  <c r="AO44" i="2"/>
  <c r="AL45" i="2" s="1"/>
  <c r="AM45" i="2" s="1"/>
  <c r="AN45" i="2" s="1"/>
  <c r="W17" i="2"/>
  <c r="X17" i="2" s="1"/>
  <c r="V18" i="2"/>
  <c r="L51" i="2"/>
  <c r="M51" i="2" s="1"/>
  <c r="K52" i="2"/>
  <c r="AG44" i="2"/>
  <c r="AD45" i="2" s="1"/>
  <c r="AI56" i="2"/>
  <c r="AK55" i="2"/>
  <c r="AE45" i="2"/>
  <c r="AF45" i="2" s="1"/>
  <c r="AA51" i="2"/>
  <c r="AC50" i="2"/>
  <c r="S52" i="2"/>
  <c r="T52" i="2" s="1"/>
  <c r="U51" i="2"/>
  <c r="W45" i="2"/>
  <c r="X45" i="2" s="1"/>
  <c r="M85" i="2"/>
  <c r="K86" i="2"/>
  <c r="L86" i="2" s="1"/>
  <c r="O78" i="2"/>
  <c r="P78" i="2" s="1"/>
  <c r="Q78" i="2"/>
  <c r="N79" i="2" s="1"/>
  <c r="Q44" i="2"/>
  <c r="N45" i="2" s="1"/>
  <c r="AB10" i="2"/>
  <c r="Y11" i="2" s="1"/>
  <c r="L192" i="1"/>
  <c r="J193" i="1"/>
  <c r="N184" i="1"/>
  <c r="O184" i="1" s="1"/>
  <c r="L157" i="1"/>
  <c r="J158" i="1"/>
  <c r="N149" i="1"/>
  <c r="O149" i="1" s="1"/>
  <c r="J124" i="1"/>
  <c r="L123" i="1"/>
  <c r="P114" i="1"/>
  <c r="M115" i="1" s="1"/>
  <c r="P80" i="1"/>
  <c r="M81" i="1" s="1"/>
  <c r="J87" i="1"/>
  <c r="L86" i="1"/>
  <c r="N48" i="1"/>
  <c r="O48" i="1" s="1"/>
  <c r="P48" i="1"/>
  <c r="M49" i="1" s="1"/>
  <c r="N14" i="1"/>
  <c r="O14" i="1" s="1"/>
  <c r="K257" i="2" l="1"/>
  <c r="M256" i="2"/>
  <c r="O251" i="2"/>
  <c r="P251" i="2" s="1"/>
  <c r="AC224" i="2"/>
  <c r="AA225" i="2"/>
  <c r="AE215" i="2"/>
  <c r="AF215" i="2" s="1"/>
  <c r="O215" i="2"/>
  <c r="P215" i="2" s="1"/>
  <c r="W217" i="2"/>
  <c r="X217" i="2" s="1"/>
  <c r="AM215" i="2"/>
  <c r="AN215" i="2" s="1"/>
  <c r="AK223" i="2"/>
  <c r="AI224" i="2"/>
  <c r="S225" i="2"/>
  <c r="U224" i="2"/>
  <c r="M225" i="2"/>
  <c r="K226" i="2"/>
  <c r="Q180" i="2"/>
  <c r="N181" i="2" s="1"/>
  <c r="K191" i="2"/>
  <c r="M190" i="2"/>
  <c r="AI193" i="2"/>
  <c r="AK192" i="2"/>
  <c r="AE181" i="2"/>
  <c r="AF181" i="2" s="1"/>
  <c r="AC190" i="2"/>
  <c r="AA191" i="2"/>
  <c r="W182" i="2"/>
  <c r="X182" i="2" s="1"/>
  <c r="S192" i="2"/>
  <c r="U191" i="2"/>
  <c r="AO181" i="2"/>
  <c r="AL182" i="2" s="1"/>
  <c r="O114" i="2"/>
  <c r="P114" i="2" s="1"/>
  <c r="Q114" i="2"/>
  <c r="N115" i="2" s="1"/>
  <c r="Y112" i="2"/>
  <c r="V113" i="2" s="1"/>
  <c r="AI120" i="2"/>
  <c r="AK119" i="2"/>
  <c r="Q146" i="2"/>
  <c r="N147" i="2" s="1"/>
  <c r="M154" i="2"/>
  <c r="K155" i="2"/>
  <c r="AO114" i="2"/>
  <c r="AL115" i="2" s="1"/>
  <c r="AE114" i="2"/>
  <c r="AF114" i="2" s="1"/>
  <c r="AG114" i="2"/>
  <c r="AD115" i="2" s="1"/>
  <c r="AO147" i="2"/>
  <c r="AL148" i="2" s="1"/>
  <c r="AM147" i="2"/>
  <c r="AN147" i="2" s="1"/>
  <c r="AC154" i="2"/>
  <c r="AA155" i="2"/>
  <c r="AI154" i="2"/>
  <c r="AK153" i="2"/>
  <c r="S122" i="2"/>
  <c r="U121" i="2"/>
  <c r="AA121" i="2"/>
  <c r="AC120" i="2"/>
  <c r="S156" i="2"/>
  <c r="U155" i="2"/>
  <c r="M119" i="2"/>
  <c r="K120" i="2"/>
  <c r="Y148" i="2"/>
  <c r="V149" i="2" s="1"/>
  <c r="AG147" i="2"/>
  <c r="AD148" i="2" s="1"/>
  <c r="AO78" i="2"/>
  <c r="AL79" i="2" s="1"/>
  <c r="AA87" i="2"/>
  <c r="AC86" i="2"/>
  <c r="AG79" i="2"/>
  <c r="AD80" i="2" s="1"/>
  <c r="W80" i="2"/>
  <c r="X80" i="2" s="1"/>
  <c r="AI89" i="2"/>
  <c r="AK88" i="2"/>
  <c r="U87" i="2"/>
  <c r="S88" i="2"/>
  <c r="AG45" i="2"/>
  <c r="AD46" i="2" s="1"/>
  <c r="AE46" i="2" s="1"/>
  <c r="AF46" i="2" s="1"/>
  <c r="L52" i="2"/>
  <c r="M52" i="2" s="1"/>
  <c r="K53" i="2"/>
  <c r="W18" i="2"/>
  <c r="X18" i="2" s="1"/>
  <c r="V19" i="2"/>
  <c r="AO45" i="2"/>
  <c r="AL46" i="2" s="1"/>
  <c r="AK56" i="2"/>
  <c r="AI57" i="2"/>
  <c r="AC51" i="2"/>
  <c r="AA52" i="2"/>
  <c r="Y45" i="2"/>
  <c r="V46" i="2" s="1"/>
  <c r="S53" i="2"/>
  <c r="T53" i="2" s="1"/>
  <c r="U52" i="2"/>
  <c r="O79" i="2"/>
  <c r="P79" i="2" s="1"/>
  <c r="K87" i="2"/>
  <c r="L87" i="2" s="1"/>
  <c r="M86" i="2"/>
  <c r="O45" i="2"/>
  <c r="P45" i="2" s="1"/>
  <c r="Z11" i="2"/>
  <c r="AA11" i="2" s="1"/>
  <c r="P184" i="1"/>
  <c r="M185" i="1" s="1"/>
  <c r="L193" i="1"/>
  <c r="J194" i="1"/>
  <c r="P149" i="1"/>
  <c r="M150" i="1" s="1"/>
  <c r="J159" i="1"/>
  <c r="L158" i="1"/>
  <c r="L124" i="1"/>
  <c r="J125" i="1"/>
  <c r="N115" i="1"/>
  <c r="O115" i="1" s="1"/>
  <c r="N81" i="1"/>
  <c r="O81" i="1" s="1"/>
  <c r="L87" i="1"/>
  <c r="J88" i="1"/>
  <c r="N49" i="1"/>
  <c r="O49" i="1" s="1"/>
  <c r="P49" i="1"/>
  <c r="M50" i="1" s="1"/>
  <c r="P14" i="1"/>
  <c r="M15" i="1" s="1"/>
  <c r="N15" i="1"/>
  <c r="O15" i="1" s="1"/>
  <c r="P15" i="1"/>
  <c r="M16" i="1" s="1"/>
  <c r="Q251" i="2" l="1"/>
  <c r="N252" i="2" s="1"/>
  <c r="M257" i="2"/>
  <c r="K258" i="2"/>
  <c r="AK224" i="2"/>
  <c r="AI225" i="2"/>
  <c r="Y217" i="2"/>
  <c r="V218" i="2" s="1"/>
  <c r="Q215" i="2"/>
  <c r="N216" i="2" s="1"/>
  <c r="AA226" i="2"/>
  <c r="AC225" i="2"/>
  <c r="AO215" i="2"/>
  <c r="AL216" i="2" s="1"/>
  <c r="K227" i="2"/>
  <c r="M226" i="2"/>
  <c r="AG215" i="2"/>
  <c r="AD216" i="2" s="1"/>
  <c r="S226" i="2"/>
  <c r="U225" i="2"/>
  <c r="AG181" i="2"/>
  <c r="AD182" i="2" s="1"/>
  <c r="O181" i="2"/>
  <c r="P181" i="2" s="1"/>
  <c r="U192" i="2"/>
  <c r="S193" i="2"/>
  <c r="Y182" i="2"/>
  <c r="V183" i="2" s="1"/>
  <c r="AA192" i="2"/>
  <c r="AC191" i="2"/>
  <c r="AI194" i="2"/>
  <c r="AK193" i="2"/>
  <c r="AM182" i="2"/>
  <c r="AN182" i="2" s="1"/>
  <c r="AO182" i="2"/>
  <c r="AL183" i="2" s="1"/>
  <c r="K192" i="2"/>
  <c r="M191" i="2"/>
  <c r="AM115" i="2"/>
  <c r="AN115" i="2" s="1"/>
  <c r="AC121" i="2"/>
  <c r="AA122" i="2"/>
  <c r="M155" i="2"/>
  <c r="K156" i="2"/>
  <c r="U156" i="2"/>
  <c r="S157" i="2"/>
  <c r="AM148" i="2"/>
  <c r="AN148" i="2" s="1"/>
  <c r="AO148" i="2"/>
  <c r="AL149" i="2" s="1"/>
  <c r="AI155" i="2"/>
  <c r="AK154" i="2"/>
  <c r="AI121" i="2"/>
  <c r="AK120" i="2"/>
  <c r="AE115" i="2"/>
  <c r="AF115" i="2" s="1"/>
  <c r="S123" i="2"/>
  <c r="U122" i="2"/>
  <c r="O147" i="2"/>
  <c r="P147" i="2" s="1"/>
  <c r="AE148" i="2"/>
  <c r="AF148" i="2" s="1"/>
  <c r="AA156" i="2"/>
  <c r="AC155" i="2"/>
  <c r="W113" i="2"/>
  <c r="X113" i="2" s="1"/>
  <c r="W149" i="2"/>
  <c r="X149" i="2" s="1"/>
  <c r="O115" i="2"/>
  <c r="P115" i="2" s="1"/>
  <c r="K121" i="2"/>
  <c r="M120" i="2"/>
  <c r="S89" i="2"/>
  <c r="U88" i="2"/>
  <c r="AI90" i="2"/>
  <c r="AK89" i="2"/>
  <c r="Y80" i="2"/>
  <c r="V81" i="2" s="1"/>
  <c r="AE80" i="2"/>
  <c r="AF80" i="2" s="1"/>
  <c r="AA88" i="2"/>
  <c r="AC87" i="2"/>
  <c r="AM79" i="2"/>
  <c r="AN79" i="2" s="1"/>
  <c r="W19" i="2"/>
  <c r="X19" i="2" s="1"/>
  <c r="V20" i="2"/>
  <c r="L53" i="2"/>
  <c r="M53" i="2" s="1"/>
  <c r="K54" i="2"/>
  <c r="AI58" i="2"/>
  <c r="AK57" i="2"/>
  <c r="AM46" i="2"/>
  <c r="AN46" i="2" s="1"/>
  <c r="AC52" i="2"/>
  <c r="AA53" i="2"/>
  <c r="AG46" i="2"/>
  <c r="AD47" i="2" s="1"/>
  <c r="S54" i="2"/>
  <c r="T54" i="2" s="1"/>
  <c r="U53" i="2"/>
  <c r="W46" i="2"/>
  <c r="X46" i="2" s="1"/>
  <c r="M87" i="2"/>
  <c r="K88" i="2"/>
  <c r="L88" i="2" s="1"/>
  <c r="Q79" i="2"/>
  <c r="N80" i="2" s="1"/>
  <c r="Q45" i="2"/>
  <c r="N46" i="2" s="1"/>
  <c r="AB11" i="2"/>
  <c r="Y12" i="2" s="1"/>
  <c r="J195" i="1"/>
  <c r="L194" i="1"/>
  <c r="N185" i="1"/>
  <c r="O185" i="1" s="1"/>
  <c r="L159" i="1"/>
  <c r="J160" i="1"/>
  <c r="N150" i="1"/>
  <c r="O150" i="1" s="1"/>
  <c r="P115" i="1"/>
  <c r="M116" i="1" s="1"/>
  <c r="L125" i="1"/>
  <c r="J126" i="1"/>
  <c r="P81" i="1"/>
  <c r="M82" i="1" s="1"/>
  <c r="N82" i="1" s="1"/>
  <c r="O82" i="1" s="1"/>
  <c r="P82" i="1"/>
  <c r="M83" i="1" s="1"/>
  <c r="J89" i="1"/>
  <c r="L88" i="1"/>
  <c r="N50" i="1"/>
  <c r="O50" i="1" s="1"/>
  <c r="N16" i="1"/>
  <c r="O16" i="1" s="1"/>
  <c r="AG80" i="2" l="1"/>
  <c r="AD81" i="2" s="1"/>
  <c r="M258" i="2"/>
  <c r="K259" i="2"/>
  <c r="O252" i="2"/>
  <c r="P252" i="2" s="1"/>
  <c r="S227" i="2"/>
  <c r="U226" i="2"/>
  <c r="AE216" i="2"/>
  <c r="AF216" i="2" s="1"/>
  <c r="M227" i="2"/>
  <c r="K228" i="2"/>
  <c r="AM216" i="2"/>
  <c r="AN216" i="2" s="1"/>
  <c r="AC226" i="2"/>
  <c r="AA227" i="2"/>
  <c r="O216" i="2"/>
  <c r="P216" i="2" s="1"/>
  <c r="W218" i="2"/>
  <c r="X218" i="2" s="1"/>
  <c r="AI226" i="2"/>
  <c r="AK225" i="2"/>
  <c r="W183" i="2"/>
  <c r="X183" i="2" s="1"/>
  <c r="M192" i="2"/>
  <c r="K193" i="2"/>
  <c r="AE182" i="2"/>
  <c r="AF182" i="2" s="1"/>
  <c r="AG182" i="2"/>
  <c r="AD183" i="2" s="1"/>
  <c r="AM183" i="2"/>
  <c r="AN183" i="2" s="1"/>
  <c r="AI195" i="2"/>
  <c r="AK194" i="2"/>
  <c r="AA193" i="2"/>
  <c r="AC192" i="2"/>
  <c r="U193" i="2"/>
  <c r="S194" i="2"/>
  <c r="Q181" i="2"/>
  <c r="N182" i="2" s="1"/>
  <c r="AG115" i="2"/>
  <c r="AD116" i="2" s="1"/>
  <c r="AE116" i="2"/>
  <c r="AF116" i="2" s="1"/>
  <c r="AC122" i="2"/>
  <c r="AA123" i="2"/>
  <c r="Y149" i="2"/>
  <c r="V150" i="2" s="1"/>
  <c r="Y113" i="2"/>
  <c r="V114" i="2" s="1"/>
  <c r="AI122" i="2"/>
  <c r="AK121" i="2"/>
  <c r="AO115" i="2"/>
  <c r="AL116" i="2" s="1"/>
  <c r="AC156" i="2"/>
  <c r="AA157" i="2"/>
  <c r="AI156" i="2"/>
  <c r="AK155" i="2"/>
  <c r="AM149" i="2"/>
  <c r="AN149" i="2" s="1"/>
  <c r="AO149" i="2"/>
  <c r="AL150" i="2" s="1"/>
  <c r="AG148" i="2"/>
  <c r="AD149" i="2" s="1"/>
  <c r="S158" i="2"/>
  <c r="U157" i="2"/>
  <c r="K122" i="2"/>
  <c r="M121" i="2"/>
  <c r="Q147" i="2"/>
  <c r="N148" i="2" s="1"/>
  <c r="M156" i="2"/>
  <c r="K157" i="2"/>
  <c r="Q115" i="2"/>
  <c r="N116" i="2" s="1"/>
  <c r="S124" i="2"/>
  <c r="U123" i="2"/>
  <c r="U89" i="2"/>
  <c r="S90" i="2"/>
  <c r="AO79" i="2"/>
  <c r="AL80" i="2" s="1"/>
  <c r="AC88" i="2"/>
  <c r="AA89" i="2"/>
  <c r="W81" i="2"/>
  <c r="X81" i="2" s="1"/>
  <c r="AE81" i="2"/>
  <c r="AF81" i="2" s="1"/>
  <c r="AI91" i="2"/>
  <c r="AK90" i="2"/>
  <c r="L54" i="2"/>
  <c r="M54" i="2" s="1"/>
  <c r="K55" i="2"/>
  <c r="W20" i="2"/>
  <c r="X20" i="2" s="1"/>
  <c r="V21" i="2"/>
  <c r="AO46" i="2"/>
  <c r="AL47" i="2" s="1"/>
  <c r="AK58" i="2"/>
  <c r="AI59" i="2"/>
  <c r="AE47" i="2"/>
  <c r="AF47" i="2" s="1"/>
  <c r="AG47" i="2"/>
  <c r="AD48" i="2" s="1"/>
  <c r="AC53" i="2"/>
  <c r="AA54" i="2"/>
  <c r="Y46" i="2"/>
  <c r="V47" i="2" s="1"/>
  <c r="U54" i="2"/>
  <c r="S55" i="2"/>
  <c r="T55" i="2" s="1"/>
  <c r="O80" i="2"/>
  <c r="P80" i="2" s="1"/>
  <c r="K89" i="2"/>
  <c r="L89" i="2" s="1"/>
  <c r="M88" i="2"/>
  <c r="O46" i="2"/>
  <c r="P46" i="2" s="1"/>
  <c r="Z12" i="2"/>
  <c r="AA12" i="2" s="1"/>
  <c r="L195" i="1"/>
  <c r="J196" i="1"/>
  <c r="P185" i="1"/>
  <c r="M186" i="1" s="1"/>
  <c r="P150" i="1"/>
  <c r="M151" i="1" s="1"/>
  <c r="L160" i="1"/>
  <c r="J161" i="1"/>
  <c r="N116" i="1"/>
  <c r="O116" i="1" s="1"/>
  <c r="J127" i="1"/>
  <c r="L126" i="1"/>
  <c r="N83" i="1"/>
  <c r="O83" i="1" s="1"/>
  <c r="L89" i="1"/>
  <c r="J90" i="1"/>
  <c r="P50" i="1"/>
  <c r="M51" i="1" s="1"/>
  <c r="P16" i="1"/>
  <c r="M17" i="1" s="1"/>
  <c r="P17" i="1" s="1"/>
  <c r="M18" i="1" s="1"/>
  <c r="N17" i="1"/>
  <c r="O17" i="1" s="1"/>
  <c r="AG81" i="2" l="1"/>
  <c r="AD82" i="2" s="1"/>
  <c r="Q252" i="2"/>
  <c r="N253" i="2" s="1"/>
  <c r="K260" i="2"/>
  <c r="M259" i="2"/>
  <c r="AG216" i="2"/>
  <c r="AD217" i="2" s="1"/>
  <c r="AE217" i="2" s="1"/>
  <c r="AF217" i="2" s="1"/>
  <c r="Y218" i="2"/>
  <c r="V219" i="2" s="1"/>
  <c r="W219" i="2" s="1"/>
  <c r="X219" i="2" s="1"/>
  <c r="Q216" i="2"/>
  <c r="N217" i="2" s="1"/>
  <c r="AA228" i="2"/>
  <c r="AC227" i="2"/>
  <c r="AO216" i="2"/>
  <c r="AL217" i="2" s="1"/>
  <c r="K229" i="2"/>
  <c r="M228" i="2"/>
  <c r="AK226" i="2"/>
  <c r="AI227" i="2"/>
  <c r="S228" i="2"/>
  <c r="U227" i="2"/>
  <c r="AC193" i="2"/>
  <c r="AA194" i="2"/>
  <c r="AI196" i="2"/>
  <c r="AK195" i="2"/>
  <c r="AO183" i="2"/>
  <c r="AL184" i="2" s="1"/>
  <c r="S195" i="2"/>
  <c r="U194" i="2"/>
  <c r="AE183" i="2"/>
  <c r="AF183" i="2" s="1"/>
  <c r="K194" i="2"/>
  <c r="M193" i="2"/>
  <c r="O182" i="2"/>
  <c r="P182" i="2" s="1"/>
  <c r="Y183" i="2"/>
  <c r="V184" i="2" s="1"/>
  <c r="O116" i="2"/>
  <c r="P116" i="2" s="1"/>
  <c r="AM116" i="2"/>
  <c r="AN116" i="2" s="1"/>
  <c r="M122" i="2"/>
  <c r="K123" i="2"/>
  <c r="O148" i="2"/>
  <c r="P148" i="2" s="1"/>
  <c r="AI123" i="2"/>
  <c r="AK122" i="2"/>
  <c r="AI157" i="2"/>
  <c r="AK156" i="2"/>
  <c r="K158" i="2"/>
  <c r="M157" i="2"/>
  <c r="AA158" i="2"/>
  <c r="AC157" i="2"/>
  <c r="W114" i="2"/>
  <c r="X114" i="2" s="1"/>
  <c r="U158" i="2"/>
  <c r="S159" i="2"/>
  <c r="W150" i="2"/>
  <c r="X150" i="2" s="1"/>
  <c r="AE149" i="2"/>
  <c r="AF149" i="2" s="1"/>
  <c r="AC123" i="2"/>
  <c r="AA124" i="2"/>
  <c r="AM150" i="2"/>
  <c r="AN150" i="2" s="1"/>
  <c r="S125" i="2"/>
  <c r="U124" i="2"/>
  <c r="AG116" i="2"/>
  <c r="AD117" i="2" s="1"/>
  <c r="Y81" i="2"/>
  <c r="V82" i="2" s="1"/>
  <c r="AI92" i="2"/>
  <c r="AK91" i="2"/>
  <c r="AE82" i="2"/>
  <c r="AF82" i="2" s="1"/>
  <c r="W82" i="2"/>
  <c r="X82" i="2" s="1"/>
  <c r="AC89" i="2"/>
  <c r="AA90" i="2"/>
  <c r="AM80" i="2"/>
  <c r="AN80" i="2" s="1"/>
  <c r="U90" i="2"/>
  <c r="S91" i="2"/>
  <c r="W21" i="2"/>
  <c r="X21" i="2" s="1"/>
  <c r="V22" i="2"/>
  <c r="L55" i="2"/>
  <c r="M55" i="2" s="1"/>
  <c r="K56" i="2"/>
  <c r="AM47" i="2"/>
  <c r="AN47" i="2" s="1"/>
  <c r="AI60" i="2"/>
  <c r="AK59" i="2"/>
  <c r="AC54" i="2"/>
  <c r="AA55" i="2"/>
  <c r="AE48" i="2"/>
  <c r="AF48" i="2" s="1"/>
  <c r="S56" i="2"/>
  <c r="T56" i="2" s="1"/>
  <c r="U55" i="2"/>
  <c r="W47" i="2"/>
  <c r="X47" i="2" s="1"/>
  <c r="K90" i="2"/>
  <c r="L90" i="2" s="1"/>
  <c r="M89" i="2"/>
  <c r="Q80" i="2"/>
  <c r="N81" i="2" s="1"/>
  <c r="Q46" i="2"/>
  <c r="N47" i="2" s="1"/>
  <c r="O47" i="2"/>
  <c r="P47" i="2" s="1"/>
  <c r="AB12" i="2"/>
  <c r="Y13" i="2" s="1"/>
  <c r="N186" i="1"/>
  <c r="O186" i="1" s="1"/>
  <c r="J197" i="1"/>
  <c r="L196" i="1"/>
  <c r="N151" i="1"/>
  <c r="O151" i="1" s="1"/>
  <c r="J162" i="1"/>
  <c r="L161" i="1"/>
  <c r="P116" i="1"/>
  <c r="M117" i="1" s="1"/>
  <c r="L127" i="1"/>
  <c r="J128" i="1"/>
  <c r="N117" i="1"/>
  <c r="O117" i="1" s="1"/>
  <c r="J91" i="1"/>
  <c r="L90" i="1"/>
  <c r="P83" i="1"/>
  <c r="M84" i="1" s="1"/>
  <c r="N51" i="1"/>
  <c r="O51" i="1" s="1"/>
  <c r="N18" i="1"/>
  <c r="O18" i="1" s="1"/>
  <c r="P18" i="1"/>
  <c r="M19" i="1" s="1"/>
  <c r="K261" i="2" l="1"/>
  <c r="M260" i="2"/>
  <c r="O253" i="2"/>
  <c r="P253" i="2" s="1"/>
  <c r="AG217" i="2"/>
  <c r="AD218" i="2" s="1"/>
  <c r="Y219" i="2"/>
  <c r="V220" i="2" s="1"/>
  <c r="AK227" i="2"/>
  <c r="AI228" i="2"/>
  <c r="M229" i="2"/>
  <c r="K230" i="2"/>
  <c r="AM217" i="2"/>
  <c r="AN217" i="2" s="1"/>
  <c r="AA229" i="2"/>
  <c r="AC228" i="2"/>
  <c r="U228" i="2"/>
  <c r="S229" i="2"/>
  <c r="O217" i="2"/>
  <c r="P217" i="2" s="1"/>
  <c r="Q182" i="2"/>
  <c r="N183" i="2" s="1"/>
  <c r="M194" i="2"/>
  <c r="K195" i="2"/>
  <c r="S196" i="2"/>
  <c r="U195" i="2"/>
  <c r="AI197" i="2"/>
  <c r="AK196" i="2"/>
  <c r="AG183" i="2"/>
  <c r="AD184" i="2" s="1"/>
  <c r="AM184" i="2"/>
  <c r="AN184" i="2" s="1"/>
  <c r="W184" i="2"/>
  <c r="X184" i="2" s="1"/>
  <c r="AC194" i="2"/>
  <c r="AA195" i="2"/>
  <c r="AO150" i="2"/>
  <c r="AL151" i="2" s="1"/>
  <c r="AM151" i="2" s="1"/>
  <c r="AN151" i="2" s="1"/>
  <c r="AG149" i="2"/>
  <c r="AD150" i="2" s="1"/>
  <c r="AI124" i="2"/>
  <c r="AK123" i="2"/>
  <c r="Q148" i="2"/>
  <c r="N149" i="2" s="1"/>
  <c r="AK157" i="2"/>
  <c r="AI158" i="2"/>
  <c r="AE117" i="2"/>
  <c r="AF117" i="2" s="1"/>
  <c r="K124" i="2"/>
  <c r="M123" i="2"/>
  <c r="U125" i="2"/>
  <c r="S126" i="2"/>
  <c r="Y114" i="2"/>
  <c r="V115" i="2" s="1"/>
  <c r="S160" i="2"/>
  <c r="U159" i="2"/>
  <c r="AO116" i="2"/>
  <c r="AL117" i="2" s="1"/>
  <c r="AC158" i="2"/>
  <c r="AA159" i="2"/>
  <c r="AA125" i="2"/>
  <c r="AC124" i="2"/>
  <c r="Y150" i="2"/>
  <c r="V151" i="2" s="1"/>
  <c r="M158" i="2"/>
  <c r="K159" i="2"/>
  <c r="Q116" i="2"/>
  <c r="N117" i="2" s="1"/>
  <c r="AG82" i="2"/>
  <c r="AD83" i="2" s="1"/>
  <c r="AE83" i="2" s="1"/>
  <c r="AF83" i="2" s="1"/>
  <c r="AI93" i="2"/>
  <c r="AK92" i="2"/>
  <c r="AO80" i="2"/>
  <c r="AL81" i="2" s="1"/>
  <c r="Y82" i="2"/>
  <c r="V83" i="2" s="1"/>
  <c r="U91" i="2"/>
  <c r="S92" i="2"/>
  <c r="AA91" i="2"/>
  <c r="AC90" i="2"/>
  <c r="L56" i="2"/>
  <c r="M56" i="2" s="1"/>
  <c r="K57" i="2"/>
  <c r="W22" i="2"/>
  <c r="X22" i="2" s="1"/>
  <c r="V23" i="2"/>
  <c r="AO47" i="2"/>
  <c r="AL48" i="2" s="1"/>
  <c r="AK60" i="2"/>
  <c r="AI61" i="2"/>
  <c r="AA56" i="2"/>
  <c r="AC55" i="2"/>
  <c r="AG48" i="2"/>
  <c r="AD49" i="2" s="1"/>
  <c r="Y47" i="2"/>
  <c r="V48" i="2" s="1"/>
  <c r="U56" i="2"/>
  <c r="S57" i="2"/>
  <c r="T57" i="2" s="1"/>
  <c r="O81" i="2"/>
  <c r="P81" i="2" s="1"/>
  <c r="M90" i="2"/>
  <c r="K91" i="2"/>
  <c r="L91" i="2" s="1"/>
  <c r="Q47" i="2"/>
  <c r="N48" i="2" s="1"/>
  <c r="Z13" i="2"/>
  <c r="AA13" i="2" s="1"/>
  <c r="P186" i="1"/>
  <c r="M187" i="1" s="1"/>
  <c r="N187" i="1" s="1"/>
  <c r="O187" i="1" s="1"/>
  <c r="L197" i="1"/>
  <c r="J198" i="1"/>
  <c r="P151" i="1"/>
  <c r="M152" i="1" s="1"/>
  <c r="L162" i="1"/>
  <c r="J163" i="1"/>
  <c r="P117" i="1"/>
  <c r="M118" i="1" s="1"/>
  <c r="J129" i="1"/>
  <c r="L128" i="1"/>
  <c r="J92" i="1"/>
  <c r="L91" i="1"/>
  <c r="N84" i="1"/>
  <c r="O84" i="1" s="1"/>
  <c r="P51" i="1"/>
  <c r="M52" i="1" s="1"/>
  <c r="N19" i="1"/>
  <c r="O19" i="1" s="1"/>
  <c r="P19" i="1"/>
  <c r="M20" i="1" s="1"/>
  <c r="Q253" i="2" l="1"/>
  <c r="N254" i="2" s="1"/>
  <c r="O254" i="2" s="1"/>
  <c r="P254" i="2" s="1"/>
  <c r="M261" i="2"/>
  <c r="K262" i="2"/>
  <c r="S230" i="2"/>
  <c r="U229" i="2"/>
  <c r="AC229" i="2"/>
  <c r="AA230" i="2"/>
  <c r="AO217" i="2"/>
  <c r="AL218" i="2" s="1"/>
  <c r="M230" i="2"/>
  <c r="K231" i="2"/>
  <c r="AK228" i="2"/>
  <c r="AI229" i="2"/>
  <c r="W220" i="2"/>
  <c r="X220" i="2" s="1"/>
  <c r="Q217" i="2"/>
  <c r="N218" i="2" s="1"/>
  <c r="AE218" i="2"/>
  <c r="AF218" i="2" s="1"/>
  <c r="AG218" i="2"/>
  <c r="AD219" i="2" s="1"/>
  <c r="Y184" i="2"/>
  <c r="V185" i="2" s="1"/>
  <c r="W185" i="2" s="1"/>
  <c r="X185" i="2" s="1"/>
  <c r="O183" i="2"/>
  <c r="P183" i="2" s="1"/>
  <c r="AE184" i="2"/>
  <c r="AF184" i="2" s="1"/>
  <c r="AG184" i="2"/>
  <c r="AD185" i="2" s="1"/>
  <c r="AA196" i="2"/>
  <c r="AC195" i="2"/>
  <c r="AO184" i="2"/>
  <c r="AL185" i="2" s="1"/>
  <c r="AK197" i="2"/>
  <c r="AI198" i="2"/>
  <c r="S197" i="2"/>
  <c r="U196" i="2"/>
  <c r="K196" i="2"/>
  <c r="M195" i="2"/>
  <c r="AG117" i="2"/>
  <c r="AD118" i="2" s="1"/>
  <c r="AE118" i="2" s="1"/>
  <c r="AF118" i="2" s="1"/>
  <c r="K125" i="2"/>
  <c r="M124" i="2"/>
  <c r="AC159" i="2"/>
  <c r="AA160" i="2"/>
  <c r="S127" i="2"/>
  <c r="U126" i="2"/>
  <c r="W151" i="2"/>
  <c r="X151" i="2" s="1"/>
  <c r="Y151" i="2"/>
  <c r="V152" i="2" s="1"/>
  <c r="AC125" i="2"/>
  <c r="AA126" i="2"/>
  <c r="AM117" i="2"/>
  <c r="AN117" i="2" s="1"/>
  <c r="O149" i="2"/>
  <c r="P149" i="2" s="1"/>
  <c r="AI159" i="2"/>
  <c r="AK158" i="2"/>
  <c r="S161" i="2"/>
  <c r="U160" i="2"/>
  <c r="AK124" i="2"/>
  <c r="AI125" i="2"/>
  <c r="AO151" i="2"/>
  <c r="AL152" i="2" s="1"/>
  <c r="O117" i="2"/>
  <c r="P117" i="2" s="1"/>
  <c r="M159" i="2"/>
  <c r="K160" i="2"/>
  <c r="W115" i="2"/>
  <c r="X115" i="2" s="1"/>
  <c r="AE150" i="2"/>
  <c r="AF150" i="2" s="1"/>
  <c r="AG150" i="2"/>
  <c r="AD151" i="2" s="1"/>
  <c r="AI94" i="2"/>
  <c r="AK93" i="2"/>
  <c r="AA92" i="2"/>
  <c r="AC91" i="2"/>
  <c r="S93" i="2"/>
  <c r="U92" i="2"/>
  <c r="AG83" i="2"/>
  <c r="AD84" i="2" s="1"/>
  <c r="W83" i="2"/>
  <c r="X83" i="2" s="1"/>
  <c r="Y83" i="2"/>
  <c r="V84" i="2" s="1"/>
  <c r="AM81" i="2"/>
  <c r="AN81" i="2" s="1"/>
  <c r="W23" i="2"/>
  <c r="X23" i="2" s="1"/>
  <c r="V24" i="2"/>
  <c r="L57" i="2"/>
  <c r="M57" i="2" s="1"/>
  <c r="K58" i="2"/>
  <c r="AM48" i="2"/>
  <c r="AN48" i="2" s="1"/>
  <c r="AK61" i="2"/>
  <c r="AI62" i="2"/>
  <c r="AC56" i="2"/>
  <c r="AA57" i="2"/>
  <c r="AE49" i="2"/>
  <c r="AF49" i="2" s="1"/>
  <c r="AG49" i="2"/>
  <c r="AD50" i="2" s="1"/>
  <c r="S58" i="2"/>
  <c r="T58" i="2" s="1"/>
  <c r="U57" i="2"/>
  <c r="W48" i="2"/>
  <c r="X48" i="2" s="1"/>
  <c r="K92" i="2"/>
  <c r="L92" i="2" s="1"/>
  <c r="M91" i="2"/>
  <c r="Q81" i="2"/>
  <c r="N82" i="2" s="1"/>
  <c r="O48" i="2"/>
  <c r="P48" i="2" s="1"/>
  <c r="AB13" i="2"/>
  <c r="Y14" i="2" s="1"/>
  <c r="P187" i="1"/>
  <c r="M188" i="1" s="1"/>
  <c r="J199" i="1"/>
  <c r="L198" i="1"/>
  <c r="J164" i="1"/>
  <c r="L163" i="1"/>
  <c r="N152" i="1"/>
  <c r="O152" i="1" s="1"/>
  <c r="L129" i="1"/>
  <c r="J130" i="1"/>
  <c r="N118" i="1"/>
  <c r="O118" i="1" s="1"/>
  <c r="L92" i="1"/>
  <c r="J93" i="1"/>
  <c r="P84" i="1"/>
  <c r="M85" i="1" s="1"/>
  <c r="N52" i="1"/>
  <c r="O52" i="1" s="1"/>
  <c r="N20" i="1"/>
  <c r="O20" i="1" s="1"/>
  <c r="P20" i="1"/>
  <c r="M21" i="1" s="1"/>
  <c r="M262" i="2" l="1"/>
  <c r="K263" i="2"/>
  <c r="Q254" i="2"/>
  <c r="N255" i="2" s="1"/>
  <c r="O218" i="2"/>
  <c r="P218" i="2" s="1"/>
  <c r="Q218" i="2"/>
  <c r="N219" i="2" s="1"/>
  <c r="AI230" i="2"/>
  <c r="AK229" i="2"/>
  <c r="Y220" i="2"/>
  <c r="V221" i="2" s="1"/>
  <c r="M231" i="2"/>
  <c r="K232" i="2"/>
  <c r="AM218" i="2"/>
  <c r="AN218" i="2" s="1"/>
  <c r="AC230" i="2"/>
  <c r="AA231" i="2"/>
  <c r="AE219" i="2"/>
  <c r="AF219" i="2" s="1"/>
  <c r="S231" i="2"/>
  <c r="U230" i="2"/>
  <c r="Y185" i="2"/>
  <c r="V186" i="2" s="1"/>
  <c r="Q183" i="2"/>
  <c r="N184" i="2" s="1"/>
  <c r="O184" i="2" s="1"/>
  <c r="P184" i="2" s="1"/>
  <c r="S198" i="2"/>
  <c r="U197" i="2"/>
  <c r="AK198" i="2"/>
  <c r="AI199" i="2"/>
  <c r="AM185" i="2"/>
  <c r="AN185" i="2" s="1"/>
  <c r="AC196" i="2"/>
  <c r="AA197" i="2"/>
  <c r="AE185" i="2"/>
  <c r="AF185" i="2" s="1"/>
  <c r="K197" i="2"/>
  <c r="M196" i="2"/>
  <c r="W186" i="2"/>
  <c r="X186" i="2" s="1"/>
  <c r="AO117" i="2"/>
  <c r="AL118" i="2" s="1"/>
  <c r="AG118" i="2"/>
  <c r="AD119" i="2" s="1"/>
  <c r="Y115" i="2"/>
  <c r="V116" i="2" s="1"/>
  <c r="W116" i="2" s="1"/>
  <c r="X116" i="2" s="1"/>
  <c r="Q117" i="2"/>
  <c r="N118" i="2" s="1"/>
  <c r="AM152" i="2"/>
  <c r="AN152" i="2" s="1"/>
  <c r="AI126" i="2"/>
  <c r="AK125" i="2"/>
  <c r="AE151" i="2"/>
  <c r="AF151" i="2" s="1"/>
  <c r="U161" i="2"/>
  <c r="S162" i="2"/>
  <c r="AI160" i="2"/>
  <c r="AK159" i="2"/>
  <c r="S128" i="2"/>
  <c r="U127" i="2"/>
  <c r="Q149" i="2"/>
  <c r="N150" i="2" s="1"/>
  <c r="AE119" i="2"/>
  <c r="AF119" i="2" s="1"/>
  <c r="AA127" i="2"/>
  <c r="AC126" i="2"/>
  <c r="W152" i="2"/>
  <c r="X152" i="2" s="1"/>
  <c r="AA161" i="2"/>
  <c r="AC160" i="2"/>
  <c r="K161" i="2"/>
  <c r="M160" i="2"/>
  <c r="AM118" i="2"/>
  <c r="AN118" i="2" s="1"/>
  <c r="M125" i="2"/>
  <c r="K126" i="2"/>
  <c r="AI95" i="2"/>
  <c r="AK94" i="2"/>
  <c r="AO81" i="2"/>
  <c r="AL82" i="2" s="1"/>
  <c r="AE84" i="2"/>
  <c r="AF84" i="2" s="1"/>
  <c r="S94" i="2"/>
  <c r="U93" i="2"/>
  <c r="AC92" i="2"/>
  <c r="AA93" i="2"/>
  <c r="W84" i="2"/>
  <c r="X84" i="2" s="1"/>
  <c r="Y84" i="2"/>
  <c r="V85" i="2" s="1"/>
  <c r="AO48" i="2"/>
  <c r="AL49" i="2" s="1"/>
  <c r="L58" i="2"/>
  <c r="M58" i="2" s="1"/>
  <c r="K59" i="2"/>
  <c r="W24" i="2"/>
  <c r="X24" i="2" s="1"/>
  <c r="V25" i="2"/>
  <c r="AI63" i="2"/>
  <c r="AK62" i="2"/>
  <c r="AM49" i="2"/>
  <c r="AN49" i="2" s="1"/>
  <c r="AO49" i="2"/>
  <c r="AL50" i="2" s="1"/>
  <c r="AE50" i="2"/>
  <c r="AF50" i="2" s="1"/>
  <c r="AA58" i="2"/>
  <c r="AC57" i="2"/>
  <c r="Y48" i="2"/>
  <c r="V49" i="2" s="1"/>
  <c r="U58" i="2"/>
  <c r="S59" i="2"/>
  <c r="T59" i="2" s="1"/>
  <c r="O82" i="2"/>
  <c r="P82" i="2" s="1"/>
  <c r="Q82" i="2"/>
  <c r="N83" i="2" s="1"/>
  <c r="M92" i="2"/>
  <c r="K93" i="2"/>
  <c r="L93" i="2" s="1"/>
  <c r="Q48" i="2"/>
  <c r="N49" i="2" s="1"/>
  <c r="Z14" i="2"/>
  <c r="AA14" i="2" s="1"/>
  <c r="J200" i="1"/>
  <c r="L199" i="1"/>
  <c r="N188" i="1"/>
  <c r="O188" i="1" s="1"/>
  <c r="P152" i="1"/>
  <c r="M153" i="1" s="1"/>
  <c r="L164" i="1"/>
  <c r="J165" i="1"/>
  <c r="P118" i="1"/>
  <c r="M119" i="1" s="1"/>
  <c r="J131" i="1"/>
  <c r="L130" i="1"/>
  <c r="N85" i="1"/>
  <c r="O85" i="1" s="1"/>
  <c r="J94" i="1"/>
  <c r="L93" i="1"/>
  <c r="P52" i="1"/>
  <c r="M53" i="1" s="1"/>
  <c r="N21" i="1"/>
  <c r="O21" i="1" s="1"/>
  <c r="P21" i="1"/>
  <c r="M22" i="1" s="1"/>
  <c r="AG84" i="2" l="1"/>
  <c r="AD85" i="2" s="1"/>
  <c r="O255" i="2"/>
  <c r="P255" i="2" s="1"/>
  <c r="K264" i="2"/>
  <c r="M263" i="2"/>
  <c r="AG219" i="2"/>
  <c r="AD220" i="2" s="1"/>
  <c r="AE220" i="2" s="1"/>
  <c r="AF220" i="2" s="1"/>
  <c r="AO218" i="2"/>
  <c r="AL219" i="2" s="1"/>
  <c r="AA232" i="2"/>
  <c r="AC231" i="2"/>
  <c r="K233" i="2"/>
  <c r="M232" i="2"/>
  <c r="W221" i="2"/>
  <c r="X221" i="2" s="1"/>
  <c r="Y221" i="2"/>
  <c r="V222" i="2" s="1"/>
  <c r="AK230" i="2"/>
  <c r="AI231" i="2"/>
  <c r="U231" i="2"/>
  <c r="S232" i="2"/>
  <c r="O219" i="2"/>
  <c r="P219" i="2" s="1"/>
  <c r="Q184" i="2"/>
  <c r="N185" i="2" s="1"/>
  <c r="O185" i="2" s="1"/>
  <c r="Y186" i="2"/>
  <c r="V187" i="2" s="1"/>
  <c r="W187" i="2" s="1"/>
  <c r="X187" i="2" s="1"/>
  <c r="K198" i="2"/>
  <c r="M197" i="2"/>
  <c r="AG185" i="2"/>
  <c r="AD186" i="2" s="1"/>
  <c r="AA198" i="2"/>
  <c r="AC197" i="2"/>
  <c r="AO185" i="2"/>
  <c r="AL186" i="2" s="1"/>
  <c r="AK199" i="2"/>
  <c r="AI200" i="2"/>
  <c r="U198" i="2"/>
  <c r="S199" i="2"/>
  <c r="AO118" i="2"/>
  <c r="AL119" i="2" s="1"/>
  <c r="O118" i="2"/>
  <c r="P118" i="2" s="1"/>
  <c r="Y116" i="2"/>
  <c r="V117" i="2" s="1"/>
  <c r="AK160" i="2"/>
  <c r="AI161" i="2"/>
  <c r="Y152" i="2"/>
  <c r="V153" i="2" s="1"/>
  <c r="U162" i="2"/>
  <c r="S163" i="2"/>
  <c r="K127" i="2"/>
  <c r="M126" i="2"/>
  <c r="AA162" i="2"/>
  <c r="AC161" i="2"/>
  <c r="U128" i="2"/>
  <c r="S129" i="2"/>
  <c r="AA128" i="2"/>
  <c r="AC127" i="2"/>
  <c r="AG119" i="2"/>
  <c r="AD120" i="2" s="1"/>
  <c r="O150" i="2"/>
  <c r="P150" i="2" s="1"/>
  <c r="AK126" i="2"/>
  <c r="AI127" i="2"/>
  <c r="AM119" i="2"/>
  <c r="AN119" i="2" s="1"/>
  <c r="AG151" i="2"/>
  <c r="AD152" i="2" s="1"/>
  <c r="M161" i="2"/>
  <c r="K162" i="2"/>
  <c r="AO152" i="2"/>
  <c r="AL153" i="2" s="1"/>
  <c r="W85" i="2"/>
  <c r="X85" i="2" s="1"/>
  <c r="AC93" i="2"/>
  <c r="AA94" i="2"/>
  <c r="U94" i="2"/>
  <c r="S95" i="2"/>
  <c r="AE85" i="2"/>
  <c r="AF85" i="2" s="1"/>
  <c r="AM82" i="2"/>
  <c r="AN82" i="2" s="1"/>
  <c r="AK95" i="2"/>
  <c r="AI96" i="2"/>
  <c r="W25" i="2"/>
  <c r="X25" i="2" s="1"/>
  <c r="V26" i="2"/>
  <c r="L59" i="2"/>
  <c r="M59" i="2" s="1"/>
  <c r="K60" i="2"/>
  <c r="AK63" i="2"/>
  <c r="AI64" i="2"/>
  <c r="AM50" i="2"/>
  <c r="AN50" i="2" s="1"/>
  <c r="AA59" i="2"/>
  <c r="AC58" i="2"/>
  <c r="AG50" i="2"/>
  <c r="AD51" i="2" s="1"/>
  <c r="U59" i="2"/>
  <c r="S60" i="2"/>
  <c r="T60" i="2" s="1"/>
  <c r="W49" i="2"/>
  <c r="X49" i="2" s="1"/>
  <c r="K94" i="2"/>
  <c r="L94" i="2" s="1"/>
  <c r="M93" i="2"/>
  <c r="O83" i="2"/>
  <c r="P83" i="2" s="1"/>
  <c r="O49" i="2"/>
  <c r="P49" i="2" s="1"/>
  <c r="AB14" i="2"/>
  <c r="Y15" i="2" s="1"/>
  <c r="P188" i="1"/>
  <c r="M189" i="1" s="1"/>
  <c r="L200" i="1"/>
  <c r="J201" i="1"/>
  <c r="N153" i="1"/>
  <c r="O153" i="1" s="1"/>
  <c r="J166" i="1"/>
  <c r="L165" i="1"/>
  <c r="J132" i="1"/>
  <c r="L131" i="1"/>
  <c r="N119" i="1"/>
  <c r="O119" i="1" s="1"/>
  <c r="L94" i="1"/>
  <c r="J95" i="1"/>
  <c r="P85" i="1"/>
  <c r="M86" i="1" s="1"/>
  <c r="N53" i="1"/>
  <c r="O53" i="1" s="1"/>
  <c r="N22" i="1"/>
  <c r="O22" i="1" s="1"/>
  <c r="P22" i="1"/>
  <c r="M23" i="1" s="1"/>
  <c r="AG85" i="2" l="1"/>
  <c r="AD86" i="2" s="1"/>
  <c r="K265" i="2"/>
  <c r="M264" i="2"/>
  <c r="Q255" i="2"/>
  <c r="N256" i="2" s="1"/>
  <c r="AK231" i="2"/>
  <c r="AI232" i="2"/>
  <c r="W222" i="2"/>
  <c r="X222" i="2" s="1"/>
  <c r="M233" i="2"/>
  <c r="K234" i="2"/>
  <c r="AC232" i="2"/>
  <c r="AA233" i="2"/>
  <c r="Q219" i="2"/>
  <c r="N220" i="2" s="1"/>
  <c r="AG220" i="2"/>
  <c r="AD221" i="2" s="1"/>
  <c r="U232" i="2"/>
  <c r="S233" i="2"/>
  <c r="AM219" i="2"/>
  <c r="AN219" i="2" s="1"/>
  <c r="P185" i="2"/>
  <c r="Q185" i="2"/>
  <c r="N186" i="2" s="1"/>
  <c r="O186" i="2" s="1"/>
  <c r="P186" i="2" s="1"/>
  <c r="AK200" i="2"/>
  <c r="AI201" i="2"/>
  <c r="M198" i="2"/>
  <c r="K199" i="2"/>
  <c r="U199" i="2"/>
  <c r="S200" i="2"/>
  <c r="Y187" i="2"/>
  <c r="V188" i="2" s="1"/>
  <c r="AM186" i="2"/>
  <c r="AN186" i="2" s="1"/>
  <c r="AO186" i="2"/>
  <c r="AL187" i="2" s="1"/>
  <c r="AA199" i="2"/>
  <c r="AC198" i="2"/>
  <c r="AE186" i="2"/>
  <c r="AF186" i="2" s="1"/>
  <c r="AG186" i="2"/>
  <c r="AD187" i="2" s="1"/>
  <c r="Q118" i="2"/>
  <c r="N119" i="2" s="1"/>
  <c r="O119" i="2" s="1"/>
  <c r="P119" i="2" s="1"/>
  <c r="AK127" i="2"/>
  <c r="AI128" i="2"/>
  <c r="K128" i="2"/>
  <c r="M127" i="2"/>
  <c r="S164" i="2"/>
  <c r="U163" i="2"/>
  <c r="M162" i="2"/>
  <c r="K163" i="2"/>
  <c r="W117" i="2"/>
  <c r="X117" i="2" s="1"/>
  <c r="S130" i="2"/>
  <c r="U129" i="2"/>
  <c r="AE152" i="2"/>
  <c r="AF152" i="2" s="1"/>
  <c r="Q119" i="2"/>
  <c r="N120" i="2" s="1"/>
  <c r="Q150" i="2"/>
  <c r="N151" i="2" s="1"/>
  <c r="W153" i="2"/>
  <c r="X153" i="2" s="1"/>
  <c r="AA129" i="2"/>
  <c r="AC128" i="2"/>
  <c r="AO119" i="2"/>
  <c r="AL120" i="2" s="1"/>
  <c r="AC162" i="2"/>
  <c r="AA163" i="2"/>
  <c r="AM153" i="2"/>
  <c r="AN153" i="2" s="1"/>
  <c r="AE120" i="2"/>
  <c r="AF120" i="2" s="1"/>
  <c r="AI162" i="2"/>
  <c r="AK161" i="2"/>
  <c r="AK96" i="2"/>
  <c r="AI97" i="2"/>
  <c r="AO82" i="2"/>
  <c r="AL83" i="2" s="1"/>
  <c r="AC94" i="2"/>
  <c r="AA95" i="2"/>
  <c r="AE86" i="2"/>
  <c r="AF86" i="2" s="1"/>
  <c r="U95" i="2"/>
  <c r="S96" i="2"/>
  <c r="Y85" i="2"/>
  <c r="V86" i="2" s="1"/>
  <c r="AO50" i="2"/>
  <c r="AL51" i="2" s="1"/>
  <c r="AM51" i="2" s="1"/>
  <c r="AN51" i="2" s="1"/>
  <c r="L60" i="2"/>
  <c r="M60" i="2" s="1"/>
  <c r="K61" i="2"/>
  <c r="W26" i="2"/>
  <c r="X26" i="2" s="1"/>
  <c r="V27" i="2"/>
  <c r="AI65" i="2"/>
  <c r="AK64" i="2"/>
  <c r="AE51" i="2"/>
  <c r="AF51" i="2" s="1"/>
  <c r="AA60" i="2"/>
  <c r="AC59" i="2"/>
  <c r="Y49" i="2"/>
  <c r="V50" i="2" s="1"/>
  <c r="W50" i="2" s="1"/>
  <c r="X50" i="2" s="1"/>
  <c r="S61" i="2"/>
  <c r="T61" i="2" s="1"/>
  <c r="U60" i="2"/>
  <c r="Q83" i="2"/>
  <c r="N84" i="2" s="1"/>
  <c r="M94" i="2"/>
  <c r="K95" i="2"/>
  <c r="L95" i="2" s="1"/>
  <c r="Q49" i="2"/>
  <c r="N50" i="2" s="1"/>
  <c r="Z15" i="2"/>
  <c r="AA15" i="2" s="1"/>
  <c r="J202" i="1"/>
  <c r="L201" i="1"/>
  <c r="N189" i="1"/>
  <c r="O189" i="1" s="1"/>
  <c r="P153" i="1"/>
  <c r="M154" i="1" s="1"/>
  <c r="L166" i="1"/>
  <c r="J167" i="1"/>
  <c r="P119" i="1"/>
  <c r="M120" i="1" s="1"/>
  <c r="L132" i="1"/>
  <c r="J133" i="1"/>
  <c r="N86" i="1"/>
  <c r="O86" i="1" s="1"/>
  <c r="J96" i="1"/>
  <c r="L95" i="1"/>
  <c r="P53" i="1"/>
  <c r="M54" i="1" s="1"/>
  <c r="N23" i="1"/>
  <c r="O23" i="1" s="1"/>
  <c r="O256" i="2" l="1"/>
  <c r="P256" i="2" s="1"/>
  <c r="M265" i="2"/>
  <c r="K266" i="2"/>
  <c r="S234" i="2"/>
  <c r="U233" i="2"/>
  <c r="AE221" i="2"/>
  <c r="AF221" i="2" s="1"/>
  <c r="O220" i="2"/>
  <c r="P220" i="2" s="1"/>
  <c r="AC233" i="2"/>
  <c r="AA234" i="2"/>
  <c r="K235" i="2"/>
  <c r="M234" i="2"/>
  <c r="Y222" i="2"/>
  <c r="V223" i="2" s="1"/>
  <c r="AK232" i="2"/>
  <c r="AI233" i="2"/>
  <c r="AO219" i="2"/>
  <c r="AL220" i="2" s="1"/>
  <c r="Q186" i="2"/>
  <c r="N187" i="2" s="1"/>
  <c r="O187" i="2" s="1"/>
  <c r="P187" i="2" s="1"/>
  <c r="K200" i="2"/>
  <c r="M199" i="2"/>
  <c r="AC199" i="2"/>
  <c r="AA200" i="2"/>
  <c r="AM187" i="2"/>
  <c r="AN187" i="2" s="1"/>
  <c r="W188" i="2"/>
  <c r="X188" i="2" s="1"/>
  <c r="Y188" i="2"/>
  <c r="V189" i="2" s="1"/>
  <c r="S201" i="2"/>
  <c r="U200" i="2"/>
  <c r="AI202" i="2"/>
  <c r="AK202" i="2" s="1"/>
  <c r="AK201" i="2"/>
  <c r="AE187" i="2"/>
  <c r="AF187" i="2" s="1"/>
  <c r="AG120" i="2"/>
  <c r="AD121" i="2" s="1"/>
  <c r="AE121" i="2"/>
  <c r="AF121" i="2" s="1"/>
  <c r="AI129" i="2"/>
  <c r="AK128" i="2"/>
  <c r="AO153" i="2"/>
  <c r="AL154" i="2" s="1"/>
  <c r="AA164" i="2"/>
  <c r="AC163" i="2"/>
  <c r="AM120" i="2"/>
  <c r="AN120" i="2" s="1"/>
  <c r="S131" i="2"/>
  <c r="U130" i="2"/>
  <c r="AC129" i="2"/>
  <c r="AA130" i="2"/>
  <c r="Y117" i="2"/>
  <c r="V118" i="2" s="1"/>
  <c r="M163" i="2"/>
  <c r="K164" i="2"/>
  <c r="O151" i="2"/>
  <c r="P151" i="2" s="1"/>
  <c r="AG152" i="2"/>
  <c r="AD153" i="2" s="1"/>
  <c r="Y153" i="2"/>
  <c r="V154" i="2" s="1"/>
  <c r="U164" i="2"/>
  <c r="S165" i="2"/>
  <c r="AI163" i="2"/>
  <c r="AK162" i="2"/>
  <c r="O120" i="2"/>
  <c r="P120" i="2" s="1"/>
  <c r="K129" i="2"/>
  <c r="M128" i="2"/>
  <c r="W86" i="2"/>
  <c r="X86" i="2" s="1"/>
  <c r="S97" i="2"/>
  <c r="U96" i="2"/>
  <c r="AG86" i="2"/>
  <c r="AD87" i="2" s="1"/>
  <c r="AA96" i="2"/>
  <c r="AC95" i="2"/>
  <c r="AM83" i="2"/>
  <c r="AN83" i="2" s="1"/>
  <c r="AI98" i="2"/>
  <c r="AK97" i="2"/>
  <c r="W27" i="2"/>
  <c r="X27" i="2" s="1"/>
  <c r="V28" i="2"/>
  <c r="L61" i="2"/>
  <c r="M61" i="2" s="1"/>
  <c r="K62" i="2"/>
  <c r="AO51" i="2"/>
  <c r="AL52" i="2" s="1"/>
  <c r="AK65" i="2"/>
  <c r="AI66" i="2"/>
  <c r="AK66" i="2" s="1"/>
  <c r="AA61" i="2"/>
  <c r="AC60" i="2"/>
  <c r="AG51" i="2"/>
  <c r="AD52" i="2" s="1"/>
  <c r="U61" i="2"/>
  <c r="S62" i="2"/>
  <c r="T62" i="2" s="1"/>
  <c r="Y50" i="2"/>
  <c r="V51" i="2" s="1"/>
  <c r="K96" i="2"/>
  <c r="L96" i="2" s="1"/>
  <c r="M95" i="2"/>
  <c r="O84" i="2"/>
  <c r="P84" i="2" s="1"/>
  <c r="Q84" i="2"/>
  <c r="N85" i="2" s="1"/>
  <c r="O50" i="2"/>
  <c r="P50" i="2" s="1"/>
  <c r="AB15" i="2"/>
  <c r="Y16" i="2" s="1"/>
  <c r="P189" i="1"/>
  <c r="M190" i="1" s="1"/>
  <c r="L202" i="1"/>
  <c r="J203" i="1"/>
  <c r="N154" i="1"/>
  <c r="O154" i="1" s="1"/>
  <c r="L167" i="1"/>
  <c r="J168" i="1"/>
  <c r="J134" i="1"/>
  <c r="L133" i="1"/>
  <c r="N120" i="1"/>
  <c r="O120" i="1" s="1"/>
  <c r="P86" i="1"/>
  <c r="M87" i="1" s="1"/>
  <c r="N87" i="1"/>
  <c r="O87" i="1" s="1"/>
  <c r="L96" i="1"/>
  <c r="J97" i="1"/>
  <c r="N54" i="1"/>
  <c r="O54" i="1" s="1"/>
  <c r="P23" i="1"/>
  <c r="M24" i="1" s="1"/>
  <c r="N24" i="1"/>
  <c r="O24" i="1" s="1"/>
  <c r="Q256" i="2" l="1"/>
  <c r="N257" i="2" s="1"/>
  <c r="M266" i="2"/>
  <c r="K267" i="2"/>
  <c r="O257" i="2"/>
  <c r="P257" i="2" s="1"/>
  <c r="AG221" i="2"/>
  <c r="AD222" i="2" s="1"/>
  <c r="AM220" i="2"/>
  <c r="AN220" i="2" s="1"/>
  <c r="AK233" i="2"/>
  <c r="AI234" i="2"/>
  <c r="W223" i="2"/>
  <c r="X223" i="2" s="1"/>
  <c r="M235" i="2"/>
  <c r="K236" i="2"/>
  <c r="M236" i="2" s="1"/>
  <c r="AA235" i="2"/>
  <c r="AC234" i="2"/>
  <c r="Q220" i="2"/>
  <c r="N221" i="2" s="1"/>
  <c r="U234" i="2"/>
  <c r="S235" i="2"/>
  <c r="W189" i="2"/>
  <c r="X189" i="2" s="1"/>
  <c r="AO187" i="2"/>
  <c r="AL188" i="2" s="1"/>
  <c r="AA201" i="2"/>
  <c r="AC200" i="2"/>
  <c r="U201" i="2"/>
  <c r="S202" i="2"/>
  <c r="U202" i="2" s="1"/>
  <c r="AG187" i="2"/>
  <c r="AD188" i="2" s="1"/>
  <c r="Q187" i="2"/>
  <c r="N188" i="2" s="1"/>
  <c r="M200" i="2"/>
  <c r="K201" i="2"/>
  <c r="Q151" i="2"/>
  <c r="N152" i="2" s="1"/>
  <c r="Q120" i="2"/>
  <c r="N121" i="2" s="1"/>
  <c r="O121" i="2"/>
  <c r="P121" i="2" s="1"/>
  <c r="AK163" i="2"/>
  <c r="AI164" i="2"/>
  <c r="U165" i="2"/>
  <c r="S166" i="2"/>
  <c r="W154" i="2"/>
  <c r="X154" i="2" s="1"/>
  <c r="Y154" i="2"/>
  <c r="V155" i="2" s="1"/>
  <c r="AO120" i="2"/>
  <c r="AL121" i="2" s="1"/>
  <c r="AE153" i="2"/>
  <c r="AF153" i="2" s="1"/>
  <c r="U131" i="2"/>
  <c r="S132" i="2"/>
  <c r="AA165" i="2"/>
  <c r="AC164" i="2"/>
  <c r="O152" i="2"/>
  <c r="P152" i="2" s="1"/>
  <c r="AM154" i="2"/>
  <c r="AN154" i="2" s="1"/>
  <c r="M164" i="2"/>
  <c r="K165" i="2"/>
  <c r="M129" i="2"/>
  <c r="K130" i="2"/>
  <c r="AI130" i="2"/>
  <c r="AK129" i="2"/>
  <c r="AA131" i="2"/>
  <c r="AC130" i="2"/>
  <c r="W118" i="2"/>
  <c r="X118" i="2" s="1"/>
  <c r="AG121" i="2"/>
  <c r="AD122" i="2" s="1"/>
  <c r="Y86" i="2"/>
  <c r="V87" i="2" s="1"/>
  <c r="W87" i="2" s="1"/>
  <c r="X87" i="2" s="1"/>
  <c r="AO83" i="2"/>
  <c r="AL84" i="2" s="1"/>
  <c r="AC96" i="2"/>
  <c r="AA97" i="2"/>
  <c r="AE87" i="2"/>
  <c r="AF87" i="2" s="1"/>
  <c r="AI99" i="2"/>
  <c r="AK98" i="2"/>
  <c r="S98" i="2"/>
  <c r="U97" i="2"/>
  <c r="L62" i="2"/>
  <c r="M62" i="2" s="1"/>
  <c r="K63" i="2"/>
  <c r="W28" i="2"/>
  <c r="X28" i="2" s="1"/>
  <c r="V29" i="2"/>
  <c r="AM52" i="2"/>
  <c r="AN52" i="2" s="1"/>
  <c r="AE52" i="2"/>
  <c r="AF52" i="2" s="1"/>
  <c r="AC61" i="2"/>
  <c r="AA62" i="2"/>
  <c r="W51" i="2"/>
  <c r="X51" i="2" s="1"/>
  <c r="S63" i="2"/>
  <c r="T63" i="2" s="1"/>
  <c r="U62" i="2"/>
  <c r="O85" i="2"/>
  <c r="P85" i="2" s="1"/>
  <c r="K97" i="2"/>
  <c r="L97" i="2" s="1"/>
  <c r="M96" i="2"/>
  <c r="Q50" i="2"/>
  <c r="N51" i="2" s="1"/>
  <c r="Z16" i="2"/>
  <c r="AA16" i="2" s="1"/>
  <c r="J204" i="1"/>
  <c r="L203" i="1"/>
  <c r="N190" i="1"/>
  <c r="O190" i="1" s="1"/>
  <c r="P154" i="1"/>
  <c r="M155" i="1" s="1"/>
  <c r="N155" i="1" s="1"/>
  <c r="O155" i="1" s="1"/>
  <c r="J169" i="1"/>
  <c r="L168" i="1"/>
  <c r="P120" i="1"/>
  <c r="M121" i="1" s="1"/>
  <c r="L134" i="1"/>
  <c r="J135" i="1"/>
  <c r="P87" i="1"/>
  <c r="M88" i="1" s="1"/>
  <c r="N88" i="1" s="1"/>
  <c r="O88" i="1" s="1"/>
  <c r="L97" i="1"/>
  <c r="J98" i="1"/>
  <c r="P54" i="1"/>
  <c r="M55" i="1" s="1"/>
  <c r="P24" i="1"/>
  <c r="M25" i="1" s="1"/>
  <c r="Q257" i="2" l="1"/>
  <c r="N258" i="2" s="1"/>
  <c r="K268" i="2"/>
  <c r="M267" i="2"/>
  <c r="S236" i="2"/>
  <c r="U236" i="2" s="1"/>
  <c r="U235" i="2"/>
  <c r="AO220" i="2"/>
  <c r="AL221" i="2" s="1"/>
  <c r="AE222" i="2"/>
  <c r="AF222" i="2" s="1"/>
  <c r="O221" i="2"/>
  <c r="P221" i="2" s="1"/>
  <c r="AC235" i="2"/>
  <c r="AA236" i="2"/>
  <c r="AC236" i="2" s="1"/>
  <c r="Y223" i="2"/>
  <c r="V224" i="2" s="1"/>
  <c r="AK234" i="2"/>
  <c r="AI235" i="2"/>
  <c r="O188" i="2"/>
  <c r="P188" i="2" s="1"/>
  <c r="K202" i="2"/>
  <c r="M202" i="2" s="1"/>
  <c r="M201" i="2"/>
  <c r="AE188" i="2"/>
  <c r="AF188" i="2" s="1"/>
  <c r="AA202" i="2"/>
  <c r="AC202" i="2" s="1"/>
  <c r="AC201" i="2"/>
  <c r="AM188" i="2"/>
  <c r="AN188" i="2" s="1"/>
  <c r="Y189" i="2"/>
  <c r="V190" i="2" s="1"/>
  <c r="Y118" i="2"/>
  <c r="V119" i="2" s="1"/>
  <c r="AO154" i="2"/>
  <c r="AL155" i="2" s="1"/>
  <c r="K131" i="2"/>
  <c r="M130" i="2"/>
  <c r="AG153" i="2"/>
  <c r="AD154" i="2" s="1"/>
  <c r="M165" i="2"/>
  <c r="K166" i="2"/>
  <c r="AM121" i="2"/>
  <c r="AN121" i="2" s="1"/>
  <c r="W155" i="2"/>
  <c r="X155" i="2" s="1"/>
  <c r="AE122" i="2"/>
  <c r="AF122" i="2" s="1"/>
  <c r="W119" i="2"/>
  <c r="X119" i="2" s="1"/>
  <c r="S167" i="2"/>
  <c r="U166" i="2"/>
  <c r="Q152" i="2"/>
  <c r="N153" i="2" s="1"/>
  <c r="AI165" i="2"/>
  <c r="AK164" i="2"/>
  <c r="U132" i="2"/>
  <c r="S133" i="2"/>
  <c r="AM155" i="2"/>
  <c r="AN155" i="2" s="1"/>
  <c r="AO155" i="2"/>
  <c r="AL156" i="2" s="1"/>
  <c r="AI131" i="2"/>
  <c r="AK130" i="2"/>
  <c r="AA132" i="2"/>
  <c r="AC131" i="2"/>
  <c r="AC165" i="2"/>
  <c r="AA166" i="2"/>
  <c r="Q121" i="2"/>
  <c r="N122" i="2" s="1"/>
  <c r="Y87" i="2"/>
  <c r="V88" i="2" s="1"/>
  <c r="W88" i="2" s="1"/>
  <c r="X88" i="2" s="1"/>
  <c r="AM84" i="2"/>
  <c r="AN84" i="2" s="1"/>
  <c r="U98" i="2"/>
  <c r="S99" i="2"/>
  <c r="AK99" i="2"/>
  <c r="AI100" i="2"/>
  <c r="AK100" i="2" s="1"/>
  <c r="AG87" i="2"/>
  <c r="AD88" i="2" s="1"/>
  <c r="AC97" i="2"/>
  <c r="AA98" i="2"/>
  <c r="W29" i="2"/>
  <c r="X29" i="2" s="1"/>
  <c r="V30" i="2"/>
  <c r="L63" i="2"/>
  <c r="M63" i="2" s="1"/>
  <c r="K64" i="2"/>
  <c r="Q85" i="2"/>
  <c r="N86" i="2" s="1"/>
  <c r="O86" i="2" s="1"/>
  <c r="P86" i="2" s="1"/>
  <c r="AO52" i="2"/>
  <c r="AL53" i="2" s="1"/>
  <c r="AA63" i="2"/>
  <c r="AC62" i="2"/>
  <c r="AG52" i="2"/>
  <c r="AD53" i="2" s="1"/>
  <c r="U63" i="2"/>
  <c r="S64" i="2"/>
  <c r="T64" i="2" s="1"/>
  <c r="Y51" i="2"/>
  <c r="V52" i="2" s="1"/>
  <c r="M97" i="2"/>
  <c r="K98" i="2"/>
  <c r="L98" i="2" s="1"/>
  <c r="O51" i="2"/>
  <c r="P51" i="2" s="1"/>
  <c r="AB16" i="2"/>
  <c r="Y17" i="2" s="1"/>
  <c r="Z17" i="2"/>
  <c r="AA17" i="2" s="1"/>
  <c r="P190" i="1"/>
  <c r="M191" i="1" s="1"/>
  <c r="L204" i="1"/>
  <c r="J205" i="1"/>
  <c r="P155" i="1"/>
  <c r="M156" i="1" s="1"/>
  <c r="L169" i="1"/>
  <c r="J170" i="1"/>
  <c r="J136" i="1"/>
  <c r="L136" i="1" s="1"/>
  <c r="L135" i="1"/>
  <c r="N121" i="1"/>
  <c r="O121" i="1" s="1"/>
  <c r="P88" i="1"/>
  <c r="M89" i="1" s="1"/>
  <c r="N89" i="1"/>
  <c r="O89" i="1" s="1"/>
  <c r="J99" i="1"/>
  <c r="L98" i="1"/>
  <c r="N55" i="1"/>
  <c r="O55" i="1" s="1"/>
  <c r="N25" i="1"/>
  <c r="O25" i="1" s="1"/>
  <c r="K269" i="2" l="1"/>
  <c r="M268" i="2"/>
  <c r="O258" i="2"/>
  <c r="P258" i="2" s="1"/>
  <c r="AI236" i="2"/>
  <c r="AK236" i="2" s="1"/>
  <c r="AK235" i="2"/>
  <c r="W224" i="2"/>
  <c r="X224" i="2" s="1"/>
  <c r="Y224" i="2"/>
  <c r="V225" i="2" s="1"/>
  <c r="Q221" i="2"/>
  <c r="N222" i="2" s="1"/>
  <c r="AG222" i="2"/>
  <c r="AD223" i="2" s="1"/>
  <c r="AM221" i="2"/>
  <c r="AN221" i="2" s="1"/>
  <c r="AO221" i="2"/>
  <c r="AL222" i="2" s="1"/>
  <c r="W190" i="2"/>
  <c r="X190" i="2" s="1"/>
  <c r="AO188" i="2"/>
  <c r="AL189" i="2" s="1"/>
  <c r="AG188" i="2"/>
  <c r="AD189" i="2" s="1"/>
  <c r="Q188" i="2"/>
  <c r="N189" i="2" s="1"/>
  <c r="Y119" i="2"/>
  <c r="V120" i="2" s="1"/>
  <c r="AM156" i="2"/>
  <c r="AN156" i="2" s="1"/>
  <c r="AG122" i="2"/>
  <c r="AD123" i="2" s="1"/>
  <c r="U133" i="2"/>
  <c r="S134" i="2"/>
  <c r="U134" i="2" s="1"/>
  <c r="Y155" i="2"/>
  <c r="V156" i="2" s="1"/>
  <c r="AO121" i="2"/>
  <c r="AL122" i="2" s="1"/>
  <c r="AK131" i="2"/>
  <c r="AI132" i="2"/>
  <c r="O122" i="2"/>
  <c r="P122" i="2" s="1"/>
  <c r="AI166" i="2"/>
  <c r="AK165" i="2"/>
  <c r="M166" i="2"/>
  <c r="K167" i="2"/>
  <c r="W120" i="2"/>
  <c r="X120" i="2" s="1"/>
  <c r="Y120" i="2"/>
  <c r="V121" i="2" s="1"/>
  <c r="AC166" i="2"/>
  <c r="AA167" i="2"/>
  <c r="O153" i="2"/>
  <c r="P153" i="2" s="1"/>
  <c r="AE154" i="2"/>
  <c r="AF154" i="2" s="1"/>
  <c r="AG154" i="2"/>
  <c r="AD155" i="2" s="1"/>
  <c r="S168" i="2"/>
  <c r="T168" i="2" s="1"/>
  <c r="U168" i="2" s="1"/>
  <c r="U167" i="2"/>
  <c r="AC132" i="2"/>
  <c r="AA133" i="2"/>
  <c r="M131" i="2"/>
  <c r="K132" i="2"/>
  <c r="AO84" i="2"/>
  <c r="AL85" i="2" s="1"/>
  <c r="Y88" i="2"/>
  <c r="V89" i="2" s="1"/>
  <c r="W89" i="2" s="1"/>
  <c r="X89" i="2" s="1"/>
  <c r="AM85" i="2"/>
  <c r="AN85" i="2" s="1"/>
  <c r="AC98" i="2"/>
  <c r="AA99" i="2"/>
  <c r="AE88" i="2"/>
  <c r="AF88" i="2" s="1"/>
  <c r="U99" i="2"/>
  <c r="S100" i="2"/>
  <c r="U100" i="2" s="1"/>
  <c r="L64" i="2"/>
  <c r="M64" i="2" s="1"/>
  <c r="K65" i="2"/>
  <c r="W30" i="2"/>
  <c r="X30" i="2" s="1"/>
  <c r="V31" i="2"/>
  <c r="AM53" i="2"/>
  <c r="AN53" i="2" s="1"/>
  <c r="AE53" i="2"/>
  <c r="AF53" i="2" s="1"/>
  <c r="AC63" i="2"/>
  <c r="AA64" i="2"/>
  <c r="W52" i="2"/>
  <c r="X52" i="2" s="1"/>
  <c r="S65" i="2"/>
  <c r="T65" i="2" s="1"/>
  <c r="U64" i="2"/>
  <c r="Q86" i="2"/>
  <c r="N87" i="2" s="1"/>
  <c r="K99" i="2"/>
  <c r="L99" i="2" s="1"/>
  <c r="M98" i="2"/>
  <c r="Q51" i="2"/>
  <c r="N52" i="2" s="1"/>
  <c r="AB17" i="2"/>
  <c r="Y18" i="2" s="1"/>
  <c r="L205" i="1"/>
  <c r="J206" i="1"/>
  <c r="L206" i="1" s="1"/>
  <c r="N191" i="1"/>
  <c r="O191" i="1" s="1"/>
  <c r="J171" i="1"/>
  <c r="L171" i="1" s="1"/>
  <c r="L170" i="1"/>
  <c r="N156" i="1"/>
  <c r="O156" i="1" s="1"/>
  <c r="P121" i="1"/>
  <c r="M122" i="1" s="1"/>
  <c r="L99" i="1"/>
  <c r="J100" i="1"/>
  <c r="P89" i="1"/>
  <c r="M90" i="1" s="1"/>
  <c r="P55" i="1"/>
  <c r="M56" i="1" s="1"/>
  <c r="P25" i="1"/>
  <c r="M26" i="1" s="1"/>
  <c r="P26" i="1" s="1"/>
  <c r="M27" i="1" s="1"/>
  <c r="N26" i="1"/>
  <c r="O26" i="1" s="1"/>
  <c r="Q258" i="2" l="1"/>
  <c r="N259" i="2" s="1"/>
  <c r="M269" i="2"/>
  <c r="K270" i="2"/>
  <c r="M270" i="2" s="1"/>
  <c r="AM222" i="2"/>
  <c r="AN222" i="2" s="1"/>
  <c r="AE223" i="2"/>
  <c r="AF223" i="2" s="1"/>
  <c r="O222" i="2"/>
  <c r="P222" i="2" s="1"/>
  <c r="W225" i="2"/>
  <c r="X225" i="2" s="1"/>
  <c r="Y190" i="2"/>
  <c r="V191" i="2" s="1"/>
  <c r="W191" i="2" s="1"/>
  <c r="X191" i="2" s="1"/>
  <c r="AM189" i="2"/>
  <c r="AN189" i="2" s="1"/>
  <c r="O189" i="2"/>
  <c r="P189" i="2" s="1"/>
  <c r="AE189" i="2"/>
  <c r="AF189" i="2" s="1"/>
  <c r="AI133" i="2"/>
  <c r="AK132" i="2"/>
  <c r="Q153" i="2"/>
  <c r="N154" i="2" s="1"/>
  <c r="AA168" i="2"/>
  <c r="AC168" i="2" s="1"/>
  <c r="AC167" i="2"/>
  <c r="AM122" i="2"/>
  <c r="AN122" i="2" s="1"/>
  <c r="AE155" i="2"/>
  <c r="AF155" i="2" s="1"/>
  <c r="W156" i="2"/>
  <c r="X156" i="2" s="1"/>
  <c r="AC133" i="2"/>
  <c r="AA134" i="2"/>
  <c r="AC134" i="2" s="1"/>
  <c r="AE123" i="2"/>
  <c r="AF123" i="2" s="1"/>
  <c r="AI167" i="2"/>
  <c r="AK166" i="2"/>
  <c r="Q122" i="2"/>
  <c r="N123" i="2" s="1"/>
  <c r="M132" i="2"/>
  <c r="K133" i="2"/>
  <c r="W121" i="2"/>
  <c r="X121" i="2" s="1"/>
  <c r="M167" i="2"/>
  <c r="K168" i="2"/>
  <c r="M168" i="2" s="1"/>
  <c r="AO156" i="2"/>
  <c r="AL157" i="2" s="1"/>
  <c r="AO85" i="2"/>
  <c r="AL86" i="2" s="1"/>
  <c r="AM86" i="2" s="1"/>
  <c r="AN86" i="2" s="1"/>
  <c r="Y89" i="2"/>
  <c r="V90" i="2" s="1"/>
  <c r="AG88" i="2"/>
  <c r="AD89" i="2" s="1"/>
  <c r="AA100" i="2"/>
  <c r="AC100" i="2" s="1"/>
  <c r="AC99" i="2"/>
  <c r="W31" i="2"/>
  <c r="X31" i="2" s="1"/>
  <c r="V32" i="2"/>
  <c r="L65" i="2"/>
  <c r="M65" i="2" s="1"/>
  <c r="K66" i="2"/>
  <c r="AO53" i="2"/>
  <c r="AL54" i="2" s="1"/>
  <c r="AA65" i="2"/>
  <c r="AC64" i="2"/>
  <c r="AG53" i="2"/>
  <c r="AD54" i="2" s="1"/>
  <c r="S66" i="2"/>
  <c r="U65" i="2"/>
  <c r="Y52" i="2"/>
  <c r="V53" i="2" s="1"/>
  <c r="O87" i="2"/>
  <c r="P87" i="2" s="1"/>
  <c r="M99" i="2"/>
  <c r="K100" i="2"/>
  <c r="O52" i="2"/>
  <c r="P52" i="2" s="1"/>
  <c r="Z18" i="2"/>
  <c r="AA18" i="2" s="1"/>
  <c r="P191" i="1"/>
  <c r="M192" i="1" s="1"/>
  <c r="P156" i="1"/>
  <c r="M157" i="1" s="1"/>
  <c r="N122" i="1"/>
  <c r="O122" i="1" s="1"/>
  <c r="N90" i="1"/>
  <c r="O90" i="1" s="1"/>
  <c r="J101" i="1"/>
  <c r="L101" i="1" s="1"/>
  <c r="L100" i="1"/>
  <c r="N56" i="1"/>
  <c r="O56" i="1" s="1"/>
  <c r="P56" i="1"/>
  <c r="M57" i="1" s="1"/>
  <c r="N27" i="1"/>
  <c r="O27" i="1" s="1"/>
  <c r="P27" i="1"/>
  <c r="M28" i="1" s="1"/>
  <c r="O259" i="2" l="1"/>
  <c r="P259" i="2" s="1"/>
  <c r="AO222" i="2"/>
  <c r="AL223" i="2" s="1"/>
  <c r="Q222" i="2"/>
  <c r="N223" i="2" s="1"/>
  <c r="AG223" i="2"/>
  <c r="AD224" i="2" s="1"/>
  <c r="Y225" i="2"/>
  <c r="V226" i="2" s="1"/>
  <c r="AM223" i="2"/>
  <c r="AN223" i="2" s="1"/>
  <c r="Y191" i="2"/>
  <c r="V192" i="2" s="1"/>
  <c r="W192" i="2" s="1"/>
  <c r="X192" i="2" s="1"/>
  <c r="Q189" i="2"/>
  <c r="N190" i="2" s="1"/>
  <c r="AG189" i="2"/>
  <c r="AD190" i="2" s="1"/>
  <c r="AO189" i="2"/>
  <c r="AL190" i="2" s="1"/>
  <c r="AO122" i="2"/>
  <c r="AL123" i="2" s="1"/>
  <c r="AM157" i="2"/>
  <c r="AN157" i="2" s="1"/>
  <c r="AI134" i="2"/>
  <c r="AK134" i="2" s="1"/>
  <c r="AK133" i="2"/>
  <c r="Y156" i="2"/>
  <c r="V157" i="2" s="1"/>
  <c r="Y121" i="2"/>
  <c r="V122" i="2" s="1"/>
  <c r="M133" i="2"/>
  <c r="K134" i="2"/>
  <c r="M134" i="2" s="1"/>
  <c r="AG155" i="2"/>
  <c r="AD156" i="2" s="1"/>
  <c r="O123" i="2"/>
  <c r="P123" i="2" s="1"/>
  <c r="Q123" i="2"/>
  <c r="N124" i="2" s="1"/>
  <c r="AI168" i="2"/>
  <c r="AK168" i="2" s="1"/>
  <c r="AK167" i="2"/>
  <c r="AM123" i="2"/>
  <c r="AN123" i="2" s="1"/>
  <c r="AO123" i="2"/>
  <c r="AL124" i="2" s="1"/>
  <c r="O154" i="2"/>
  <c r="P154" i="2" s="1"/>
  <c r="AG123" i="2"/>
  <c r="AD124" i="2" s="1"/>
  <c r="AE89" i="2"/>
  <c r="AF89" i="2" s="1"/>
  <c r="W90" i="2"/>
  <c r="X90" i="2" s="1"/>
  <c r="AO86" i="2"/>
  <c r="AL87" i="2" s="1"/>
  <c r="L66" i="2"/>
  <c r="M66" i="2" s="1"/>
  <c r="T66" i="2"/>
  <c r="U66" i="2" s="1"/>
  <c r="L100" i="2"/>
  <c r="M100" i="2" s="1"/>
  <c r="W32" i="2"/>
  <c r="X32" i="2" s="1"/>
  <c r="AM54" i="2"/>
  <c r="AN54" i="2" s="1"/>
  <c r="AE54" i="2"/>
  <c r="AF54" i="2" s="1"/>
  <c r="AC65" i="2"/>
  <c r="AA66" i="2"/>
  <c r="AC66" i="2" s="1"/>
  <c r="W53" i="2"/>
  <c r="X53" i="2" s="1"/>
  <c r="Q87" i="2"/>
  <c r="N88" i="2" s="1"/>
  <c r="Q52" i="2"/>
  <c r="N53" i="2" s="1"/>
  <c r="AB18" i="2"/>
  <c r="Y19" i="2" s="1"/>
  <c r="N192" i="1"/>
  <c r="O192" i="1" s="1"/>
  <c r="N157" i="1"/>
  <c r="O157" i="1" s="1"/>
  <c r="P122" i="1"/>
  <c r="M123" i="1" s="1"/>
  <c r="P90" i="1"/>
  <c r="M91" i="1" s="1"/>
  <c r="N91" i="1"/>
  <c r="O91" i="1" s="1"/>
  <c r="N57" i="1"/>
  <c r="O57" i="1" s="1"/>
  <c r="P57" i="1"/>
  <c r="M58" i="1" s="1"/>
  <c r="N28" i="1"/>
  <c r="O28" i="1" s="1"/>
  <c r="P28" i="1"/>
  <c r="M29" i="1" s="1"/>
  <c r="AG89" i="2" l="1"/>
  <c r="AD90" i="2" s="1"/>
  <c r="Q259" i="2"/>
  <c r="N260" i="2" s="1"/>
  <c r="AO223" i="2"/>
  <c r="AL224" i="2" s="1"/>
  <c r="W226" i="2"/>
  <c r="X226" i="2" s="1"/>
  <c r="AE224" i="2"/>
  <c r="AF224" i="2" s="1"/>
  <c r="O223" i="2"/>
  <c r="P223" i="2" s="1"/>
  <c r="AM190" i="2"/>
  <c r="AN190" i="2" s="1"/>
  <c r="AE190" i="2"/>
  <c r="AF190" i="2" s="1"/>
  <c r="AG190" i="2"/>
  <c r="AD191" i="2" s="1"/>
  <c r="Y192" i="2"/>
  <c r="V193" i="2" s="1"/>
  <c r="O190" i="2"/>
  <c r="P190" i="2" s="1"/>
  <c r="AO157" i="2"/>
  <c r="AL158" i="2" s="1"/>
  <c r="O124" i="2"/>
  <c r="P124" i="2" s="1"/>
  <c r="AE156" i="2"/>
  <c r="AF156" i="2" s="1"/>
  <c r="W157" i="2"/>
  <c r="X157" i="2" s="1"/>
  <c r="AE124" i="2"/>
  <c r="AF124" i="2" s="1"/>
  <c r="AG124" i="2"/>
  <c r="AD125" i="2" s="1"/>
  <c r="AM158" i="2"/>
  <c r="AN158" i="2" s="1"/>
  <c r="AO158" i="2"/>
  <c r="AL159" i="2" s="1"/>
  <c r="W122" i="2"/>
  <c r="X122" i="2" s="1"/>
  <c r="AM124" i="2"/>
  <c r="AN124" i="2" s="1"/>
  <c r="Q154" i="2"/>
  <c r="N155" i="2" s="1"/>
  <c r="AM87" i="2"/>
  <c r="AN87" i="2" s="1"/>
  <c r="Y90" i="2"/>
  <c r="V91" i="2" s="1"/>
  <c r="AE90" i="2"/>
  <c r="AF90" i="2" s="1"/>
  <c r="AO54" i="2"/>
  <c r="AL55" i="2" s="1"/>
  <c r="AG54" i="2"/>
  <c r="AD55" i="2" s="1"/>
  <c r="Y53" i="2"/>
  <c r="V54" i="2" s="1"/>
  <c r="O88" i="2"/>
  <c r="P88" i="2" s="1"/>
  <c r="O53" i="2"/>
  <c r="P53" i="2" s="1"/>
  <c r="Q53" i="2"/>
  <c r="N54" i="2" s="1"/>
  <c r="Z19" i="2"/>
  <c r="AA19" i="2" s="1"/>
  <c r="P192" i="1"/>
  <c r="M193" i="1" s="1"/>
  <c r="P157" i="1"/>
  <c r="M158" i="1" s="1"/>
  <c r="N123" i="1"/>
  <c r="O123" i="1" s="1"/>
  <c r="P91" i="1"/>
  <c r="M92" i="1" s="1"/>
  <c r="N92" i="1" s="1"/>
  <c r="O92" i="1" s="1"/>
  <c r="N58" i="1"/>
  <c r="O58" i="1" s="1"/>
  <c r="P58" i="1"/>
  <c r="N29" i="1"/>
  <c r="O29" i="1" s="1"/>
  <c r="O260" i="2" l="1"/>
  <c r="P260" i="2" s="1"/>
  <c r="Q260" i="2"/>
  <c r="N261" i="2" s="1"/>
  <c r="Q223" i="2"/>
  <c r="N224" i="2" s="1"/>
  <c r="Y226" i="2"/>
  <c r="V227" i="2" s="1"/>
  <c r="O224" i="2"/>
  <c r="P224" i="2" s="1"/>
  <c r="AG224" i="2"/>
  <c r="AD225" i="2" s="1"/>
  <c r="AM224" i="2"/>
  <c r="AN224" i="2" s="1"/>
  <c r="Q190" i="2"/>
  <c r="N191" i="2" s="1"/>
  <c r="O191" i="2" s="1"/>
  <c r="P191" i="2" s="1"/>
  <c r="AO190" i="2"/>
  <c r="AL191" i="2" s="1"/>
  <c r="W193" i="2"/>
  <c r="X193" i="2" s="1"/>
  <c r="AE191" i="2"/>
  <c r="AF191" i="2" s="1"/>
  <c r="AG191" i="2"/>
  <c r="AD192" i="2" s="1"/>
  <c r="AG156" i="2"/>
  <c r="AD157" i="2" s="1"/>
  <c r="AE157" i="2" s="1"/>
  <c r="AF157" i="2" s="1"/>
  <c r="AO124" i="2"/>
  <c r="AL125" i="2" s="1"/>
  <c r="AM125" i="2" s="1"/>
  <c r="AN125" i="2" s="1"/>
  <c r="Y122" i="2"/>
  <c r="V123" i="2" s="1"/>
  <c r="AM159" i="2"/>
  <c r="AN159" i="2" s="1"/>
  <c r="AE125" i="2"/>
  <c r="AF125" i="2" s="1"/>
  <c r="Y157" i="2"/>
  <c r="V158" i="2" s="1"/>
  <c r="O155" i="2"/>
  <c r="P155" i="2" s="1"/>
  <c r="Q124" i="2"/>
  <c r="N125" i="2" s="1"/>
  <c r="AG90" i="2"/>
  <c r="AD91" i="2" s="1"/>
  <c r="W91" i="2"/>
  <c r="X91" i="2" s="1"/>
  <c r="Y91" i="2"/>
  <c r="V92" i="2" s="1"/>
  <c r="AO87" i="2"/>
  <c r="AL88" i="2" s="1"/>
  <c r="AM55" i="2"/>
  <c r="AN55" i="2" s="1"/>
  <c r="AE55" i="2"/>
  <c r="AF55" i="2" s="1"/>
  <c r="AG55" i="2"/>
  <c r="AD56" i="2" s="1"/>
  <c r="W54" i="2"/>
  <c r="X54" i="2" s="1"/>
  <c r="Q88" i="2"/>
  <c r="N89" i="2" s="1"/>
  <c r="O54" i="2"/>
  <c r="P54" i="2" s="1"/>
  <c r="Q54" i="2"/>
  <c r="N55" i="2" s="1"/>
  <c r="AB19" i="2"/>
  <c r="Y20" i="2" s="1"/>
  <c r="N193" i="1"/>
  <c r="O193" i="1" s="1"/>
  <c r="N158" i="1"/>
  <c r="O158" i="1" s="1"/>
  <c r="P123" i="1"/>
  <c r="M124" i="1" s="1"/>
  <c r="P92" i="1"/>
  <c r="M93" i="1" s="1"/>
  <c r="N59" i="1"/>
  <c r="O59" i="1" s="1"/>
  <c r="P59" i="1"/>
  <c r="M60" i="1" s="1"/>
  <c r="P29" i="1"/>
  <c r="M30" i="1" s="1"/>
  <c r="N30" i="1" s="1"/>
  <c r="O30" i="1" s="1"/>
  <c r="O261" i="2" l="1"/>
  <c r="P261" i="2" s="1"/>
  <c r="Q261" i="2"/>
  <c r="N262" i="2" s="1"/>
  <c r="W227" i="2"/>
  <c r="X227" i="2" s="1"/>
  <c r="Y227" i="2"/>
  <c r="V228" i="2" s="1"/>
  <c r="AO224" i="2"/>
  <c r="AL225" i="2" s="1"/>
  <c r="AE225" i="2"/>
  <c r="AF225" i="2" s="1"/>
  <c r="Q224" i="2"/>
  <c r="N225" i="2" s="1"/>
  <c r="Y193" i="2"/>
  <c r="V194" i="2" s="1"/>
  <c r="W194" i="2" s="1"/>
  <c r="X194" i="2" s="1"/>
  <c r="AM191" i="2"/>
  <c r="AN191" i="2" s="1"/>
  <c r="AE192" i="2"/>
  <c r="AF192" i="2" s="1"/>
  <c r="Q191" i="2"/>
  <c r="N192" i="2" s="1"/>
  <c r="W158" i="2"/>
  <c r="X158" i="2" s="1"/>
  <c r="AG125" i="2"/>
  <c r="AD126" i="2" s="1"/>
  <c r="AO125" i="2"/>
  <c r="AL126" i="2" s="1"/>
  <c r="Q155" i="2"/>
  <c r="N156" i="2" s="1"/>
  <c r="AG157" i="2"/>
  <c r="AD158" i="2" s="1"/>
  <c r="AO159" i="2"/>
  <c r="AL160" i="2" s="1"/>
  <c r="O125" i="2"/>
  <c r="P125" i="2" s="1"/>
  <c r="Q125" i="2"/>
  <c r="N126" i="2" s="1"/>
  <c r="W123" i="2"/>
  <c r="X123" i="2" s="1"/>
  <c r="Y123" i="2"/>
  <c r="V124" i="2" s="1"/>
  <c r="AM88" i="2"/>
  <c r="AN88" i="2" s="1"/>
  <c r="W92" i="2"/>
  <c r="X92" i="2" s="1"/>
  <c r="AE91" i="2"/>
  <c r="AF91" i="2" s="1"/>
  <c r="AO55" i="2"/>
  <c r="AL56" i="2" s="1"/>
  <c r="AE56" i="2"/>
  <c r="AF56" i="2" s="1"/>
  <c r="Y54" i="2"/>
  <c r="V55" i="2" s="1"/>
  <c r="W55" i="2" s="1"/>
  <c r="X55" i="2" s="1"/>
  <c r="O89" i="2"/>
  <c r="P89" i="2" s="1"/>
  <c r="O55" i="2"/>
  <c r="P55" i="2" s="1"/>
  <c r="Z20" i="2"/>
  <c r="AA20" i="2" s="1"/>
  <c r="P193" i="1"/>
  <c r="M194" i="1" s="1"/>
  <c r="P158" i="1"/>
  <c r="M159" i="1" s="1"/>
  <c r="N124" i="1"/>
  <c r="O124" i="1" s="1"/>
  <c r="N93" i="1"/>
  <c r="O93" i="1" s="1"/>
  <c r="N60" i="1"/>
  <c r="O60" i="1" s="1"/>
  <c r="P60" i="1"/>
  <c r="M61" i="1" s="1"/>
  <c r="P30" i="1"/>
  <c r="M31" i="1" s="1"/>
  <c r="O262" i="2" l="1"/>
  <c r="P262" i="2" s="1"/>
  <c r="O225" i="2"/>
  <c r="P225" i="2" s="1"/>
  <c r="AG225" i="2"/>
  <c r="AD226" i="2" s="1"/>
  <c r="AM225" i="2"/>
  <c r="AN225" i="2" s="1"/>
  <c r="W228" i="2"/>
  <c r="X228" i="2" s="1"/>
  <c r="Y228" i="2"/>
  <c r="V229" i="2" s="1"/>
  <c r="AO191" i="2"/>
  <c r="AL192" i="2" s="1"/>
  <c r="AM192" i="2" s="1"/>
  <c r="AN192" i="2" s="1"/>
  <c r="Y194" i="2"/>
  <c r="V195" i="2" s="1"/>
  <c r="AO192" i="2"/>
  <c r="AL193" i="2" s="1"/>
  <c r="AM193" i="2"/>
  <c r="AN193" i="2" s="1"/>
  <c r="O192" i="2"/>
  <c r="P192" i="2" s="1"/>
  <c r="W195" i="2"/>
  <c r="X195" i="2" s="1"/>
  <c r="Y195" i="2"/>
  <c r="V196" i="2" s="1"/>
  <c r="AG192" i="2"/>
  <c r="AD193" i="2" s="1"/>
  <c r="W124" i="2"/>
  <c r="X124" i="2" s="1"/>
  <c r="O126" i="2"/>
  <c r="P126" i="2" s="1"/>
  <c r="Q126" i="2"/>
  <c r="N127" i="2" s="1"/>
  <c r="AM160" i="2"/>
  <c r="AN160" i="2" s="1"/>
  <c r="AE158" i="2"/>
  <c r="AF158" i="2" s="1"/>
  <c r="AG158" i="2"/>
  <c r="AD159" i="2" s="1"/>
  <c r="O156" i="2"/>
  <c r="P156" i="2" s="1"/>
  <c r="AM126" i="2"/>
  <c r="AN126" i="2" s="1"/>
  <c r="AE126" i="2"/>
  <c r="AF126" i="2" s="1"/>
  <c r="Y158" i="2"/>
  <c r="V159" i="2" s="1"/>
  <c r="Y92" i="2"/>
  <c r="V93" i="2" s="1"/>
  <c r="W93" i="2" s="1"/>
  <c r="X93" i="2" s="1"/>
  <c r="AG91" i="2"/>
  <c r="AD92" i="2" s="1"/>
  <c r="AO88" i="2"/>
  <c r="AL89" i="2" s="1"/>
  <c r="AM56" i="2"/>
  <c r="AN56" i="2" s="1"/>
  <c r="AG56" i="2"/>
  <c r="AD57" i="2" s="1"/>
  <c r="Y55" i="2"/>
  <c r="V56" i="2" s="1"/>
  <c r="Q89" i="2"/>
  <c r="N90" i="2" s="1"/>
  <c r="Q55" i="2"/>
  <c r="N56" i="2" s="1"/>
  <c r="AB20" i="2"/>
  <c r="Y21" i="2" s="1"/>
  <c r="N194" i="1"/>
  <c r="O194" i="1" s="1"/>
  <c r="N159" i="1"/>
  <c r="O159" i="1" s="1"/>
  <c r="P124" i="1"/>
  <c r="M125" i="1" s="1"/>
  <c r="P93" i="1"/>
  <c r="M94" i="1" s="1"/>
  <c r="N61" i="1"/>
  <c r="O61" i="1" s="1"/>
  <c r="P61" i="1"/>
  <c r="M62" i="1" s="1"/>
  <c r="N31" i="1"/>
  <c r="O31" i="1" s="1"/>
  <c r="Q262" i="2" l="1"/>
  <c r="N263" i="2" s="1"/>
  <c r="AE226" i="2"/>
  <c r="AF226" i="2" s="1"/>
  <c r="Q225" i="2"/>
  <c r="N226" i="2" s="1"/>
  <c r="W229" i="2"/>
  <c r="X229" i="2" s="1"/>
  <c r="AO225" i="2"/>
  <c r="AL226" i="2" s="1"/>
  <c r="AE193" i="2"/>
  <c r="AF193" i="2" s="1"/>
  <c r="W196" i="2"/>
  <c r="X196" i="2" s="1"/>
  <c r="Q192" i="2"/>
  <c r="N193" i="2" s="1"/>
  <c r="AO193" i="2"/>
  <c r="AL194" i="2" s="1"/>
  <c r="AE159" i="2"/>
  <c r="AF159" i="2" s="1"/>
  <c r="O127" i="2"/>
  <c r="P127" i="2" s="1"/>
  <c r="AO160" i="2"/>
  <c r="AL161" i="2" s="1"/>
  <c r="AO126" i="2"/>
  <c r="AL127" i="2" s="1"/>
  <c r="Q156" i="2"/>
  <c r="N157" i="2" s="1"/>
  <c r="W159" i="2"/>
  <c r="X159" i="2" s="1"/>
  <c r="AG126" i="2"/>
  <c r="AD127" i="2" s="1"/>
  <c r="Y124" i="2"/>
  <c r="V125" i="2" s="1"/>
  <c r="AM89" i="2"/>
  <c r="AN89" i="2" s="1"/>
  <c r="Y93" i="2"/>
  <c r="V94" i="2" s="1"/>
  <c r="AE92" i="2"/>
  <c r="AF92" i="2" s="1"/>
  <c r="AO56" i="2"/>
  <c r="AL57" i="2" s="1"/>
  <c r="AM57" i="2"/>
  <c r="AN57" i="2" s="1"/>
  <c r="AE57" i="2"/>
  <c r="AF57" i="2" s="1"/>
  <c r="W56" i="2"/>
  <c r="X56" i="2" s="1"/>
  <c r="O90" i="2"/>
  <c r="P90" i="2" s="1"/>
  <c r="Q90" i="2"/>
  <c r="N91" i="2" s="1"/>
  <c r="O56" i="2"/>
  <c r="P56" i="2" s="1"/>
  <c r="Q56" i="2"/>
  <c r="N57" i="2" s="1"/>
  <c r="Z21" i="2"/>
  <c r="AA21" i="2" s="1"/>
  <c r="P194" i="1"/>
  <c r="M195" i="1" s="1"/>
  <c r="P159" i="1"/>
  <c r="M160" i="1" s="1"/>
  <c r="N125" i="1"/>
  <c r="O125" i="1" s="1"/>
  <c r="N94" i="1"/>
  <c r="O94" i="1" s="1"/>
  <c r="N62" i="1"/>
  <c r="O62" i="1" s="1"/>
  <c r="P31" i="1"/>
  <c r="M32" i="1" s="1"/>
  <c r="N32" i="1"/>
  <c r="O32" i="1" s="1"/>
  <c r="H3" i="1" s="1"/>
  <c r="P32" i="1"/>
  <c r="M33" i="1" s="1"/>
  <c r="O263" i="2" l="1"/>
  <c r="P263" i="2" s="1"/>
  <c r="AG226" i="2"/>
  <c r="AD227" i="2" s="1"/>
  <c r="AM226" i="2"/>
  <c r="AN226" i="2" s="1"/>
  <c r="Y229" i="2"/>
  <c r="V230" i="2" s="1"/>
  <c r="O226" i="2"/>
  <c r="P226" i="2" s="1"/>
  <c r="AM194" i="2"/>
  <c r="AN194" i="2" s="1"/>
  <c r="O193" i="2"/>
  <c r="P193" i="2" s="1"/>
  <c r="Y196" i="2"/>
  <c r="V197" i="2" s="1"/>
  <c r="AG193" i="2"/>
  <c r="AD194" i="2" s="1"/>
  <c r="AG159" i="2"/>
  <c r="AD160" i="2" s="1"/>
  <c r="AE127" i="2"/>
  <c r="AF127" i="2" s="1"/>
  <c r="Y159" i="2"/>
  <c r="V160" i="2" s="1"/>
  <c r="O157" i="2"/>
  <c r="P157" i="2" s="1"/>
  <c r="W125" i="2"/>
  <c r="X125" i="2" s="1"/>
  <c r="AM127" i="2"/>
  <c r="AN127" i="2" s="1"/>
  <c r="AO127" i="2"/>
  <c r="AL128" i="2" s="1"/>
  <c r="AM161" i="2"/>
  <c r="AN161" i="2" s="1"/>
  <c r="Q127" i="2"/>
  <c r="N128" i="2" s="1"/>
  <c r="AG92" i="2"/>
  <c r="AD93" i="2" s="1"/>
  <c r="W94" i="2"/>
  <c r="X94" i="2" s="1"/>
  <c r="AO89" i="2"/>
  <c r="AL90" i="2" s="1"/>
  <c r="AG57" i="2"/>
  <c r="AD58" i="2" s="1"/>
  <c r="AE58" i="2" s="1"/>
  <c r="AF58" i="2" s="1"/>
  <c r="AO57" i="2"/>
  <c r="AL58" i="2" s="1"/>
  <c r="Y56" i="2"/>
  <c r="V57" i="2" s="1"/>
  <c r="O91" i="2"/>
  <c r="P91" i="2" s="1"/>
  <c r="O57" i="2"/>
  <c r="P57" i="2" s="1"/>
  <c r="AB21" i="2"/>
  <c r="Y22" i="2" s="1"/>
  <c r="Z22" i="2" s="1"/>
  <c r="AA22" i="2" s="1"/>
  <c r="N195" i="1"/>
  <c r="O195" i="1" s="1"/>
  <c r="N160" i="1"/>
  <c r="O160" i="1" s="1"/>
  <c r="P125" i="1"/>
  <c r="M126" i="1" s="1"/>
  <c r="P94" i="1"/>
  <c r="M95" i="1" s="1"/>
  <c r="P62" i="1"/>
  <c r="M63" i="1" s="1"/>
  <c r="N33" i="1"/>
  <c r="O33" i="1" s="1"/>
  <c r="P33" i="1"/>
  <c r="Q263" i="2" l="1"/>
  <c r="N264" i="2" s="1"/>
  <c r="Q226" i="2"/>
  <c r="N227" i="2" s="1"/>
  <c r="AE227" i="2"/>
  <c r="AF227" i="2" s="1"/>
  <c r="O227" i="2"/>
  <c r="P227" i="2" s="1"/>
  <c r="W230" i="2"/>
  <c r="X230" i="2" s="1"/>
  <c r="Y230" i="2"/>
  <c r="V231" i="2" s="1"/>
  <c r="AO226" i="2"/>
  <c r="AL227" i="2" s="1"/>
  <c r="AE194" i="2"/>
  <c r="AF194" i="2" s="1"/>
  <c r="W197" i="2"/>
  <c r="X197" i="2" s="1"/>
  <c r="Y197" i="2"/>
  <c r="V198" i="2" s="1"/>
  <c r="Q193" i="2"/>
  <c r="N194" i="2" s="1"/>
  <c r="AO194" i="2"/>
  <c r="AL195" i="2" s="1"/>
  <c r="AE160" i="2"/>
  <c r="AF160" i="2" s="1"/>
  <c r="Q157" i="2"/>
  <c r="N158" i="2" s="1"/>
  <c r="O158" i="2" s="1"/>
  <c r="P158" i="2" s="1"/>
  <c r="AM128" i="2"/>
  <c r="AN128" i="2" s="1"/>
  <c r="Y125" i="2"/>
  <c r="V126" i="2" s="1"/>
  <c r="W160" i="2"/>
  <c r="X160" i="2" s="1"/>
  <c r="AG127" i="2"/>
  <c r="AD128" i="2" s="1"/>
  <c r="AO161" i="2"/>
  <c r="AL162" i="2" s="1"/>
  <c r="O128" i="2"/>
  <c r="P128" i="2" s="1"/>
  <c r="AM90" i="2"/>
  <c r="AN90" i="2" s="1"/>
  <c r="Y94" i="2"/>
  <c r="V95" i="2" s="1"/>
  <c r="AE93" i="2"/>
  <c r="AF93" i="2" s="1"/>
  <c r="AG93" i="2"/>
  <c r="AD94" i="2" s="1"/>
  <c r="AM58" i="2"/>
  <c r="AN58" i="2" s="1"/>
  <c r="AG58" i="2"/>
  <c r="AD59" i="2" s="1"/>
  <c r="W57" i="2"/>
  <c r="X57" i="2" s="1"/>
  <c r="Q91" i="2"/>
  <c r="N92" i="2" s="1"/>
  <c r="Q57" i="2"/>
  <c r="N58" i="2" s="1"/>
  <c r="O58" i="2"/>
  <c r="P58" i="2" s="1"/>
  <c r="Q58" i="2"/>
  <c r="N59" i="2" s="1"/>
  <c r="AB22" i="2"/>
  <c r="Y23" i="2" s="1"/>
  <c r="P195" i="1"/>
  <c r="M196" i="1" s="1"/>
  <c r="P160" i="1"/>
  <c r="M161" i="1" s="1"/>
  <c r="N126" i="1"/>
  <c r="O126" i="1" s="1"/>
  <c r="N95" i="1"/>
  <c r="O95" i="1" s="1"/>
  <c r="N63" i="1"/>
  <c r="O63" i="1" s="1"/>
  <c r="O264" i="2" l="1"/>
  <c r="P264" i="2" s="1"/>
  <c r="AM227" i="2"/>
  <c r="AN227" i="2" s="1"/>
  <c r="Q227" i="2"/>
  <c r="N228" i="2" s="1"/>
  <c r="W231" i="2"/>
  <c r="X231" i="2" s="1"/>
  <c r="AG227" i="2"/>
  <c r="AD228" i="2" s="1"/>
  <c r="AG194" i="2"/>
  <c r="AD195" i="2" s="1"/>
  <c r="AE195" i="2"/>
  <c r="AF195" i="2" s="1"/>
  <c r="AM195" i="2"/>
  <c r="AN195" i="2" s="1"/>
  <c r="O194" i="2"/>
  <c r="P194" i="2" s="1"/>
  <c r="W198" i="2"/>
  <c r="X198" i="2" s="1"/>
  <c r="AG160" i="2"/>
  <c r="AD161" i="2" s="1"/>
  <c r="Q158" i="2"/>
  <c r="N159" i="2" s="1"/>
  <c r="AE128" i="2"/>
  <c r="AF128" i="2" s="1"/>
  <c r="Y160" i="2"/>
  <c r="V161" i="2" s="1"/>
  <c r="Q128" i="2"/>
  <c r="N129" i="2" s="1"/>
  <c r="W126" i="2"/>
  <c r="X126" i="2" s="1"/>
  <c r="Y126" i="2"/>
  <c r="V127" i="2" s="1"/>
  <c r="AO128" i="2"/>
  <c r="AL129" i="2" s="1"/>
  <c r="AM162" i="2"/>
  <c r="AN162" i="2" s="1"/>
  <c r="AE94" i="2"/>
  <c r="AF94" i="2" s="1"/>
  <c r="W95" i="2"/>
  <c r="X95" i="2" s="1"/>
  <c r="Y95" i="2"/>
  <c r="V96" i="2" s="1"/>
  <c r="AO90" i="2"/>
  <c r="AL91" i="2" s="1"/>
  <c r="AO58" i="2"/>
  <c r="AL59" i="2" s="1"/>
  <c r="AE59" i="2"/>
  <c r="AF59" i="2" s="1"/>
  <c r="Y57" i="2"/>
  <c r="V58" i="2" s="1"/>
  <c r="O92" i="2"/>
  <c r="P92" i="2" s="1"/>
  <c r="O59" i="2"/>
  <c r="P59" i="2" s="1"/>
  <c r="Q59" i="2"/>
  <c r="N60" i="2" s="1"/>
  <c r="Z23" i="2"/>
  <c r="AA23" i="2" s="1"/>
  <c r="N196" i="1"/>
  <c r="O196" i="1" s="1"/>
  <c r="N161" i="1"/>
  <c r="O161" i="1" s="1"/>
  <c r="P126" i="1"/>
  <c r="M127" i="1" s="1"/>
  <c r="P95" i="1"/>
  <c r="M96" i="1" s="1"/>
  <c r="P63" i="1"/>
  <c r="M64" i="1" s="1"/>
  <c r="Q264" i="2" l="1"/>
  <c r="N265" i="2" s="1"/>
  <c r="O265" i="2"/>
  <c r="P265" i="2" s="1"/>
  <c r="Q265" i="2"/>
  <c r="N266" i="2" s="1"/>
  <c r="O228" i="2"/>
  <c r="P228" i="2" s="1"/>
  <c r="AO227" i="2"/>
  <c r="AL228" i="2" s="1"/>
  <c r="AE228" i="2"/>
  <c r="AF228" i="2" s="1"/>
  <c r="Y231" i="2"/>
  <c r="V232" i="2" s="1"/>
  <c r="AG195" i="2"/>
  <c r="AD196" i="2" s="1"/>
  <c r="Q194" i="2"/>
  <c r="N195" i="2" s="1"/>
  <c r="AE196" i="2"/>
  <c r="AF196" i="2" s="1"/>
  <c r="Y198" i="2"/>
  <c r="V199" i="2" s="1"/>
  <c r="O195" i="2"/>
  <c r="P195" i="2" s="1"/>
  <c r="AO195" i="2"/>
  <c r="AL196" i="2" s="1"/>
  <c r="AE161" i="2"/>
  <c r="AF161" i="2" s="1"/>
  <c r="O129" i="2"/>
  <c r="P129" i="2" s="1"/>
  <c r="W127" i="2"/>
  <c r="X127" i="2" s="1"/>
  <c r="AM129" i="2"/>
  <c r="AN129" i="2" s="1"/>
  <c r="AO162" i="2"/>
  <c r="AL163" i="2" s="1"/>
  <c r="W161" i="2"/>
  <c r="X161" i="2" s="1"/>
  <c r="AG128" i="2"/>
  <c r="AD129" i="2" s="1"/>
  <c r="O159" i="2"/>
  <c r="P159" i="2" s="1"/>
  <c r="AM91" i="2"/>
  <c r="AN91" i="2" s="1"/>
  <c r="W96" i="2"/>
  <c r="X96" i="2" s="1"/>
  <c r="AG94" i="2"/>
  <c r="AD95" i="2" s="1"/>
  <c r="AG59" i="2"/>
  <c r="AD60" i="2" s="1"/>
  <c r="AE60" i="2" s="1"/>
  <c r="AF60" i="2" s="1"/>
  <c r="AM59" i="2"/>
  <c r="AN59" i="2" s="1"/>
  <c r="W58" i="2"/>
  <c r="X58" i="2" s="1"/>
  <c r="Q92" i="2"/>
  <c r="N93" i="2" s="1"/>
  <c r="O60" i="2"/>
  <c r="P60" i="2" s="1"/>
  <c r="AB23" i="2"/>
  <c r="Y24" i="2" s="1"/>
  <c r="P196" i="1"/>
  <c r="M197" i="1" s="1"/>
  <c r="P161" i="1"/>
  <c r="M162" i="1" s="1"/>
  <c r="N127" i="1"/>
  <c r="O127" i="1" s="1"/>
  <c r="N96" i="1"/>
  <c r="O96" i="1" s="1"/>
  <c r="N64" i="1"/>
  <c r="O64" i="1" s="1"/>
  <c r="O266" i="2" l="1"/>
  <c r="P266" i="2" s="1"/>
  <c r="Q228" i="2"/>
  <c r="N229" i="2" s="1"/>
  <c r="AG228" i="2"/>
  <c r="AD229" i="2" s="1"/>
  <c r="W232" i="2"/>
  <c r="X232" i="2" s="1"/>
  <c r="AM228" i="2"/>
  <c r="AN228" i="2" s="1"/>
  <c r="AO228" i="2"/>
  <c r="AL229" i="2" s="1"/>
  <c r="Q195" i="2"/>
  <c r="N196" i="2" s="1"/>
  <c r="W199" i="2"/>
  <c r="X199" i="2" s="1"/>
  <c r="Y199" i="2"/>
  <c r="V200" i="2" s="1"/>
  <c r="AM196" i="2"/>
  <c r="AN196" i="2" s="1"/>
  <c r="AG196" i="2"/>
  <c r="AD197" i="2" s="1"/>
  <c r="AG161" i="2"/>
  <c r="AD162" i="2" s="1"/>
  <c r="Q159" i="2"/>
  <c r="N160" i="2" s="1"/>
  <c r="O160" i="2" s="1"/>
  <c r="P160" i="2" s="1"/>
  <c r="AO129" i="2"/>
  <c r="AL130" i="2" s="1"/>
  <c r="AM130" i="2" s="1"/>
  <c r="AN130" i="2" s="1"/>
  <c r="Q129" i="2"/>
  <c r="N130" i="2" s="1"/>
  <c r="O130" i="2"/>
  <c r="P130" i="2" s="1"/>
  <c r="Y161" i="2"/>
  <c r="V162" i="2" s="1"/>
  <c r="AM163" i="2"/>
  <c r="AN163" i="2" s="1"/>
  <c r="Y127" i="2"/>
  <c r="V128" i="2" s="1"/>
  <c r="AE129" i="2"/>
  <c r="AF129" i="2" s="1"/>
  <c r="AE95" i="2"/>
  <c r="AF95" i="2" s="1"/>
  <c r="Y96" i="2"/>
  <c r="V97" i="2" s="1"/>
  <c r="AO91" i="2"/>
  <c r="AL92" i="2" s="1"/>
  <c r="AO59" i="2"/>
  <c r="AL60" i="2" s="1"/>
  <c r="AG60" i="2"/>
  <c r="AD61" i="2" s="1"/>
  <c r="Y58" i="2"/>
  <c r="V59" i="2" s="1"/>
  <c r="O93" i="2"/>
  <c r="P93" i="2" s="1"/>
  <c r="Q60" i="2"/>
  <c r="N61" i="2" s="1"/>
  <c r="Z24" i="2"/>
  <c r="AA24" i="2" s="1"/>
  <c r="N197" i="1"/>
  <c r="O197" i="1" s="1"/>
  <c r="N162" i="1"/>
  <c r="O162" i="1" s="1"/>
  <c r="P127" i="1"/>
  <c r="M128" i="1" s="1"/>
  <c r="P96" i="1"/>
  <c r="M97" i="1" s="1"/>
  <c r="P64" i="1"/>
  <c r="M65" i="1" s="1"/>
  <c r="Q266" i="2" l="1"/>
  <c r="N267" i="2" s="1"/>
  <c r="O267" i="2"/>
  <c r="P267" i="2" s="1"/>
  <c r="AE229" i="2"/>
  <c r="AF229" i="2" s="1"/>
  <c r="O229" i="2"/>
  <c r="P229" i="2" s="1"/>
  <c r="Q229" i="2"/>
  <c r="N230" i="2" s="1"/>
  <c r="AM229" i="2"/>
  <c r="AN229" i="2" s="1"/>
  <c r="Y232" i="2"/>
  <c r="V233" i="2" s="1"/>
  <c r="AE197" i="2"/>
  <c r="AF197" i="2" s="1"/>
  <c r="AO196" i="2"/>
  <c r="AL197" i="2" s="1"/>
  <c r="W200" i="2"/>
  <c r="X200" i="2" s="1"/>
  <c r="Y200" i="2"/>
  <c r="V201" i="2" s="1"/>
  <c r="O196" i="2"/>
  <c r="P196" i="2" s="1"/>
  <c r="AE162" i="2"/>
  <c r="AF162" i="2" s="1"/>
  <c r="AO130" i="2"/>
  <c r="AL131" i="2" s="1"/>
  <c r="AM131" i="2" s="1"/>
  <c r="AN131" i="2" s="1"/>
  <c r="W128" i="2"/>
  <c r="X128" i="2" s="1"/>
  <c r="Q160" i="2"/>
  <c r="N161" i="2" s="1"/>
  <c r="AO163" i="2"/>
  <c r="AL164" i="2" s="1"/>
  <c r="W162" i="2"/>
  <c r="X162" i="2" s="1"/>
  <c r="AG129" i="2"/>
  <c r="AD130" i="2" s="1"/>
  <c r="Q130" i="2"/>
  <c r="N131" i="2" s="1"/>
  <c r="AM92" i="2"/>
  <c r="AN92" i="2" s="1"/>
  <c r="W97" i="2"/>
  <c r="X97" i="2" s="1"/>
  <c r="AG95" i="2"/>
  <c r="AD96" i="2" s="1"/>
  <c r="AM60" i="2"/>
  <c r="AN60" i="2" s="1"/>
  <c r="AE61" i="2"/>
  <c r="AF61" i="2" s="1"/>
  <c r="AG61" i="2"/>
  <c r="AD62" i="2" s="1"/>
  <c r="W59" i="2"/>
  <c r="X59" i="2" s="1"/>
  <c r="Q93" i="2"/>
  <c r="N94" i="2" s="1"/>
  <c r="O61" i="2"/>
  <c r="P61" i="2" s="1"/>
  <c r="AB24" i="2"/>
  <c r="Y25" i="2" s="1"/>
  <c r="P197" i="1"/>
  <c r="M198" i="1" s="1"/>
  <c r="P162" i="1"/>
  <c r="M163" i="1" s="1"/>
  <c r="N128" i="1"/>
  <c r="O128" i="1" s="1"/>
  <c r="N97" i="1"/>
  <c r="O97" i="1" s="1"/>
  <c r="N65" i="1"/>
  <c r="O65" i="1" s="1"/>
  <c r="Q267" i="2" l="1"/>
  <c r="N268" i="2" s="1"/>
  <c r="AG229" i="2"/>
  <c r="AD230" i="2" s="1"/>
  <c r="W233" i="2"/>
  <c r="X233" i="2" s="1"/>
  <c r="Y233" i="2"/>
  <c r="V234" i="2" s="1"/>
  <c r="AO229" i="2"/>
  <c r="AL230" i="2" s="1"/>
  <c r="O230" i="2"/>
  <c r="P230" i="2" s="1"/>
  <c r="AE230" i="2"/>
  <c r="AF230" i="2" s="1"/>
  <c r="Q196" i="2"/>
  <c r="N197" i="2" s="1"/>
  <c r="W201" i="2"/>
  <c r="X201" i="2" s="1"/>
  <c r="Y201" i="2"/>
  <c r="V202" i="2" s="1"/>
  <c r="AM197" i="2"/>
  <c r="AN197" i="2" s="1"/>
  <c r="AG197" i="2"/>
  <c r="AD198" i="2" s="1"/>
  <c r="AO131" i="2"/>
  <c r="AL132" i="2" s="1"/>
  <c r="AG162" i="2"/>
  <c r="AD163" i="2" s="1"/>
  <c r="O131" i="2"/>
  <c r="P131" i="2" s="1"/>
  <c r="Q131" i="2"/>
  <c r="N132" i="2" s="1"/>
  <c r="AE130" i="2"/>
  <c r="AF130" i="2" s="1"/>
  <c r="AG130" i="2"/>
  <c r="AD131" i="2" s="1"/>
  <c r="Y162" i="2"/>
  <c r="V163" i="2" s="1"/>
  <c r="AM164" i="2"/>
  <c r="AN164" i="2" s="1"/>
  <c r="AO164" i="2"/>
  <c r="AL165" i="2" s="1"/>
  <c r="O161" i="2"/>
  <c r="P161" i="2" s="1"/>
  <c r="Y128" i="2"/>
  <c r="V129" i="2" s="1"/>
  <c r="AM132" i="2"/>
  <c r="AN132" i="2" s="1"/>
  <c r="AE96" i="2"/>
  <c r="AF96" i="2" s="1"/>
  <c r="Y97" i="2"/>
  <c r="V98" i="2" s="1"/>
  <c r="AO92" i="2"/>
  <c r="AL93" i="2" s="1"/>
  <c r="AO60" i="2"/>
  <c r="AL61" i="2" s="1"/>
  <c r="AM61" i="2" s="1"/>
  <c r="AN61" i="2" s="1"/>
  <c r="AE62" i="2"/>
  <c r="AF62" i="2" s="1"/>
  <c r="Y59" i="2"/>
  <c r="V60" i="2" s="1"/>
  <c r="O94" i="2"/>
  <c r="P94" i="2" s="1"/>
  <c r="Q61" i="2"/>
  <c r="N62" i="2" s="1"/>
  <c r="Z25" i="2"/>
  <c r="AA25" i="2" s="1"/>
  <c r="N198" i="1"/>
  <c r="O198" i="1" s="1"/>
  <c r="N163" i="1"/>
  <c r="O163" i="1" s="1"/>
  <c r="P128" i="1"/>
  <c r="M129" i="1" s="1"/>
  <c r="P97" i="1"/>
  <c r="M98" i="1" s="1"/>
  <c r="P65" i="1"/>
  <c r="M66" i="1" s="1"/>
  <c r="O268" i="2" l="1"/>
  <c r="P268" i="2" s="1"/>
  <c r="Q268" i="2"/>
  <c r="N269" i="2" s="1"/>
  <c r="AM230" i="2"/>
  <c r="AN230" i="2" s="1"/>
  <c r="W234" i="2"/>
  <c r="X234" i="2" s="1"/>
  <c r="Y234" i="2"/>
  <c r="V235" i="2" s="1"/>
  <c r="AG230" i="2"/>
  <c r="AD231" i="2" s="1"/>
  <c r="Q230" i="2"/>
  <c r="N231" i="2" s="1"/>
  <c r="AO197" i="2"/>
  <c r="AL198" i="2" s="1"/>
  <c r="AM198" i="2" s="1"/>
  <c r="AN198" i="2" s="1"/>
  <c r="O197" i="2"/>
  <c r="P197" i="2" s="1"/>
  <c r="AE198" i="2"/>
  <c r="AF198" i="2" s="1"/>
  <c r="AG198" i="2"/>
  <c r="AD199" i="2" s="1"/>
  <c r="W202" i="2"/>
  <c r="X202" i="2" s="1"/>
  <c r="Y202" i="2"/>
  <c r="AE163" i="2"/>
  <c r="AF163" i="2" s="1"/>
  <c r="AG163" i="2"/>
  <c r="AD164" i="2" s="1"/>
  <c r="W129" i="2"/>
  <c r="X129" i="2" s="1"/>
  <c r="AM165" i="2"/>
  <c r="AN165" i="2" s="1"/>
  <c r="Q161" i="2"/>
  <c r="N162" i="2" s="1"/>
  <c r="W163" i="2"/>
  <c r="X163" i="2" s="1"/>
  <c r="Y163" i="2"/>
  <c r="V164" i="2" s="1"/>
  <c r="AE131" i="2"/>
  <c r="AF131" i="2" s="1"/>
  <c r="O132" i="2"/>
  <c r="P132" i="2" s="1"/>
  <c r="AO132" i="2"/>
  <c r="AL133" i="2" s="1"/>
  <c r="AM93" i="2"/>
  <c r="AN93" i="2" s="1"/>
  <c r="W98" i="2"/>
  <c r="X98" i="2" s="1"/>
  <c r="AG96" i="2"/>
  <c r="AD97" i="2" s="1"/>
  <c r="AO61" i="2"/>
  <c r="AL62" i="2" s="1"/>
  <c r="AM62" i="2" s="1"/>
  <c r="AN62" i="2" s="1"/>
  <c r="AG62" i="2"/>
  <c r="AD63" i="2" s="1"/>
  <c r="W60" i="2"/>
  <c r="X60" i="2" s="1"/>
  <c r="Q94" i="2"/>
  <c r="N95" i="2" s="1"/>
  <c r="O62" i="2"/>
  <c r="P62" i="2" s="1"/>
  <c r="Q62" i="2"/>
  <c r="N63" i="2" s="1"/>
  <c r="AB25" i="2"/>
  <c r="Y26" i="2" s="1"/>
  <c r="P198" i="1"/>
  <c r="M199" i="1" s="1"/>
  <c r="P163" i="1"/>
  <c r="M164" i="1" s="1"/>
  <c r="N129" i="1"/>
  <c r="O129" i="1" s="1"/>
  <c r="N98" i="1"/>
  <c r="O98" i="1" s="1"/>
  <c r="N66" i="1"/>
  <c r="O66" i="1" s="1"/>
  <c r="O269" i="2" l="1"/>
  <c r="P269" i="2" s="1"/>
  <c r="W235" i="2"/>
  <c r="X235" i="2" s="1"/>
  <c r="O231" i="2"/>
  <c r="P231" i="2" s="1"/>
  <c r="AO230" i="2"/>
  <c r="AL231" i="2" s="1"/>
  <c r="AE231" i="2"/>
  <c r="AF231" i="2" s="1"/>
  <c r="AG231" i="2"/>
  <c r="AD232" i="2" s="1"/>
  <c r="Q197" i="2"/>
  <c r="N198" i="2" s="1"/>
  <c r="O198" i="2"/>
  <c r="P198" i="2" s="1"/>
  <c r="AO198" i="2"/>
  <c r="AL199" i="2" s="1"/>
  <c r="AE199" i="2"/>
  <c r="AF199" i="2" s="1"/>
  <c r="AE164" i="2"/>
  <c r="AF164" i="2" s="1"/>
  <c r="Q132" i="2"/>
  <c r="N133" i="2" s="1"/>
  <c r="O162" i="2"/>
  <c r="P162" i="2" s="1"/>
  <c r="O133" i="2"/>
  <c r="P133" i="2" s="1"/>
  <c r="AO165" i="2"/>
  <c r="AL166" i="2" s="1"/>
  <c r="W164" i="2"/>
  <c r="X164" i="2" s="1"/>
  <c r="Y129" i="2"/>
  <c r="V130" i="2" s="1"/>
  <c r="AG131" i="2"/>
  <c r="AD132" i="2" s="1"/>
  <c r="AM133" i="2"/>
  <c r="AN133" i="2" s="1"/>
  <c r="AE97" i="2"/>
  <c r="AF97" i="2" s="1"/>
  <c r="AG97" i="2"/>
  <c r="AD98" i="2" s="1"/>
  <c r="Y98" i="2"/>
  <c r="V99" i="2" s="1"/>
  <c r="AO93" i="2"/>
  <c r="AL94" i="2" s="1"/>
  <c r="AO62" i="2"/>
  <c r="AL63" i="2" s="1"/>
  <c r="AM63" i="2"/>
  <c r="AN63" i="2" s="1"/>
  <c r="AE63" i="2"/>
  <c r="AF63" i="2" s="1"/>
  <c r="Y60" i="2"/>
  <c r="V61" i="2" s="1"/>
  <c r="O95" i="2"/>
  <c r="P95" i="2" s="1"/>
  <c r="O63" i="2"/>
  <c r="P63" i="2" s="1"/>
  <c r="Z26" i="2"/>
  <c r="AA26" i="2" s="1"/>
  <c r="N199" i="1"/>
  <c r="O199" i="1" s="1"/>
  <c r="N164" i="1"/>
  <c r="O164" i="1" s="1"/>
  <c r="P129" i="1"/>
  <c r="M130" i="1" s="1"/>
  <c r="P98" i="1"/>
  <c r="M99" i="1" s="1"/>
  <c r="P66" i="1"/>
  <c r="M67" i="1" s="1"/>
  <c r="Q269" i="2" l="1"/>
  <c r="N270" i="2" s="1"/>
  <c r="Y235" i="2"/>
  <c r="V236" i="2" s="1"/>
  <c r="Q231" i="2"/>
  <c r="N232" i="2" s="1"/>
  <c r="O232" i="2"/>
  <c r="P232" i="2" s="1"/>
  <c r="W236" i="2"/>
  <c r="X236" i="2" s="1"/>
  <c r="Y236" i="2"/>
  <c r="AE232" i="2"/>
  <c r="AF232" i="2" s="1"/>
  <c r="AM231" i="2"/>
  <c r="AN231" i="2" s="1"/>
  <c r="Q198" i="2"/>
  <c r="N199" i="2" s="1"/>
  <c r="O199" i="2"/>
  <c r="P199" i="2" s="1"/>
  <c r="AG199" i="2"/>
  <c r="AD200" i="2" s="1"/>
  <c r="AM199" i="2"/>
  <c r="AN199" i="2" s="1"/>
  <c r="AG164" i="2"/>
  <c r="AD165" i="2" s="1"/>
  <c r="Y164" i="2"/>
  <c r="V165" i="2" s="1"/>
  <c r="Q162" i="2"/>
  <c r="N163" i="2" s="1"/>
  <c r="O163" i="2" s="1"/>
  <c r="P163" i="2" s="1"/>
  <c r="AO133" i="2"/>
  <c r="AL134" i="2" s="1"/>
  <c r="W130" i="2"/>
  <c r="X130" i="2" s="1"/>
  <c r="AE132" i="2"/>
  <c r="AF132" i="2" s="1"/>
  <c r="AM166" i="2"/>
  <c r="AN166" i="2" s="1"/>
  <c r="Q133" i="2"/>
  <c r="N134" i="2" s="1"/>
  <c r="W165" i="2"/>
  <c r="X165" i="2" s="1"/>
  <c r="AM94" i="2"/>
  <c r="AN94" i="2" s="1"/>
  <c r="W99" i="2"/>
  <c r="X99" i="2" s="1"/>
  <c r="Y99" i="2"/>
  <c r="V100" i="2" s="1"/>
  <c r="AE98" i="2"/>
  <c r="AF98" i="2" s="1"/>
  <c r="AO63" i="2"/>
  <c r="AL64" i="2" s="1"/>
  <c r="AG63" i="2"/>
  <c r="AD64" i="2" s="1"/>
  <c r="W61" i="2"/>
  <c r="X61" i="2" s="1"/>
  <c r="Q95" i="2"/>
  <c r="N96" i="2" s="1"/>
  <c r="Q63" i="2"/>
  <c r="N64" i="2" s="1"/>
  <c r="AB26" i="2"/>
  <c r="Y27" i="2" s="1"/>
  <c r="P199" i="1"/>
  <c r="M200" i="1" s="1"/>
  <c r="P164" i="1"/>
  <c r="M165" i="1" s="1"/>
  <c r="N130" i="1"/>
  <c r="O130" i="1" s="1"/>
  <c r="N99" i="1"/>
  <c r="O99" i="1" s="1"/>
  <c r="N67" i="1"/>
  <c r="O67" i="1" s="1"/>
  <c r="O270" i="2" l="1"/>
  <c r="P270" i="2" s="1"/>
  <c r="Q232" i="2"/>
  <c r="N233" i="2" s="1"/>
  <c r="AO231" i="2"/>
  <c r="AL232" i="2" s="1"/>
  <c r="AG232" i="2"/>
  <c r="AD233" i="2" s="1"/>
  <c r="Q199" i="2"/>
  <c r="N200" i="2" s="1"/>
  <c r="O200" i="2" s="1"/>
  <c r="P200" i="2" s="1"/>
  <c r="AO199" i="2"/>
  <c r="AL200" i="2" s="1"/>
  <c r="AE200" i="2"/>
  <c r="AF200" i="2" s="1"/>
  <c r="AE165" i="2"/>
  <c r="AF165" i="2" s="1"/>
  <c r="AG165" i="2"/>
  <c r="AD166" i="2" s="1"/>
  <c r="Y165" i="2"/>
  <c r="V166" i="2" s="1"/>
  <c r="Q163" i="2"/>
  <c r="N164" i="2" s="1"/>
  <c r="O164" i="2"/>
  <c r="P164" i="2" s="1"/>
  <c r="O134" i="2"/>
  <c r="P134" i="2" s="1"/>
  <c r="AO166" i="2"/>
  <c r="AL167" i="2" s="1"/>
  <c r="AG132" i="2"/>
  <c r="AD133" i="2" s="1"/>
  <c r="Y130" i="2"/>
  <c r="V131" i="2" s="1"/>
  <c r="AM134" i="2"/>
  <c r="AN134" i="2" s="1"/>
  <c r="W166" i="2"/>
  <c r="X166" i="2" s="1"/>
  <c r="Y166" i="2"/>
  <c r="V167" i="2" s="1"/>
  <c r="AO94" i="2"/>
  <c r="AL95" i="2" s="1"/>
  <c r="AG98" i="2"/>
  <c r="AD99" i="2" s="1"/>
  <c r="W100" i="2"/>
  <c r="X100" i="2" s="1"/>
  <c r="AM95" i="2"/>
  <c r="AN95" i="2" s="1"/>
  <c r="AM64" i="2"/>
  <c r="AN64" i="2" s="1"/>
  <c r="AE64" i="2"/>
  <c r="AF64" i="2" s="1"/>
  <c r="Y61" i="2"/>
  <c r="V62" i="2" s="1"/>
  <c r="O96" i="2"/>
  <c r="P96" i="2" s="1"/>
  <c r="O64" i="2"/>
  <c r="P64" i="2" s="1"/>
  <c r="Z27" i="2"/>
  <c r="AA27" i="2" s="1"/>
  <c r="N200" i="1"/>
  <c r="O200" i="1" s="1"/>
  <c r="N165" i="1"/>
  <c r="O165" i="1" s="1"/>
  <c r="P130" i="1"/>
  <c r="M131" i="1" s="1"/>
  <c r="P99" i="1"/>
  <c r="M100" i="1" s="1"/>
  <c r="P67" i="1"/>
  <c r="Q270" i="2" l="1"/>
  <c r="AE233" i="2"/>
  <c r="AF233" i="2" s="1"/>
  <c r="AM232" i="2"/>
  <c r="AN232" i="2" s="1"/>
  <c r="O233" i="2"/>
  <c r="P233" i="2" s="1"/>
  <c r="Q233" i="2"/>
  <c r="N234" i="2" s="1"/>
  <c r="Q200" i="2"/>
  <c r="N201" i="2" s="1"/>
  <c r="O201" i="2" s="1"/>
  <c r="P201" i="2" s="1"/>
  <c r="AG200" i="2"/>
  <c r="AD201" i="2" s="1"/>
  <c r="AM200" i="2"/>
  <c r="AN200" i="2" s="1"/>
  <c r="AO200" i="2"/>
  <c r="AL201" i="2" s="1"/>
  <c r="AE166" i="2"/>
  <c r="AF166" i="2" s="1"/>
  <c r="Q164" i="2"/>
  <c r="N165" i="2" s="1"/>
  <c r="O165" i="2" s="1"/>
  <c r="P165" i="2" s="1"/>
  <c r="AO134" i="2"/>
  <c r="W131" i="2"/>
  <c r="X131" i="2" s="1"/>
  <c r="AM167" i="2"/>
  <c r="AN167" i="2" s="1"/>
  <c r="Q134" i="2"/>
  <c r="W167" i="2"/>
  <c r="X167" i="2" s="1"/>
  <c r="AE133" i="2"/>
  <c r="AF133" i="2" s="1"/>
  <c r="AO95" i="2"/>
  <c r="AL96" i="2" s="1"/>
  <c r="Y100" i="2"/>
  <c r="AE99" i="2"/>
  <c r="AF99" i="2" s="1"/>
  <c r="AO64" i="2"/>
  <c r="AL65" i="2" s="1"/>
  <c r="AG64" i="2"/>
  <c r="AD65" i="2" s="1"/>
  <c r="W62" i="2"/>
  <c r="X62" i="2" s="1"/>
  <c r="Q96" i="2"/>
  <c r="N97" i="2" s="1"/>
  <c r="Q64" i="2"/>
  <c r="N65" i="2" s="1"/>
  <c r="AB27" i="2"/>
  <c r="Y28" i="2" s="1"/>
  <c r="P200" i="1"/>
  <c r="M201" i="1" s="1"/>
  <c r="P165" i="1"/>
  <c r="M166" i="1" s="1"/>
  <c r="N131" i="1"/>
  <c r="O131" i="1" s="1"/>
  <c r="N100" i="1"/>
  <c r="O100" i="1" s="1"/>
  <c r="AG233" i="2" l="1"/>
  <c r="AD234" i="2" s="1"/>
  <c r="O234" i="2"/>
  <c r="P234" i="2" s="1"/>
  <c r="AO232" i="2"/>
  <c r="AL233" i="2" s="1"/>
  <c r="AM201" i="2"/>
  <c r="AN201" i="2" s="1"/>
  <c r="AO201" i="2"/>
  <c r="AL202" i="2" s="1"/>
  <c r="Q201" i="2"/>
  <c r="N202" i="2" s="1"/>
  <c r="AE201" i="2"/>
  <c r="AF201" i="2" s="1"/>
  <c r="AG201" i="2"/>
  <c r="AD202" i="2" s="1"/>
  <c r="AG166" i="2"/>
  <c r="AD167" i="2" s="1"/>
  <c r="AO167" i="2"/>
  <c r="AL168" i="2" s="1"/>
  <c r="AG133" i="2"/>
  <c r="AD134" i="2" s="1"/>
  <c r="Y167" i="2"/>
  <c r="V168" i="2" s="1"/>
  <c r="Q165" i="2"/>
  <c r="N166" i="2" s="1"/>
  <c r="Y131" i="2"/>
  <c r="V132" i="2" s="1"/>
  <c r="AG99" i="2"/>
  <c r="AD100" i="2" s="1"/>
  <c r="AM96" i="2"/>
  <c r="AN96" i="2" s="1"/>
  <c r="AM65" i="2"/>
  <c r="AN65" i="2" s="1"/>
  <c r="AE65" i="2"/>
  <c r="AF65" i="2" s="1"/>
  <c r="Y62" i="2"/>
  <c r="V63" i="2" s="1"/>
  <c r="W63" i="2" s="1"/>
  <c r="X63" i="2" s="1"/>
  <c r="O97" i="2"/>
  <c r="P97" i="2" s="1"/>
  <c r="O65" i="2"/>
  <c r="P65" i="2" s="1"/>
  <c r="Z28" i="2"/>
  <c r="AA28" i="2" s="1"/>
  <c r="N201" i="1"/>
  <c r="O201" i="1" s="1"/>
  <c r="N166" i="1"/>
  <c r="O166" i="1" s="1"/>
  <c r="P131" i="1"/>
  <c r="M132" i="1" s="1"/>
  <c r="P100" i="1"/>
  <c r="M101" i="1" s="1"/>
  <c r="Q234" i="2" l="1"/>
  <c r="N235" i="2" s="1"/>
  <c r="O235" i="2" s="1"/>
  <c r="P235" i="2" s="1"/>
  <c r="AM233" i="2"/>
  <c r="AN233" i="2" s="1"/>
  <c r="AO233" i="2"/>
  <c r="AL234" i="2" s="1"/>
  <c r="AE234" i="2"/>
  <c r="AF234" i="2" s="1"/>
  <c r="AG234" i="2"/>
  <c r="AD235" i="2" s="1"/>
  <c r="AE202" i="2"/>
  <c r="AF202" i="2" s="1"/>
  <c r="AG202" i="2"/>
  <c r="O202" i="2"/>
  <c r="P202" i="2" s="1"/>
  <c r="Q202" i="2"/>
  <c r="AM202" i="2"/>
  <c r="AN202" i="2" s="1"/>
  <c r="AE167" i="2"/>
  <c r="AF167" i="2" s="1"/>
  <c r="AG167" i="2"/>
  <c r="AD168" i="2" s="1"/>
  <c r="AE168" i="2" s="1"/>
  <c r="AF168" i="2" s="1"/>
  <c r="W132" i="2"/>
  <c r="X132" i="2" s="1"/>
  <c r="W168" i="2"/>
  <c r="X168" i="2" s="1"/>
  <c r="AM168" i="2"/>
  <c r="AN168" i="2" s="1"/>
  <c r="O166" i="2"/>
  <c r="P166" i="2" s="1"/>
  <c r="AE134" i="2"/>
  <c r="AF134" i="2" s="1"/>
  <c r="AG168" i="2"/>
  <c r="AO96" i="2"/>
  <c r="AL97" i="2" s="1"/>
  <c r="AE100" i="2"/>
  <c r="AF100" i="2" s="1"/>
  <c r="AO65" i="2"/>
  <c r="AL66" i="2" s="1"/>
  <c r="AG65" i="2"/>
  <c r="AD66" i="2" s="1"/>
  <c r="Y63" i="2"/>
  <c r="V64" i="2" s="1"/>
  <c r="W64" i="2"/>
  <c r="X64" i="2" s="1"/>
  <c r="Q97" i="2"/>
  <c r="N98" i="2" s="1"/>
  <c r="O98" i="2" s="1"/>
  <c r="P98" i="2" s="1"/>
  <c r="Q65" i="2"/>
  <c r="N66" i="2" s="1"/>
  <c r="AB28" i="2"/>
  <c r="Y29" i="2" s="1"/>
  <c r="Z29" i="2" s="1"/>
  <c r="AA29" i="2" s="1"/>
  <c r="P201" i="1"/>
  <c r="M202" i="1" s="1"/>
  <c r="P166" i="1"/>
  <c r="M167" i="1" s="1"/>
  <c r="N132" i="1"/>
  <c r="O132" i="1" s="1"/>
  <c r="N101" i="1"/>
  <c r="O101" i="1" s="1"/>
  <c r="G10" i="2" l="1"/>
  <c r="Q235" i="2"/>
  <c r="N236" i="2" s="1"/>
  <c r="AE235" i="2"/>
  <c r="AF235" i="2" s="1"/>
  <c r="AG235" i="2"/>
  <c r="AD236" i="2" s="1"/>
  <c r="AM234" i="2"/>
  <c r="AN234" i="2" s="1"/>
  <c r="AO234" i="2"/>
  <c r="AL235" i="2" s="1"/>
  <c r="AO202" i="2"/>
  <c r="Q166" i="2"/>
  <c r="N167" i="2" s="1"/>
  <c r="AO168" i="2"/>
  <c r="Y168" i="2"/>
  <c r="AG134" i="2"/>
  <c r="Y132" i="2"/>
  <c r="V133" i="2" s="1"/>
  <c r="AG100" i="2"/>
  <c r="AM97" i="2"/>
  <c r="AN97" i="2" s="1"/>
  <c r="AM66" i="2"/>
  <c r="AN66" i="2" s="1"/>
  <c r="AE66" i="2"/>
  <c r="AF66" i="2" s="1"/>
  <c r="Y64" i="2"/>
  <c r="V65" i="2" s="1"/>
  <c r="Q98" i="2"/>
  <c r="N99" i="2" s="1"/>
  <c r="O66" i="2"/>
  <c r="P66" i="2" s="1"/>
  <c r="G3" i="2" s="1"/>
  <c r="H3" i="2" s="1"/>
  <c r="Q66" i="2"/>
  <c r="AB29" i="2"/>
  <c r="Y30" i="2" s="1"/>
  <c r="N202" i="1"/>
  <c r="O202" i="1" s="1"/>
  <c r="N167" i="1"/>
  <c r="O167" i="1" s="1"/>
  <c r="P132" i="1"/>
  <c r="M133" i="1" s="1"/>
  <c r="P101" i="1"/>
  <c r="M102" i="1" s="1"/>
  <c r="H10" i="2" l="1"/>
  <c r="K11" i="3" s="1"/>
  <c r="Q11" i="3" s="1"/>
  <c r="J11" i="3"/>
  <c r="AE236" i="2"/>
  <c r="AF236" i="2" s="1"/>
  <c r="AG236" i="2"/>
  <c r="AM235" i="2"/>
  <c r="AN235" i="2" s="1"/>
  <c r="O236" i="2"/>
  <c r="P236" i="2" s="1"/>
  <c r="O167" i="2"/>
  <c r="P167" i="2" s="1"/>
  <c r="W133" i="2"/>
  <c r="X133" i="2" s="1"/>
  <c r="AO97" i="2"/>
  <c r="AL98" i="2" s="1"/>
  <c r="AO66" i="2"/>
  <c r="AG66" i="2"/>
  <c r="W65" i="2"/>
  <c r="X65" i="2" s="1"/>
  <c r="O99" i="2"/>
  <c r="P99" i="2" s="1"/>
  <c r="Z30" i="2"/>
  <c r="AA30" i="2" s="1"/>
  <c r="P202" i="1"/>
  <c r="M203" i="1" s="1"/>
  <c r="P167" i="1"/>
  <c r="M168" i="1" s="1"/>
  <c r="N133" i="1"/>
  <c r="O133" i="1" s="1"/>
  <c r="N102" i="1"/>
  <c r="O102" i="1" s="1"/>
  <c r="R11" i="3" l="1"/>
  <c r="E10" i="4" s="1"/>
  <c r="Y10" i="5" s="1"/>
  <c r="AG10" i="5" s="1"/>
  <c r="T11" i="3"/>
  <c r="G10" i="4" s="1"/>
  <c r="AA10" i="5" s="1"/>
  <c r="AI10" i="5" s="1"/>
  <c r="S11" i="3"/>
  <c r="F10" i="4" s="1"/>
  <c r="Z10" i="5" s="1"/>
  <c r="AH10" i="5" s="1"/>
  <c r="Q236" i="2"/>
  <c r="AO235" i="2"/>
  <c r="AL236" i="2" s="1"/>
  <c r="Q167" i="2"/>
  <c r="N168" i="2" s="1"/>
  <c r="O168" i="2"/>
  <c r="P168" i="2" s="1"/>
  <c r="Y133" i="2"/>
  <c r="V134" i="2" s="1"/>
  <c r="AM98" i="2"/>
  <c r="AN98" i="2" s="1"/>
  <c r="Y65" i="2"/>
  <c r="V66" i="2" s="1"/>
  <c r="Q99" i="2"/>
  <c r="N100" i="2" s="1"/>
  <c r="O100" i="2" s="1"/>
  <c r="P100" i="2" s="1"/>
  <c r="G4" i="2" s="1"/>
  <c r="H4" i="2" s="1"/>
  <c r="AB30" i="2"/>
  <c r="Y31" i="2" s="1"/>
  <c r="N203" i="1"/>
  <c r="O203" i="1" s="1"/>
  <c r="N168" i="1"/>
  <c r="O168" i="1" s="1"/>
  <c r="P133" i="1"/>
  <c r="M134" i="1" s="1"/>
  <c r="P102" i="1"/>
  <c r="AM236" i="2" l="1"/>
  <c r="AN236" i="2" s="1"/>
  <c r="Q168" i="2"/>
  <c r="W134" i="2"/>
  <c r="X134" i="2" s="1"/>
  <c r="AO98" i="2"/>
  <c r="AL99" i="2" s="1"/>
  <c r="W66" i="2"/>
  <c r="X66" i="2" s="1"/>
  <c r="G5" i="2" s="1"/>
  <c r="H5" i="2" s="1"/>
  <c r="Q100" i="2"/>
  <c r="Z31" i="2"/>
  <c r="AA31" i="2" s="1"/>
  <c r="P203" i="1"/>
  <c r="M204" i="1" s="1"/>
  <c r="P168" i="1"/>
  <c r="M169" i="1" s="1"/>
  <c r="N134" i="1"/>
  <c r="O134" i="1" s="1"/>
  <c r="AO236" i="2" l="1"/>
  <c r="Y134" i="2"/>
  <c r="AM99" i="2"/>
  <c r="AN99" i="2" s="1"/>
  <c r="AO99" i="2"/>
  <c r="AL100" i="2" s="1"/>
  <c r="Y66" i="2"/>
  <c r="AB31" i="2"/>
  <c r="Y32" i="2" s="1"/>
  <c r="N204" i="1"/>
  <c r="O204" i="1" s="1"/>
  <c r="N169" i="1"/>
  <c r="O169" i="1" s="1"/>
  <c r="P134" i="1"/>
  <c r="M135" i="1" s="1"/>
  <c r="AM100" i="2" l="1"/>
  <c r="AN100" i="2" s="1"/>
  <c r="G11" i="2" s="1"/>
  <c r="H11" i="2" s="1"/>
  <c r="K12" i="3" s="1"/>
  <c r="Q12" i="3" s="1"/>
  <c r="Z32" i="2"/>
  <c r="AA32" i="2" s="1"/>
  <c r="P204" i="1"/>
  <c r="M205" i="1" s="1"/>
  <c r="P169" i="1"/>
  <c r="M170" i="1" s="1"/>
  <c r="N135" i="1"/>
  <c r="O135" i="1" s="1"/>
  <c r="R12" i="3" l="1"/>
  <c r="E11" i="4" s="1"/>
  <c r="Y11" i="5" s="1"/>
  <c r="AG11" i="5" s="1"/>
  <c r="T12" i="3"/>
  <c r="G11" i="4" s="1"/>
  <c r="AA11" i="5" s="1"/>
  <c r="AI11" i="5" s="1"/>
  <c r="S12" i="3"/>
  <c r="F11" i="4" s="1"/>
  <c r="Z11" i="5" s="1"/>
  <c r="AH11" i="5" s="1"/>
  <c r="AO100" i="2"/>
  <c r="G2" i="2"/>
  <c r="H2" i="2" s="1"/>
  <c r="AB32" i="2"/>
  <c r="N205" i="1"/>
  <c r="O205" i="1" s="1"/>
  <c r="N170" i="1"/>
  <c r="O170" i="1" s="1"/>
  <c r="P135" i="1"/>
  <c r="M136" i="1" s="1"/>
  <c r="P205" i="1" l="1"/>
  <c r="M206" i="1" s="1"/>
  <c r="P170" i="1"/>
  <c r="M171" i="1" s="1"/>
  <c r="N136" i="1"/>
  <c r="O136" i="1" s="1"/>
  <c r="N206" i="1" l="1"/>
  <c r="O206" i="1" s="1"/>
  <c r="N171" i="1"/>
  <c r="O171" i="1" s="1"/>
  <c r="P136" i="1"/>
  <c r="M137" i="1" s="1"/>
  <c r="P206" i="1" l="1"/>
  <c r="M207" i="1" s="1"/>
  <c r="P171" i="1"/>
  <c r="M172" i="1" s="1"/>
  <c r="N137" i="1"/>
  <c r="O137" i="1" s="1"/>
  <c r="N207" i="1" l="1"/>
  <c r="O207" i="1" s="1"/>
  <c r="N172" i="1"/>
  <c r="O172" i="1" s="1"/>
  <c r="P137" i="1"/>
  <c r="P207" i="1" l="1"/>
  <c r="P17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Stoycho Rusinov</author>
  </authors>
  <commentList>
    <comment ref="G8" authorId="0" shapeId="0" xr:uid="{2655C37E-975B-4AF1-8FBD-093F9FFEF4DB}">
      <text>
        <r>
          <rPr>
            <b/>
            <sz val="11"/>
            <color indexed="81"/>
            <rFont val="Tahoma"/>
            <family val="2"/>
            <charset val="204"/>
          </rPr>
          <t>Stoycho Rusinov:</t>
        </r>
        <r>
          <rPr>
            <sz val="11"/>
            <color indexed="81"/>
            <rFont val="Tahoma"/>
            <family val="2"/>
            <charset val="204"/>
          </rPr>
          <t xml:space="preserve">
Dropped later because beta_i is unavailable</t>
        </r>
      </text>
    </comment>
  </commentList>
</comments>
</file>

<file path=xl/sharedStrings.xml><?xml version="1.0" encoding="utf-8"?>
<sst xmlns="http://schemas.openxmlformats.org/spreadsheetml/2006/main" count="951" uniqueCount="377">
  <si>
    <t>L</t>
  </si>
  <si>
    <t>Ppost</t>
  </si>
  <si>
    <t>alpha</t>
  </si>
  <si>
    <t>tau</t>
  </si>
  <si>
    <t>g</t>
  </si>
  <si>
    <t>r</t>
  </si>
  <si>
    <t>T</t>
  </si>
  <si>
    <t>beta_pooled</t>
  </si>
  <si>
    <t>Starting parameters</t>
  </si>
  <si>
    <t>Starting salary</t>
  </si>
  <si>
    <t>PV loan</t>
  </si>
  <si>
    <t>k</t>
  </si>
  <si>
    <t>Elasticity</t>
  </si>
  <si>
    <t xml:space="preserve">Year </t>
  </si>
  <si>
    <t>Income</t>
  </si>
  <si>
    <t>raw repayment</t>
  </si>
  <si>
    <t xml:space="preserve">Opening balance </t>
  </si>
  <si>
    <t xml:space="preserve">actual repayment </t>
  </si>
  <si>
    <t>discounted payment</t>
  </si>
  <si>
    <t xml:space="preserve">Closing balance </t>
  </si>
  <si>
    <t>Repayment schedule with an income of 20000 pounds</t>
  </si>
  <si>
    <t>Repayment schedule with an income of 26000 pounds</t>
  </si>
  <si>
    <t>Repayment schedule with an income of 35000 pounds</t>
  </si>
  <si>
    <t>Repayment schedule with an income of 32000 pounds</t>
  </si>
  <si>
    <t>Repayment schedule with an income of 50000 pounds</t>
  </si>
  <si>
    <t>eur_gbp</t>
  </si>
  <si>
    <t>F</t>
  </si>
  <si>
    <t>Country</t>
  </si>
  <si>
    <t>Wage_EURO</t>
  </si>
  <si>
    <t>wage_gbp</t>
  </si>
  <si>
    <t>PV_loan</t>
  </si>
  <si>
    <t>k_i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</si>
  <si>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</si>
  <si>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</si>
  <si>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</si>
  <si>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</si>
  <si>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</si>
  <si>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</si>
  <si>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</si>
  <si>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</si>
  <si>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</si>
  <si>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</si>
  <si>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</si>
  <si>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</si>
  <si>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</si>
  <si>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</si>
  <si>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</si>
  <si>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</si>
  <si>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</si>
  <si>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</si>
  <si>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</si>
  <si>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</si>
  <si>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</si>
  <si>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</si>
  <si>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</si>
  <si>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</si>
  <si>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</si>
  <si>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</si>
  <si>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Repayment schedule for Belgium</t>
  </si>
  <si>
    <t>Repayment schedule for Bulgaria</t>
  </si>
  <si>
    <t>Repayment schedule for Chezchia</t>
  </si>
  <si>
    <t>Repayment schedule for Denmark</t>
  </si>
  <si>
    <t>Repayment schedule for Germany</t>
  </si>
  <si>
    <t>Repayment schedule for Estonia</t>
  </si>
  <si>
    <t>N/a</t>
  </si>
  <si>
    <t>Repayment schedule for Greece</t>
  </si>
  <si>
    <t>Repayment schedule for Spain</t>
  </si>
  <si>
    <t>Repayment schedule for France</t>
  </si>
  <si>
    <t>Repayment schedule for Croatia</t>
  </si>
  <si>
    <t>Repayment schedule for Italy</t>
  </si>
  <si>
    <t>Repayment schedule for Cyrpus</t>
  </si>
  <si>
    <t>Repayment schedule for Latvia</t>
  </si>
  <si>
    <t>Repayment schedule for Lithuania</t>
  </si>
  <si>
    <t>Repayment schedule for Luxembourg</t>
  </si>
  <si>
    <t>Repayment schedule for Hungary</t>
  </si>
  <si>
    <t>Repayment schedule fo rMalta</t>
  </si>
  <si>
    <t>Repayment schedule for Portugal</t>
  </si>
  <si>
    <t>Estimate_TWFE</t>
  </si>
  <si>
    <t>Estimate_controls</t>
  </si>
  <si>
    <t>Estimate_Pooled</t>
  </si>
  <si>
    <t>Netherlands</t>
  </si>
  <si>
    <t>Elasticities</t>
  </si>
  <si>
    <t>betas from models</t>
  </si>
  <si>
    <t>k_j s</t>
  </si>
  <si>
    <t xml:space="preserve">Country </t>
  </si>
  <si>
    <t xml:space="preserve"> Estimate_TWFE</t>
  </si>
  <si>
    <t>elasticity_TWFE_new</t>
  </si>
  <si>
    <t>elasticity_controls_new</t>
  </si>
  <si>
    <t>elasticity_Pooled_new</t>
  </si>
  <si>
    <t>elasticity_TWFE_old</t>
  </si>
  <si>
    <t>elasticity_controls_old</t>
  </si>
  <si>
    <t>elasticity_Pooled_old</t>
  </si>
  <si>
    <t>Country Name</t>
  </si>
  <si>
    <t>Aruba</t>
  </si>
  <si>
    <t>Africa Eastern and Southern</t>
  </si>
  <si>
    <t>Afghanistan</t>
  </si>
  <si>
    <t>Africa Western and Central</t>
  </si>
  <si>
    <t>Angola</t>
  </si>
  <si>
    <t>Albania</t>
  </si>
  <si>
    <t>Andorra</t>
  </si>
  <si>
    <t>Arab World</t>
  </si>
  <si>
    <t>United Arab Emirates</t>
  </si>
  <si>
    <t>Argentina</t>
  </si>
  <si>
    <t>Armenia</t>
  </si>
  <si>
    <t>American Samoa</t>
  </si>
  <si>
    <t>Antigua and Barbuda</t>
  </si>
  <si>
    <t>Australia</t>
  </si>
  <si>
    <t>Azerbaijan</t>
  </si>
  <si>
    <t>Burundi</t>
  </si>
  <si>
    <t>Benin</t>
  </si>
  <si>
    <t>Burkina Faso</t>
  </si>
  <si>
    <t>Bangladesh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</si>
  <si>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</si>
  <si>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</si>
  <si>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</si>
  <si>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</si>
  <si>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</si>
  <si>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</si>
  <si>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</si>
  <si>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</si>
  <si>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</si>
  <si>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</si>
  <si>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</si>
  <si>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</si>
  <si>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</si>
  <si>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</si>
  <si>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Central Europe and the Baltics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</si>
  <si>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</si>
  <si>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</si>
  <si>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</si>
  <si>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</si>
  <si>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</si>
  <si>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</si>
  <si>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</si>
  <si>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</si>
  <si>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</si>
  <si>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</si>
  <si>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</si>
  <si>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</si>
  <si>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Caribbean small states</t>
  </si>
  <si>
    <t>Cuba</t>
  </si>
  <si>
    <t>Curacao</t>
  </si>
  <si>
    <t>Cayman Islands</t>
  </si>
  <si>
    <t>Djibouti</t>
  </si>
  <si>
    <t>Dominica</t>
  </si>
  <si>
    <t>Dominican Republic</t>
  </si>
  <si>
    <t>Algeria</t>
  </si>
  <si>
    <t>East Asia &amp; Pacific (excluding high income)</t>
  </si>
  <si>
    <t>Early-demographic dividend</t>
  </si>
  <si>
    <t>East Asia &amp; Pacific</t>
  </si>
  <si>
    <t>Europe &amp; Central Asia (excluding high income)</t>
  </si>
  <si>
    <t>Europe &amp; Central Asia</t>
  </si>
  <si>
    <t>Ecuador</t>
  </si>
  <si>
    <t>Egypt, Arab Rep.</t>
  </si>
  <si>
    <t>Euro area</t>
  </si>
  <si>
    <t>Eritrea</t>
  </si>
  <si>
    <t>Ethiopia</t>
  </si>
  <si>
    <t>European Union</t>
  </si>
  <si>
    <t>Fiji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</si>
  <si>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</si>
  <si>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</si>
  <si>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</si>
  <si>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</si>
  <si>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</si>
  <si>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</si>
  <si>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</si>
  <si>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</si>
  <si>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</si>
  <si>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</si>
  <si>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</si>
  <si>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Grenada</t>
  </si>
  <si>
    <t>Greenland</t>
  </si>
  <si>
    <t>Guatemala</t>
  </si>
  <si>
    <t>Guam</t>
  </si>
  <si>
    <t>Guyana</t>
  </si>
  <si>
    <t>High income</t>
  </si>
  <si>
    <t>Hong Kong SAR, China</t>
  </si>
  <si>
    <t>Honduras</t>
  </si>
  <si>
    <t>Heavily indebted poor countries (HIPC)</t>
  </si>
  <si>
    <t>Haiti</t>
  </si>
  <si>
    <t>IBRD only</t>
  </si>
  <si>
    <t>IDA &amp; IBRD total</t>
  </si>
  <si>
    <t>IDA total</t>
  </si>
  <si>
    <t>IDA blend</t>
  </si>
  <si>
    <t>Indonesia</t>
  </si>
  <si>
    <t>IDA only</t>
  </si>
  <si>
    <t>Isle of Man</t>
  </si>
  <si>
    <t>India</t>
  </si>
  <si>
    <t>Not classified</t>
  </si>
  <si>
    <t>Iran, Islamic Rep.</t>
  </si>
  <si>
    <t>Iraq</t>
  </si>
  <si>
    <t>Iceland</t>
  </si>
  <si>
    <t>Israel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</si>
  <si>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</si>
  <si>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</si>
  <si>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</si>
  <si>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</si>
  <si>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</si>
  <si>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</si>
  <si>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</si>
  <si>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</si>
  <si>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</si>
  <si>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</si>
  <si>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</si>
  <si>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Latin America &amp; Caribbean (excluding high income)</t>
  </si>
  <si>
    <t>Lao PDR</t>
  </si>
  <si>
    <t>Lebanon</t>
  </si>
  <si>
    <t>Liberia</t>
  </si>
  <si>
    <t>Libya</t>
  </si>
  <si>
    <t>St. Lucia</t>
  </si>
  <si>
    <t>Latin America &amp; Caribbean</t>
  </si>
  <si>
    <t>Least developed countries: UN classification</t>
  </si>
  <si>
    <t>Low income</t>
  </si>
  <si>
    <t>Liechtenstein</t>
  </si>
  <si>
    <t>Sri Lanka</t>
  </si>
  <si>
    <t>Lower middle income</t>
  </si>
  <si>
    <t>Low &amp; middle income</t>
  </si>
  <si>
    <t>Lesotho</t>
  </si>
  <si>
    <t>Late-demographic dividend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</si>
  <si>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</si>
  <si>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</si>
  <si>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</si>
  <si>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</si>
  <si>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</si>
  <si>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</si>
  <si>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</si>
  <si>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Middle East, North Africa, Afghanistan &amp; Pakistan</t>
  </si>
  <si>
    <t>Mexico</t>
  </si>
  <si>
    <t>Marshall Islands</t>
  </si>
  <si>
    <t>Middle income</t>
  </si>
  <si>
    <t>North Macedonia</t>
  </si>
  <si>
    <t>Mali</t>
  </si>
  <si>
    <t>Myanmar</t>
  </si>
  <si>
    <t>Middle East, North Africa, Afghanistan &amp; Pakistan (excluding high income)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</si>
  <si>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</si>
  <si>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</si>
  <si>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</si>
  <si>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</si>
  <si>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</si>
  <si>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</si>
  <si>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</si>
  <si>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</si>
  <si>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North America</t>
  </si>
  <si>
    <t>Namibia</t>
  </si>
  <si>
    <t>New Caledonia</t>
  </si>
  <si>
    <t>Niger</t>
  </si>
  <si>
    <t>Nigeria</t>
  </si>
  <si>
    <t>Nicaragua</t>
  </si>
  <si>
    <t>Norway</t>
  </si>
  <si>
    <t>Nepal</t>
  </si>
  <si>
    <t>Nauru</t>
  </si>
  <si>
    <t>New Zealand</t>
  </si>
  <si>
    <t>OECD members</t>
  </si>
  <si>
    <t>Oman</t>
  </si>
  <si>
    <t>Other small states</t>
  </si>
  <si>
    <t>Pakistan</t>
  </si>
  <si>
    <t>Panama</t>
  </si>
  <si>
    <t>Peru</t>
  </si>
  <si>
    <t>Philippines</t>
  </si>
  <si>
    <t>Palau</t>
  </si>
  <si>
    <t>Papua New Guinea</t>
  </si>
  <si>
    <t>Pre-demographic dividend</t>
  </si>
  <si>
    <t>Puerto Rico (US)</t>
  </si>
  <si>
    <t>Korea, Dem. People's Rep.</t>
  </si>
  <si>
    <t>Paraguay</t>
  </si>
  <si>
    <t>West Bank and Gaza</t>
  </si>
  <si>
    <t>Pacific island small states</t>
  </si>
  <si>
    <t>Post-demographic dividend</t>
  </si>
  <si>
    <t>French Polynesia</t>
  </si>
  <si>
    <t>Qatar</t>
  </si>
  <si>
    <t>Russian Federation</t>
  </si>
  <si>
    <t>Rwanda</t>
  </si>
  <si>
    <t>South Asia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</si>
  <si>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</si>
  <si>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</si>
  <si>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</si>
  <si>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</si>
  <si>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</si>
  <si>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</si>
  <si>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</si>
  <si>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</si>
  <si>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Somalia, Fed. Rep.</t>
  </si>
  <si>
    <t>Serbia</t>
  </si>
  <si>
    <t>Sub-Saharan Africa (excluding high income)</t>
  </si>
  <si>
    <t>South Sudan</t>
  </si>
  <si>
    <t>Sub-Saharan Africa</t>
  </si>
  <si>
    <t>Small states</t>
  </si>
  <si>
    <t>Sao Tome and Principe</t>
  </si>
  <si>
    <t>Suriname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</si>
  <si>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</si>
  <si>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</si>
  <si>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</si>
  <si>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</si>
  <si>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</si>
  <si>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</si>
  <si>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East Asia &amp; Pacific (IDA &amp; IBRD countries)</t>
  </si>
  <si>
    <t>Europe &amp; Central Asia (IDA &amp; IBRD countries)</t>
  </si>
  <si>
    <t>Togo</t>
  </si>
  <si>
    <t>Thailand</t>
  </si>
  <si>
    <t>Tajikistan</t>
  </si>
  <si>
    <t>Turkmenistan</t>
  </si>
  <si>
    <t>Latin America &amp; the Caribbean (IDA &amp; IBRD countries)</t>
  </si>
  <si>
    <t>Timor-Leste</t>
  </si>
  <si>
    <t>Middle East, North Africa, Afghanistan &amp; Pakistan (IDA &amp; IBRD)</t>
  </si>
  <si>
    <t>Tonga</t>
  </si>
  <si>
    <t>South Asia (IDA &amp; IBRD)</t>
  </si>
  <si>
    <t>Sub-Saharan Africa (IDA &amp; IBRD countries)</t>
  </si>
  <si>
    <t>Trinidad and Tobago</t>
  </si>
  <si>
    <t>Tunisia</t>
  </si>
  <si>
    <t>Turkiye</t>
  </si>
  <si>
    <t>Tuvalu</t>
  </si>
  <si>
    <t>Tanzania</t>
  </si>
  <si>
    <t>Uganda</t>
  </si>
  <si>
    <t>Ukraine</t>
  </si>
  <si>
    <t>Upper middle income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</si>
  <si>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</si>
  <si>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</si>
  <si>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</si>
  <si>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</si>
  <si>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</si>
  <si>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</si>
  <si>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</si>
  <si>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 Nam</t>
  </si>
  <si>
    <t>Vanuatu</t>
  </si>
  <si>
    <t>World</t>
  </si>
  <si>
    <t>Samoa</t>
  </si>
  <si>
    <t>Kosovo</t>
  </si>
  <si>
    <t>Yemen, Rep.</t>
  </si>
  <si>
    <t>South Africa</t>
  </si>
  <si>
    <t>Zambia</t>
  </si>
  <si>
    <t>Zimbabwe</t>
  </si>
  <si>
    <t>GDP_per_cap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</si>
  <si>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</si>
  <si>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</si>
  <si>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</si>
  <si>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</si>
  <si>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</si>
  <si>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</si>
  <si>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</si>
  <si>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</si>
  <si>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</si>
  <si>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</si>
  <si>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</si>
  <si>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</si>
  <si>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</si>
  <si>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</si>
  <si>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</si>
  <si>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Significance F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</si>
  <si>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</si>
  <si>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</si>
  <si>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</si>
  <si>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</si>
  <si>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</si>
  <si>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</si>
  <si>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</si>
  <si>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 xml:space="preserve">Link: https://data.worldbank.org/indicator/NY.GDP.PCAP.PP.KD </t>
  </si>
  <si>
    <t>Elasticities derived in previous sheets</t>
  </si>
  <si>
    <t>elasticity_new_TWFE</t>
  </si>
  <si>
    <t>elasticity_new_Pooled</t>
  </si>
  <si>
    <t>elasticity_TWFE</t>
  </si>
  <si>
    <t>elasticity_controls</t>
  </si>
  <si>
    <t>elasticity_Pooled</t>
  </si>
  <si>
    <t>GDP_PPP</t>
  </si>
  <si>
    <t>gini</t>
  </si>
  <si>
    <t>youth_unemp</t>
  </si>
  <si>
    <t>educ_spend_gdp</t>
  </si>
  <si>
    <t>tertiary_enroll</t>
  </si>
  <si>
    <t>net_migration</t>
  </si>
  <si>
    <t>log_gdp</t>
  </si>
  <si>
    <t>FROM R</t>
  </si>
  <si>
    <t>FROM EXCEL</t>
  </si>
  <si>
    <t>k_i from R</t>
  </si>
  <si>
    <t>CHECK (difference)</t>
  </si>
  <si>
    <t>log(GDP)</t>
  </si>
  <si>
    <t>k_income_raw</t>
  </si>
  <si>
    <t>eta_placebo</t>
  </si>
  <si>
    <t>k_placebo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</si>
</sst>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0"/>
  </numFmts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indexed="81"/>
      <name val="Tahoma"/>
      <family val="2"/>
      <charset val="204"/>
    </font>
    <font>
      <b/>
      <sz val="11"/>
      <color indexed="81"/>
      <name val="Tahoma"/>
      <family val="2"/>
      <charset val="204"/>
    </font>
    <font>
      <i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8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2" borderId="1" xfId="0" applyFill="1" applyBorder="1"/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2" fontId="0" fillId="0" borderId="1" xfId="0" applyNumberFormat="1" applyFill="1" applyBorder="1" applyAlignment="1">
      <alignment vertical="center" wrapText="1"/>
    </xf>
    <xf numFmtId="2" fontId="0" fillId="0" borderId="1" xfId="0" applyNumberFormat="1" applyBorder="1"/>
    <xf numFmtId="0" fontId="0" fillId="0" borderId="1" xfId="0" applyNumberFormat="1" applyBorder="1"/>
    <xf numFmtId="0" fontId="0" fillId="2" borderId="1" xfId="0" applyFill="1" applyBorder="1" applyAlignment="1">
      <alignment horizontal="left" vertical="center" wrapText="1"/>
    </xf>
    <xf numFmtId="165" fontId="0" fillId="2" borderId="1" xfId="0" applyNumberFormat="1" applyFill="1" applyBorder="1" applyAlignment="1">
      <alignment vertical="center" wrapText="1"/>
    </xf>
    <xf numFmtId="164" fontId="0" fillId="2" borderId="1" xfId="0" applyNumberFormat="1" applyFill="1" applyBorder="1" applyAlignment="1">
      <alignment vertical="center" wrapText="1"/>
    </xf>
    <xf numFmtId="2" fontId="0" fillId="0" borderId="1" xfId="0" applyNumberForma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0" xfId="0" applyFill="1" applyBorder="1" applyAlignment="1"/>
    <xf numFmtId="0" fontId="0" fillId="0" borderId="6" xfId="0" applyFill="1" applyBorder="1" applyAlignment="1"/>
    <xf numFmtId="0" fontId="5" fillId="0" borderId="7" xfId="0" applyFont="1" applyFill="1" applyBorder="1" applyAlignment="1">
      <alignment horizontal="center"/>
    </xf>
    <xf numFmtId="0" fontId="5" fillId="0" borderId="7" xfId="0" applyFont="1" applyFill="1" applyBorder="1" applyAlignment="1">
      <alignment horizontal="centerContinuous"/>
    </xf>
    <xf numFmtId="0" fontId="0" fillId="2" borderId="0" xfId="0" applyFill="1" applyBorder="1" applyAlignment="1"/>
    <xf numFmtId="0" fontId="0" fillId="2" borderId="6" xfId="0" applyFill="1" applyBorder="1" applyAlignment="1"/>
    <xf numFmtId="0" fontId="5" fillId="2" borderId="7" xfId="0" applyFont="1" applyFill="1" applyBorder="1" applyAlignment="1">
      <alignment horizontal="center"/>
    </xf>
    <xf numFmtId="0" fontId="0" fillId="2" borderId="8" xfId="0" applyFill="1" applyBorder="1"/>
    <xf numFmtId="0" fontId="0" fillId="2" borderId="5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0" xfId="0" applyFill="1" applyBorder="1"/>
    <xf numFmtId="0" fontId="0" fillId="2" borderId="11" xfId="0" applyFill="1" applyBorder="1"/>
    <xf numFmtId="0" fontId="0" fillId="2" borderId="10" xfId="0" applyFill="1" applyBorder="1" applyAlignment="1"/>
    <xf numFmtId="0" fontId="0" fillId="2" borderId="13" xfId="0" applyFill="1" applyBorder="1" applyAlignment="1"/>
    <xf numFmtId="0" fontId="5" fillId="2" borderId="12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0" fillId="2" borderId="11" xfId="0" applyFill="1" applyBorder="1" applyAlignment="1"/>
    <xf numFmtId="0" fontId="0" fillId="2" borderId="15" xfId="0" applyFill="1" applyBorder="1" applyAlignment="1"/>
    <xf numFmtId="0" fontId="0" fillId="0" borderId="8" xfId="0" applyBorder="1"/>
    <xf numFmtId="0" fontId="0" fillId="0" borderId="5" xfId="0" applyBorder="1"/>
    <xf numFmtId="0" fontId="0" fillId="0" borderId="9" xfId="0" applyBorder="1"/>
    <xf numFmtId="0" fontId="0" fillId="0" borderId="10" xfId="0" applyBorder="1"/>
    <xf numFmtId="0" fontId="0" fillId="0" borderId="0" xfId="0" applyBorder="1"/>
    <xf numFmtId="0" fontId="0" fillId="0" borderId="11" xfId="0" applyBorder="1"/>
    <xf numFmtId="0" fontId="5" fillId="0" borderId="12" xfId="0" applyFont="1" applyFill="1" applyBorder="1" applyAlignment="1">
      <alignment horizontal="centerContinuous"/>
    </xf>
    <xf numFmtId="0" fontId="0" fillId="0" borderId="10" xfId="0" applyFill="1" applyBorder="1" applyAlignment="1"/>
    <xf numFmtId="0" fontId="0" fillId="0" borderId="13" xfId="0" applyFill="1" applyBorder="1" applyAlignment="1"/>
    <xf numFmtId="0" fontId="5" fillId="0" borderId="12" xfId="0" applyFont="1" applyFill="1" applyBorder="1" applyAlignment="1">
      <alignment horizontal="center"/>
    </xf>
    <xf numFmtId="0" fontId="5" fillId="0" borderId="14" xfId="0" applyFont="1" applyFill="1" applyBorder="1" applyAlignment="1">
      <alignment horizontal="center"/>
    </xf>
    <xf numFmtId="0" fontId="0" fillId="0" borderId="11" xfId="0" applyFill="1" applyBorder="1" applyAlignment="1"/>
    <xf numFmtId="0" fontId="0" fillId="0" borderId="15" xfId="0" applyFill="1" applyBorder="1" applyAlignment="1"/>
    <xf numFmtId="164" fontId="0" fillId="0" borderId="0" xfId="0" applyNumberFormat="1"/>
    <xf numFmtId="0" fontId="0" fillId="0" borderId="16" xfId="0" applyBorder="1"/>
    <xf numFmtId="0" fontId="0" fillId="0" borderId="16" xfId="0" applyBorder="1" applyAlignment="1">
      <alignment wrapText="1"/>
    </xf>
    <xf numFmtId="0" fontId="0" fillId="2" borderId="1" xfId="0" applyFill="1" applyBorder="1" applyAlignment="1">
      <alignment wrapText="1"/>
    </xf>
    <xf numFmtId="0" fontId="0" fillId="2" borderId="20" xfId="0" applyFill="1" applyBorder="1" applyAlignment="1">
      <alignment wrapText="1"/>
    </xf>
    <xf numFmtId="0" fontId="0" fillId="2" borderId="21" xfId="0" applyFill="1" applyBorder="1" applyAlignment="1">
      <alignment wrapText="1"/>
    </xf>
    <xf numFmtId="0" fontId="0" fillId="2" borderId="22" xfId="0" applyFill="1" applyBorder="1" applyAlignment="1">
      <alignment wrapText="1"/>
    </xf>
    <xf numFmtId="0" fontId="0" fillId="2" borderId="23" xfId="0" applyFill="1" applyBorder="1"/>
    <xf numFmtId="0" fontId="0" fillId="2" borderId="24" xfId="0" applyFill="1" applyBorder="1"/>
    <xf numFmtId="0" fontId="0" fillId="2" borderId="25" xfId="0" applyFill="1" applyBorder="1"/>
    <xf numFmtId="0" fontId="0" fillId="2" borderId="26" xfId="0" applyFill="1" applyBorder="1"/>
    <xf numFmtId="0" fontId="0" fillId="2" borderId="27" xfId="0" applyFill="1" applyBorder="1"/>
    <xf numFmtId="2" fontId="0" fillId="2" borderId="1" xfId="0" applyNumberFormat="1" applyFill="1" applyBorder="1"/>
    <xf numFmtId="166" fontId="0" fillId="0" borderId="1" xfId="0" applyNumberFormat="1" applyBorder="1"/>
    <xf numFmtId="166" fontId="0" fillId="3" borderId="1" xfId="0" applyNumberFormat="1" applyFill="1" applyBorder="1"/>
    <xf numFmtId="0" fontId="0" fillId="3" borderId="0" xfId="0" applyFill="1" applyBorder="1" applyAlignment="1"/>
    <xf numFmtId="0" fontId="0" fillId="3" borderId="6" xfId="0" applyFill="1" applyBorder="1" applyAlignment="1"/>
    <xf numFmtId="0" fontId="0" fillId="3" borderId="5" xfId="0" applyFill="1" applyBorder="1"/>
    <xf numFmtId="2" fontId="0" fillId="2" borderId="1" xfId="0" applyNumberFormat="1" applyFill="1" applyBorder="1" applyAlignment="1">
      <alignment horizontal="center" vertical="center" wrapText="1"/>
    </xf>
    <xf numFmtId="2" fontId="0" fillId="2" borderId="1" xfId="0" applyNumberFormat="1" applyFill="1" applyBorder="1" applyAlignment="1">
      <alignment horizontal="center" vertical="center"/>
    </xf>
    <xf numFmtId="0" fontId="0" fillId="4" borderId="1" xfId="0" applyFill="1" applyBorder="1"/>
    <xf numFmtId="2" fontId="0" fillId="0" borderId="5" xfId="0" applyNumberFormat="1" applyBorder="1"/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17" xfId="0" applyBorder="1" applyAlignment="1">
      <alignment horizontal="left" wrapText="1"/>
    </xf>
    <xf numFmtId="0" fontId="0" fillId="0" borderId="18" xfId="0" applyBorder="1" applyAlignment="1">
      <alignment horizontal="left" wrapText="1"/>
    </xf>
    <xf numFmtId="0" fontId="0" fillId="0" borderId="17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3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Repayment</a:t>
            </a:r>
            <a:r>
              <a:rPr lang="en-US" baseline="0"/>
              <a:t> scedule, starting income 20000 pouns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1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aggregate_level!$P$3:$P$32</c:f>
              <c:numCache>
                <c:formatCode>0.00</c:formatCode>
                <c:ptCount val="30"/>
                <c:pt idx="0">
                  <c:v>9250</c:v>
                </c:pt>
                <c:pt idx="1">
                  <c:v>9250</c:v>
                </c:pt>
                <c:pt idx="2">
                  <c:v>9250</c:v>
                </c:pt>
                <c:pt idx="3">
                  <c:v>9250</c:v>
                </c:pt>
                <c:pt idx="4">
                  <c:v>9250</c:v>
                </c:pt>
                <c:pt idx="5">
                  <c:v>9250</c:v>
                </c:pt>
                <c:pt idx="6">
                  <c:v>9250</c:v>
                </c:pt>
                <c:pt idx="7">
                  <c:v>9250</c:v>
                </c:pt>
                <c:pt idx="8">
                  <c:v>9250</c:v>
                </c:pt>
                <c:pt idx="9">
                  <c:v>9250</c:v>
                </c:pt>
                <c:pt idx="10">
                  <c:v>9250</c:v>
                </c:pt>
                <c:pt idx="11">
                  <c:v>9250</c:v>
                </c:pt>
                <c:pt idx="12">
                  <c:v>9250</c:v>
                </c:pt>
                <c:pt idx="13">
                  <c:v>9250</c:v>
                </c:pt>
                <c:pt idx="14">
                  <c:v>9250</c:v>
                </c:pt>
                <c:pt idx="15">
                  <c:v>9250</c:v>
                </c:pt>
                <c:pt idx="16">
                  <c:v>9235.5357308368984</c:v>
                </c:pt>
                <c:pt idx="17">
                  <c:v>9171.6511762905338</c:v>
                </c:pt>
                <c:pt idx="18">
                  <c:v>9057.3579306532429</c:v>
                </c:pt>
                <c:pt idx="19">
                  <c:v>8891.647820103206</c:v>
                </c:pt>
                <c:pt idx="20">
                  <c:v>8673.4925073421673</c:v>
                </c:pt>
                <c:pt idx="21">
                  <c:v>8401.8430883259098</c:v>
                </c:pt>
                <c:pt idx="22">
                  <c:v>8075.6296809293262</c:v>
                </c:pt>
                <c:pt idx="23">
                  <c:v>7693.7610053848121</c:v>
                </c:pt>
                <c:pt idx="24">
                  <c:v>7255.1239563294075</c:v>
                </c:pt>
                <c:pt idx="25">
                  <c:v>6758.583166292894</c:v>
                </c:pt>
                <c:pt idx="26">
                  <c:v>6202.9805604556504</c:v>
                </c:pt>
                <c:pt idx="27">
                  <c:v>5587.1349025016625</c:v>
                </c:pt>
                <c:pt idx="28">
                  <c:v>4909.841331388594</c:v>
                </c:pt>
                <c:pt idx="29">
                  <c:v>4169.8708888532647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05D8-4355-8917-738DB3ECB2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181248"/>
        <c:axId val="21762400"/>
      </c:lineChart>
      <c:lineChart>
        <c:grouping val="stacke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aggregate_level!$J$3:$J$32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aggregate_level!$N$3:$N$32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14.464269163101781</c:v>
                </c:pt>
                <c:pt idx="17">
                  <c:v>63.884554546364051</c:v>
                </c:pt>
                <c:pt idx="18">
                  <c:v>114.29324563729104</c:v>
                </c:pt>
                <c:pt idx="19">
                  <c:v>165.71011055003646</c:v>
                </c:pt>
                <c:pt idx="20">
                  <c:v>218.15531276103778</c:v>
                </c:pt>
                <c:pt idx="21">
                  <c:v>271.64941901625826</c:v>
                </c:pt>
                <c:pt idx="22">
                  <c:v>326.21340739658336</c:v>
                </c:pt>
                <c:pt idx="23">
                  <c:v>381.86867554451459</c:v>
                </c:pt>
                <c:pt idx="24">
                  <c:v>438.63704905540493</c:v>
                </c:pt>
                <c:pt idx="25">
                  <c:v>496.5407900365131</c:v>
                </c:pt>
                <c:pt idx="26">
                  <c:v>555.60260583724346</c:v>
                </c:pt>
                <c:pt idx="27">
                  <c:v>615.84565795398771</c:v>
                </c:pt>
                <c:pt idx="28">
                  <c:v>677.29357111306877</c:v>
                </c:pt>
                <c:pt idx="29">
                  <c:v>739.97044253532965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05D8-4355-8917-738DB3ECB2FB}"/>
            </c:ext>
          </c:extLst>
        </c:ser>
        <c:ser>
          <c:idx val="0"/>
          <c:order val="2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4-05D8-4355-8917-738DB3ECB2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209648"/>
        <c:axId val="228493760"/>
      </c:lineChart>
      <c:catAx>
        <c:axId val="24181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62400"/>
        <c:crosses val="autoZero"/>
        <c:auto val="1"/>
        <c:lblAlgn val="ctr"/>
        <c:lblOffset val="100"/>
        <c:noMultiLvlLbl val="0"/>
      </c:catAx>
      <c:valAx>
        <c:axId val="2176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81248"/>
        <c:crosses val="autoZero"/>
        <c:crossBetween val="between"/>
      </c:valAx>
      <c:valAx>
        <c:axId val="228493760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09648"/>
        <c:crosses val="max"/>
        <c:crossBetween val="between"/>
      </c:valAx>
      <c:catAx>
        <c:axId val="242096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284937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How valuable was the UK student</a:t>
            </a:r>
            <a:r>
              <a:rPr lang="en-US" baseline="0"/>
              <a:t> loan to EU applicants 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aggregate_level!$H$2</c:f>
              <c:strCache>
                <c:ptCount val="1"/>
                <c:pt idx="0">
                  <c:v>Elasticity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9312958D-E058-4327-BA6C-8C026F3730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DCA9-414C-8A27-D6C99198C12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E0104BD-A1DB-49A5-96E0-894EFD72E6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DCA9-414C-8A27-D6C99198C12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26385F6-D095-4363-BD91-D760A3E599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DCA9-414C-8A27-D6C99198C12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88117D6-9C39-4897-BF0F-861D7B3ED3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DCA9-414C-8A27-D6C99198C12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C2717B1-2812-4859-B901-6AB7812B2F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DCA9-414C-8A27-D6C99198C12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7C4304B-E27B-4A25-80F2-0BDF1335F3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DCA9-414C-8A27-D6C99198C12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aggregate_level!$F$3:$F$8</c:f>
              <c:numCache>
                <c:formatCode>General</c:formatCode>
                <c:ptCount val="6"/>
                <c:pt idx="0" formatCode="0.0">
                  <c:v>2366.6927909394935</c:v>
                </c:pt>
                <c:pt idx="1">
                  <c:v>5835.481956777664</c:v>
                </c:pt>
                <c:pt idx="2">
                  <c:v>7435.2477522398685</c:v>
                </c:pt>
                <c:pt idx="3">
                  <c:v>7822.4385719688926</c:v>
                </c:pt>
                <c:pt idx="4">
                  <c:v>8301.8075187868399</c:v>
                </c:pt>
                <c:pt idx="5">
                  <c:v>8547.9214282679823</c:v>
                </c:pt>
              </c:numCache>
            </c:numRef>
          </c:xVal>
          <c:yVal>
            <c:numRef>
              <c:f>aggregate_level!$H$3:$H$8</c:f>
              <c:numCache>
                <c:formatCode>0.000</c:formatCode>
                <c:ptCount val="6"/>
                <c:pt idx="0">
                  <c:v>0.48244465316650209</c:v>
                </c:pt>
                <c:pt idx="1">
                  <c:v>0.80830129683628027</c:v>
                </c:pt>
                <c:pt idx="2">
                  <c:v>0.98732892491722724</c:v>
                </c:pt>
                <c:pt idx="3">
                  <c:v>1.0353793484571172</c:v>
                </c:pt>
                <c:pt idx="4">
                  <c:v>1.0979860831973236</c:v>
                </c:pt>
                <c:pt idx="5">
                  <c:v>1.1315960933248681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aggregate_level!$E$3:$E$8</c15:f>
                <c15:dlblRangeCache>
                  <c:ptCount val="6"/>
                  <c:pt idx="0">
                    <c:v>20000</c:v>
                  </c:pt>
                  <c:pt idx="1">
                    <c:v>26000</c:v>
                  </c:pt>
                  <c:pt idx="2">
                    <c:v>32000</c:v>
                  </c:pt>
                  <c:pt idx="3">
                    <c:v>35000</c:v>
                  </c:pt>
                  <c:pt idx="4">
                    <c:v>42000</c:v>
                  </c:pt>
                  <c:pt idx="5">
                    <c:v>50000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DCA9-414C-8A27-D6C99198C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03376"/>
        <c:axId val="21456320"/>
      </c:scatterChart>
      <c:valAx>
        <c:axId val="24803376"/>
        <c:scaling>
          <c:orientation val="minMax"/>
          <c:min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56320"/>
        <c:crosses val="autoZero"/>
        <c:crossBetween val="midCat"/>
      </c:valAx>
      <c:valAx>
        <c:axId val="21456320"/>
        <c:scaling>
          <c:orientation val="minMax"/>
          <c:max val="1.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03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image" Target="../media/image3.png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42930</xdr:rowOff>
    </xdr:from>
    <xdr:to>
      <xdr:col>8</xdr:col>
      <xdr:colOff>64393</xdr:colOff>
      <xdr:row>42</xdr:row>
      <xdr:rowOff>112879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08E35E-1794-46C1-BBCC-25CADD7B57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300507</xdr:colOff>
      <xdr:row>0</xdr:row>
      <xdr:rowOff>128789</xdr:rowOff>
    </xdr:from>
    <xdr:to>
      <xdr:col>27</xdr:col>
      <xdr:colOff>554095</xdr:colOff>
      <xdr:row>15</xdr:row>
      <xdr:rowOff>53126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36F0C9-A140-4ACF-9FE5-2D3CA64B6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84169" y="128789"/>
          <a:ext cx="6982799" cy="28864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95252</xdr:rowOff>
    </xdr:from>
    <xdr:to>
      <xdr:col>8</xdr:col>
      <xdr:colOff>257577</xdr:colOff>
      <xdr:row>23</xdr:row>
      <xdr:rowOff>162458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43D8B24-E18F-4E5F-BA5D-E9AB8A236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327590"/>
          <a:ext cx="6042338" cy="2256614"/>
        </a:xfrm>
        <a:prstGeom prst="rect">
          <a:avLst/>
        </a:prstGeom>
      </xdr:spPr>
    </xdr:pic>
    <xdr:clientData/>
  </xdr:twoCellAnchor>
  <xdr:twoCellAnchor>
    <xdr:from>
      <xdr:col>16</xdr:col>
      <xdr:colOff>237577</xdr:colOff>
      <xdr:row>15</xdr:row>
      <xdr:rowOff>160204</xdr:rowOff>
    </xdr:from>
    <xdr:to>
      <xdr:col>28</xdr:col>
      <xdr:colOff>306532</xdr:colOff>
      <xdr:row>39</xdr:row>
      <xdr:rowOff>148936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930F7FA-BAA6-4616-A742-EE57A13EC6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16</xdr:col>
      <xdr:colOff>306533</xdr:colOff>
      <xdr:row>40</xdr:row>
      <xdr:rowOff>150670</xdr:rowOff>
    </xdr:from>
    <xdr:to>
      <xdr:col>28</xdr:col>
      <xdr:colOff>409398</xdr:colOff>
      <xdr:row>65</xdr:row>
      <xdr:rowOff>131620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8451FB5-B211-4336-BCA7-81336286E0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515851" y="8168988"/>
          <a:ext cx="7376502" cy="4743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9228</xdr:colOff>
      <xdr:row>0</xdr:row>
      <xdr:rowOff>0</xdr:rowOff>
    </xdr:from>
    <xdr:to>
      <xdr:col>20</xdr:col>
      <xdr:colOff>352560</xdr:colOff>
      <xdr:row>33</xdr:row>
      <xdr:rowOff>69883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3DBC90-CEF1-4EF5-9071-481D6DBD2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35597" y="0"/>
          <a:ext cx="7810932" cy="627139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91440</xdr:rowOff>
    </xdr:from>
    <xdr:to>
      <xdr:col>21</xdr:col>
      <xdr:colOff>368164</xdr:colOff>
      <xdr:row>65</xdr:row>
      <xdr:rowOff>43442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86989A-4388-45C7-8FB0-B46E278F1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60720"/>
          <a:ext cx="13535524" cy="653568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344852</xdr:colOff>
      <xdr:row>0</xdr:row>
      <xdr:rowOff>133452</xdr:rowOff>
    </xdr:from>
    <xdr:to>
      <xdr:col>45</xdr:col>
      <xdr:colOff>71969</xdr:colOff>
      <xdr:row>30</xdr:row>
      <xdr:rowOff>72825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523FA2-4ED1-4D16-85BE-A0D3BDFF9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126024" y="133452"/>
          <a:ext cx="8187945" cy="635068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20</xdr:row>
      <xdr:rowOff>0</xdr:rowOff>
    </xdr:from>
    <xdr:to>
      <xdr:col>28</xdr:col>
      <xdr:colOff>545220</xdr:colOff>
      <xdr:row>33</xdr:row>
      <xdr:rowOff>22179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3C06C2-71E2-411F-A8ED-ED6507A04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92118" y="3866029"/>
          <a:ext cx="8411749" cy="23530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B1A67-FE7E-4638-ADD1-34DE0C522037}">
  <dimension ref="A1:T208"/>
  <sheetViews>
    <sheetView zoomScale="57" workbookViewId="0">
      <selection activeCell="G3" sqref="G3"/>
    </sheetView>
  </sheetViews>
  <sheetFormatPr defaultRowHeight="14.4" x14ac:dyDescent="0.3"/>
  <cols>
    <col min="1" max="1" width="13.77734375" customWidth="1"/>
    <col min="5" max="5" width="14.109375" customWidth="1"/>
    <col min="6" max="6" width="11.44140625" bestFit="1" customWidth="1"/>
    <col min="8" max="8" width="9.33203125" customWidth="1"/>
    <col min="11" max="11" width="20" customWidth="1"/>
    <col min="12" max="12" width="12.33203125" customWidth="1"/>
    <col min="14" max="14" width="12.77734375" customWidth="1"/>
    <col min="15" max="15" width="13.33203125" customWidth="1"/>
  </cols>
  <sheetData>
    <row r="1" spans="1:16" x14ac:dyDescent="0.3">
      <c r="J1" s="71" t="s">
        <v>20</v>
      </c>
      <c r="K1" s="72"/>
      <c r="L1" s="72"/>
      <c r="M1" s="72"/>
      <c r="N1" s="72"/>
      <c r="O1" s="72"/>
      <c r="P1" s="73"/>
    </row>
    <row r="2" spans="1:16" ht="32.4" customHeight="1" x14ac:dyDescent="0.3">
      <c r="A2" s="74" t="s">
        <v>8</v>
      </c>
      <c r="B2" s="74"/>
      <c r="E2" s="11" t="s">
        <v>9</v>
      </c>
      <c r="F2" s="6" t="s">
        <v>10</v>
      </c>
      <c r="G2" s="6" t="s">
        <v>11</v>
      </c>
      <c r="H2" s="6" t="s">
        <v>12</v>
      </c>
      <c r="J2" s="8" t="s">
        <v>13</v>
      </c>
      <c r="K2" s="8" t="s">
        <v>14</v>
      </c>
      <c r="L2" s="8" t="s">
        <v>15</v>
      </c>
      <c r="M2" s="8" t="s">
        <v>16</v>
      </c>
      <c r="N2" s="8" t="s">
        <v>17</v>
      </c>
      <c r="O2" s="8" t="s">
        <v>18</v>
      </c>
      <c r="P2" s="8" t="s">
        <v>19</v>
      </c>
    </row>
    <row r="3" spans="1:16" x14ac:dyDescent="0.3">
      <c r="A3" s="7" t="s">
        <v>0</v>
      </c>
      <c r="B3" s="6">
        <v>9250</v>
      </c>
      <c r="E3" s="11">
        <v>20000</v>
      </c>
      <c r="F3" s="12">
        <f>MAX(SUM(O3:O32),1)</f>
        <v>2366.6927909394935</v>
      </c>
      <c r="G3" s="13">
        <f t="shared" ref="G3:G8" si="0">LN($B$4)-LN(F3)</f>
        <v>2.2385987551348583</v>
      </c>
      <c r="H3" s="13">
        <f t="shared" ref="H3:H8" si="1">-$B$10/G3</f>
        <v>0.48244465316650209</v>
      </c>
      <c r="J3" s="10">
        <v>1</v>
      </c>
      <c r="K3" s="9">
        <f>$E$3*(1+$B$7)^(J3-1)</f>
        <v>20000</v>
      </c>
      <c r="L3" s="9">
        <f>$B$5*MAX(0,K3-$B$6)</f>
        <v>0</v>
      </c>
      <c r="M3" s="9">
        <f>$B$3</f>
        <v>9250</v>
      </c>
      <c r="N3" s="9">
        <f>MIN(L3,M3)</f>
        <v>0</v>
      </c>
      <c r="O3" s="9">
        <f>N3/(1+$B$8)^J3</f>
        <v>0</v>
      </c>
      <c r="P3" s="9">
        <f>M3-N3</f>
        <v>9250</v>
      </c>
    </row>
    <row r="4" spans="1:16" x14ac:dyDescent="0.3">
      <c r="A4" s="7" t="s">
        <v>1</v>
      </c>
      <c r="B4" s="6">
        <v>22200</v>
      </c>
      <c r="E4" s="11">
        <v>26000</v>
      </c>
      <c r="F4" s="6">
        <f>MAX(SUM(O37:O66),1)</f>
        <v>5835.481956777664</v>
      </c>
      <c r="G4" s="13">
        <f t="shared" si="0"/>
        <v>1.3361354289881238</v>
      </c>
      <c r="H4" s="13">
        <f t="shared" si="1"/>
        <v>0.80830129683628027</v>
      </c>
      <c r="J4" s="10">
        <f>J3+1</f>
        <v>2</v>
      </c>
      <c r="K4" s="9">
        <f>$E$3*(1+$B$7)^(J4-1)</f>
        <v>20400</v>
      </c>
      <c r="L4" s="9">
        <f>$B$5*MAX(0,K4-$B$6)</f>
        <v>0</v>
      </c>
      <c r="M4" s="9">
        <f>P3</f>
        <v>9250</v>
      </c>
      <c r="N4" s="9">
        <f>IF(M4&lt;=0,0,MIN(L4,M4))</f>
        <v>0</v>
      </c>
      <c r="O4" s="9">
        <f>N4/(1+$B$8)^J4</f>
        <v>0</v>
      </c>
      <c r="P4" s="9">
        <f>MAX(0,M4-N4)</f>
        <v>9250</v>
      </c>
    </row>
    <row r="5" spans="1:16" x14ac:dyDescent="0.3">
      <c r="A5" s="7" t="s">
        <v>2</v>
      </c>
      <c r="B5" s="6">
        <v>0.09</v>
      </c>
      <c r="E5" s="11">
        <v>32000</v>
      </c>
      <c r="F5" s="6">
        <f>MAX(SUM(O72:O101),1)</f>
        <v>7435.2477522398685</v>
      </c>
      <c r="G5" s="13">
        <f t="shared" si="0"/>
        <v>1.093860387094951</v>
      </c>
      <c r="H5" s="13">
        <f t="shared" si="1"/>
        <v>0.98732892491722724</v>
      </c>
      <c r="J5" s="10">
        <f t="shared" ref="J5:J32" si="2">J4+1</f>
        <v>3</v>
      </c>
      <c r="K5" s="9">
        <f t="shared" ref="K5:K33" si="3">$E$3*(1+$B$7)^(J5-1)</f>
        <v>20808</v>
      </c>
      <c r="L5" s="9">
        <f t="shared" ref="L5:L33" si="4">$B$5*MAX(0,K5-$B$6)</f>
        <v>0</v>
      </c>
      <c r="M5" s="9">
        <f t="shared" ref="M5:M33" si="5">P4</f>
        <v>9250</v>
      </c>
      <c r="N5" s="9">
        <f t="shared" ref="N5:N33" si="6">IF(M5&lt;=0,0,MIN(L5,M5))</f>
        <v>0</v>
      </c>
      <c r="O5" s="9">
        <f t="shared" ref="O5:O33" si="7">N5/(1+$B$8)^J5</f>
        <v>0</v>
      </c>
      <c r="P5" s="9">
        <f t="shared" ref="P5:P33" si="8">MAX(0,M5-N5)</f>
        <v>9250</v>
      </c>
    </row>
    <row r="6" spans="1:16" x14ac:dyDescent="0.3">
      <c r="A6" s="7" t="s">
        <v>3</v>
      </c>
      <c r="B6" s="6">
        <v>27295</v>
      </c>
      <c r="E6" s="11">
        <v>35000</v>
      </c>
      <c r="F6" s="6">
        <f>MAX(SUM(O107:O137),1)</f>
        <v>7822.4385719688926</v>
      </c>
      <c r="G6" s="13">
        <f t="shared" si="0"/>
        <v>1.0430959450846444</v>
      </c>
      <c r="H6" s="13">
        <f t="shared" si="1"/>
        <v>1.0353793484571172</v>
      </c>
      <c r="J6" s="10">
        <f t="shared" si="2"/>
        <v>4</v>
      </c>
      <c r="K6" s="9">
        <f t="shared" si="3"/>
        <v>21224.16</v>
      </c>
      <c r="L6" s="9">
        <f t="shared" si="4"/>
        <v>0</v>
      </c>
      <c r="M6" s="9">
        <f t="shared" si="5"/>
        <v>9250</v>
      </c>
      <c r="N6" s="9">
        <f t="shared" si="6"/>
        <v>0</v>
      </c>
      <c r="O6" s="9">
        <f t="shared" si="7"/>
        <v>0</v>
      </c>
      <c r="P6" s="9">
        <f t="shared" si="8"/>
        <v>9250</v>
      </c>
    </row>
    <row r="7" spans="1:16" x14ac:dyDescent="0.3">
      <c r="A7" s="7" t="s">
        <v>4</v>
      </c>
      <c r="B7" s="6">
        <v>0.02</v>
      </c>
      <c r="E7" s="11">
        <v>42000</v>
      </c>
      <c r="F7" s="6">
        <f>MAX(SUM(O142:O172),1)</f>
        <v>8301.8075187868399</v>
      </c>
      <c r="G7" s="13">
        <f t="shared" si="0"/>
        <v>0.98361902443704174</v>
      </c>
      <c r="H7" s="13">
        <f t="shared" si="1"/>
        <v>1.0979860831973236</v>
      </c>
      <c r="J7" s="10">
        <f t="shared" si="2"/>
        <v>5</v>
      </c>
      <c r="K7" s="9">
        <f t="shared" si="3"/>
        <v>21648.643199999999</v>
      </c>
      <c r="L7" s="9">
        <f t="shared" si="4"/>
        <v>0</v>
      </c>
      <c r="M7" s="9">
        <f t="shared" si="5"/>
        <v>9250</v>
      </c>
      <c r="N7" s="9">
        <f t="shared" si="6"/>
        <v>0</v>
      </c>
      <c r="O7" s="9">
        <f t="shared" si="7"/>
        <v>0</v>
      </c>
      <c r="P7" s="9">
        <f t="shared" si="8"/>
        <v>9250</v>
      </c>
    </row>
    <row r="8" spans="1:16" x14ac:dyDescent="0.3">
      <c r="A8" s="7" t="s">
        <v>5</v>
      </c>
      <c r="B8" s="6">
        <v>0.03</v>
      </c>
      <c r="E8" s="11">
        <v>50000</v>
      </c>
      <c r="F8" s="6">
        <f>MAX(SUM(O177:O207),1)</f>
        <v>8547.9214282679823</v>
      </c>
      <c r="G8" s="13">
        <f t="shared" si="0"/>
        <v>0.95440414328997214</v>
      </c>
      <c r="H8" s="13">
        <f t="shared" si="1"/>
        <v>1.1315960933248681</v>
      </c>
      <c r="J8" s="10">
        <f t="shared" si="2"/>
        <v>6</v>
      </c>
      <c r="K8" s="9">
        <f t="shared" si="3"/>
        <v>22081.616064000002</v>
      </c>
      <c r="L8" s="9">
        <f t="shared" si="4"/>
        <v>0</v>
      </c>
      <c r="M8" s="9">
        <f t="shared" si="5"/>
        <v>9250</v>
      </c>
      <c r="N8" s="9">
        <f t="shared" si="6"/>
        <v>0</v>
      </c>
      <c r="O8" s="9">
        <f t="shared" si="7"/>
        <v>0</v>
      </c>
      <c r="P8" s="9">
        <f t="shared" si="8"/>
        <v>9250</v>
      </c>
    </row>
    <row r="9" spans="1:16" x14ac:dyDescent="0.3">
      <c r="A9" s="7" t="s">
        <v>6</v>
      </c>
      <c r="B9" s="6">
        <v>30</v>
      </c>
      <c r="J9" s="10">
        <f t="shared" si="2"/>
        <v>7</v>
      </c>
      <c r="K9" s="9">
        <f t="shared" si="3"/>
        <v>22523.24838528</v>
      </c>
      <c r="L9" s="9">
        <f t="shared" si="4"/>
        <v>0</v>
      </c>
      <c r="M9" s="9">
        <f t="shared" si="5"/>
        <v>9250</v>
      </c>
      <c r="N9" s="9">
        <f t="shared" si="6"/>
        <v>0</v>
      </c>
      <c r="O9" s="9">
        <f t="shared" si="7"/>
        <v>0</v>
      </c>
      <c r="P9" s="9">
        <f t="shared" si="8"/>
        <v>9250</v>
      </c>
    </row>
    <row r="10" spans="1:16" x14ac:dyDescent="0.3">
      <c r="A10" s="7" t="s">
        <v>7</v>
      </c>
      <c r="B10" s="6">
        <v>-1.08</v>
      </c>
      <c r="J10" s="10">
        <f t="shared" si="2"/>
        <v>8</v>
      </c>
      <c r="K10" s="9">
        <f t="shared" si="3"/>
        <v>22973.713352985596</v>
      </c>
      <c r="L10" s="9">
        <f t="shared" si="4"/>
        <v>0</v>
      </c>
      <c r="M10" s="9">
        <f t="shared" si="5"/>
        <v>9250</v>
      </c>
      <c r="N10" s="9">
        <f t="shared" si="6"/>
        <v>0</v>
      </c>
      <c r="O10" s="9">
        <f t="shared" si="7"/>
        <v>0</v>
      </c>
      <c r="P10" s="9">
        <f t="shared" si="8"/>
        <v>9250</v>
      </c>
    </row>
    <row r="11" spans="1:16" x14ac:dyDescent="0.3">
      <c r="J11" s="10">
        <f t="shared" si="2"/>
        <v>9</v>
      </c>
      <c r="K11" s="9">
        <f t="shared" si="3"/>
        <v>23433.187620045312</v>
      </c>
      <c r="L11" s="9">
        <f t="shared" si="4"/>
        <v>0</v>
      </c>
      <c r="M11" s="9">
        <f t="shared" si="5"/>
        <v>9250</v>
      </c>
      <c r="N11" s="9">
        <f t="shared" si="6"/>
        <v>0</v>
      </c>
      <c r="O11" s="9">
        <f t="shared" si="7"/>
        <v>0</v>
      </c>
      <c r="P11" s="9">
        <f t="shared" si="8"/>
        <v>9250</v>
      </c>
    </row>
    <row r="12" spans="1:16" x14ac:dyDescent="0.3">
      <c r="J12" s="10">
        <f t="shared" si="2"/>
        <v>10</v>
      </c>
      <c r="K12" s="9">
        <f t="shared" si="3"/>
        <v>23901.851372446217</v>
      </c>
      <c r="L12" s="9">
        <f t="shared" si="4"/>
        <v>0</v>
      </c>
      <c r="M12" s="9">
        <f t="shared" si="5"/>
        <v>9250</v>
      </c>
      <c r="N12" s="9">
        <f t="shared" si="6"/>
        <v>0</v>
      </c>
      <c r="O12" s="9">
        <f t="shared" si="7"/>
        <v>0</v>
      </c>
      <c r="P12" s="9">
        <f t="shared" si="8"/>
        <v>9250</v>
      </c>
    </row>
    <row r="13" spans="1:16" x14ac:dyDescent="0.3">
      <c r="J13" s="10">
        <f t="shared" si="2"/>
        <v>11</v>
      </c>
      <c r="K13" s="9">
        <f t="shared" si="3"/>
        <v>24379.888399895142</v>
      </c>
      <c r="L13" s="9">
        <f t="shared" si="4"/>
        <v>0</v>
      </c>
      <c r="M13" s="9">
        <f t="shared" si="5"/>
        <v>9250</v>
      </c>
      <c r="N13" s="9">
        <f t="shared" si="6"/>
        <v>0</v>
      </c>
      <c r="O13" s="9">
        <f t="shared" si="7"/>
        <v>0</v>
      </c>
      <c r="P13" s="9">
        <f t="shared" si="8"/>
        <v>9250</v>
      </c>
    </row>
    <row r="14" spans="1:16" x14ac:dyDescent="0.3">
      <c r="J14" s="10">
        <f t="shared" si="2"/>
        <v>12</v>
      </c>
      <c r="K14" s="9">
        <f t="shared" si="3"/>
        <v>24867.486167893039</v>
      </c>
      <c r="L14" s="9">
        <f t="shared" si="4"/>
        <v>0</v>
      </c>
      <c r="M14" s="9">
        <f t="shared" si="5"/>
        <v>9250</v>
      </c>
      <c r="N14" s="9">
        <f t="shared" si="6"/>
        <v>0</v>
      </c>
      <c r="O14" s="9">
        <f t="shared" si="7"/>
        <v>0</v>
      </c>
      <c r="P14" s="9">
        <f t="shared" si="8"/>
        <v>9250</v>
      </c>
    </row>
    <row r="15" spans="1:16" x14ac:dyDescent="0.3">
      <c r="J15" s="10">
        <f t="shared" si="2"/>
        <v>13</v>
      </c>
      <c r="K15" s="9">
        <f t="shared" si="3"/>
        <v>25364.835891250907</v>
      </c>
      <c r="L15" s="9">
        <f t="shared" si="4"/>
        <v>0</v>
      </c>
      <c r="M15" s="9">
        <f t="shared" si="5"/>
        <v>9250</v>
      </c>
      <c r="N15" s="9">
        <f t="shared" si="6"/>
        <v>0</v>
      </c>
      <c r="O15" s="9">
        <f t="shared" si="7"/>
        <v>0</v>
      </c>
      <c r="P15" s="9">
        <f t="shared" si="8"/>
        <v>9250</v>
      </c>
    </row>
    <row r="16" spans="1:16" x14ac:dyDescent="0.3">
      <c r="J16" s="10">
        <f t="shared" si="2"/>
        <v>14</v>
      </c>
      <c r="K16" s="9">
        <f t="shared" si="3"/>
        <v>25872.132609075921</v>
      </c>
      <c r="L16" s="9">
        <f t="shared" si="4"/>
        <v>0</v>
      </c>
      <c r="M16" s="9">
        <f t="shared" si="5"/>
        <v>9250</v>
      </c>
      <c r="N16" s="9">
        <f t="shared" si="6"/>
        <v>0</v>
      </c>
      <c r="O16" s="9">
        <f t="shared" si="7"/>
        <v>0</v>
      </c>
      <c r="P16" s="9">
        <f t="shared" si="8"/>
        <v>9250</v>
      </c>
    </row>
    <row r="17" spans="10:20" x14ac:dyDescent="0.3">
      <c r="J17" s="10">
        <f t="shared" si="2"/>
        <v>15</v>
      </c>
      <c r="K17" s="9">
        <f t="shared" si="3"/>
        <v>26389.575261257443</v>
      </c>
      <c r="L17" s="9">
        <f t="shared" si="4"/>
        <v>0</v>
      </c>
      <c r="M17" s="9">
        <f t="shared" si="5"/>
        <v>9250</v>
      </c>
      <c r="N17" s="9">
        <f t="shared" si="6"/>
        <v>0</v>
      </c>
      <c r="O17" s="9">
        <f t="shared" si="7"/>
        <v>0</v>
      </c>
      <c r="P17" s="9">
        <f t="shared" si="8"/>
        <v>9250</v>
      </c>
    </row>
    <row r="18" spans="10:20" x14ac:dyDescent="0.3">
      <c r="J18" s="10">
        <f t="shared" si="2"/>
        <v>16</v>
      </c>
      <c r="K18" s="9">
        <f t="shared" si="3"/>
        <v>26917.366766482584</v>
      </c>
      <c r="L18" s="9">
        <f t="shared" si="4"/>
        <v>0</v>
      </c>
      <c r="M18" s="9">
        <f t="shared" si="5"/>
        <v>9250</v>
      </c>
      <c r="N18" s="9">
        <f t="shared" si="6"/>
        <v>0</v>
      </c>
      <c r="O18" s="9">
        <f t="shared" si="7"/>
        <v>0</v>
      </c>
      <c r="P18" s="9">
        <f t="shared" si="8"/>
        <v>9250</v>
      </c>
    </row>
    <row r="19" spans="10:20" x14ac:dyDescent="0.3">
      <c r="J19" s="10">
        <f t="shared" si="2"/>
        <v>17</v>
      </c>
      <c r="K19" s="9">
        <f t="shared" si="3"/>
        <v>27455.714101812242</v>
      </c>
      <c r="L19" s="9">
        <f t="shared" si="4"/>
        <v>14.464269163101781</v>
      </c>
      <c r="M19" s="9">
        <f t="shared" si="5"/>
        <v>9250</v>
      </c>
      <c r="N19" s="9">
        <f t="shared" si="6"/>
        <v>14.464269163101781</v>
      </c>
      <c r="O19" s="9">
        <f t="shared" si="7"/>
        <v>8.7511207208019623</v>
      </c>
      <c r="P19" s="9">
        <f t="shared" si="8"/>
        <v>9235.5357308368984</v>
      </c>
      <c r="R19" s="1"/>
      <c r="S19" s="1"/>
      <c r="T19" s="1"/>
    </row>
    <row r="20" spans="10:20" x14ac:dyDescent="0.3">
      <c r="J20" s="10">
        <f t="shared" si="2"/>
        <v>18</v>
      </c>
      <c r="K20" s="9">
        <f t="shared" si="3"/>
        <v>28004.828383848489</v>
      </c>
      <c r="L20" s="9">
        <f t="shared" si="4"/>
        <v>63.884554546364051</v>
      </c>
      <c r="M20" s="9">
        <f t="shared" si="5"/>
        <v>9235.5357308368984</v>
      </c>
      <c r="N20" s="9">
        <f t="shared" si="6"/>
        <v>63.884554546364051</v>
      </c>
      <c r="O20" s="9">
        <f t="shared" si="7"/>
        <v>37.525442850502522</v>
      </c>
      <c r="P20" s="9">
        <f t="shared" si="8"/>
        <v>9171.6511762905338</v>
      </c>
      <c r="R20" s="2"/>
      <c r="S20" s="2"/>
      <c r="T20" s="2"/>
    </row>
    <row r="21" spans="10:20" x14ac:dyDescent="0.3">
      <c r="J21" s="10">
        <f>J20+1</f>
        <v>19</v>
      </c>
      <c r="K21" s="9">
        <f t="shared" si="3"/>
        <v>28564.924951525456</v>
      </c>
      <c r="L21" s="9">
        <f t="shared" si="4"/>
        <v>114.29324563729104</v>
      </c>
      <c r="M21" s="9">
        <f t="shared" si="5"/>
        <v>9171.6511762905338</v>
      </c>
      <c r="N21" s="9">
        <f t="shared" si="6"/>
        <v>114.29324563729104</v>
      </c>
      <c r="O21" s="9">
        <f t="shared" si="7"/>
        <v>65.179840945930081</v>
      </c>
      <c r="P21" s="9">
        <f t="shared" si="8"/>
        <v>9057.3579306532429</v>
      </c>
      <c r="R21" s="2"/>
      <c r="S21" s="2"/>
      <c r="T21" s="2"/>
    </row>
    <row r="22" spans="10:20" x14ac:dyDescent="0.3">
      <c r="J22" s="10">
        <f t="shared" si="2"/>
        <v>20</v>
      </c>
      <c r="K22" s="9">
        <f t="shared" si="3"/>
        <v>29136.223450555961</v>
      </c>
      <c r="L22" s="9">
        <f t="shared" si="4"/>
        <v>165.71011055003646</v>
      </c>
      <c r="M22" s="9">
        <f t="shared" si="5"/>
        <v>9057.3579306532429</v>
      </c>
      <c r="N22" s="9">
        <f t="shared" si="6"/>
        <v>165.71011055003646</v>
      </c>
      <c r="O22" s="9">
        <f t="shared" si="7"/>
        <v>91.749670435092384</v>
      </c>
      <c r="P22" s="9">
        <f t="shared" si="8"/>
        <v>8891.647820103206</v>
      </c>
      <c r="R22" s="2"/>
      <c r="S22" s="2"/>
      <c r="T22" s="2"/>
    </row>
    <row r="23" spans="10:20" x14ac:dyDescent="0.3">
      <c r="J23" s="10">
        <f t="shared" si="2"/>
        <v>21</v>
      </c>
      <c r="K23" s="9">
        <f t="shared" si="3"/>
        <v>29718.947919567087</v>
      </c>
      <c r="L23" s="9">
        <f t="shared" si="4"/>
        <v>218.15531276103778</v>
      </c>
      <c r="M23" s="9">
        <f t="shared" si="5"/>
        <v>8891.647820103206</v>
      </c>
      <c r="N23" s="9">
        <f t="shared" si="6"/>
        <v>218.15531276103778</v>
      </c>
      <c r="O23" s="9">
        <f t="shared" si="7"/>
        <v>117.26923041041105</v>
      </c>
      <c r="P23" s="9">
        <f t="shared" si="8"/>
        <v>8673.4925073421673</v>
      </c>
      <c r="R23" s="2"/>
      <c r="S23" s="2"/>
      <c r="T23" s="2"/>
    </row>
    <row r="24" spans="10:20" x14ac:dyDescent="0.3">
      <c r="J24" s="10">
        <f t="shared" si="2"/>
        <v>22</v>
      </c>
      <c r="K24" s="9">
        <f t="shared" si="3"/>
        <v>30313.326877958425</v>
      </c>
      <c r="L24" s="9">
        <f t="shared" si="4"/>
        <v>271.64941901625826</v>
      </c>
      <c r="M24" s="9">
        <f t="shared" si="5"/>
        <v>8673.4925073421673</v>
      </c>
      <c r="N24" s="9">
        <f t="shared" si="6"/>
        <v>271.64941901625826</v>
      </c>
      <c r="O24" s="9">
        <f t="shared" si="7"/>
        <v>141.77179465369642</v>
      </c>
      <c r="P24" s="9">
        <f t="shared" si="8"/>
        <v>8401.8430883259098</v>
      </c>
      <c r="R24" s="2"/>
      <c r="S24" s="2"/>
      <c r="T24" s="2"/>
    </row>
    <row r="25" spans="10:20" x14ac:dyDescent="0.3">
      <c r="J25" s="10">
        <f t="shared" si="2"/>
        <v>23</v>
      </c>
      <c r="K25" s="9">
        <f t="shared" si="3"/>
        <v>30919.593415517593</v>
      </c>
      <c r="L25" s="9">
        <f t="shared" si="4"/>
        <v>326.21340739658336</v>
      </c>
      <c r="M25" s="9">
        <f t="shared" si="5"/>
        <v>8401.8430883259098</v>
      </c>
      <c r="N25" s="9">
        <f t="shared" si="6"/>
        <v>326.21340739658336</v>
      </c>
      <c r="O25" s="9">
        <f t="shared" si="7"/>
        <v>165.28964175498311</v>
      </c>
      <c r="P25" s="9">
        <f t="shared" si="8"/>
        <v>8075.6296809293262</v>
      </c>
      <c r="R25" s="2"/>
      <c r="S25" s="2"/>
      <c r="T25" s="2"/>
    </row>
    <row r="26" spans="10:20" x14ac:dyDescent="0.3">
      <c r="J26" s="10">
        <f t="shared" si="2"/>
        <v>24</v>
      </c>
      <c r="K26" s="9">
        <f t="shared" si="3"/>
        <v>31537.98528382794</v>
      </c>
      <c r="L26" s="9">
        <f t="shared" si="4"/>
        <v>381.86867554451459</v>
      </c>
      <c r="M26" s="9">
        <f t="shared" si="5"/>
        <v>8075.6296809293262</v>
      </c>
      <c r="N26" s="9">
        <f t="shared" si="6"/>
        <v>381.86867554451459</v>
      </c>
      <c r="O26" s="9">
        <f t="shared" si="7"/>
        <v>187.85408435163291</v>
      </c>
      <c r="P26" s="9">
        <f t="shared" si="8"/>
        <v>7693.7610053848121</v>
      </c>
    </row>
    <row r="27" spans="10:20" x14ac:dyDescent="0.3">
      <c r="J27" s="10">
        <f t="shared" si="2"/>
        <v>25</v>
      </c>
      <c r="K27" s="9">
        <f t="shared" si="3"/>
        <v>32168.744989504499</v>
      </c>
      <c r="L27" s="9">
        <f t="shared" si="4"/>
        <v>438.63704905540493</v>
      </c>
      <c r="M27" s="9">
        <f t="shared" si="5"/>
        <v>7693.7610053848121</v>
      </c>
      <c r="N27" s="9">
        <f t="shared" si="6"/>
        <v>438.63704905540493</v>
      </c>
      <c r="O27" s="9">
        <f t="shared" si="7"/>
        <v>209.49549751336122</v>
      </c>
      <c r="P27" s="9">
        <f t="shared" si="8"/>
        <v>7255.1239563294075</v>
      </c>
    </row>
    <row r="28" spans="10:20" x14ac:dyDescent="0.3">
      <c r="J28" s="10">
        <f>J27+1</f>
        <v>26</v>
      </c>
      <c r="K28" s="9">
        <f t="shared" si="3"/>
        <v>32812.11988929459</v>
      </c>
      <c r="L28" s="9">
        <f t="shared" si="4"/>
        <v>496.5407900365131</v>
      </c>
      <c r="M28" s="9">
        <f t="shared" si="5"/>
        <v>7255.1239563294075</v>
      </c>
      <c r="N28" s="9">
        <f t="shared" si="6"/>
        <v>496.5407900365131</v>
      </c>
      <c r="O28" s="9">
        <f t="shared" si="7"/>
        <v>230.24334629808061</v>
      </c>
      <c r="P28" s="9">
        <f t="shared" si="8"/>
        <v>6758.583166292894</v>
      </c>
    </row>
    <row r="29" spans="10:20" x14ac:dyDescent="0.3">
      <c r="J29" s="10">
        <f t="shared" si="2"/>
        <v>27</v>
      </c>
      <c r="K29" s="9">
        <f t="shared" si="3"/>
        <v>33468.362287080483</v>
      </c>
      <c r="L29" s="9">
        <f t="shared" si="4"/>
        <v>555.60260583724346</v>
      </c>
      <c r="M29" s="9">
        <f t="shared" si="5"/>
        <v>6758.583166292894</v>
      </c>
      <c r="N29" s="9">
        <f t="shared" si="6"/>
        <v>555.60260583724346</v>
      </c>
      <c r="O29" s="9">
        <f t="shared" si="7"/>
        <v>250.12621250274123</v>
      </c>
      <c r="P29" s="9">
        <f t="shared" si="8"/>
        <v>6202.9805604556504</v>
      </c>
    </row>
    <row r="30" spans="10:20" x14ac:dyDescent="0.3">
      <c r="J30" s="10">
        <f t="shared" si="2"/>
        <v>28</v>
      </c>
      <c r="K30" s="9">
        <f t="shared" si="3"/>
        <v>34137.729532822086</v>
      </c>
      <c r="L30" s="9">
        <f t="shared" si="4"/>
        <v>615.84565795398771</v>
      </c>
      <c r="M30" s="9">
        <f t="shared" si="5"/>
        <v>6202.9805604556504</v>
      </c>
      <c r="N30" s="9">
        <f t="shared" si="6"/>
        <v>615.84565795398771</v>
      </c>
      <c r="O30" s="9">
        <f t="shared" si="7"/>
        <v>269.17182063263346</v>
      </c>
      <c r="P30" s="9">
        <f t="shared" si="8"/>
        <v>5587.1349025016625</v>
      </c>
    </row>
    <row r="31" spans="10:20" x14ac:dyDescent="0.3">
      <c r="J31" s="10">
        <f t="shared" si="2"/>
        <v>29</v>
      </c>
      <c r="K31" s="9">
        <f t="shared" si="3"/>
        <v>34820.484123478542</v>
      </c>
      <c r="L31" s="9">
        <f t="shared" si="4"/>
        <v>677.29357111306877</v>
      </c>
      <c r="M31" s="9">
        <f t="shared" si="5"/>
        <v>5587.1349025016625</v>
      </c>
      <c r="N31" s="9">
        <f t="shared" si="6"/>
        <v>677.29357111306877</v>
      </c>
      <c r="O31" s="9">
        <f t="shared" si="7"/>
        <v>287.40706311194452</v>
      </c>
      <c r="P31" s="9">
        <f t="shared" si="8"/>
        <v>4909.841331388594</v>
      </c>
    </row>
    <row r="32" spans="10:20" x14ac:dyDescent="0.3">
      <c r="J32" s="10">
        <f t="shared" si="2"/>
        <v>30</v>
      </c>
      <c r="K32" s="9">
        <f t="shared" si="3"/>
        <v>35516.893805948108</v>
      </c>
      <c r="L32" s="9">
        <f t="shared" si="4"/>
        <v>739.97044253532965</v>
      </c>
      <c r="M32" s="9">
        <f t="shared" si="5"/>
        <v>4909.841331388594</v>
      </c>
      <c r="N32" s="9">
        <f t="shared" si="6"/>
        <v>739.97044253532965</v>
      </c>
      <c r="O32" s="9">
        <f t="shared" si="7"/>
        <v>304.85802475768207</v>
      </c>
      <c r="P32" s="9">
        <f t="shared" si="8"/>
        <v>4169.8708888532647</v>
      </c>
    </row>
    <row r="33" spans="10:16" x14ac:dyDescent="0.3">
      <c r="J33" s="9"/>
      <c r="K33" s="9">
        <f t="shared" si="3"/>
        <v>19607.843137254902</v>
      </c>
      <c r="L33" s="9">
        <f t="shared" si="4"/>
        <v>0</v>
      </c>
      <c r="M33" s="9">
        <f t="shared" si="5"/>
        <v>4169.8708888532647</v>
      </c>
      <c r="N33" s="9">
        <f t="shared" si="6"/>
        <v>0</v>
      </c>
      <c r="O33" s="9">
        <f t="shared" si="7"/>
        <v>0</v>
      </c>
      <c r="P33" s="9">
        <f t="shared" si="8"/>
        <v>4169.8708888532647</v>
      </c>
    </row>
    <row r="35" spans="10:16" x14ac:dyDescent="0.3">
      <c r="J35" s="71" t="s">
        <v>21</v>
      </c>
      <c r="K35" s="72"/>
      <c r="L35" s="72"/>
      <c r="M35" s="72"/>
      <c r="N35" s="72"/>
      <c r="O35" s="72"/>
      <c r="P35" s="73"/>
    </row>
    <row r="36" spans="10:16" ht="28.8" x14ac:dyDescent="0.3">
      <c r="J36" s="8" t="s">
        <v>13</v>
      </c>
      <c r="K36" s="8" t="s">
        <v>14</v>
      </c>
      <c r="L36" s="8" t="s">
        <v>15</v>
      </c>
      <c r="M36" s="8" t="s">
        <v>16</v>
      </c>
      <c r="N36" s="8" t="s">
        <v>17</v>
      </c>
      <c r="O36" s="8" t="s">
        <v>18</v>
      </c>
      <c r="P36" s="8" t="s">
        <v>19</v>
      </c>
    </row>
    <row r="37" spans="10:16" x14ac:dyDescent="0.3">
      <c r="J37" s="10">
        <v>1</v>
      </c>
      <c r="K37" s="3">
        <f>$E$4*(1+$B$7)^(J37-1)</f>
        <v>26000</v>
      </c>
      <c r="L37" s="3">
        <f>$B$5*MAX(0,K37-$B$6)</f>
        <v>0</v>
      </c>
      <c r="M37" s="3">
        <f>$B$3</f>
        <v>9250</v>
      </c>
      <c r="N37" s="3">
        <f>MIN(L37,M37)</f>
        <v>0</v>
      </c>
      <c r="O37" s="3">
        <f>N37/(1+$B$8)^J37</f>
        <v>0</v>
      </c>
      <c r="P37" s="3">
        <f>M37-N37</f>
        <v>9250</v>
      </c>
    </row>
    <row r="38" spans="10:16" x14ac:dyDescent="0.3">
      <c r="J38" s="10">
        <f>J37+1</f>
        <v>2</v>
      </c>
      <c r="K38" s="3">
        <f t="shared" ref="K38:K66" si="9">$E$4*(1+$B$7)^(J38-1)</f>
        <v>26520</v>
      </c>
      <c r="L38" s="3">
        <f t="shared" ref="L38:L67" si="10">$B$5*MAX(0,K38-$B$6)</f>
        <v>0</v>
      </c>
      <c r="M38" s="3">
        <f>P37</f>
        <v>9250</v>
      </c>
      <c r="N38" s="3">
        <f>MIN(L38,M38)</f>
        <v>0</v>
      </c>
      <c r="O38" s="3">
        <f t="shared" ref="O38:O67" si="11">N38/(1+$B$8)^J38</f>
        <v>0</v>
      </c>
      <c r="P38" s="3">
        <f t="shared" ref="P38:P68" si="12">M38-N38</f>
        <v>9250</v>
      </c>
    </row>
    <row r="39" spans="10:16" x14ac:dyDescent="0.3">
      <c r="J39" s="10">
        <f t="shared" ref="J39:J66" si="13">J38+1</f>
        <v>3</v>
      </c>
      <c r="K39" s="3">
        <f t="shared" si="9"/>
        <v>27050.400000000001</v>
      </c>
      <c r="L39" s="3">
        <f t="shared" si="10"/>
        <v>0</v>
      </c>
      <c r="M39" s="3">
        <f t="shared" ref="M39:M67" si="14">P38</f>
        <v>9250</v>
      </c>
      <c r="N39" s="3">
        <f t="shared" ref="N39:N67" si="15">MIN(L39,M39)</f>
        <v>0</v>
      </c>
      <c r="O39" s="3">
        <f t="shared" si="11"/>
        <v>0</v>
      </c>
      <c r="P39" s="3">
        <f t="shared" si="12"/>
        <v>9250</v>
      </c>
    </row>
    <row r="40" spans="10:16" x14ac:dyDescent="0.3">
      <c r="J40" s="10">
        <f t="shared" si="13"/>
        <v>4</v>
      </c>
      <c r="K40" s="3">
        <f t="shared" si="9"/>
        <v>27591.407999999999</v>
      </c>
      <c r="L40" s="3">
        <f t="shared" si="10"/>
        <v>26.67671999999995</v>
      </c>
      <c r="M40" s="3">
        <f t="shared" si="14"/>
        <v>9250</v>
      </c>
      <c r="N40" s="3">
        <f t="shared" si="15"/>
        <v>26.67671999999995</v>
      </c>
      <c r="O40" s="3">
        <f t="shared" si="11"/>
        <v>23.701920200873374</v>
      </c>
      <c r="P40" s="3">
        <f t="shared" si="12"/>
        <v>9223.3232800000005</v>
      </c>
    </row>
    <row r="41" spans="10:16" x14ac:dyDescent="0.3">
      <c r="J41" s="10">
        <f t="shared" si="13"/>
        <v>5</v>
      </c>
      <c r="K41" s="3">
        <f t="shared" si="9"/>
        <v>28143.23616</v>
      </c>
      <c r="L41" s="3">
        <f t="shared" si="10"/>
        <v>76.341254400000025</v>
      </c>
      <c r="M41" s="3">
        <f t="shared" si="14"/>
        <v>9223.3232800000005</v>
      </c>
      <c r="N41" s="3">
        <f t="shared" si="15"/>
        <v>76.341254400000025</v>
      </c>
      <c r="O41" s="3">
        <f t="shared" si="11"/>
        <v>65.852636656346235</v>
      </c>
      <c r="P41" s="3">
        <f t="shared" si="12"/>
        <v>9146.9820256000003</v>
      </c>
    </row>
    <row r="42" spans="10:16" x14ac:dyDescent="0.3">
      <c r="J42" s="10">
        <f t="shared" si="13"/>
        <v>6</v>
      </c>
      <c r="K42" s="3">
        <f t="shared" si="9"/>
        <v>28706.100883200001</v>
      </c>
      <c r="L42" s="3">
        <f t="shared" si="10"/>
        <v>126.99907948800006</v>
      </c>
      <c r="M42" s="3">
        <f t="shared" si="14"/>
        <v>9146.9820256000003</v>
      </c>
      <c r="N42" s="3">
        <f t="shared" si="15"/>
        <v>126.99907948800006</v>
      </c>
      <c r="O42" s="3">
        <f t="shared" si="11"/>
        <v>106.35972968451608</v>
      </c>
      <c r="P42" s="3">
        <f t="shared" si="12"/>
        <v>9019.9829461120007</v>
      </c>
    </row>
    <row r="43" spans="10:16" x14ac:dyDescent="0.3">
      <c r="J43" s="10">
        <f t="shared" si="13"/>
        <v>7</v>
      </c>
      <c r="K43" s="3">
        <f t="shared" si="9"/>
        <v>29280.222900864002</v>
      </c>
      <c r="L43" s="3">
        <f t="shared" si="10"/>
        <v>178.67006107776021</v>
      </c>
      <c r="M43" s="3">
        <f t="shared" si="14"/>
        <v>9019.9829461120007</v>
      </c>
      <c r="N43" s="3">
        <f t="shared" si="15"/>
        <v>178.67006107776021</v>
      </c>
      <c r="O43" s="3">
        <f t="shared" si="11"/>
        <v>145.27510999352538</v>
      </c>
      <c r="P43" s="3">
        <f t="shared" si="12"/>
        <v>8841.31288503424</v>
      </c>
    </row>
    <row r="44" spans="10:16" x14ac:dyDescent="0.3">
      <c r="J44" s="10">
        <f t="shared" si="13"/>
        <v>8</v>
      </c>
      <c r="K44" s="3">
        <f t="shared" si="9"/>
        <v>29865.827358881274</v>
      </c>
      <c r="L44" s="3">
        <f t="shared" si="10"/>
        <v>231.37446229931462</v>
      </c>
      <c r="M44" s="3">
        <f t="shared" si="14"/>
        <v>8841.31288503424</v>
      </c>
      <c r="N44" s="3">
        <f t="shared" si="15"/>
        <v>231.37446229931462</v>
      </c>
      <c r="O44" s="3">
        <f t="shared" si="11"/>
        <v>182.64913712350054</v>
      </c>
      <c r="P44" s="3">
        <f t="shared" si="12"/>
        <v>8609.9384227349256</v>
      </c>
    </row>
    <row r="45" spans="10:16" x14ac:dyDescent="0.3">
      <c r="J45" s="10">
        <f t="shared" si="13"/>
        <v>9</v>
      </c>
      <c r="K45" s="3">
        <f t="shared" si="9"/>
        <v>30463.143906058904</v>
      </c>
      <c r="L45" s="3">
        <f t="shared" si="10"/>
        <v>285.1329515453013</v>
      </c>
      <c r="M45" s="3">
        <f t="shared" si="14"/>
        <v>8609.9384227349256</v>
      </c>
      <c r="N45" s="3">
        <f t="shared" si="15"/>
        <v>285.1329515453013</v>
      </c>
      <c r="O45" s="3">
        <f>N45/(1+$B$8)^J45</f>
        <v>218.53066500684352</v>
      </c>
      <c r="P45" s="3">
        <f t="shared" si="12"/>
        <v>8324.8054711896239</v>
      </c>
    </row>
    <row r="46" spans="10:16" x14ac:dyDescent="0.3">
      <c r="J46" s="10">
        <f t="shared" si="13"/>
        <v>10</v>
      </c>
      <c r="K46" s="3">
        <f t="shared" si="9"/>
        <v>31072.406784180082</v>
      </c>
      <c r="L46" s="3">
        <f t="shared" si="10"/>
        <v>339.96661057620742</v>
      </c>
      <c r="M46" s="3">
        <f t="shared" si="14"/>
        <v>8324.8054711896239</v>
      </c>
      <c r="N46" s="3">
        <f t="shared" si="15"/>
        <v>339.96661057620742</v>
      </c>
      <c r="O46" s="3">
        <f t="shared" si="11"/>
        <v>252.96708619782061</v>
      </c>
      <c r="P46" s="3">
        <f t="shared" si="12"/>
        <v>7984.8388606134167</v>
      </c>
    </row>
    <row r="47" spans="10:16" x14ac:dyDescent="0.3">
      <c r="J47" s="10">
        <f t="shared" si="13"/>
        <v>11</v>
      </c>
      <c r="K47" s="3">
        <f t="shared" si="9"/>
        <v>31693.854919863687</v>
      </c>
      <c r="L47" s="3">
        <f t="shared" si="10"/>
        <v>395.89694278773175</v>
      </c>
      <c r="M47" s="3">
        <f t="shared" si="14"/>
        <v>7984.8388606134167</v>
      </c>
      <c r="N47" s="3">
        <f t="shared" si="15"/>
        <v>395.89694278773175</v>
      </c>
      <c r="O47" s="3">
        <f t="shared" si="11"/>
        <v>286.00437481026034</v>
      </c>
      <c r="P47" s="3">
        <f t="shared" si="12"/>
        <v>7588.9419178256849</v>
      </c>
    </row>
    <row r="48" spans="10:16" x14ac:dyDescent="0.3">
      <c r="J48" s="10">
        <f t="shared" si="13"/>
        <v>12</v>
      </c>
      <c r="K48" s="3">
        <f t="shared" si="9"/>
        <v>32327.732018260951</v>
      </c>
      <c r="L48" s="3">
        <f t="shared" si="10"/>
        <v>452.94588164348556</v>
      </c>
      <c r="M48" s="3">
        <f t="shared" si="14"/>
        <v>7588.9419178256849</v>
      </c>
      <c r="N48" s="3">
        <f t="shared" si="15"/>
        <v>452.94588164348556</v>
      </c>
      <c r="O48" s="3">
        <f t="shared" si="11"/>
        <v>317.68712820100853</v>
      </c>
      <c r="P48" s="3">
        <f t="shared" si="12"/>
        <v>7135.9960361821995</v>
      </c>
    </row>
    <row r="49" spans="10:16" x14ac:dyDescent="0.3">
      <c r="J49" s="10">
        <f t="shared" si="13"/>
        <v>13</v>
      </c>
      <c r="K49" s="3">
        <f t="shared" si="9"/>
        <v>32974.286658626173</v>
      </c>
      <c r="L49" s="3">
        <f t="shared" si="10"/>
        <v>511.13579927635561</v>
      </c>
      <c r="M49" s="3">
        <f t="shared" si="14"/>
        <v>7135.9960361821995</v>
      </c>
      <c r="N49" s="3">
        <f t="shared" si="15"/>
        <v>511.13579927635561</v>
      </c>
      <c r="O49" s="3">
        <f t="shared" si="11"/>
        <v>348.05860743571839</v>
      </c>
      <c r="P49" s="3">
        <f t="shared" si="12"/>
        <v>6624.8602369058435</v>
      </c>
    </row>
    <row r="50" spans="10:16" x14ac:dyDescent="0.3">
      <c r="J50" s="10">
        <f t="shared" si="13"/>
        <v>14</v>
      </c>
      <c r="K50" s="3">
        <f t="shared" si="9"/>
        <v>33633.772391798695</v>
      </c>
      <c r="L50" s="3">
        <f t="shared" si="10"/>
        <v>570.4895152618825</v>
      </c>
      <c r="M50" s="3">
        <f t="shared" si="14"/>
        <v>6624.8602369058435</v>
      </c>
      <c r="N50" s="3">
        <f t="shared" si="15"/>
        <v>570.4895152618825</v>
      </c>
      <c r="O50" s="3">
        <f t="shared" si="11"/>
        <v>377.16077657246348</v>
      </c>
      <c r="P50" s="3">
        <f t="shared" si="12"/>
        <v>6054.3707216439607</v>
      </c>
    </row>
    <row r="51" spans="10:16" x14ac:dyDescent="0.3">
      <c r="J51" s="10">
        <f t="shared" si="13"/>
        <v>15</v>
      </c>
      <c r="K51" s="3">
        <f t="shared" si="9"/>
        <v>34306.447839634675</v>
      </c>
      <c r="L51" s="3">
        <f t="shared" si="10"/>
        <v>631.03030556712076</v>
      </c>
      <c r="M51" s="3">
        <f t="shared" si="14"/>
        <v>6054.3707216439607</v>
      </c>
      <c r="N51" s="3">
        <f t="shared" si="15"/>
        <v>631.03030556712076</v>
      </c>
      <c r="O51" s="3">
        <f t="shared" si="11"/>
        <v>405.03434079765793</v>
      </c>
      <c r="P51" s="3">
        <f t="shared" si="12"/>
        <v>5423.3404160768396</v>
      </c>
    </row>
    <row r="52" spans="10:16" x14ac:dyDescent="0.3">
      <c r="J52" s="10">
        <f t="shared" si="13"/>
        <v>16</v>
      </c>
      <c r="K52" s="3">
        <f t="shared" si="9"/>
        <v>34992.576796427362</v>
      </c>
      <c r="L52" s="3">
        <f t="shared" si="10"/>
        <v>692.78191167846251</v>
      </c>
      <c r="M52" s="3">
        <f t="shared" si="14"/>
        <v>5423.3404160768396</v>
      </c>
      <c r="N52" s="3">
        <f t="shared" si="15"/>
        <v>692.78191167846251</v>
      </c>
      <c r="O52" s="3">
        <f t="shared" si="11"/>
        <v>431.71878344772711</v>
      </c>
      <c r="P52" s="3">
        <f t="shared" si="12"/>
        <v>4730.5585043983774</v>
      </c>
    </row>
    <row r="53" spans="10:16" x14ac:dyDescent="0.3">
      <c r="J53" s="10">
        <f t="shared" si="13"/>
        <v>17</v>
      </c>
      <c r="K53" s="3">
        <f t="shared" si="9"/>
        <v>35692.428332355914</v>
      </c>
      <c r="L53" s="3">
        <f t="shared" si="10"/>
        <v>755.7685499120322</v>
      </c>
      <c r="M53" s="3">
        <f t="shared" si="14"/>
        <v>4730.5585043983774</v>
      </c>
      <c r="N53" s="3">
        <f t="shared" si="15"/>
        <v>755.7685499120322</v>
      </c>
      <c r="O53" s="3">
        <f t="shared" si="11"/>
        <v>457.25240194903432</v>
      </c>
      <c r="P53" s="3">
        <f t="shared" si="12"/>
        <v>3974.7899544863453</v>
      </c>
    </row>
    <row r="54" spans="10:16" x14ac:dyDescent="0.3">
      <c r="J54" s="10">
        <f t="shared" si="13"/>
        <v>18</v>
      </c>
      <c r="K54" s="3">
        <f t="shared" si="9"/>
        <v>36406.276899003031</v>
      </c>
      <c r="L54" s="3">
        <f t="shared" si="10"/>
        <v>820.01492091027274</v>
      </c>
      <c r="M54" s="3">
        <f t="shared" si="14"/>
        <v>3974.7899544863453</v>
      </c>
      <c r="N54" s="3">
        <f t="shared" si="15"/>
        <v>820.01492091027274</v>
      </c>
      <c r="O54" s="3">
        <f t="shared" si="11"/>
        <v>481.67234270758678</v>
      </c>
      <c r="P54" s="3">
        <f t="shared" si="12"/>
        <v>3154.7750335760725</v>
      </c>
    </row>
    <row r="55" spans="10:16" x14ac:dyDescent="0.3">
      <c r="J55" s="10">
        <f>J54+1</f>
        <v>19</v>
      </c>
      <c r="K55" s="3">
        <f t="shared" si="9"/>
        <v>37134.402436983088</v>
      </c>
      <c r="L55" s="3">
        <f t="shared" si="10"/>
        <v>885.54621932847783</v>
      </c>
      <c r="M55" s="3">
        <f t="shared" si="14"/>
        <v>3154.7750335760725</v>
      </c>
      <c r="N55" s="3">
        <f t="shared" si="15"/>
        <v>885.54621932847783</v>
      </c>
      <c r="O55" s="3">
        <f t="shared" si="11"/>
        <v>505.01463497915915</v>
      </c>
      <c r="P55" s="3">
        <f t="shared" si="12"/>
        <v>2269.2288142475945</v>
      </c>
    </row>
    <row r="56" spans="10:16" x14ac:dyDescent="0.3">
      <c r="J56" s="10">
        <f t="shared" si="13"/>
        <v>20</v>
      </c>
      <c r="K56" s="3">
        <f t="shared" si="9"/>
        <v>37877.090485722751</v>
      </c>
      <c r="L56" s="3">
        <f t="shared" si="10"/>
        <v>952.38814371504748</v>
      </c>
      <c r="M56" s="3">
        <f t="shared" si="14"/>
        <v>2269.2288142475945</v>
      </c>
      <c r="N56" s="3">
        <f t="shared" si="15"/>
        <v>952.38814371504748</v>
      </c>
      <c r="O56" s="3">
        <f t="shared" si="11"/>
        <v>527.31422374955253</v>
      </c>
      <c r="P56" s="3">
        <f t="shared" si="12"/>
        <v>1316.8406705325469</v>
      </c>
    </row>
    <row r="57" spans="10:16" x14ac:dyDescent="0.3">
      <c r="J57" s="10">
        <f t="shared" si="13"/>
        <v>21</v>
      </c>
      <c r="K57" s="3">
        <f t="shared" si="9"/>
        <v>38634.632295437208</v>
      </c>
      <c r="L57" s="3">
        <f t="shared" si="10"/>
        <v>1020.5669065893487</v>
      </c>
      <c r="M57" s="3">
        <f t="shared" si="14"/>
        <v>1316.8406705325469</v>
      </c>
      <c r="N57" s="3">
        <f t="shared" si="15"/>
        <v>1020.5669065893487</v>
      </c>
      <c r="O57" s="3">
        <f t="shared" si="11"/>
        <v>548.6050016538569</v>
      </c>
      <c r="P57" s="3">
        <f t="shared" si="12"/>
        <v>296.27376394319822</v>
      </c>
    </row>
    <row r="58" spans="10:16" x14ac:dyDescent="0.3">
      <c r="J58" s="10">
        <f t="shared" si="13"/>
        <v>22</v>
      </c>
      <c r="K58" s="3">
        <f t="shared" si="9"/>
        <v>39407.324941345949</v>
      </c>
      <c r="L58" s="3">
        <f t="shared" si="10"/>
        <v>1090.1092447211354</v>
      </c>
      <c r="M58" s="3">
        <f t="shared" si="14"/>
        <v>296.27376394319822</v>
      </c>
      <c r="N58" s="3">
        <f t="shared" si="15"/>
        <v>296.27376394319822</v>
      </c>
      <c r="O58" s="3">
        <f t="shared" si="11"/>
        <v>154.6230556102125</v>
      </c>
      <c r="P58" s="3">
        <f t="shared" si="12"/>
        <v>0</v>
      </c>
    </row>
    <row r="59" spans="10:16" x14ac:dyDescent="0.3">
      <c r="J59" s="10">
        <f t="shared" si="13"/>
        <v>23</v>
      </c>
      <c r="K59" s="3">
        <f t="shared" si="9"/>
        <v>40195.471440172871</v>
      </c>
      <c r="L59" s="3">
        <f t="shared" si="10"/>
        <v>1161.0424296155584</v>
      </c>
      <c r="M59" s="3">
        <f>P58</f>
        <v>0</v>
      </c>
      <c r="N59" s="3">
        <f t="shared" si="15"/>
        <v>0</v>
      </c>
      <c r="O59" s="3">
        <f t="shared" si="11"/>
        <v>0</v>
      </c>
      <c r="P59" s="3">
        <f t="shared" si="12"/>
        <v>0</v>
      </c>
    </row>
    <row r="60" spans="10:16" x14ac:dyDescent="0.3">
      <c r="J60" s="10">
        <f t="shared" si="13"/>
        <v>24</v>
      </c>
      <c r="K60" s="3">
        <f t="shared" si="9"/>
        <v>40999.380868976325</v>
      </c>
      <c r="L60" s="3">
        <f t="shared" si="10"/>
        <v>1233.3942782078691</v>
      </c>
      <c r="M60" s="3">
        <f t="shared" si="14"/>
        <v>0</v>
      </c>
      <c r="N60" s="3">
        <f t="shared" si="15"/>
        <v>0</v>
      </c>
      <c r="O60" s="3">
        <f t="shared" si="11"/>
        <v>0</v>
      </c>
      <c r="P60" s="3">
        <f t="shared" si="12"/>
        <v>0</v>
      </c>
    </row>
    <row r="61" spans="10:16" x14ac:dyDescent="0.3">
      <c r="J61" s="10">
        <f t="shared" si="13"/>
        <v>25</v>
      </c>
      <c r="K61" s="3">
        <f t="shared" si="9"/>
        <v>41819.368486355852</v>
      </c>
      <c r="L61" s="3">
        <f t="shared" si="10"/>
        <v>1307.1931637720265</v>
      </c>
      <c r="M61" s="3">
        <f t="shared" si="14"/>
        <v>0</v>
      </c>
      <c r="N61" s="3">
        <f t="shared" si="15"/>
        <v>0</v>
      </c>
      <c r="O61" s="3">
        <f t="shared" si="11"/>
        <v>0</v>
      </c>
      <c r="P61" s="3">
        <f t="shared" si="12"/>
        <v>0</v>
      </c>
    </row>
    <row r="62" spans="10:16" x14ac:dyDescent="0.3">
      <c r="J62" s="10">
        <f>J61+1</f>
        <v>26</v>
      </c>
      <c r="K62" s="3">
        <f t="shared" si="9"/>
        <v>42655.755856082971</v>
      </c>
      <c r="L62" s="3">
        <f t="shared" si="10"/>
        <v>1382.4680270474673</v>
      </c>
      <c r="M62" s="3">
        <f t="shared" si="14"/>
        <v>0</v>
      </c>
      <c r="N62" s="3">
        <f t="shared" si="15"/>
        <v>0</v>
      </c>
      <c r="O62" s="3">
        <f t="shared" si="11"/>
        <v>0</v>
      </c>
      <c r="P62" s="3">
        <f t="shared" si="12"/>
        <v>0</v>
      </c>
    </row>
    <row r="63" spans="10:16" x14ac:dyDescent="0.3">
      <c r="J63" s="10">
        <f t="shared" si="13"/>
        <v>27</v>
      </c>
      <c r="K63" s="3">
        <f t="shared" si="9"/>
        <v>43508.870973204634</v>
      </c>
      <c r="L63" s="3">
        <f t="shared" si="10"/>
        <v>1459.248387588417</v>
      </c>
      <c r="M63" s="3">
        <f t="shared" si="14"/>
        <v>0</v>
      </c>
      <c r="N63" s="3">
        <f t="shared" si="15"/>
        <v>0</v>
      </c>
      <c r="O63" s="3">
        <f t="shared" si="11"/>
        <v>0</v>
      </c>
      <c r="P63" s="3">
        <f t="shared" si="12"/>
        <v>0</v>
      </c>
    </row>
    <row r="64" spans="10:16" x14ac:dyDescent="0.3">
      <c r="J64" s="10">
        <f t="shared" si="13"/>
        <v>28</v>
      </c>
      <c r="K64" s="3">
        <f t="shared" si="9"/>
        <v>44379.048392668716</v>
      </c>
      <c r="L64" s="3">
        <f t="shared" si="10"/>
        <v>1537.5643553401844</v>
      </c>
      <c r="M64" s="3">
        <f t="shared" si="14"/>
        <v>0</v>
      </c>
      <c r="N64" s="3">
        <f t="shared" si="15"/>
        <v>0</v>
      </c>
      <c r="O64" s="3">
        <f t="shared" si="11"/>
        <v>0</v>
      </c>
      <c r="P64" s="3">
        <f t="shared" si="12"/>
        <v>0</v>
      </c>
    </row>
    <row r="65" spans="10:16" x14ac:dyDescent="0.3">
      <c r="J65" s="10">
        <f t="shared" si="13"/>
        <v>29</v>
      </c>
      <c r="K65" s="3">
        <f t="shared" si="9"/>
        <v>45266.6293605221</v>
      </c>
      <c r="L65" s="3">
        <f t="shared" si="10"/>
        <v>1617.446642446989</v>
      </c>
      <c r="M65" s="3">
        <f t="shared" si="14"/>
        <v>0</v>
      </c>
      <c r="N65" s="3">
        <f t="shared" si="15"/>
        <v>0</v>
      </c>
      <c r="O65" s="3">
        <f t="shared" si="11"/>
        <v>0</v>
      </c>
      <c r="P65" s="3">
        <f t="shared" si="12"/>
        <v>0</v>
      </c>
    </row>
    <row r="66" spans="10:16" x14ac:dyDescent="0.3">
      <c r="J66" s="10">
        <f t="shared" si="13"/>
        <v>30</v>
      </c>
      <c r="K66" s="3">
        <f t="shared" si="9"/>
        <v>46171.961947732532</v>
      </c>
      <c r="L66" s="3">
        <f t="shared" si="10"/>
        <v>1698.9265752959279</v>
      </c>
      <c r="M66" s="3">
        <f t="shared" si="14"/>
        <v>0</v>
      </c>
      <c r="N66" s="3">
        <f t="shared" si="15"/>
        <v>0</v>
      </c>
      <c r="O66" s="3">
        <f t="shared" si="11"/>
        <v>0</v>
      </c>
      <c r="P66" s="3">
        <f t="shared" si="12"/>
        <v>0</v>
      </c>
    </row>
    <row r="67" spans="10:16" x14ac:dyDescent="0.3">
      <c r="J67" s="9"/>
      <c r="K67" s="3">
        <f>$E$4*(1+$B$7)^(J67-1)</f>
        <v>25490.196078431371</v>
      </c>
      <c r="L67" s="3">
        <f t="shared" si="10"/>
        <v>0</v>
      </c>
      <c r="M67" s="3">
        <f t="shared" si="14"/>
        <v>0</v>
      </c>
      <c r="N67" s="3">
        <f t="shared" si="15"/>
        <v>0</v>
      </c>
      <c r="O67" s="3">
        <f t="shared" si="11"/>
        <v>0</v>
      </c>
      <c r="P67" s="3">
        <f t="shared" si="12"/>
        <v>0</v>
      </c>
    </row>
    <row r="68" spans="10:16" x14ac:dyDescent="0.3">
      <c r="J68" s="3"/>
      <c r="K68" s="3"/>
      <c r="L68" s="3"/>
      <c r="M68" s="3"/>
      <c r="N68" s="3"/>
      <c r="O68" s="3"/>
      <c r="P68" s="3">
        <f t="shared" si="12"/>
        <v>0</v>
      </c>
    </row>
    <row r="70" spans="10:16" x14ac:dyDescent="0.3">
      <c r="J70" s="71" t="s">
        <v>23</v>
      </c>
      <c r="K70" s="72"/>
      <c r="L70" s="72"/>
      <c r="M70" s="72"/>
      <c r="N70" s="72"/>
      <c r="O70" s="72"/>
      <c r="P70" s="73"/>
    </row>
    <row r="71" spans="10:16" ht="28.8" x14ac:dyDescent="0.3">
      <c r="J71" s="8" t="s">
        <v>13</v>
      </c>
      <c r="K71" s="8" t="s">
        <v>14</v>
      </c>
      <c r="L71" s="8" t="s">
        <v>15</v>
      </c>
      <c r="M71" s="8" t="s">
        <v>16</v>
      </c>
      <c r="N71" s="8" t="s">
        <v>17</v>
      </c>
      <c r="O71" s="8" t="s">
        <v>18</v>
      </c>
      <c r="P71" s="8" t="s">
        <v>19</v>
      </c>
    </row>
    <row r="72" spans="10:16" x14ac:dyDescent="0.3">
      <c r="J72" s="10">
        <v>1</v>
      </c>
      <c r="K72" s="3">
        <f>$E$5*(1+$B$7)^(J72-1)</f>
        <v>32000</v>
      </c>
      <c r="L72" s="3">
        <f>$B$5*MAX(0,K72-$B$6)</f>
        <v>423.45</v>
      </c>
      <c r="M72" s="3">
        <f>$B$3</f>
        <v>9250</v>
      </c>
      <c r="N72" s="3">
        <f>MIN(L72,M72)</f>
        <v>423.45</v>
      </c>
      <c r="O72" s="3">
        <f>N72/(1+$B$8)^J72</f>
        <v>411.11650485436888</v>
      </c>
      <c r="P72" s="3">
        <f>M72-N72</f>
        <v>8826.5499999999993</v>
      </c>
    </row>
    <row r="73" spans="10:16" x14ac:dyDescent="0.3">
      <c r="J73" s="10">
        <f>J72+1</f>
        <v>2</v>
      </c>
      <c r="K73" s="3">
        <f t="shared" ref="K73:K102" si="16">$E$5*(1+$B$7)^(J73-1)</f>
        <v>32640</v>
      </c>
      <c r="L73" s="3">
        <f t="shared" ref="L73:L102" si="17">$B$5*MAX(0,K73-$B$6)</f>
        <v>481.04999999999995</v>
      </c>
      <c r="M73" s="3">
        <f>P72</f>
        <v>8826.5499999999993</v>
      </c>
      <c r="N73" s="3">
        <f>MIN(L73,M73)</f>
        <v>481.04999999999995</v>
      </c>
      <c r="O73" s="3">
        <f t="shared" ref="O73:O79" si="18">N73/(1+$B$8)^J73</f>
        <v>453.4357620887925</v>
      </c>
      <c r="P73" s="3">
        <f t="shared" ref="P73:P103" si="19">M73-N73</f>
        <v>8345.5</v>
      </c>
    </row>
    <row r="74" spans="10:16" x14ac:dyDescent="0.3">
      <c r="J74" s="10">
        <f t="shared" ref="J74:J89" si="20">J73+1</f>
        <v>3</v>
      </c>
      <c r="K74" s="3">
        <f t="shared" si="16"/>
        <v>33292.800000000003</v>
      </c>
      <c r="L74" s="3">
        <f t="shared" si="17"/>
        <v>539.80200000000025</v>
      </c>
      <c r="M74" s="3">
        <f t="shared" ref="M74:M93" si="21">P73</f>
        <v>8345.5</v>
      </c>
      <c r="N74" s="3">
        <f t="shared" ref="N74:N102" si="22">MIN(L74,M74)</f>
        <v>539.80200000000025</v>
      </c>
      <c r="O74" s="3">
        <f t="shared" si="18"/>
        <v>493.99529800215447</v>
      </c>
      <c r="P74" s="3">
        <f t="shared" si="19"/>
        <v>7805.6979999999994</v>
      </c>
    </row>
    <row r="75" spans="10:16" x14ac:dyDescent="0.3">
      <c r="J75" s="10">
        <f t="shared" si="20"/>
        <v>4</v>
      </c>
      <c r="K75" s="3">
        <f t="shared" si="16"/>
        <v>33958.655999999995</v>
      </c>
      <c r="L75" s="3">
        <f t="shared" si="17"/>
        <v>599.7290399999996</v>
      </c>
      <c r="M75" s="3">
        <f t="shared" si="21"/>
        <v>7805.6979999999994</v>
      </c>
      <c r="N75" s="3">
        <f t="shared" si="22"/>
        <v>599.7290399999996</v>
      </c>
      <c r="O75" s="3">
        <f t="shared" si="18"/>
        <v>532.85148429890978</v>
      </c>
      <c r="P75" s="3">
        <f t="shared" si="19"/>
        <v>7205.9689600000002</v>
      </c>
    </row>
    <row r="76" spans="10:16" x14ac:dyDescent="0.3">
      <c r="J76" s="10">
        <f t="shared" si="20"/>
        <v>5</v>
      </c>
      <c r="K76" s="3">
        <f t="shared" si="16"/>
        <v>34637.829120000002</v>
      </c>
      <c r="L76" s="3">
        <f t="shared" si="17"/>
        <v>660.85462080000013</v>
      </c>
      <c r="M76" s="3">
        <f t="shared" si="21"/>
        <v>7205.9689600000002</v>
      </c>
      <c r="N76" s="3">
        <f t="shared" si="22"/>
        <v>660.85462080000013</v>
      </c>
      <c r="O76" s="3">
        <f t="shared" si="18"/>
        <v>570.0590011029459</v>
      </c>
      <c r="P76" s="3">
        <f t="shared" si="19"/>
        <v>6545.1143392000004</v>
      </c>
    </row>
    <row r="77" spans="10:16" x14ac:dyDescent="0.3">
      <c r="J77" s="10">
        <f t="shared" si="20"/>
        <v>6</v>
      </c>
      <c r="K77" s="3">
        <f t="shared" si="16"/>
        <v>35330.5857024</v>
      </c>
      <c r="L77" s="3">
        <f t="shared" si="17"/>
        <v>723.20271321599989</v>
      </c>
      <c r="M77" s="3">
        <f t="shared" si="21"/>
        <v>6545.1143392000004</v>
      </c>
      <c r="N77" s="3">
        <f t="shared" si="22"/>
        <v>723.20271321599989</v>
      </c>
      <c r="O77" s="3">
        <f t="shared" si="18"/>
        <v>605.67088670930377</v>
      </c>
      <c r="P77" s="3">
        <f t="shared" si="19"/>
        <v>5821.9116259840002</v>
      </c>
    </row>
    <row r="78" spans="10:16" x14ac:dyDescent="0.3">
      <c r="J78" s="10">
        <f t="shared" si="20"/>
        <v>7</v>
      </c>
      <c r="K78" s="3">
        <f t="shared" si="16"/>
        <v>36037.197416448005</v>
      </c>
      <c r="L78" s="3">
        <f t="shared" si="17"/>
        <v>786.79776748032043</v>
      </c>
      <c r="M78" s="3">
        <f t="shared" si="21"/>
        <v>5821.9116259840002</v>
      </c>
      <c r="N78" s="3">
        <f t="shared" si="22"/>
        <v>786.79776748032043</v>
      </c>
      <c r="O78" s="3">
        <f t="shared" si="18"/>
        <v>639.73858588215035</v>
      </c>
      <c r="P78" s="3">
        <f t="shared" si="19"/>
        <v>5035.1138585036797</v>
      </c>
    </row>
    <row r="79" spans="10:16" x14ac:dyDescent="0.3">
      <c r="J79" s="10">
        <f t="shared" si="20"/>
        <v>8</v>
      </c>
      <c r="K79" s="3">
        <f t="shared" si="16"/>
        <v>36757.941364776954</v>
      </c>
      <c r="L79" s="3">
        <f t="shared" si="17"/>
        <v>851.66472282992584</v>
      </c>
      <c r="M79" s="3">
        <f t="shared" si="21"/>
        <v>5035.1138585036797</v>
      </c>
      <c r="N79" s="3">
        <f t="shared" si="22"/>
        <v>851.66472282992584</v>
      </c>
      <c r="O79" s="3">
        <f t="shared" si="18"/>
        <v>672.31199674136212</v>
      </c>
      <c r="P79" s="3">
        <f t="shared" si="19"/>
        <v>4183.4491356737535</v>
      </c>
    </row>
    <row r="80" spans="10:16" x14ac:dyDescent="0.3">
      <c r="J80" s="10">
        <f t="shared" si="20"/>
        <v>9</v>
      </c>
      <c r="K80" s="3">
        <f t="shared" si="16"/>
        <v>37493.100192072496</v>
      </c>
      <c r="L80" s="3">
        <f t="shared" si="17"/>
        <v>917.82901728652462</v>
      </c>
      <c r="M80" s="3">
        <f t="shared" si="21"/>
        <v>4183.4491356737535</v>
      </c>
      <c r="N80" s="3">
        <f t="shared" si="22"/>
        <v>917.82901728652462</v>
      </c>
      <c r="O80" s="3">
        <f>N80/(1+$B$8)^J80</f>
        <v>703.43951627890044</v>
      </c>
      <c r="P80" s="3">
        <f t="shared" si="19"/>
        <v>3265.620118387229</v>
      </c>
    </row>
    <row r="81" spans="10:16" x14ac:dyDescent="0.3">
      <c r="J81" s="10">
        <f t="shared" si="20"/>
        <v>10</v>
      </c>
      <c r="K81" s="3">
        <f t="shared" si="16"/>
        <v>38242.962195913948</v>
      </c>
      <c r="L81" s="3">
        <f t="shared" si="17"/>
        <v>985.31659763225525</v>
      </c>
      <c r="M81" s="3">
        <f t="shared" si="21"/>
        <v>3265.620118387229</v>
      </c>
      <c r="N81" s="3">
        <f t="shared" si="22"/>
        <v>985.31659763225525</v>
      </c>
      <c r="O81" s="3">
        <f t="shared" ref="O81:O102" si="23">N81/(1+$B$8)^J81</f>
        <v>733.16808454490615</v>
      </c>
      <c r="P81" s="3">
        <f t="shared" si="19"/>
        <v>2280.3035207549738</v>
      </c>
    </row>
    <row r="82" spans="10:16" x14ac:dyDescent="0.3">
      <c r="J82" s="10">
        <f t="shared" si="20"/>
        <v>11</v>
      </c>
      <c r="K82" s="3">
        <f t="shared" si="16"/>
        <v>39007.821439832231</v>
      </c>
      <c r="L82" s="3">
        <f t="shared" si="17"/>
        <v>1054.1539295849007</v>
      </c>
      <c r="M82" s="3">
        <f t="shared" si="21"/>
        <v>2280.3035207549738</v>
      </c>
      <c r="N82" s="3">
        <f t="shared" si="22"/>
        <v>1054.1539295849007</v>
      </c>
      <c r="O82" s="3">
        <f t="shared" si="23"/>
        <v>761.54322754232567</v>
      </c>
      <c r="P82" s="3">
        <f t="shared" si="19"/>
        <v>1226.1495911700731</v>
      </c>
    </row>
    <row r="83" spans="10:16" x14ac:dyDescent="0.3">
      <c r="J83" s="10">
        <f t="shared" si="20"/>
        <v>12</v>
      </c>
      <c r="K83" s="3">
        <f t="shared" si="16"/>
        <v>39787.977868628863</v>
      </c>
      <c r="L83" s="3">
        <f t="shared" si="17"/>
        <v>1124.3680081765976</v>
      </c>
      <c r="M83" s="3">
        <f t="shared" si="21"/>
        <v>1226.1495911700731</v>
      </c>
      <c r="N83" s="3">
        <f t="shared" si="22"/>
        <v>1124.3680081765976</v>
      </c>
      <c r="O83" s="3">
        <f t="shared" si="23"/>
        <v>788.60909886771401</v>
      </c>
      <c r="P83" s="3">
        <f t="shared" si="19"/>
        <v>101.78158299347547</v>
      </c>
    </row>
    <row r="84" spans="10:16" x14ac:dyDescent="0.3">
      <c r="J84" s="10">
        <f t="shared" si="20"/>
        <v>13</v>
      </c>
      <c r="K84" s="3">
        <f t="shared" si="16"/>
        <v>40583.737426001448</v>
      </c>
      <c r="L84" s="3">
        <f t="shared" si="17"/>
        <v>1195.9863683401302</v>
      </c>
      <c r="M84" s="3">
        <f t="shared" si="21"/>
        <v>101.78158299347547</v>
      </c>
      <c r="N84" s="3">
        <f t="shared" si="22"/>
        <v>101.78158299347547</v>
      </c>
      <c r="O84" s="3">
        <f t="shared" si="23"/>
        <v>69.308305326033974</v>
      </c>
      <c r="P84" s="3">
        <f t="shared" si="19"/>
        <v>0</v>
      </c>
    </row>
    <row r="85" spans="10:16" x14ac:dyDescent="0.3">
      <c r="J85" s="10">
        <f t="shared" si="20"/>
        <v>14</v>
      </c>
      <c r="K85" s="3">
        <f t="shared" si="16"/>
        <v>41395.412174521472</v>
      </c>
      <c r="L85" s="3">
        <f t="shared" si="17"/>
        <v>1269.0370957069324</v>
      </c>
      <c r="M85" s="3">
        <f t="shared" si="21"/>
        <v>0</v>
      </c>
      <c r="N85" s="3">
        <f t="shared" si="22"/>
        <v>0</v>
      </c>
      <c r="O85" s="3">
        <f t="shared" si="23"/>
        <v>0</v>
      </c>
      <c r="P85" s="3">
        <f t="shared" si="19"/>
        <v>0</v>
      </c>
    </row>
    <row r="86" spans="10:16" x14ac:dyDescent="0.3">
      <c r="J86" s="10">
        <f t="shared" si="20"/>
        <v>15</v>
      </c>
      <c r="K86" s="3">
        <f t="shared" si="16"/>
        <v>42223.320418011906</v>
      </c>
      <c r="L86" s="3">
        <f t="shared" si="17"/>
        <v>1343.5488376210715</v>
      </c>
      <c r="M86" s="3">
        <f t="shared" si="21"/>
        <v>0</v>
      </c>
      <c r="N86" s="3">
        <f t="shared" si="22"/>
        <v>0</v>
      </c>
      <c r="O86" s="3">
        <f t="shared" si="23"/>
        <v>0</v>
      </c>
      <c r="P86" s="3">
        <f t="shared" si="19"/>
        <v>0</v>
      </c>
    </row>
    <row r="87" spans="10:16" x14ac:dyDescent="0.3">
      <c r="J87" s="10">
        <f t="shared" si="20"/>
        <v>16</v>
      </c>
      <c r="K87" s="3">
        <f t="shared" si="16"/>
        <v>43067.786826372132</v>
      </c>
      <c r="L87" s="3">
        <f t="shared" si="17"/>
        <v>1419.5508143734919</v>
      </c>
      <c r="M87" s="3">
        <f t="shared" si="21"/>
        <v>0</v>
      </c>
      <c r="N87" s="3">
        <f t="shared" si="22"/>
        <v>0</v>
      </c>
      <c r="O87" s="3">
        <f t="shared" si="23"/>
        <v>0</v>
      </c>
      <c r="P87" s="3">
        <f t="shared" si="19"/>
        <v>0</v>
      </c>
    </row>
    <row r="88" spans="10:16" x14ac:dyDescent="0.3">
      <c r="J88" s="10">
        <f t="shared" si="20"/>
        <v>17</v>
      </c>
      <c r="K88" s="3">
        <f t="shared" si="16"/>
        <v>43929.142562899586</v>
      </c>
      <c r="L88" s="3">
        <f t="shared" si="17"/>
        <v>1497.0728306609626</v>
      </c>
      <c r="M88" s="3">
        <f t="shared" si="21"/>
        <v>0</v>
      </c>
      <c r="N88" s="3">
        <f t="shared" si="22"/>
        <v>0</v>
      </c>
      <c r="O88" s="3">
        <f t="shared" si="23"/>
        <v>0</v>
      </c>
      <c r="P88" s="3">
        <f t="shared" si="19"/>
        <v>0</v>
      </c>
    </row>
    <row r="89" spans="10:16" x14ac:dyDescent="0.3">
      <c r="J89" s="10">
        <f t="shared" si="20"/>
        <v>18</v>
      </c>
      <c r="K89" s="3">
        <f t="shared" si="16"/>
        <v>44807.725414157583</v>
      </c>
      <c r="L89" s="3">
        <f t="shared" si="17"/>
        <v>1576.1452872741825</v>
      </c>
      <c r="M89" s="3">
        <f t="shared" si="21"/>
        <v>0</v>
      </c>
      <c r="N89" s="3">
        <f t="shared" si="22"/>
        <v>0</v>
      </c>
      <c r="O89" s="3">
        <f t="shared" si="23"/>
        <v>0</v>
      </c>
      <c r="P89" s="3">
        <f t="shared" si="19"/>
        <v>0</v>
      </c>
    </row>
    <row r="90" spans="10:16" x14ac:dyDescent="0.3">
      <c r="J90" s="10">
        <f>J89+1</f>
        <v>19</v>
      </c>
      <c r="K90" s="3">
        <f t="shared" si="16"/>
        <v>45703.879922440727</v>
      </c>
      <c r="L90" s="3">
        <f t="shared" si="17"/>
        <v>1656.7991930196654</v>
      </c>
      <c r="M90" s="3">
        <f t="shared" si="21"/>
        <v>0</v>
      </c>
      <c r="N90" s="3">
        <f t="shared" si="22"/>
        <v>0</v>
      </c>
      <c r="O90" s="3">
        <f t="shared" si="23"/>
        <v>0</v>
      </c>
      <c r="P90" s="3">
        <f t="shared" si="19"/>
        <v>0</v>
      </c>
    </row>
    <row r="91" spans="10:16" x14ac:dyDescent="0.3">
      <c r="J91" s="10">
        <f t="shared" ref="J91:J96" si="24">J90+1</f>
        <v>20</v>
      </c>
      <c r="K91" s="3">
        <f t="shared" si="16"/>
        <v>46617.95752088954</v>
      </c>
      <c r="L91" s="3">
        <f t="shared" si="17"/>
        <v>1739.0661768800585</v>
      </c>
      <c r="M91" s="3">
        <f t="shared" si="21"/>
        <v>0</v>
      </c>
      <c r="N91" s="3">
        <f t="shared" si="22"/>
        <v>0</v>
      </c>
      <c r="O91" s="3">
        <f t="shared" si="23"/>
        <v>0</v>
      </c>
      <c r="P91" s="3">
        <f t="shared" si="19"/>
        <v>0</v>
      </c>
    </row>
    <row r="92" spans="10:16" x14ac:dyDescent="0.3">
      <c r="J92" s="10">
        <f t="shared" si="24"/>
        <v>21</v>
      </c>
      <c r="K92" s="3">
        <f t="shared" si="16"/>
        <v>47550.316671307337</v>
      </c>
      <c r="L92" s="3">
        <f t="shared" si="17"/>
        <v>1822.9785004176604</v>
      </c>
      <c r="M92" s="3">
        <f t="shared" si="21"/>
        <v>0</v>
      </c>
      <c r="N92" s="3">
        <f t="shared" si="22"/>
        <v>0</v>
      </c>
      <c r="O92" s="3">
        <f t="shared" si="23"/>
        <v>0</v>
      </c>
      <c r="P92" s="3">
        <f t="shared" si="19"/>
        <v>0</v>
      </c>
    </row>
    <row r="93" spans="10:16" x14ac:dyDescent="0.3">
      <c r="J93" s="10">
        <f t="shared" si="24"/>
        <v>22</v>
      </c>
      <c r="K93" s="3">
        <f t="shared" si="16"/>
        <v>48501.32300473348</v>
      </c>
      <c r="L93" s="3">
        <f t="shared" si="17"/>
        <v>1908.5690704260132</v>
      </c>
      <c r="M93" s="3">
        <f t="shared" si="21"/>
        <v>0</v>
      </c>
      <c r="N93" s="3">
        <f t="shared" si="22"/>
        <v>0</v>
      </c>
      <c r="O93" s="3">
        <f t="shared" si="23"/>
        <v>0</v>
      </c>
      <c r="P93" s="3">
        <f t="shared" si="19"/>
        <v>0</v>
      </c>
    </row>
    <row r="94" spans="10:16" x14ac:dyDescent="0.3">
      <c r="J94" s="10">
        <f t="shared" si="24"/>
        <v>23</v>
      </c>
      <c r="K94" s="3">
        <f t="shared" si="16"/>
        <v>49471.349464828148</v>
      </c>
      <c r="L94" s="3">
        <f t="shared" si="17"/>
        <v>1995.8714518345332</v>
      </c>
      <c r="M94" s="3">
        <f>P93</f>
        <v>0</v>
      </c>
      <c r="N94" s="3">
        <f t="shared" si="22"/>
        <v>0</v>
      </c>
      <c r="O94" s="3">
        <f t="shared" si="23"/>
        <v>0</v>
      </c>
      <c r="P94" s="3">
        <f t="shared" si="19"/>
        <v>0</v>
      </c>
    </row>
    <row r="95" spans="10:16" x14ac:dyDescent="0.3">
      <c r="J95" s="10">
        <f t="shared" si="24"/>
        <v>24</v>
      </c>
      <c r="K95" s="3">
        <f t="shared" si="16"/>
        <v>50460.776454124702</v>
      </c>
      <c r="L95" s="3">
        <f t="shared" si="17"/>
        <v>2084.9198808712231</v>
      </c>
      <c r="M95" s="3">
        <f t="shared" ref="M95:M102" si="25">P94</f>
        <v>0</v>
      </c>
      <c r="N95" s="3">
        <f t="shared" si="22"/>
        <v>0</v>
      </c>
      <c r="O95" s="3">
        <f t="shared" si="23"/>
        <v>0</v>
      </c>
      <c r="P95" s="3">
        <f t="shared" si="19"/>
        <v>0</v>
      </c>
    </row>
    <row r="96" spans="10:16" x14ac:dyDescent="0.3">
      <c r="J96" s="10">
        <f t="shared" si="24"/>
        <v>25</v>
      </c>
      <c r="K96" s="3">
        <f t="shared" si="16"/>
        <v>51469.991983207205</v>
      </c>
      <c r="L96" s="3">
        <f t="shared" si="17"/>
        <v>2175.7492784886485</v>
      </c>
      <c r="M96" s="3">
        <f t="shared" si="25"/>
        <v>0</v>
      </c>
      <c r="N96" s="3">
        <f t="shared" si="22"/>
        <v>0</v>
      </c>
      <c r="O96" s="3">
        <f t="shared" si="23"/>
        <v>0</v>
      </c>
      <c r="P96" s="3">
        <f t="shared" si="19"/>
        <v>0</v>
      </c>
    </row>
    <row r="97" spans="10:16" x14ac:dyDescent="0.3">
      <c r="J97" s="10">
        <f>J96+1</f>
        <v>26</v>
      </c>
      <c r="K97" s="3">
        <f t="shared" si="16"/>
        <v>52499.391822871345</v>
      </c>
      <c r="L97" s="3">
        <f t="shared" si="17"/>
        <v>2268.3952640584207</v>
      </c>
      <c r="M97" s="3">
        <f t="shared" si="25"/>
        <v>0</v>
      </c>
      <c r="N97" s="3">
        <f t="shared" si="22"/>
        <v>0</v>
      </c>
      <c r="O97" s="3">
        <f t="shared" si="23"/>
        <v>0</v>
      </c>
      <c r="P97" s="3">
        <f t="shared" si="19"/>
        <v>0</v>
      </c>
    </row>
    <row r="98" spans="10:16" x14ac:dyDescent="0.3">
      <c r="J98" s="10">
        <f t="shared" ref="J98:J101" si="26">J97+1</f>
        <v>27</v>
      </c>
      <c r="K98" s="3">
        <f t="shared" si="16"/>
        <v>53549.379659328777</v>
      </c>
      <c r="L98" s="3">
        <f t="shared" si="17"/>
        <v>2362.89416933959</v>
      </c>
      <c r="M98" s="3">
        <f t="shared" si="25"/>
        <v>0</v>
      </c>
      <c r="N98" s="3">
        <f t="shared" si="22"/>
        <v>0</v>
      </c>
      <c r="O98" s="3">
        <f t="shared" si="23"/>
        <v>0</v>
      </c>
      <c r="P98" s="3">
        <f t="shared" si="19"/>
        <v>0</v>
      </c>
    </row>
    <row r="99" spans="10:16" x14ac:dyDescent="0.3">
      <c r="J99" s="10">
        <f t="shared" si="26"/>
        <v>28</v>
      </c>
      <c r="K99" s="3">
        <f t="shared" si="16"/>
        <v>54620.367252515345</v>
      </c>
      <c r="L99" s="3">
        <f t="shared" si="17"/>
        <v>2459.2830527263809</v>
      </c>
      <c r="M99" s="3">
        <f t="shared" si="25"/>
        <v>0</v>
      </c>
      <c r="N99" s="3">
        <f t="shared" si="22"/>
        <v>0</v>
      </c>
      <c r="O99" s="3">
        <f t="shared" si="23"/>
        <v>0</v>
      </c>
      <c r="P99" s="3">
        <f t="shared" si="19"/>
        <v>0</v>
      </c>
    </row>
    <row r="100" spans="10:16" x14ac:dyDescent="0.3">
      <c r="J100" s="10">
        <f t="shared" si="26"/>
        <v>29</v>
      </c>
      <c r="K100" s="3">
        <f t="shared" si="16"/>
        <v>55712.774597565665</v>
      </c>
      <c r="L100" s="3">
        <f t="shared" si="17"/>
        <v>2557.59971378091</v>
      </c>
      <c r="M100" s="3">
        <f t="shared" si="25"/>
        <v>0</v>
      </c>
      <c r="N100" s="3">
        <f t="shared" si="22"/>
        <v>0</v>
      </c>
      <c r="O100" s="3">
        <f t="shared" si="23"/>
        <v>0</v>
      </c>
      <c r="P100" s="3">
        <f t="shared" si="19"/>
        <v>0</v>
      </c>
    </row>
    <row r="101" spans="10:16" x14ac:dyDescent="0.3">
      <c r="J101" s="10">
        <f t="shared" si="26"/>
        <v>30</v>
      </c>
      <c r="K101" s="3">
        <f t="shared" si="16"/>
        <v>56827.030089516964</v>
      </c>
      <c r="L101" s="3">
        <f t="shared" si="17"/>
        <v>2657.8827080565266</v>
      </c>
      <c r="M101" s="3">
        <f t="shared" si="25"/>
        <v>0</v>
      </c>
      <c r="N101" s="3">
        <f t="shared" si="22"/>
        <v>0</v>
      </c>
      <c r="O101" s="3">
        <f t="shared" si="23"/>
        <v>0</v>
      </c>
      <c r="P101" s="3">
        <f t="shared" si="19"/>
        <v>0</v>
      </c>
    </row>
    <row r="102" spans="10:16" x14ac:dyDescent="0.3">
      <c r="J102" s="9"/>
      <c r="K102" s="3">
        <f t="shared" si="16"/>
        <v>31372.549019607843</v>
      </c>
      <c r="L102" s="3">
        <f t="shared" si="17"/>
        <v>366.97941176470584</v>
      </c>
      <c r="M102" s="3">
        <f t="shared" si="25"/>
        <v>0</v>
      </c>
      <c r="N102" s="3">
        <f t="shared" si="22"/>
        <v>0</v>
      </c>
      <c r="O102" s="3">
        <f t="shared" si="23"/>
        <v>0</v>
      </c>
      <c r="P102" s="3">
        <f t="shared" si="19"/>
        <v>0</v>
      </c>
    </row>
    <row r="103" spans="10:16" x14ac:dyDescent="0.3">
      <c r="J103" s="3"/>
      <c r="K103" s="3"/>
      <c r="L103" s="3"/>
      <c r="M103" s="3"/>
      <c r="N103" s="3"/>
      <c r="O103" s="3"/>
      <c r="P103" s="3">
        <f t="shared" si="19"/>
        <v>0</v>
      </c>
    </row>
    <row r="105" spans="10:16" x14ac:dyDescent="0.3">
      <c r="J105" s="71" t="s">
        <v>22</v>
      </c>
      <c r="K105" s="72"/>
      <c r="L105" s="72"/>
      <c r="M105" s="72"/>
      <c r="N105" s="72"/>
      <c r="O105" s="72"/>
      <c r="P105" s="73"/>
    </row>
    <row r="106" spans="10:16" ht="28.8" x14ac:dyDescent="0.3">
      <c r="J106" s="8" t="s">
        <v>13</v>
      </c>
      <c r="K106" s="8" t="s">
        <v>14</v>
      </c>
      <c r="L106" s="8" t="s">
        <v>15</v>
      </c>
      <c r="M106" s="8" t="s">
        <v>16</v>
      </c>
      <c r="N106" s="8" t="s">
        <v>17</v>
      </c>
      <c r="O106" s="8" t="s">
        <v>18</v>
      </c>
      <c r="P106" s="8" t="s">
        <v>19</v>
      </c>
    </row>
    <row r="107" spans="10:16" x14ac:dyDescent="0.3">
      <c r="J107" s="10">
        <v>1</v>
      </c>
      <c r="K107" s="3">
        <f>$E$6*(1+$B$7)^(J107-1)</f>
        <v>35000</v>
      </c>
      <c r="L107" s="3">
        <f>$B$5*MAX(0,K107-$B$6)</f>
        <v>693.44999999999993</v>
      </c>
      <c r="M107" s="3">
        <f>$B$3</f>
        <v>9250</v>
      </c>
      <c r="N107" s="3">
        <f>MIN(L107,M107)</f>
        <v>693.44999999999993</v>
      </c>
      <c r="O107" s="3">
        <f>N107/(1+$B$8)^J107</f>
        <v>673.25242718446589</v>
      </c>
      <c r="P107" s="3">
        <f>M107-N107</f>
        <v>8556.5499999999993</v>
      </c>
    </row>
    <row r="108" spans="10:16" x14ac:dyDescent="0.3">
      <c r="J108" s="10">
        <f>J107+1</f>
        <v>2</v>
      </c>
      <c r="K108" s="3">
        <f t="shared" ref="K108:K137" si="27">$E$6*(1+$B$7)^(J108-1)</f>
        <v>35700</v>
      </c>
      <c r="L108" s="3">
        <f t="shared" ref="L108:L137" si="28">$B$5*MAX(0,K108-$B$6)</f>
        <v>756.44999999999993</v>
      </c>
      <c r="M108" s="3">
        <f>P107</f>
        <v>8556.5499999999993</v>
      </c>
      <c r="N108" s="3">
        <f>MIN(L108,M108)</f>
        <v>756.44999999999993</v>
      </c>
      <c r="O108" s="3">
        <f t="shared" ref="O108:O114" si="29">N108/(1+$B$8)^J108</f>
        <v>713.02667546422845</v>
      </c>
      <c r="P108" s="3">
        <f t="shared" ref="P108:P138" si="30">M108-N108</f>
        <v>7800.0999999999995</v>
      </c>
    </row>
    <row r="109" spans="10:16" x14ac:dyDescent="0.3">
      <c r="J109" s="10">
        <f t="shared" ref="J109:J124" si="31">J108+1</f>
        <v>3</v>
      </c>
      <c r="K109" s="3">
        <f t="shared" si="27"/>
        <v>36414</v>
      </c>
      <c r="L109" s="3">
        <f t="shared" si="28"/>
        <v>820.70999999999992</v>
      </c>
      <c r="M109" s="3">
        <f t="shared" ref="M109:M128" si="32">P108</f>
        <v>7800.0999999999995</v>
      </c>
      <c r="N109" s="3">
        <f t="shared" ref="N109:N137" si="33">MIN(L109,M109)</f>
        <v>820.70999999999992</v>
      </c>
      <c r="O109" s="3">
        <f t="shared" si="29"/>
        <v>751.06591124773149</v>
      </c>
      <c r="P109" s="3">
        <f t="shared" si="30"/>
        <v>6979.3899999999994</v>
      </c>
    </row>
    <row r="110" spans="10:16" x14ac:dyDescent="0.3">
      <c r="J110" s="10">
        <f t="shared" si="31"/>
        <v>4</v>
      </c>
      <c r="K110" s="3">
        <f t="shared" si="27"/>
        <v>37142.28</v>
      </c>
      <c r="L110" s="3">
        <f t="shared" si="28"/>
        <v>886.25519999999983</v>
      </c>
      <c r="M110" s="3">
        <f t="shared" si="32"/>
        <v>6979.3899999999994</v>
      </c>
      <c r="N110" s="3">
        <f t="shared" si="33"/>
        <v>886.25519999999983</v>
      </c>
      <c r="O110" s="3">
        <f t="shared" si="29"/>
        <v>787.42626634792839</v>
      </c>
      <c r="P110" s="3">
        <f t="shared" si="30"/>
        <v>6093.1347999999998</v>
      </c>
    </row>
    <row r="111" spans="10:16" x14ac:dyDescent="0.3">
      <c r="J111" s="10">
        <f t="shared" si="31"/>
        <v>5</v>
      </c>
      <c r="K111" s="3">
        <f t="shared" si="27"/>
        <v>37885.125599999999</v>
      </c>
      <c r="L111" s="3">
        <f t="shared" si="28"/>
        <v>953.1113039999999</v>
      </c>
      <c r="M111" s="3">
        <f t="shared" si="32"/>
        <v>6093.1347999999998</v>
      </c>
      <c r="N111" s="3">
        <f t="shared" si="33"/>
        <v>953.1113039999999</v>
      </c>
      <c r="O111" s="3">
        <f t="shared" si="29"/>
        <v>822.16218332624544</v>
      </c>
      <c r="P111" s="3">
        <f t="shared" si="30"/>
        <v>5140.0234959999998</v>
      </c>
    </row>
    <row r="112" spans="10:16" x14ac:dyDescent="0.3">
      <c r="J112" s="10">
        <f t="shared" si="31"/>
        <v>6</v>
      </c>
      <c r="K112" s="3">
        <f t="shared" si="27"/>
        <v>38642.828112000003</v>
      </c>
      <c r="L112" s="3">
        <f t="shared" si="28"/>
        <v>1021.3045300800002</v>
      </c>
      <c r="M112" s="3">
        <f t="shared" si="32"/>
        <v>5140.0234959999998</v>
      </c>
      <c r="N112" s="3">
        <f t="shared" si="33"/>
        <v>1021.3045300800002</v>
      </c>
      <c r="O112" s="3">
        <f t="shared" si="29"/>
        <v>855.32646522169796</v>
      </c>
      <c r="P112" s="3">
        <f t="shared" si="30"/>
        <v>4118.7189659199994</v>
      </c>
    </row>
    <row r="113" spans="10:16" x14ac:dyDescent="0.3">
      <c r="J113" s="10">
        <f t="shared" si="31"/>
        <v>7</v>
      </c>
      <c r="K113" s="3">
        <f t="shared" si="27"/>
        <v>39415.684674240001</v>
      </c>
      <c r="L113" s="3">
        <f t="shared" si="28"/>
        <v>1090.8616206816</v>
      </c>
      <c r="M113" s="3">
        <f t="shared" si="32"/>
        <v>4118.7189659199994</v>
      </c>
      <c r="N113" s="3">
        <f t="shared" si="33"/>
        <v>1090.8616206816</v>
      </c>
      <c r="O113" s="3">
        <f t="shared" si="29"/>
        <v>886.97032382646239</v>
      </c>
      <c r="P113" s="3">
        <f t="shared" si="30"/>
        <v>3027.8573452383994</v>
      </c>
    </row>
    <row r="114" spans="10:16" x14ac:dyDescent="0.3">
      <c r="J114" s="10">
        <f t="shared" si="31"/>
        <v>8</v>
      </c>
      <c r="K114" s="3">
        <f t="shared" si="27"/>
        <v>40203.998367724795</v>
      </c>
      <c r="L114" s="3">
        <f t="shared" si="28"/>
        <v>1161.8098530952316</v>
      </c>
      <c r="M114" s="3">
        <f t="shared" si="32"/>
        <v>3027.8573452383994</v>
      </c>
      <c r="N114" s="3">
        <f t="shared" si="33"/>
        <v>1161.8098530952316</v>
      </c>
      <c r="O114" s="3">
        <f t="shared" si="29"/>
        <v>917.14342655029293</v>
      </c>
      <c r="P114" s="3">
        <f t="shared" si="30"/>
        <v>1866.0474921431678</v>
      </c>
    </row>
    <row r="115" spans="10:16" x14ac:dyDescent="0.3">
      <c r="J115" s="10">
        <f t="shared" si="31"/>
        <v>9</v>
      </c>
      <c r="K115" s="3">
        <f t="shared" si="27"/>
        <v>41008.078335079292</v>
      </c>
      <c r="L115" s="3">
        <f t="shared" si="28"/>
        <v>1234.1770501571361</v>
      </c>
      <c r="M115" s="3">
        <f t="shared" si="32"/>
        <v>1866.0474921431678</v>
      </c>
      <c r="N115" s="3">
        <f t="shared" si="33"/>
        <v>1234.1770501571361</v>
      </c>
      <c r="O115" s="3">
        <f>N115/(1+$B$8)^J115</f>
        <v>945.89394191492886</v>
      </c>
      <c r="P115" s="3">
        <f t="shared" si="30"/>
        <v>631.87044198603166</v>
      </c>
    </row>
    <row r="116" spans="10:16" x14ac:dyDescent="0.3">
      <c r="J116" s="10">
        <f t="shared" si="31"/>
        <v>10</v>
      </c>
      <c r="K116" s="3">
        <f t="shared" si="27"/>
        <v>41828.239901780878</v>
      </c>
      <c r="L116" s="3">
        <f t="shared" si="28"/>
        <v>1307.9915911602791</v>
      </c>
      <c r="M116" s="3">
        <f t="shared" si="32"/>
        <v>631.87044198603166</v>
      </c>
      <c r="N116" s="3">
        <f t="shared" si="33"/>
        <v>631.87044198603166</v>
      </c>
      <c r="O116" s="3">
        <f t="shared" ref="O116:O137" si="34">N116/(1+$B$8)^J116</f>
        <v>470.17095088491038</v>
      </c>
      <c r="P116" s="3">
        <f t="shared" si="30"/>
        <v>0</v>
      </c>
    </row>
    <row r="117" spans="10:16" x14ac:dyDescent="0.3">
      <c r="J117" s="10">
        <f t="shared" si="31"/>
        <v>11</v>
      </c>
      <c r="K117" s="3">
        <f t="shared" si="27"/>
        <v>42664.804699816501</v>
      </c>
      <c r="L117" s="3">
        <f t="shared" si="28"/>
        <v>1383.282422983485</v>
      </c>
      <c r="M117" s="3">
        <f t="shared" si="32"/>
        <v>0</v>
      </c>
      <c r="N117" s="3">
        <f t="shared" si="33"/>
        <v>0</v>
      </c>
      <c r="O117" s="3">
        <f t="shared" si="34"/>
        <v>0</v>
      </c>
      <c r="P117" s="3">
        <f t="shared" si="30"/>
        <v>0</v>
      </c>
    </row>
    <row r="118" spans="10:16" x14ac:dyDescent="0.3">
      <c r="J118" s="10">
        <f t="shared" si="31"/>
        <v>12</v>
      </c>
      <c r="K118" s="3">
        <f t="shared" si="27"/>
        <v>43518.100793812824</v>
      </c>
      <c r="L118" s="3">
        <f t="shared" si="28"/>
        <v>1460.0790714431541</v>
      </c>
      <c r="M118" s="3">
        <f t="shared" si="32"/>
        <v>0</v>
      </c>
      <c r="N118" s="3">
        <f t="shared" si="33"/>
        <v>0</v>
      </c>
      <c r="O118" s="3">
        <f t="shared" si="34"/>
        <v>0</v>
      </c>
      <c r="P118" s="3">
        <f t="shared" si="30"/>
        <v>0</v>
      </c>
    </row>
    <row r="119" spans="10:16" x14ac:dyDescent="0.3">
      <c r="J119" s="10">
        <f t="shared" si="31"/>
        <v>13</v>
      </c>
      <c r="K119" s="3">
        <f t="shared" si="27"/>
        <v>44388.462809689081</v>
      </c>
      <c r="L119" s="3">
        <f t="shared" si="28"/>
        <v>1538.4116528720172</v>
      </c>
      <c r="M119" s="3">
        <f t="shared" si="32"/>
        <v>0</v>
      </c>
      <c r="N119" s="3">
        <f t="shared" si="33"/>
        <v>0</v>
      </c>
      <c r="O119" s="3">
        <f t="shared" si="34"/>
        <v>0</v>
      </c>
      <c r="P119" s="3">
        <f t="shared" si="30"/>
        <v>0</v>
      </c>
    </row>
    <row r="120" spans="10:16" x14ac:dyDescent="0.3">
      <c r="J120" s="10">
        <f t="shared" si="31"/>
        <v>14</v>
      </c>
      <c r="K120" s="3">
        <f t="shared" si="27"/>
        <v>45276.232065882861</v>
      </c>
      <c r="L120" s="3">
        <f t="shared" si="28"/>
        <v>1618.3108859294575</v>
      </c>
      <c r="M120" s="3">
        <f t="shared" si="32"/>
        <v>0</v>
      </c>
      <c r="N120" s="3">
        <f t="shared" si="33"/>
        <v>0</v>
      </c>
      <c r="O120" s="3">
        <f t="shared" si="34"/>
        <v>0</v>
      </c>
      <c r="P120" s="3">
        <f t="shared" si="30"/>
        <v>0</v>
      </c>
    </row>
    <row r="121" spans="10:16" x14ac:dyDescent="0.3">
      <c r="J121" s="10">
        <f t="shared" si="31"/>
        <v>15</v>
      </c>
      <c r="K121" s="3">
        <f t="shared" si="27"/>
        <v>46181.756707200526</v>
      </c>
      <c r="L121" s="3">
        <f t="shared" si="28"/>
        <v>1699.8081036480473</v>
      </c>
      <c r="M121" s="3">
        <f t="shared" si="32"/>
        <v>0</v>
      </c>
      <c r="N121" s="3">
        <f t="shared" si="33"/>
        <v>0</v>
      </c>
      <c r="O121" s="3">
        <f t="shared" si="34"/>
        <v>0</v>
      </c>
      <c r="P121" s="3">
        <f t="shared" si="30"/>
        <v>0</v>
      </c>
    </row>
    <row r="122" spans="10:16" x14ac:dyDescent="0.3">
      <c r="J122" s="10">
        <f t="shared" si="31"/>
        <v>16</v>
      </c>
      <c r="K122" s="3">
        <f t="shared" si="27"/>
        <v>47105.391841344521</v>
      </c>
      <c r="L122" s="3">
        <f t="shared" si="28"/>
        <v>1782.9352657210068</v>
      </c>
      <c r="M122" s="3">
        <f t="shared" si="32"/>
        <v>0</v>
      </c>
      <c r="N122" s="3">
        <f t="shared" si="33"/>
        <v>0</v>
      </c>
      <c r="O122" s="3">
        <f t="shared" si="34"/>
        <v>0</v>
      </c>
      <c r="P122" s="3">
        <f t="shared" si="30"/>
        <v>0</v>
      </c>
    </row>
    <row r="123" spans="10:16" x14ac:dyDescent="0.3">
      <c r="J123" s="10">
        <f t="shared" si="31"/>
        <v>17</v>
      </c>
      <c r="K123" s="3">
        <f t="shared" si="27"/>
        <v>48047.499678171422</v>
      </c>
      <c r="L123" s="3">
        <f t="shared" si="28"/>
        <v>1867.7249710354279</v>
      </c>
      <c r="M123" s="3">
        <f t="shared" si="32"/>
        <v>0</v>
      </c>
      <c r="N123" s="3">
        <f t="shared" si="33"/>
        <v>0</v>
      </c>
      <c r="O123" s="3">
        <f t="shared" si="34"/>
        <v>0</v>
      </c>
      <c r="P123" s="3">
        <f t="shared" si="30"/>
        <v>0</v>
      </c>
    </row>
    <row r="124" spans="10:16" x14ac:dyDescent="0.3">
      <c r="J124" s="10">
        <f t="shared" si="31"/>
        <v>18</v>
      </c>
      <c r="K124" s="3">
        <f t="shared" si="27"/>
        <v>49008.449671734852</v>
      </c>
      <c r="L124" s="3">
        <f t="shared" si="28"/>
        <v>1954.2104704561366</v>
      </c>
      <c r="M124" s="3">
        <f t="shared" si="32"/>
        <v>0</v>
      </c>
      <c r="N124" s="3">
        <f t="shared" si="33"/>
        <v>0</v>
      </c>
      <c r="O124" s="3">
        <f t="shared" si="34"/>
        <v>0</v>
      </c>
      <c r="P124" s="3">
        <f t="shared" si="30"/>
        <v>0</v>
      </c>
    </row>
    <row r="125" spans="10:16" x14ac:dyDescent="0.3">
      <c r="J125" s="10">
        <f>J124+1</f>
        <v>19</v>
      </c>
      <c r="K125" s="3">
        <f t="shared" si="27"/>
        <v>49988.618665169546</v>
      </c>
      <c r="L125" s="3">
        <f t="shared" si="28"/>
        <v>2042.4256798652591</v>
      </c>
      <c r="M125" s="3">
        <f t="shared" si="32"/>
        <v>0</v>
      </c>
      <c r="N125" s="3">
        <f t="shared" si="33"/>
        <v>0</v>
      </c>
      <c r="O125" s="3">
        <f t="shared" si="34"/>
        <v>0</v>
      </c>
      <c r="P125" s="3">
        <f t="shared" si="30"/>
        <v>0</v>
      </c>
    </row>
    <row r="126" spans="10:16" x14ac:dyDescent="0.3">
      <c r="J126" s="10">
        <f t="shared" ref="J126:J131" si="35">J125+1</f>
        <v>20</v>
      </c>
      <c r="K126" s="3">
        <f t="shared" si="27"/>
        <v>50988.391038472932</v>
      </c>
      <c r="L126" s="3">
        <f t="shared" si="28"/>
        <v>2132.4051934625636</v>
      </c>
      <c r="M126" s="3">
        <f t="shared" si="32"/>
        <v>0</v>
      </c>
      <c r="N126" s="3">
        <f t="shared" si="33"/>
        <v>0</v>
      </c>
      <c r="O126" s="3">
        <f t="shared" si="34"/>
        <v>0</v>
      </c>
      <c r="P126" s="3">
        <f t="shared" si="30"/>
        <v>0</v>
      </c>
    </row>
    <row r="127" spans="10:16" x14ac:dyDescent="0.3">
      <c r="J127" s="10">
        <f t="shared" si="35"/>
        <v>21</v>
      </c>
      <c r="K127" s="3">
        <f t="shared" si="27"/>
        <v>52008.158859242401</v>
      </c>
      <c r="L127" s="3">
        <f t="shared" si="28"/>
        <v>2224.1842973318162</v>
      </c>
      <c r="M127" s="3">
        <f t="shared" si="32"/>
        <v>0</v>
      </c>
      <c r="N127" s="3">
        <f t="shared" si="33"/>
        <v>0</v>
      </c>
      <c r="O127" s="3">
        <f t="shared" si="34"/>
        <v>0</v>
      </c>
      <c r="P127" s="3">
        <f t="shared" si="30"/>
        <v>0</v>
      </c>
    </row>
    <row r="128" spans="10:16" x14ac:dyDescent="0.3">
      <c r="J128" s="10">
        <f t="shared" si="35"/>
        <v>22</v>
      </c>
      <c r="K128" s="3">
        <f t="shared" si="27"/>
        <v>53048.322036427242</v>
      </c>
      <c r="L128" s="3">
        <f t="shared" si="28"/>
        <v>2317.7989832784515</v>
      </c>
      <c r="M128" s="3">
        <f t="shared" si="32"/>
        <v>0</v>
      </c>
      <c r="N128" s="3">
        <f t="shared" si="33"/>
        <v>0</v>
      </c>
      <c r="O128" s="3">
        <f t="shared" si="34"/>
        <v>0</v>
      </c>
      <c r="P128" s="3">
        <f t="shared" si="30"/>
        <v>0</v>
      </c>
    </row>
    <row r="129" spans="10:16" x14ac:dyDescent="0.3">
      <c r="J129" s="10">
        <f t="shared" si="35"/>
        <v>23</v>
      </c>
      <c r="K129" s="3">
        <f t="shared" si="27"/>
        <v>54109.288477155787</v>
      </c>
      <c r="L129" s="3">
        <f t="shared" si="28"/>
        <v>2413.2859629440209</v>
      </c>
      <c r="M129" s="3">
        <f>P128</f>
        <v>0</v>
      </c>
      <c r="N129" s="3">
        <f t="shared" si="33"/>
        <v>0</v>
      </c>
      <c r="O129" s="3">
        <f t="shared" si="34"/>
        <v>0</v>
      </c>
      <c r="P129" s="3">
        <f t="shared" si="30"/>
        <v>0</v>
      </c>
    </row>
    <row r="130" spans="10:16" x14ac:dyDescent="0.3">
      <c r="J130" s="10">
        <f t="shared" si="35"/>
        <v>24</v>
      </c>
      <c r="K130" s="3">
        <f t="shared" si="27"/>
        <v>55191.474246698897</v>
      </c>
      <c r="L130" s="3">
        <f t="shared" si="28"/>
        <v>2510.6826822029007</v>
      </c>
      <c r="M130" s="3">
        <f t="shared" ref="M130:M137" si="36">P129</f>
        <v>0</v>
      </c>
      <c r="N130" s="3">
        <f t="shared" si="33"/>
        <v>0</v>
      </c>
      <c r="O130" s="3">
        <f t="shared" si="34"/>
        <v>0</v>
      </c>
      <c r="P130" s="3">
        <f t="shared" si="30"/>
        <v>0</v>
      </c>
    </row>
    <row r="131" spans="10:16" x14ac:dyDescent="0.3">
      <c r="J131" s="10">
        <f t="shared" si="35"/>
        <v>25</v>
      </c>
      <c r="K131" s="3">
        <f t="shared" si="27"/>
        <v>56295.303731632877</v>
      </c>
      <c r="L131" s="3">
        <f t="shared" si="28"/>
        <v>2610.027335846959</v>
      </c>
      <c r="M131" s="3">
        <f t="shared" si="36"/>
        <v>0</v>
      </c>
      <c r="N131" s="3">
        <f t="shared" si="33"/>
        <v>0</v>
      </c>
      <c r="O131" s="3">
        <f t="shared" si="34"/>
        <v>0</v>
      </c>
      <c r="P131" s="3">
        <f t="shared" si="30"/>
        <v>0</v>
      </c>
    </row>
    <row r="132" spans="10:16" x14ac:dyDescent="0.3">
      <c r="J132" s="10">
        <f>J131+1</f>
        <v>26</v>
      </c>
      <c r="K132" s="3">
        <f t="shared" si="27"/>
        <v>57421.209806265535</v>
      </c>
      <c r="L132" s="3">
        <f t="shared" si="28"/>
        <v>2711.3588825638981</v>
      </c>
      <c r="M132" s="3">
        <f t="shared" si="36"/>
        <v>0</v>
      </c>
      <c r="N132" s="3">
        <f t="shared" si="33"/>
        <v>0</v>
      </c>
      <c r="O132" s="3">
        <f t="shared" si="34"/>
        <v>0</v>
      </c>
      <c r="P132" s="3">
        <f t="shared" si="30"/>
        <v>0</v>
      </c>
    </row>
    <row r="133" spans="10:16" x14ac:dyDescent="0.3">
      <c r="J133" s="10">
        <f t="shared" ref="J133:J136" si="37">J132+1</f>
        <v>27</v>
      </c>
      <c r="K133" s="3">
        <f t="shared" si="27"/>
        <v>58569.634002390849</v>
      </c>
      <c r="L133" s="3">
        <f t="shared" si="28"/>
        <v>2814.7170602151764</v>
      </c>
      <c r="M133" s="3">
        <f t="shared" si="36"/>
        <v>0</v>
      </c>
      <c r="N133" s="3">
        <f t="shared" si="33"/>
        <v>0</v>
      </c>
      <c r="O133" s="3">
        <f t="shared" si="34"/>
        <v>0</v>
      </c>
      <c r="P133" s="3">
        <f t="shared" si="30"/>
        <v>0</v>
      </c>
    </row>
    <row r="134" spans="10:16" x14ac:dyDescent="0.3">
      <c r="J134" s="10">
        <f t="shared" si="37"/>
        <v>28</v>
      </c>
      <c r="K134" s="3">
        <f t="shared" si="27"/>
        <v>59741.026682438656</v>
      </c>
      <c r="L134" s="3">
        <f t="shared" si="28"/>
        <v>2920.142401419479</v>
      </c>
      <c r="M134" s="3">
        <f t="shared" si="36"/>
        <v>0</v>
      </c>
      <c r="N134" s="3">
        <f t="shared" si="33"/>
        <v>0</v>
      </c>
      <c r="O134" s="3">
        <f t="shared" si="34"/>
        <v>0</v>
      </c>
      <c r="P134" s="3">
        <f t="shared" si="30"/>
        <v>0</v>
      </c>
    </row>
    <row r="135" spans="10:16" x14ac:dyDescent="0.3">
      <c r="J135" s="10">
        <f t="shared" si="37"/>
        <v>29</v>
      </c>
      <c r="K135" s="3">
        <f t="shared" si="27"/>
        <v>60935.847216087444</v>
      </c>
      <c r="L135" s="3">
        <f t="shared" si="28"/>
        <v>3027.6762494478698</v>
      </c>
      <c r="M135" s="3">
        <f t="shared" si="36"/>
        <v>0</v>
      </c>
      <c r="N135" s="3">
        <f t="shared" si="33"/>
        <v>0</v>
      </c>
      <c r="O135" s="3">
        <f t="shared" si="34"/>
        <v>0</v>
      </c>
      <c r="P135" s="3">
        <f t="shared" si="30"/>
        <v>0</v>
      </c>
    </row>
    <row r="136" spans="10:16" x14ac:dyDescent="0.3">
      <c r="J136" s="10">
        <f t="shared" si="37"/>
        <v>30</v>
      </c>
      <c r="K136" s="3">
        <f t="shared" si="27"/>
        <v>62154.56416040918</v>
      </c>
      <c r="L136" s="3">
        <f t="shared" si="28"/>
        <v>3137.360774436826</v>
      </c>
      <c r="M136" s="3">
        <f t="shared" si="36"/>
        <v>0</v>
      </c>
      <c r="N136" s="3">
        <f t="shared" si="33"/>
        <v>0</v>
      </c>
      <c r="O136" s="3">
        <f t="shared" si="34"/>
        <v>0</v>
      </c>
      <c r="P136" s="3">
        <f t="shared" si="30"/>
        <v>0</v>
      </c>
    </row>
    <row r="137" spans="10:16" x14ac:dyDescent="0.3">
      <c r="J137" s="9"/>
      <c r="K137" s="3">
        <f t="shared" si="27"/>
        <v>34313.725490196077</v>
      </c>
      <c r="L137" s="3">
        <f t="shared" si="28"/>
        <v>631.68529411764689</v>
      </c>
      <c r="M137" s="3">
        <f t="shared" si="36"/>
        <v>0</v>
      </c>
      <c r="N137" s="3">
        <f t="shared" si="33"/>
        <v>0</v>
      </c>
      <c r="O137" s="3">
        <f t="shared" si="34"/>
        <v>0</v>
      </c>
      <c r="P137" s="3">
        <f t="shared" si="30"/>
        <v>0</v>
      </c>
    </row>
    <row r="138" spans="10:16" x14ac:dyDescent="0.3">
      <c r="J138" s="3"/>
      <c r="K138" s="3"/>
      <c r="L138" s="3"/>
      <c r="M138" s="3"/>
      <c r="N138" s="3"/>
      <c r="O138" s="3"/>
      <c r="P138" s="3">
        <f t="shared" si="30"/>
        <v>0</v>
      </c>
    </row>
    <row r="140" spans="10:16" x14ac:dyDescent="0.3">
      <c r="J140" s="71" t="s">
        <v>22</v>
      </c>
      <c r="K140" s="72"/>
      <c r="L140" s="72"/>
      <c r="M140" s="72"/>
      <c r="N140" s="72"/>
      <c r="O140" s="72"/>
      <c r="P140" s="73"/>
    </row>
    <row r="141" spans="10:16" ht="28.8" x14ac:dyDescent="0.3">
      <c r="J141" s="8" t="s">
        <v>13</v>
      </c>
      <c r="K141" s="8" t="s">
        <v>14</v>
      </c>
      <c r="L141" s="8" t="s">
        <v>15</v>
      </c>
      <c r="M141" s="8" t="s">
        <v>16</v>
      </c>
      <c r="N141" s="8" t="s">
        <v>17</v>
      </c>
      <c r="O141" s="8" t="s">
        <v>18</v>
      </c>
      <c r="P141" s="8" t="s">
        <v>19</v>
      </c>
    </row>
    <row r="142" spans="10:16" x14ac:dyDescent="0.3">
      <c r="J142" s="10">
        <v>1</v>
      </c>
      <c r="K142" s="3">
        <f>$E$7*(1+$B$7)^(J142-1)</f>
        <v>42000</v>
      </c>
      <c r="L142" s="3">
        <f>$B$5*MAX(0,K142-$B$6)</f>
        <v>1323.45</v>
      </c>
      <c r="M142" s="3">
        <f>$B$3</f>
        <v>9250</v>
      </c>
      <c r="N142" s="3">
        <f>MIN(L142,M142)</f>
        <v>1323.45</v>
      </c>
      <c r="O142" s="3">
        <f>N142/(1+$B$8)^J142</f>
        <v>1284.9029126213593</v>
      </c>
      <c r="P142" s="3">
        <f>M142-N142</f>
        <v>7926.55</v>
      </c>
    </row>
    <row r="143" spans="10:16" x14ac:dyDescent="0.3">
      <c r="J143" s="10">
        <f>J142+1</f>
        <v>2</v>
      </c>
      <c r="K143" s="3">
        <f t="shared" ref="K143:K172" si="38">$E$7*(1+$B$7)^(J143-1)</f>
        <v>42840</v>
      </c>
      <c r="L143" s="3">
        <f t="shared" ref="L143:L172" si="39">$B$5*MAX(0,K143-$B$6)</f>
        <v>1399.05</v>
      </c>
      <c r="M143" s="3">
        <f>P142</f>
        <v>7926.55</v>
      </c>
      <c r="N143" s="3">
        <f>MIN(L143,M143)</f>
        <v>1399.05</v>
      </c>
      <c r="O143" s="3">
        <f t="shared" ref="O143:O149" si="40">N143/(1+$B$8)^J143</f>
        <v>1318.7388066735791</v>
      </c>
      <c r="P143" s="3">
        <f t="shared" ref="P143:P173" si="41">M143-N143</f>
        <v>6527.5</v>
      </c>
    </row>
    <row r="144" spans="10:16" x14ac:dyDescent="0.3">
      <c r="J144" s="10">
        <f t="shared" ref="J144:J159" si="42">J143+1</f>
        <v>3</v>
      </c>
      <c r="K144" s="3">
        <f t="shared" si="38"/>
        <v>43696.800000000003</v>
      </c>
      <c r="L144" s="3">
        <f t="shared" si="39"/>
        <v>1476.1620000000003</v>
      </c>
      <c r="M144" s="3">
        <f t="shared" ref="M144:M163" si="43">P143</f>
        <v>6527.5</v>
      </c>
      <c r="N144" s="3">
        <f t="shared" ref="N144:N172" si="44">MIN(L144,M144)</f>
        <v>1476.1620000000003</v>
      </c>
      <c r="O144" s="3">
        <f t="shared" si="40"/>
        <v>1350.8973421540791</v>
      </c>
      <c r="P144" s="3">
        <f t="shared" si="41"/>
        <v>5051.3379999999997</v>
      </c>
    </row>
    <row r="145" spans="10:16" x14ac:dyDescent="0.3">
      <c r="J145" s="10">
        <f t="shared" si="42"/>
        <v>4</v>
      </c>
      <c r="K145" s="3">
        <f t="shared" si="38"/>
        <v>44570.735999999997</v>
      </c>
      <c r="L145" s="3">
        <f t="shared" si="39"/>
        <v>1554.8162399999997</v>
      </c>
      <c r="M145" s="3">
        <f t="shared" si="43"/>
        <v>5051.3379999999997</v>
      </c>
      <c r="N145" s="3">
        <f t="shared" si="44"/>
        <v>1554.8162399999997</v>
      </c>
      <c r="O145" s="3">
        <f t="shared" si="40"/>
        <v>1381.434091128971</v>
      </c>
      <c r="P145" s="3">
        <f t="shared" si="41"/>
        <v>3496.5217600000001</v>
      </c>
    </row>
    <row r="146" spans="10:16" x14ac:dyDescent="0.3">
      <c r="J146" s="10">
        <f t="shared" si="42"/>
        <v>5</v>
      </c>
      <c r="K146" s="3">
        <f t="shared" si="38"/>
        <v>45462.150719999998</v>
      </c>
      <c r="L146" s="3">
        <f t="shared" si="39"/>
        <v>1635.0435647999998</v>
      </c>
      <c r="M146" s="3">
        <f t="shared" si="43"/>
        <v>3496.5217600000001</v>
      </c>
      <c r="N146" s="3">
        <f t="shared" si="44"/>
        <v>1635.0435647999998</v>
      </c>
      <c r="O146" s="3">
        <f t="shared" si="40"/>
        <v>1410.402941847278</v>
      </c>
      <c r="P146" s="3">
        <f t="shared" si="41"/>
        <v>1861.4781952000003</v>
      </c>
    </row>
    <row r="147" spans="10:16" x14ac:dyDescent="0.3">
      <c r="J147" s="10">
        <f t="shared" si="42"/>
        <v>6</v>
      </c>
      <c r="K147" s="3">
        <f t="shared" si="38"/>
        <v>46371.393734400001</v>
      </c>
      <c r="L147" s="3">
        <f t="shared" si="39"/>
        <v>1716.8754360959999</v>
      </c>
      <c r="M147" s="3">
        <f t="shared" si="43"/>
        <v>1861.4781952000003</v>
      </c>
      <c r="N147" s="3">
        <f t="shared" si="44"/>
        <v>1716.8754360959999</v>
      </c>
      <c r="O147" s="3">
        <f t="shared" si="40"/>
        <v>1437.8561484172835</v>
      </c>
      <c r="P147" s="3">
        <f t="shared" si="41"/>
        <v>144.60275910400037</v>
      </c>
    </row>
    <row r="148" spans="10:16" x14ac:dyDescent="0.3">
      <c r="J148" s="10">
        <f t="shared" si="42"/>
        <v>7</v>
      </c>
      <c r="K148" s="3">
        <f t="shared" si="38"/>
        <v>47298.821609088001</v>
      </c>
      <c r="L148" s="3">
        <f t="shared" si="39"/>
        <v>1800.3439448179201</v>
      </c>
      <c r="M148" s="3">
        <f t="shared" si="43"/>
        <v>144.60275910400037</v>
      </c>
      <c r="N148" s="3">
        <f t="shared" si="44"/>
        <v>144.60275910400037</v>
      </c>
      <c r="O148" s="3">
        <f t="shared" si="40"/>
        <v>117.57527594429057</v>
      </c>
      <c r="P148" s="3">
        <f t="shared" si="41"/>
        <v>0</v>
      </c>
    </row>
    <row r="149" spans="10:16" x14ac:dyDescent="0.3">
      <c r="J149" s="10">
        <f t="shared" si="42"/>
        <v>8</v>
      </c>
      <c r="K149" s="3">
        <f t="shared" si="38"/>
        <v>48244.798041269751</v>
      </c>
      <c r="L149" s="3">
        <f t="shared" si="39"/>
        <v>1885.4818237142774</v>
      </c>
      <c r="M149" s="3">
        <f t="shared" si="43"/>
        <v>0</v>
      </c>
      <c r="N149" s="3">
        <f t="shared" si="44"/>
        <v>0</v>
      </c>
      <c r="O149" s="3">
        <f t="shared" si="40"/>
        <v>0</v>
      </c>
      <c r="P149" s="3">
        <f t="shared" si="41"/>
        <v>0</v>
      </c>
    </row>
    <row r="150" spans="10:16" x14ac:dyDescent="0.3">
      <c r="J150" s="10">
        <f t="shared" si="42"/>
        <v>9</v>
      </c>
      <c r="K150" s="3">
        <f t="shared" si="38"/>
        <v>49209.694002095152</v>
      </c>
      <c r="L150" s="3">
        <f t="shared" si="39"/>
        <v>1972.3224601885636</v>
      </c>
      <c r="M150" s="3">
        <f t="shared" si="43"/>
        <v>0</v>
      </c>
      <c r="N150" s="3">
        <f t="shared" si="44"/>
        <v>0</v>
      </c>
      <c r="O150" s="3">
        <f>N150/(1+$B$8)^J150</f>
        <v>0</v>
      </c>
      <c r="P150" s="3">
        <f t="shared" si="41"/>
        <v>0</v>
      </c>
    </row>
    <row r="151" spans="10:16" x14ac:dyDescent="0.3">
      <c r="J151" s="10">
        <f t="shared" si="42"/>
        <v>10</v>
      </c>
      <c r="K151" s="3">
        <f t="shared" si="38"/>
        <v>50193.887882137053</v>
      </c>
      <c r="L151" s="3">
        <f t="shared" si="39"/>
        <v>2060.8999093923348</v>
      </c>
      <c r="M151" s="3">
        <f t="shared" si="43"/>
        <v>0</v>
      </c>
      <c r="N151" s="3">
        <f t="shared" si="44"/>
        <v>0</v>
      </c>
      <c r="O151" s="3">
        <f t="shared" ref="O151:O172" si="45">N151/(1+$B$8)^J151</f>
        <v>0</v>
      </c>
      <c r="P151" s="3">
        <f t="shared" si="41"/>
        <v>0</v>
      </c>
    </row>
    <row r="152" spans="10:16" x14ac:dyDescent="0.3">
      <c r="J152" s="10">
        <f t="shared" si="42"/>
        <v>11</v>
      </c>
      <c r="K152" s="3">
        <f t="shared" si="38"/>
        <v>51197.765639779798</v>
      </c>
      <c r="L152" s="3">
        <f t="shared" si="39"/>
        <v>2151.2489075801818</v>
      </c>
      <c r="M152" s="3">
        <f t="shared" si="43"/>
        <v>0</v>
      </c>
      <c r="N152" s="3">
        <f t="shared" si="44"/>
        <v>0</v>
      </c>
      <c r="O152" s="3">
        <f t="shared" si="45"/>
        <v>0</v>
      </c>
      <c r="P152" s="3">
        <f t="shared" si="41"/>
        <v>0</v>
      </c>
    </row>
    <row r="153" spans="10:16" x14ac:dyDescent="0.3">
      <c r="J153" s="10">
        <f t="shared" si="42"/>
        <v>12</v>
      </c>
      <c r="K153" s="3">
        <f t="shared" si="38"/>
        <v>52221.720952575386</v>
      </c>
      <c r="L153" s="3">
        <f t="shared" si="39"/>
        <v>2243.4048857317848</v>
      </c>
      <c r="M153" s="3">
        <f t="shared" si="43"/>
        <v>0</v>
      </c>
      <c r="N153" s="3">
        <f t="shared" si="44"/>
        <v>0</v>
      </c>
      <c r="O153" s="3">
        <f t="shared" si="45"/>
        <v>0</v>
      </c>
      <c r="P153" s="3">
        <f t="shared" si="41"/>
        <v>0</v>
      </c>
    </row>
    <row r="154" spans="10:16" x14ac:dyDescent="0.3">
      <c r="J154" s="10">
        <f t="shared" si="42"/>
        <v>13</v>
      </c>
      <c r="K154" s="3">
        <f t="shared" si="38"/>
        <v>53266.155371626905</v>
      </c>
      <c r="L154" s="3">
        <f t="shared" si="39"/>
        <v>2337.4039834464215</v>
      </c>
      <c r="M154" s="3">
        <f t="shared" si="43"/>
        <v>0</v>
      </c>
      <c r="N154" s="3">
        <f t="shared" si="44"/>
        <v>0</v>
      </c>
      <c r="O154" s="3">
        <f t="shared" si="45"/>
        <v>0</v>
      </c>
      <c r="P154" s="3">
        <f t="shared" si="41"/>
        <v>0</v>
      </c>
    </row>
    <row r="155" spans="10:16" x14ac:dyDescent="0.3">
      <c r="J155" s="10">
        <f t="shared" si="42"/>
        <v>14</v>
      </c>
      <c r="K155" s="3">
        <f t="shared" si="38"/>
        <v>54331.478479059435</v>
      </c>
      <c r="L155" s="3">
        <f t="shared" si="39"/>
        <v>2433.2830631153493</v>
      </c>
      <c r="M155" s="3">
        <f t="shared" si="43"/>
        <v>0</v>
      </c>
      <c r="N155" s="3">
        <f t="shared" si="44"/>
        <v>0</v>
      </c>
      <c r="O155" s="3">
        <f t="shared" si="45"/>
        <v>0</v>
      </c>
      <c r="P155" s="3">
        <f t="shared" si="41"/>
        <v>0</v>
      </c>
    </row>
    <row r="156" spans="10:16" x14ac:dyDescent="0.3">
      <c r="J156" s="10">
        <f t="shared" si="42"/>
        <v>15</v>
      </c>
      <c r="K156" s="3">
        <f t="shared" si="38"/>
        <v>55418.108048640628</v>
      </c>
      <c r="L156" s="3">
        <f t="shared" si="39"/>
        <v>2531.0797243776565</v>
      </c>
      <c r="M156" s="3">
        <f t="shared" si="43"/>
        <v>0</v>
      </c>
      <c r="N156" s="3">
        <f t="shared" si="44"/>
        <v>0</v>
      </c>
      <c r="O156" s="3">
        <f t="shared" si="45"/>
        <v>0</v>
      </c>
      <c r="P156" s="3">
        <f t="shared" si="41"/>
        <v>0</v>
      </c>
    </row>
    <row r="157" spans="10:16" x14ac:dyDescent="0.3">
      <c r="J157" s="10">
        <f t="shared" si="42"/>
        <v>16</v>
      </c>
      <c r="K157" s="3">
        <f t="shared" si="38"/>
        <v>56526.470209613428</v>
      </c>
      <c r="L157" s="3">
        <f t="shared" si="39"/>
        <v>2630.8323188652084</v>
      </c>
      <c r="M157" s="3">
        <f t="shared" si="43"/>
        <v>0</v>
      </c>
      <c r="N157" s="3">
        <f t="shared" si="44"/>
        <v>0</v>
      </c>
      <c r="O157" s="3">
        <f t="shared" si="45"/>
        <v>0</v>
      </c>
      <c r="P157" s="3">
        <f t="shared" si="41"/>
        <v>0</v>
      </c>
    </row>
    <row r="158" spans="10:16" x14ac:dyDescent="0.3">
      <c r="J158" s="10">
        <f t="shared" si="42"/>
        <v>17</v>
      </c>
      <c r="K158" s="3">
        <f t="shared" si="38"/>
        <v>57656.999613805703</v>
      </c>
      <c r="L158" s="3">
        <f t="shared" si="39"/>
        <v>2732.579965242513</v>
      </c>
      <c r="M158" s="3">
        <f t="shared" si="43"/>
        <v>0</v>
      </c>
      <c r="N158" s="3">
        <f t="shared" si="44"/>
        <v>0</v>
      </c>
      <c r="O158" s="3">
        <f t="shared" si="45"/>
        <v>0</v>
      </c>
      <c r="P158" s="3">
        <f t="shared" si="41"/>
        <v>0</v>
      </c>
    </row>
    <row r="159" spans="10:16" x14ac:dyDescent="0.3">
      <c r="J159" s="10">
        <f t="shared" si="42"/>
        <v>18</v>
      </c>
      <c r="K159" s="3">
        <f t="shared" si="38"/>
        <v>58810.139606081822</v>
      </c>
      <c r="L159" s="3">
        <f t="shared" si="39"/>
        <v>2836.3625645473639</v>
      </c>
      <c r="M159" s="3">
        <f t="shared" si="43"/>
        <v>0</v>
      </c>
      <c r="N159" s="3">
        <f t="shared" si="44"/>
        <v>0</v>
      </c>
      <c r="O159" s="3">
        <f t="shared" si="45"/>
        <v>0</v>
      </c>
      <c r="P159" s="3">
        <f t="shared" si="41"/>
        <v>0</v>
      </c>
    </row>
    <row r="160" spans="10:16" x14ac:dyDescent="0.3">
      <c r="J160" s="10">
        <f>J159+1</f>
        <v>19</v>
      </c>
      <c r="K160" s="3">
        <f t="shared" si="38"/>
        <v>59986.342398203451</v>
      </c>
      <c r="L160" s="3">
        <f t="shared" si="39"/>
        <v>2942.2208158383105</v>
      </c>
      <c r="M160" s="3">
        <f t="shared" si="43"/>
        <v>0</v>
      </c>
      <c r="N160" s="3">
        <f t="shared" si="44"/>
        <v>0</v>
      </c>
      <c r="O160" s="3">
        <f t="shared" si="45"/>
        <v>0</v>
      </c>
      <c r="P160" s="3">
        <f t="shared" si="41"/>
        <v>0</v>
      </c>
    </row>
    <row r="161" spans="10:16" x14ac:dyDescent="0.3">
      <c r="J161" s="10">
        <f t="shared" ref="J161:J166" si="46">J160+1</f>
        <v>20</v>
      </c>
      <c r="K161" s="3">
        <f t="shared" si="38"/>
        <v>61186.069246167521</v>
      </c>
      <c r="L161" s="3">
        <f t="shared" si="39"/>
        <v>3050.1962321550768</v>
      </c>
      <c r="M161" s="3">
        <f t="shared" si="43"/>
        <v>0</v>
      </c>
      <c r="N161" s="3">
        <f t="shared" si="44"/>
        <v>0</v>
      </c>
      <c r="O161" s="3">
        <f t="shared" si="45"/>
        <v>0</v>
      </c>
      <c r="P161" s="3">
        <f t="shared" si="41"/>
        <v>0</v>
      </c>
    </row>
    <row r="162" spans="10:16" x14ac:dyDescent="0.3">
      <c r="J162" s="10">
        <f t="shared" si="46"/>
        <v>21</v>
      </c>
      <c r="K162" s="3">
        <f t="shared" si="38"/>
        <v>62409.79063109088</v>
      </c>
      <c r="L162" s="3">
        <f t="shared" si="39"/>
        <v>3160.3311567981791</v>
      </c>
      <c r="M162" s="3">
        <f t="shared" si="43"/>
        <v>0</v>
      </c>
      <c r="N162" s="3">
        <f t="shared" si="44"/>
        <v>0</v>
      </c>
      <c r="O162" s="3">
        <f t="shared" si="45"/>
        <v>0</v>
      </c>
      <c r="P162" s="3">
        <f t="shared" si="41"/>
        <v>0</v>
      </c>
    </row>
    <row r="163" spans="10:16" x14ac:dyDescent="0.3">
      <c r="J163" s="10">
        <f t="shared" si="46"/>
        <v>22</v>
      </c>
      <c r="K163" s="3">
        <f t="shared" si="38"/>
        <v>63657.986443712689</v>
      </c>
      <c r="L163" s="3">
        <f t="shared" si="39"/>
        <v>3272.6687799341421</v>
      </c>
      <c r="M163" s="3">
        <f t="shared" si="43"/>
        <v>0</v>
      </c>
      <c r="N163" s="3">
        <f t="shared" si="44"/>
        <v>0</v>
      </c>
      <c r="O163" s="3">
        <f t="shared" si="45"/>
        <v>0</v>
      </c>
      <c r="P163" s="3">
        <f t="shared" si="41"/>
        <v>0</v>
      </c>
    </row>
    <row r="164" spans="10:16" x14ac:dyDescent="0.3">
      <c r="J164" s="10">
        <f t="shared" si="46"/>
        <v>23</v>
      </c>
      <c r="K164" s="3">
        <f t="shared" si="38"/>
        <v>64931.146172586945</v>
      </c>
      <c r="L164" s="3">
        <f t="shared" si="39"/>
        <v>3387.2531555328251</v>
      </c>
      <c r="M164" s="3">
        <f>P163</f>
        <v>0</v>
      </c>
      <c r="N164" s="3">
        <f t="shared" si="44"/>
        <v>0</v>
      </c>
      <c r="O164" s="3">
        <f t="shared" si="45"/>
        <v>0</v>
      </c>
      <c r="P164" s="3">
        <f t="shared" si="41"/>
        <v>0</v>
      </c>
    </row>
    <row r="165" spans="10:16" x14ac:dyDescent="0.3">
      <c r="J165" s="10">
        <f t="shared" si="46"/>
        <v>24</v>
      </c>
      <c r="K165" s="3">
        <f t="shared" si="38"/>
        <v>66229.769096038683</v>
      </c>
      <c r="L165" s="3">
        <f t="shared" si="39"/>
        <v>3504.1292186434812</v>
      </c>
      <c r="M165" s="3">
        <f t="shared" ref="M165:M172" si="47">P164</f>
        <v>0</v>
      </c>
      <c r="N165" s="3">
        <f t="shared" si="44"/>
        <v>0</v>
      </c>
      <c r="O165" s="3">
        <f t="shared" si="45"/>
        <v>0</v>
      </c>
      <c r="P165" s="3">
        <f t="shared" si="41"/>
        <v>0</v>
      </c>
    </row>
    <row r="166" spans="10:16" x14ac:dyDescent="0.3">
      <c r="J166" s="10">
        <f t="shared" si="46"/>
        <v>25</v>
      </c>
      <c r="K166" s="3">
        <f t="shared" si="38"/>
        <v>67554.364477959447</v>
      </c>
      <c r="L166" s="3">
        <f t="shared" si="39"/>
        <v>3623.34280301635</v>
      </c>
      <c r="M166" s="3">
        <f t="shared" si="47"/>
        <v>0</v>
      </c>
      <c r="N166" s="3">
        <f t="shared" si="44"/>
        <v>0</v>
      </c>
      <c r="O166" s="3">
        <f t="shared" si="45"/>
        <v>0</v>
      </c>
      <c r="P166" s="3">
        <f t="shared" si="41"/>
        <v>0</v>
      </c>
    </row>
    <row r="167" spans="10:16" x14ac:dyDescent="0.3">
      <c r="J167" s="10">
        <f>J166+1</f>
        <v>26</v>
      </c>
      <c r="K167" s="3">
        <f t="shared" si="38"/>
        <v>68905.451767518636</v>
      </c>
      <c r="L167" s="3">
        <f t="shared" si="39"/>
        <v>3744.9406590766771</v>
      </c>
      <c r="M167" s="3">
        <f t="shared" si="47"/>
        <v>0</v>
      </c>
      <c r="N167" s="3">
        <f t="shared" si="44"/>
        <v>0</v>
      </c>
      <c r="O167" s="3">
        <f t="shared" si="45"/>
        <v>0</v>
      </c>
      <c r="P167" s="3">
        <f t="shared" si="41"/>
        <v>0</v>
      </c>
    </row>
    <row r="168" spans="10:16" x14ac:dyDescent="0.3">
      <c r="J168" s="10">
        <f t="shared" ref="J168:J171" si="48">J167+1</f>
        <v>27</v>
      </c>
      <c r="K168" s="3">
        <f t="shared" si="38"/>
        <v>70283.560802869019</v>
      </c>
      <c r="L168" s="3">
        <f t="shared" si="39"/>
        <v>3868.9704722582114</v>
      </c>
      <c r="M168" s="3">
        <f t="shared" si="47"/>
        <v>0</v>
      </c>
      <c r="N168" s="3">
        <f t="shared" si="44"/>
        <v>0</v>
      </c>
      <c r="O168" s="3">
        <f t="shared" si="45"/>
        <v>0</v>
      </c>
      <c r="P168" s="3">
        <f t="shared" si="41"/>
        <v>0</v>
      </c>
    </row>
    <row r="169" spans="10:16" x14ac:dyDescent="0.3">
      <c r="J169" s="10">
        <f t="shared" si="48"/>
        <v>28</v>
      </c>
      <c r="K169" s="3">
        <f t="shared" si="38"/>
        <v>71689.232018926385</v>
      </c>
      <c r="L169" s="3">
        <f t="shared" si="39"/>
        <v>3995.4808817033745</v>
      </c>
      <c r="M169" s="3">
        <f t="shared" si="47"/>
        <v>0</v>
      </c>
      <c r="N169" s="3">
        <f t="shared" si="44"/>
        <v>0</v>
      </c>
      <c r="O169" s="3">
        <f t="shared" si="45"/>
        <v>0</v>
      </c>
      <c r="P169" s="3">
        <f t="shared" si="41"/>
        <v>0</v>
      </c>
    </row>
    <row r="170" spans="10:16" x14ac:dyDescent="0.3">
      <c r="J170" s="10">
        <f t="shared" si="48"/>
        <v>29</v>
      </c>
      <c r="K170" s="3">
        <f t="shared" si="38"/>
        <v>73123.016659304936</v>
      </c>
      <c r="L170" s="3">
        <f t="shared" si="39"/>
        <v>4124.5214993374439</v>
      </c>
      <c r="M170" s="3">
        <f t="shared" si="47"/>
        <v>0</v>
      </c>
      <c r="N170" s="3">
        <f t="shared" si="44"/>
        <v>0</v>
      </c>
      <c r="O170" s="3">
        <f t="shared" si="45"/>
        <v>0</v>
      </c>
      <c r="P170" s="3">
        <f t="shared" si="41"/>
        <v>0</v>
      </c>
    </row>
    <row r="171" spans="10:16" x14ac:dyDescent="0.3">
      <c r="J171" s="10">
        <f t="shared" si="48"/>
        <v>30</v>
      </c>
      <c r="K171" s="3">
        <f t="shared" si="38"/>
        <v>74585.476992491022</v>
      </c>
      <c r="L171" s="3">
        <f t="shared" si="39"/>
        <v>4256.1429293241918</v>
      </c>
      <c r="M171" s="3">
        <f t="shared" si="47"/>
        <v>0</v>
      </c>
      <c r="N171" s="3">
        <f t="shared" si="44"/>
        <v>0</v>
      </c>
      <c r="O171" s="3">
        <f t="shared" si="45"/>
        <v>0</v>
      </c>
      <c r="P171" s="3">
        <f t="shared" si="41"/>
        <v>0</v>
      </c>
    </row>
    <row r="172" spans="10:16" x14ac:dyDescent="0.3">
      <c r="J172" s="9"/>
      <c r="K172" s="3">
        <f t="shared" si="38"/>
        <v>41176.470588235294</v>
      </c>
      <c r="L172" s="3">
        <f t="shared" si="39"/>
        <v>1249.3323529411764</v>
      </c>
      <c r="M172" s="3">
        <f t="shared" si="47"/>
        <v>0</v>
      </c>
      <c r="N172" s="3">
        <f t="shared" si="44"/>
        <v>0</v>
      </c>
      <c r="O172" s="3">
        <f t="shared" si="45"/>
        <v>0</v>
      </c>
      <c r="P172" s="3">
        <f t="shared" si="41"/>
        <v>0</v>
      </c>
    </row>
    <row r="173" spans="10:16" x14ac:dyDescent="0.3">
      <c r="J173" s="3"/>
      <c r="K173" s="3"/>
      <c r="L173" s="3"/>
      <c r="M173" s="3"/>
      <c r="N173" s="3"/>
      <c r="O173" s="3"/>
      <c r="P173" s="3">
        <f t="shared" si="41"/>
        <v>0</v>
      </c>
    </row>
    <row r="175" spans="10:16" x14ac:dyDescent="0.3">
      <c r="J175" s="71" t="s">
        <v>24</v>
      </c>
      <c r="K175" s="72"/>
      <c r="L175" s="72"/>
      <c r="M175" s="72"/>
      <c r="N175" s="72"/>
      <c r="O175" s="72"/>
      <c r="P175" s="73"/>
    </row>
    <row r="176" spans="10:16" ht="28.8" x14ac:dyDescent="0.3">
      <c r="J176" s="8" t="s">
        <v>13</v>
      </c>
      <c r="K176" s="8" t="s">
        <v>14</v>
      </c>
      <c r="L176" s="8" t="s">
        <v>15</v>
      </c>
      <c r="M176" s="8" t="s">
        <v>16</v>
      </c>
      <c r="N176" s="8" t="s">
        <v>17</v>
      </c>
      <c r="O176" s="8" t="s">
        <v>18</v>
      </c>
      <c r="P176" s="8" t="s">
        <v>19</v>
      </c>
    </row>
    <row r="177" spans="10:16" x14ac:dyDescent="0.3">
      <c r="J177" s="10">
        <v>1</v>
      </c>
      <c r="K177" s="3">
        <f>$E$8*(1+$B$7)^(J177-1)</f>
        <v>50000</v>
      </c>
      <c r="L177" s="3">
        <f>$B$5*MAX(0,K177-$B$6)</f>
        <v>2043.4499999999998</v>
      </c>
      <c r="M177" s="3">
        <f>$B$3</f>
        <v>9250</v>
      </c>
      <c r="N177" s="3">
        <f>MIN(L177,M177)</f>
        <v>2043.4499999999998</v>
      </c>
      <c r="O177" s="3">
        <f>N177/(1+$B$8)^J177</f>
        <v>1983.9320388349513</v>
      </c>
      <c r="P177" s="3">
        <f>M177-N177</f>
        <v>7206.55</v>
      </c>
    </row>
    <row r="178" spans="10:16" x14ac:dyDescent="0.3">
      <c r="J178" s="10">
        <f>J177+1</f>
        <v>2</v>
      </c>
      <c r="K178" s="3">
        <f t="shared" ref="K178:K207" si="49">$E$8*(1+$B$7)^(J178-1)</f>
        <v>51000</v>
      </c>
      <c r="L178" s="3">
        <f t="shared" ref="L178:L207" si="50">$B$5*MAX(0,K178-$B$6)</f>
        <v>2133.4499999999998</v>
      </c>
      <c r="M178" s="3">
        <f>P177</f>
        <v>7206.55</v>
      </c>
      <c r="N178" s="3">
        <f>MIN(L178,M178)</f>
        <v>2133.4499999999998</v>
      </c>
      <c r="O178" s="3">
        <f t="shared" ref="O178:O184" si="51">N178/(1+$B$8)^J178</f>
        <v>2010.9812423414082</v>
      </c>
      <c r="P178" s="3">
        <f t="shared" ref="P178:P208" si="52">M178-N178</f>
        <v>5073.1000000000004</v>
      </c>
    </row>
    <row r="179" spans="10:16" x14ac:dyDescent="0.3">
      <c r="J179" s="10">
        <f t="shared" ref="J179:J194" si="53">J178+1</f>
        <v>3</v>
      </c>
      <c r="K179" s="3">
        <f t="shared" si="49"/>
        <v>52020</v>
      </c>
      <c r="L179" s="3">
        <f t="shared" si="50"/>
        <v>2225.25</v>
      </c>
      <c r="M179" s="3">
        <f t="shared" ref="M179:M198" si="54">P178</f>
        <v>5073.1000000000004</v>
      </c>
      <c r="N179" s="3">
        <f t="shared" ref="N179:N207" si="55">MIN(L179,M179)</f>
        <v>2225.25</v>
      </c>
      <c r="O179" s="3">
        <f t="shared" si="51"/>
        <v>2036.4189774756182</v>
      </c>
      <c r="P179" s="3">
        <f t="shared" si="52"/>
        <v>2847.8500000000004</v>
      </c>
    </row>
    <row r="180" spans="10:16" x14ac:dyDescent="0.3">
      <c r="J180" s="10">
        <f t="shared" si="53"/>
        <v>4</v>
      </c>
      <c r="K180" s="3">
        <f t="shared" si="49"/>
        <v>53060.399999999994</v>
      </c>
      <c r="L180" s="3">
        <f t="shared" si="50"/>
        <v>2318.8859999999995</v>
      </c>
      <c r="M180" s="3">
        <f t="shared" si="54"/>
        <v>2847.8500000000004</v>
      </c>
      <c r="N180" s="3">
        <f t="shared" si="55"/>
        <v>2318.8859999999995</v>
      </c>
      <c r="O180" s="3">
        <f t="shared" si="51"/>
        <v>2060.3001765930198</v>
      </c>
      <c r="P180" s="3">
        <f t="shared" si="52"/>
        <v>528.96400000000085</v>
      </c>
    </row>
    <row r="181" spans="10:16" x14ac:dyDescent="0.3">
      <c r="J181" s="10">
        <f t="shared" si="53"/>
        <v>5</v>
      </c>
      <c r="K181" s="3">
        <f t="shared" si="49"/>
        <v>54121.608</v>
      </c>
      <c r="L181" s="3">
        <f t="shared" si="50"/>
        <v>2414.3947199999998</v>
      </c>
      <c r="M181" s="3">
        <f t="shared" si="54"/>
        <v>528.96400000000085</v>
      </c>
      <c r="N181" s="3">
        <f t="shared" si="55"/>
        <v>528.96400000000085</v>
      </c>
      <c r="O181" s="3">
        <f t="shared" si="51"/>
        <v>456.28899302298572</v>
      </c>
      <c r="P181" s="3">
        <f t="shared" si="52"/>
        <v>0</v>
      </c>
    </row>
    <row r="182" spans="10:16" x14ac:dyDescent="0.3">
      <c r="J182" s="10">
        <f t="shared" si="53"/>
        <v>6</v>
      </c>
      <c r="K182" s="3">
        <f t="shared" si="49"/>
        <v>55204.040160000004</v>
      </c>
      <c r="L182" s="3">
        <f t="shared" si="50"/>
        <v>2511.8136144000005</v>
      </c>
      <c r="M182" s="3">
        <f t="shared" si="54"/>
        <v>0</v>
      </c>
      <c r="N182" s="3">
        <f t="shared" si="55"/>
        <v>0</v>
      </c>
      <c r="O182" s="3">
        <f t="shared" si="51"/>
        <v>0</v>
      </c>
      <c r="P182" s="3">
        <f t="shared" si="52"/>
        <v>0</v>
      </c>
    </row>
    <row r="183" spans="10:16" x14ac:dyDescent="0.3">
      <c r="J183" s="10">
        <f t="shared" si="53"/>
        <v>7</v>
      </c>
      <c r="K183" s="3">
        <f t="shared" si="49"/>
        <v>56308.120963200003</v>
      </c>
      <c r="L183" s="3">
        <f t="shared" si="50"/>
        <v>2611.1808866880001</v>
      </c>
      <c r="M183" s="3">
        <f t="shared" si="54"/>
        <v>0</v>
      </c>
      <c r="N183" s="3">
        <f t="shared" si="55"/>
        <v>0</v>
      </c>
      <c r="O183" s="3">
        <f t="shared" si="51"/>
        <v>0</v>
      </c>
      <c r="P183" s="3">
        <f t="shared" si="52"/>
        <v>0</v>
      </c>
    </row>
    <row r="184" spans="10:16" x14ac:dyDescent="0.3">
      <c r="J184" s="10">
        <f t="shared" si="53"/>
        <v>8</v>
      </c>
      <c r="K184" s="3">
        <f t="shared" si="49"/>
        <v>57434.283382463989</v>
      </c>
      <c r="L184" s="3">
        <f t="shared" si="50"/>
        <v>2712.535504421759</v>
      </c>
      <c r="M184" s="3">
        <f t="shared" si="54"/>
        <v>0</v>
      </c>
      <c r="N184" s="3">
        <f t="shared" si="55"/>
        <v>0</v>
      </c>
      <c r="O184" s="3">
        <f t="shared" si="51"/>
        <v>0</v>
      </c>
      <c r="P184" s="3">
        <f t="shared" si="52"/>
        <v>0</v>
      </c>
    </row>
    <row r="185" spans="10:16" x14ac:dyDescent="0.3">
      <c r="J185" s="10">
        <f t="shared" si="53"/>
        <v>9</v>
      </c>
      <c r="K185" s="3">
        <f t="shared" si="49"/>
        <v>58582.969050113279</v>
      </c>
      <c r="L185" s="3">
        <f t="shared" si="50"/>
        <v>2815.9172145101952</v>
      </c>
      <c r="M185" s="3">
        <f t="shared" si="54"/>
        <v>0</v>
      </c>
      <c r="N185" s="3">
        <f t="shared" si="55"/>
        <v>0</v>
      </c>
      <c r="O185" s="3">
        <f>N185/(1+$B$8)^J185</f>
        <v>0</v>
      </c>
      <c r="P185" s="3">
        <f t="shared" si="52"/>
        <v>0</v>
      </c>
    </row>
    <row r="186" spans="10:16" x14ac:dyDescent="0.3">
      <c r="J186" s="10">
        <f t="shared" si="53"/>
        <v>10</v>
      </c>
      <c r="K186" s="3">
        <f t="shared" si="49"/>
        <v>59754.62843111554</v>
      </c>
      <c r="L186" s="3">
        <f t="shared" si="50"/>
        <v>2921.3665588003983</v>
      </c>
      <c r="M186" s="3">
        <f t="shared" si="54"/>
        <v>0</v>
      </c>
      <c r="N186" s="3">
        <f t="shared" si="55"/>
        <v>0</v>
      </c>
      <c r="O186" s="3">
        <f t="shared" ref="O186:O207" si="56">N186/(1+$B$8)^J186</f>
        <v>0</v>
      </c>
      <c r="P186" s="3">
        <f t="shared" si="52"/>
        <v>0</v>
      </c>
    </row>
    <row r="187" spans="10:16" x14ac:dyDescent="0.3">
      <c r="J187" s="10">
        <f t="shared" si="53"/>
        <v>11</v>
      </c>
      <c r="K187" s="3">
        <f t="shared" si="49"/>
        <v>60949.720999737852</v>
      </c>
      <c r="L187" s="3">
        <f t="shared" si="50"/>
        <v>3028.9248899764066</v>
      </c>
      <c r="M187" s="3">
        <f t="shared" si="54"/>
        <v>0</v>
      </c>
      <c r="N187" s="3">
        <f t="shared" si="55"/>
        <v>0</v>
      </c>
      <c r="O187" s="3">
        <f t="shared" si="56"/>
        <v>0</v>
      </c>
      <c r="P187" s="3">
        <f t="shared" si="52"/>
        <v>0</v>
      </c>
    </row>
    <row r="188" spans="10:16" x14ac:dyDescent="0.3">
      <c r="J188" s="10">
        <f t="shared" si="53"/>
        <v>12</v>
      </c>
      <c r="K188" s="3">
        <f t="shared" si="49"/>
        <v>62168.715419732602</v>
      </c>
      <c r="L188" s="3">
        <f t="shared" si="50"/>
        <v>3138.6343877759341</v>
      </c>
      <c r="M188" s="3">
        <f t="shared" si="54"/>
        <v>0</v>
      </c>
      <c r="N188" s="3">
        <f t="shared" si="55"/>
        <v>0</v>
      </c>
      <c r="O188" s="3">
        <f t="shared" si="56"/>
        <v>0</v>
      </c>
      <c r="P188" s="3">
        <f t="shared" si="52"/>
        <v>0</v>
      </c>
    </row>
    <row r="189" spans="10:16" x14ac:dyDescent="0.3">
      <c r="J189" s="10">
        <f t="shared" si="53"/>
        <v>13</v>
      </c>
      <c r="K189" s="3">
        <f t="shared" si="49"/>
        <v>63412.089728127263</v>
      </c>
      <c r="L189" s="3">
        <f t="shared" si="50"/>
        <v>3250.5380755314536</v>
      </c>
      <c r="M189" s="3">
        <f t="shared" si="54"/>
        <v>0</v>
      </c>
      <c r="N189" s="3">
        <f t="shared" si="55"/>
        <v>0</v>
      </c>
      <c r="O189" s="3">
        <f t="shared" si="56"/>
        <v>0</v>
      </c>
      <c r="P189" s="3">
        <f t="shared" si="52"/>
        <v>0</v>
      </c>
    </row>
    <row r="190" spans="10:16" x14ac:dyDescent="0.3">
      <c r="J190" s="10">
        <f t="shared" si="53"/>
        <v>14</v>
      </c>
      <c r="K190" s="3">
        <f t="shared" si="49"/>
        <v>64680.331522689805</v>
      </c>
      <c r="L190" s="3">
        <f t="shared" si="50"/>
        <v>3364.6798370420825</v>
      </c>
      <c r="M190" s="3">
        <f t="shared" si="54"/>
        <v>0</v>
      </c>
      <c r="N190" s="3">
        <f t="shared" si="55"/>
        <v>0</v>
      </c>
      <c r="O190" s="3">
        <f t="shared" si="56"/>
        <v>0</v>
      </c>
      <c r="P190" s="3">
        <f t="shared" si="52"/>
        <v>0</v>
      </c>
    </row>
    <row r="191" spans="10:16" x14ac:dyDescent="0.3">
      <c r="J191" s="10">
        <f t="shared" si="53"/>
        <v>15</v>
      </c>
      <c r="K191" s="3">
        <f t="shared" si="49"/>
        <v>65973.938153143608</v>
      </c>
      <c r="L191" s="3">
        <f t="shared" si="50"/>
        <v>3481.1044337829248</v>
      </c>
      <c r="M191" s="3">
        <f t="shared" si="54"/>
        <v>0</v>
      </c>
      <c r="N191" s="3">
        <f t="shared" si="55"/>
        <v>0</v>
      </c>
      <c r="O191" s="3">
        <f t="shared" si="56"/>
        <v>0</v>
      </c>
      <c r="P191" s="3">
        <f t="shared" si="52"/>
        <v>0</v>
      </c>
    </row>
    <row r="192" spans="10:16" x14ac:dyDescent="0.3">
      <c r="J192" s="10">
        <f t="shared" si="53"/>
        <v>16</v>
      </c>
      <c r="K192" s="3">
        <f t="shared" si="49"/>
        <v>67293.416916206465</v>
      </c>
      <c r="L192" s="3">
        <f t="shared" si="50"/>
        <v>3599.8575224585816</v>
      </c>
      <c r="M192" s="3">
        <f t="shared" si="54"/>
        <v>0</v>
      </c>
      <c r="N192" s="3">
        <f t="shared" si="55"/>
        <v>0</v>
      </c>
      <c r="O192" s="3">
        <f t="shared" si="56"/>
        <v>0</v>
      </c>
      <c r="P192" s="3">
        <f t="shared" si="52"/>
        <v>0</v>
      </c>
    </row>
    <row r="193" spans="10:16" x14ac:dyDescent="0.3">
      <c r="J193" s="10">
        <f t="shared" si="53"/>
        <v>17</v>
      </c>
      <c r="K193" s="3">
        <f t="shared" si="49"/>
        <v>68639.285254530609</v>
      </c>
      <c r="L193" s="3">
        <f t="shared" si="50"/>
        <v>3720.9856729077546</v>
      </c>
      <c r="M193" s="3">
        <f t="shared" si="54"/>
        <v>0</v>
      </c>
      <c r="N193" s="3">
        <f t="shared" si="55"/>
        <v>0</v>
      </c>
      <c r="O193" s="3">
        <f t="shared" si="56"/>
        <v>0</v>
      </c>
      <c r="P193" s="3">
        <f t="shared" si="52"/>
        <v>0</v>
      </c>
    </row>
    <row r="194" spans="10:16" x14ac:dyDescent="0.3">
      <c r="J194" s="10">
        <f t="shared" si="53"/>
        <v>18</v>
      </c>
      <c r="K194" s="3">
        <f t="shared" si="49"/>
        <v>70012.070959621225</v>
      </c>
      <c r="L194" s="3">
        <f t="shared" si="50"/>
        <v>3844.5363863659099</v>
      </c>
      <c r="M194" s="3">
        <f t="shared" si="54"/>
        <v>0</v>
      </c>
      <c r="N194" s="3">
        <f t="shared" si="55"/>
        <v>0</v>
      </c>
      <c r="O194" s="3">
        <f t="shared" si="56"/>
        <v>0</v>
      </c>
      <c r="P194" s="3">
        <f t="shared" si="52"/>
        <v>0</v>
      </c>
    </row>
    <row r="195" spans="10:16" x14ac:dyDescent="0.3">
      <c r="J195" s="10">
        <f>J194+1</f>
        <v>19</v>
      </c>
      <c r="K195" s="3">
        <f t="shared" si="49"/>
        <v>71412.312378813629</v>
      </c>
      <c r="L195" s="3">
        <f t="shared" si="50"/>
        <v>3970.5581140932263</v>
      </c>
      <c r="M195" s="3">
        <f t="shared" si="54"/>
        <v>0</v>
      </c>
      <c r="N195" s="3">
        <f t="shared" si="55"/>
        <v>0</v>
      </c>
      <c r="O195" s="3">
        <f t="shared" si="56"/>
        <v>0</v>
      </c>
      <c r="P195" s="3">
        <f t="shared" si="52"/>
        <v>0</v>
      </c>
    </row>
    <row r="196" spans="10:16" x14ac:dyDescent="0.3">
      <c r="J196" s="10">
        <f t="shared" ref="J196:J201" si="57">J195+1</f>
        <v>20</v>
      </c>
      <c r="K196" s="3">
        <f t="shared" si="49"/>
        <v>72840.558626389902</v>
      </c>
      <c r="L196" s="3">
        <f t="shared" si="50"/>
        <v>4099.1002763750912</v>
      </c>
      <c r="M196" s="3">
        <f t="shared" si="54"/>
        <v>0</v>
      </c>
      <c r="N196" s="3">
        <f t="shared" si="55"/>
        <v>0</v>
      </c>
      <c r="O196" s="3">
        <f t="shared" si="56"/>
        <v>0</v>
      </c>
      <c r="P196" s="3">
        <f t="shared" si="52"/>
        <v>0</v>
      </c>
    </row>
    <row r="197" spans="10:16" x14ac:dyDescent="0.3">
      <c r="J197" s="10">
        <f t="shared" si="57"/>
        <v>21</v>
      </c>
      <c r="K197" s="3">
        <f t="shared" si="49"/>
        <v>74297.369798917716</v>
      </c>
      <c r="L197" s="3">
        <f t="shared" si="50"/>
        <v>4230.2132819025946</v>
      </c>
      <c r="M197" s="3">
        <f t="shared" si="54"/>
        <v>0</v>
      </c>
      <c r="N197" s="3">
        <f t="shared" si="55"/>
        <v>0</v>
      </c>
      <c r="O197" s="3">
        <f t="shared" si="56"/>
        <v>0</v>
      </c>
      <c r="P197" s="3">
        <f t="shared" si="52"/>
        <v>0</v>
      </c>
    </row>
    <row r="198" spans="10:16" x14ac:dyDescent="0.3">
      <c r="J198" s="10">
        <f t="shared" si="57"/>
        <v>22</v>
      </c>
      <c r="K198" s="3">
        <f t="shared" si="49"/>
        <v>75783.317194896066</v>
      </c>
      <c r="L198" s="3">
        <f t="shared" si="50"/>
        <v>4363.9485475406454</v>
      </c>
      <c r="M198" s="3">
        <f t="shared" si="54"/>
        <v>0</v>
      </c>
      <c r="N198" s="3">
        <f t="shared" si="55"/>
        <v>0</v>
      </c>
      <c r="O198" s="3">
        <f t="shared" si="56"/>
        <v>0</v>
      </c>
      <c r="P198" s="3">
        <f t="shared" si="52"/>
        <v>0</v>
      </c>
    </row>
    <row r="199" spans="10:16" x14ac:dyDescent="0.3">
      <c r="J199" s="10">
        <f t="shared" si="57"/>
        <v>23</v>
      </c>
      <c r="K199" s="3">
        <f t="shared" si="49"/>
        <v>77298.983538793982</v>
      </c>
      <c r="L199" s="3">
        <f t="shared" si="50"/>
        <v>4500.3585184914582</v>
      </c>
      <c r="M199" s="3">
        <f>P198</f>
        <v>0</v>
      </c>
      <c r="N199" s="3">
        <f t="shared" si="55"/>
        <v>0</v>
      </c>
      <c r="O199" s="3">
        <f t="shared" si="56"/>
        <v>0</v>
      </c>
      <c r="P199" s="3">
        <f t="shared" si="52"/>
        <v>0</v>
      </c>
    </row>
    <row r="200" spans="10:16" x14ac:dyDescent="0.3">
      <c r="J200" s="10">
        <f t="shared" si="57"/>
        <v>24</v>
      </c>
      <c r="K200" s="3">
        <f t="shared" si="49"/>
        <v>78844.963209569847</v>
      </c>
      <c r="L200" s="3">
        <f t="shared" si="50"/>
        <v>4639.4966888612862</v>
      </c>
      <c r="M200" s="3">
        <f t="shared" ref="M200:M207" si="58">P199</f>
        <v>0</v>
      </c>
      <c r="N200" s="3">
        <f t="shared" si="55"/>
        <v>0</v>
      </c>
      <c r="O200" s="3">
        <f t="shared" si="56"/>
        <v>0</v>
      </c>
      <c r="P200" s="3">
        <f t="shared" si="52"/>
        <v>0</v>
      </c>
    </row>
    <row r="201" spans="10:16" x14ac:dyDescent="0.3">
      <c r="J201" s="10">
        <f t="shared" si="57"/>
        <v>25</v>
      </c>
      <c r="K201" s="3">
        <f t="shared" si="49"/>
        <v>80421.862473761255</v>
      </c>
      <c r="L201" s="3">
        <f t="shared" si="50"/>
        <v>4781.4176226385125</v>
      </c>
      <c r="M201" s="3">
        <f t="shared" si="58"/>
        <v>0</v>
      </c>
      <c r="N201" s="3">
        <f t="shared" si="55"/>
        <v>0</v>
      </c>
      <c r="O201" s="3">
        <f t="shared" si="56"/>
        <v>0</v>
      </c>
      <c r="P201" s="3">
        <f t="shared" si="52"/>
        <v>0</v>
      </c>
    </row>
    <row r="202" spans="10:16" x14ac:dyDescent="0.3">
      <c r="J202" s="10">
        <f>J201+1</f>
        <v>26</v>
      </c>
      <c r="K202" s="3">
        <f t="shared" si="49"/>
        <v>82030.299723236472</v>
      </c>
      <c r="L202" s="3">
        <f t="shared" si="50"/>
        <v>4926.1769750912827</v>
      </c>
      <c r="M202" s="3">
        <f t="shared" si="58"/>
        <v>0</v>
      </c>
      <c r="N202" s="3">
        <f t="shared" si="55"/>
        <v>0</v>
      </c>
      <c r="O202" s="3">
        <f t="shared" si="56"/>
        <v>0</v>
      </c>
      <c r="P202" s="3">
        <f t="shared" si="52"/>
        <v>0</v>
      </c>
    </row>
    <row r="203" spans="10:16" x14ac:dyDescent="0.3">
      <c r="J203" s="10">
        <f t="shared" ref="J203:J206" si="59">J202+1</f>
        <v>27</v>
      </c>
      <c r="K203" s="3">
        <f t="shared" si="49"/>
        <v>83670.905717701215</v>
      </c>
      <c r="L203" s="3">
        <f t="shared" si="50"/>
        <v>5073.8315145931092</v>
      </c>
      <c r="M203" s="3">
        <f t="shared" si="58"/>
        <v>0</v>
      </c>
      <c r="N203" s="3">
        <f t="shared" si="55"/>
        <v>0</v>
      </c>
      <c r="O203" s="3">
        <f t="shared" si="56"/>
        <v>0</v>
      </c>
      <c r="P203" s="3">
        <f t="shared" si="52"/>
        <v>0</v>
      </c>
    </row>
    <row r="204" spans="10:16" x14ac:dyDescent="0.3">
      <c r="J204" s="10">
        <f t="shared" si="59"/>
        <v>28</v>
      </c>
      <c r="K204" s="3">
        <f t="shared" si="49"/>
        <v>85344.323832055219</v>
      </c>
      <c r="L204" s="3">
        <f t="shared" si="50"/>
        <v>5224.4391448849692</v>
      </c>
      <c r="M204" s="3">
        <f t="shared" si="58"/>
        <v>0</v>
      </c>
      <c r="N204" s="3">
        <f t="shared" si="55"/>
        <v>0</v>
      </c>
      <c r="O204" s="3">
        <f t="shared" si="56"/>
        <v>0</v>
      </c>
      <c r="P204" s="3">
        <f t="shared" si="52"/>
        <v>0</v>
      </c>
    </row>
    <row r="205" spans="10:16" x14ac:dyDescent="0.3">
      <c r="J205" s="10">
        <f t="shared" si="59"/>
        <v>29</v>
      </c>
      <c r="K205" s="3">
        <f t="shared" si="49"/>
        <v>87051.210308696347</v>
      </c>
      <c r="L205" s="3">
        <f t="shared" si="50"/>
        <v>5378.0589277826712</v>
      </c>
      <c r="M205" s="3">
        <f t="shared" si="58"/>
        <v>0</v>
      </c>
      <c r="N205" s="3">
        <f t="shared" si="55"/>
        <v>0</v>
      </c>
      <c r="O205" s="3">
        <f t="shared" si="56"/>
        <v>0</v>
      </c>
      <c r="P205" s="3">
        <f t="shared" si="52"/>
        <v>0</v>
      </c>
    </row>
    <row r="206" spans="10:16" x14ac:dyDescent="0.3">
      <c r="J206" s="10">
        <f t="shared" si="59"/>
        <v>30</v>
      </c>
      <c r="K206" s="3">
        <f t="shared" si="49"/>
        <v>88792.234514870259</v>
      </c>
      <c r="L206" s="3">
        <f t="shared" si="50"/>
        <v>5534.7511063383226</v>
      </c>
      <c r="M206" s="3">
        <f t="shared" si="58"/>
        <v>0</v>
      </c>
      <c r="N206" s="3">
        <f t="shared" si="55"/>
        <v>0</v>
      </c>
      <c r="O206" s="3">
        <f t="shared" si="56"/>
        <v>0</v>
      </c>
      <c r="P206" s="3">
        <f t="shared" si="52"/>
        <v>0</v>
      </c>
    </row>
    <row r="207" spans="10:16" x14ac:dyDescent="0.3">
      <c r="J207" s="9"/>
      <c r="K207" s="3">
        <f t="shared" si="49"/>
        <v>49019.607843137252</v>
      </c>
      <c r="L207" s="3">
        <f t="shared" si="50"/>
        <v>1955.2147058823525</v>
      </c>
      <c r="M207" s="3">
        <f t="shared" si="58"/>
        <v>0</v>
      </c>
      <c r="N207" s="3">
        <f t="shared" si="55"/>
        <v>0</v>
      </c>
      <c r="O207" s="3">
        <f t="shared" si="56"/>
        <v>0</v>
      </c>
      <c r="P207" s="3">
        <f t="shared" si="52"/>
        <v>0</v>
      </c>
    </row>
    <row r="208" spans="10:16" x14ac:dyDescent="0.3">
      <c r="J208" s="3"/>
      <c r="K208" s="3"/>
      <c r="L208" s="3"/>
      <c r="M208" s="3"/>
      <c r="N208" s="3"/>
      <c r="O208" s="3"/>
      <c r="P208" s="3">
        <f t="shared" si="52"/>
        <v>0</v>
      </c>
    </row>
  </sheetData>
  <mergeCells count="7">
    <mergeCell ref="J175:P175"/>
    <mergeCell ref="A2:B2"/>
    <mergeCell ref="J1:P1"/>
    <mergeCell ref="J35:P35"/>
    <mergeCell ref="J70:P70"/>
    <mergeCell ref="J105:P105"/>
    <mergeCell ref="J140:P14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66530-401D-448C-BC2A-0065023D93BC}">
  <dimension ref="A1:AO271"/>
  <sheetViews>
    <sheetView zoomScale="55" zoomScaleNormal="55" workbookViewId="0">
      <selection activeCell="J55" sqref="J55"/>
    </sheetView>
  </sheetViews>
  <sheetFormatPr defaultRowHeight="14.4" x14ac:dyDescent="0.3"/>
  <cols>
    <col min="5" max="5" width="11.5546875" customWidth="1"/>
    <col min="6" max="6" width="11.109375" customWidth="1"/>
    <col min="12" max="12" width="12.21875" customWidth="1"/>
    <col min="13" max="13" width="12.44140625" customWidth="1"/>
    <col min="15" max="15" width="12.33203125" customWidth="1"/>
    <col min="16" max="16" width="14.44140625" customWidth="1"/>
    <col min="20" max="20" width="12.77734375" customWidth="1"/>
    <col min="36" max="36" width="16.109375" customWidth="1"/>
  </cols>
  <sheetData>
    <row r="1" spans="1:28" x14ac:dyDescent="0.3">
      <c r="A1" s="74" t="s">
        <v>8</v>
      </c>
      <c r="B1" s="74"/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371</v>
      </c>
      <c r="V1" s="71" t="s">
        <v>58</v>
      </c>
      <c r="W1" s="72"/>
      <c r="X1" s="72"/>
      <c r="Y1" s="72"/>
      <c r="Z1" s="72"/>
      <c r="AA1" s="72"/>
      <c r="AB1" s="73"/>
    </row>
    <row r="2" spans="1:28" ht="15.6" customHeight="1" x14ac:dyDescent="0.3">
      <c r="A2" s="4" t="s">
        <v>0</v>
      </c>
      <c r="B2" s="4">
        <v>9250</v>
      </c>
      <c r="D2" s="3" t="s">
        <v>32</v>
      </c>
      <c r="E2" s="3">
        <v>59632</v>
      </c>
      <c r="F2" s="3">
        <f>E2*$B$4</f>
        <v>51283.519999999997</v>
      </c>
      <c r="G2" s="9">
        <f>MAX(SUM(AA3:AA32),1)</f>
        <v>8579.3384506556795</v>
      </c>
      <c r="H2" s="3">
        <f>LN($B$3)-LN(G2)</f>
        <v>0.95073548200418578</v>
      </c>
      <c r="I2" s="3">
        <v>0.95073548200418578</v>
      </c>
      <c r="V2" s="14" t="s">
        <v>13</v>
      </c>
      <c r="W2" s="14" t="s">
        <v>14</v>
      </c>
      <c r="X2" s="14" t="s">
        <v>15</v>
      </c>
      <c r="Y2" s="14" t="s">
        <v>16</v>
      </c>
      <c r="Z2" s="14" t="s">
        <v>17</v>
      </c>
      <c r="AA2" s="14" t="s">
        <v>18</v>
      </c>
      <c r="AB2" s="14" t="s">
        <v>19</v>
      </c>
    </row>
    <row r="3" spans="1:28" x14ac:dyDescent="0.3">
      <c r="A3" s="4" t="s">
        <v>1</v>
      </c>
      <c r="B3" s="4">
        <v>22200</v>
      </c>
      <c r="D3" s="3" t="s">
        <v>33</v>
      </c>
      <c r="E3" s="3">
        <v>15387</v>
      </c>
      <c r="F3" s="3">
        <f t="shared" ref="F3:F27" si="0">E3*$B$4</f>
        <v>13232.82</v>
      </c>
      <c r="G3" s="9">
        <f>MAX(SUM(P37:P66),1)</f>
        <v>1</v>
      </c>
      <c r="H3" s="3">
        <f>LN($B$3)-LN(G3)</f>
        <v>10.00784756786037</v>
      </c>
      <c r="I3" s="3">
        <v>10.00784756786037</v>
      </c>
      <c r="V3" s="10">
        <v>1</v>
      </c>
      <c r="W3" s="9">
        <f>$F$2*(1+$B$7)^(V3-1)</f>
        <v>51283.519999999997</v>
      </c>
      <c r="X3" s="9">
        <f>$B$5*MAX(0,W3-$B$6)</f>
        <v>2158.9667999999997</v>
      </c>
      <c r="Y3" s="9">
        <f>$B$2</f>
        <v>9250</v>
      </c>
      <c r="Z3" s="9">
        <f>MIN(X3,Y3)</f>
        <v>2158.9667999999997</v>
      </c>
      <c r="AA3" s="9">
        <f>Z3/(1+$B$8)^V3</f>
        <v>2096.0842718446597</v>
      </c>
      <c r="AB3" s="9">
        <f>Y3-Z3</f>
        <v>7091.0331999999999</v>
      </c>
    </row>
    <row r="4" spans="1:28" x14ac:dyDescent="0.3">
      <c r="A4" s="4" t="s">
        <v>25</v>
      </c>
      <c r="B4" s="4">
        <v>0.86</v>
      </c>
      <c r="D4" s="3" t="s">
        <v>34</v>
      </c>
      <c r="E4" s="3">
        <v>23998</v>
      </c>
      <c r="F4" s="3">
        <f t="shared" si="0"/>
        <v>20638.28</v>
      </c>
      <c r="G4" s="9">
        <f>MAX(SUM(P71:P100),1)</f>
        <v>3021.0956766826239</v>
      </c>
      <c r="H4" s="3">
        <f>LN($B$3)-LN(G4)</f>
        <v>1.9944727164413951</v>
      </c>
      <c r="I4" s="3">
        <v>1.994472716441392</v>
      </c>
      <c r="V4" s="10">
        <f>V3+1</f>
        <v>2</v>
      </c>
      <c r="W4" s="9">
        <f t="shared" ref="W4:W32" si="1">$F$2*(1+$B$7)^(V4-1)</f>
        <v>52309.190399999999</v>
      </c>
      <c r="X4" s="9">
        <f>$B$5*MAX(0,W4-$B$6)</f>
        <v>2251.2771359999997</v>
      </c>
      <c r="Y4" s="9">
        <f>AB3</f>
        <v>7091.0331999999999</v>
      </c>
      <c r="Z4" s="9">
        <f>IF(Y4&lt;=0,0,MIN(X4,Y4))</f>
        <v>2251.2771359999997</v>
      </c>
      <c r="AA4" s="9">
        <f>Z4/(1+$B$8)^V4</f>
        <v>2122.0446187199545</v>
      </c>
      <c r="AB4" s="9">
        <f>MAX(0,Y4-Z4)</f>
        <v>4839.7560640000002</v>
      </c>
    </row>
    <row r="5" spans="1:28" x14ac:dyDescent="0.3">
      <c r="A5" s="4" t="s">
        <v>2</v>
      </c>
      <c r="B5" s="4">
        <v>0.09</v>
      </c>
      <c r="D5" s="3" t="s">
        <v>35</v>
      </c>
      <c r="E5" s="3">
        <v>71565</v>
      </c>
      <c r="F5" s="3">
        <f t="shared" si="0"/>
        <v>61545.9</v>
      </c>
      <c r="G5" s="9">
        <f>MAX(SUM(X37:X66),1)</f>
        <v>8724.5305474285888</v>
      </c>
      <c r="H5" s="3">
        <f>LN($B$3)-LN(G5)</f>
        <v>0.93395362768961832</v>
      </c>
      <c r="I5" s="3">
        <v>0.93395362768961832</v>
      </c>
      <c r="V5" s="10">
        <f t="shared" ref="V5:V32" si="2">V4+1</f>
        <v>3</v>
      </c>
      <c r="W5" s="9">
        <f t="shared" si="1"/>
        <v>53355.374207999994</v>
      </c>
      <c r="X5" s="9">
        <f t="shared" ref="X5:X32" si="3">$B$5*MAX(0,W5-$B$6)</f>
        <v>2345.4336787199995</v>
      </c>
      <c r="Y5" s="9">
        <f t="shared" ref="Y5:Y32" si="4">AB4</f>
        <v>4839.7560640000002</v>
      </c>
      <c r="Z5" s="9">
        <f t="shared" ref="Z5:Z32" si="5">IF(Y5&lt;=0,0,MIN(X5,Y5))</f>
        <v>2345.4336787199995</v>
      </c>
      <c r="AA5" s="9">
        <f t="shared" ref="AA5:AA32" si="6">Z5/(1+$B$8)^V5</f>
        <v>2146.4040686466055</v>
      </c>
      <c r="AB5" s="9">
        <f t="shared" ref="AB5:AB32" si="7">MAX(0,Y5-Z5)</f>
        <v>2494.3223852800006</v>
      </c>
    </row>
    <row r="6" spans="1:28" x14ac:dyDescent="0.3">
      <c r="A6" s="4" t="s">
        <v>3</v>
      </c>
      <c r="B6" s="4">
        <v>27295</v>
      </c>
      <c r="D6" s="3" t="s">
        <v>36</v>
      </c>
      <c r="E6" s="3">
        <v>53791</v>
      </c>
      <c r="F6" s="3">
        <f t="shared" si="0"/>
        <v>46260.26</v>
      </c>
      <c r="G6" s="9">
        <f>MAX(SUM(AF37:AF66),1)</f>
        <v>8456.38292843614</v>
      </c>
      <c r="H6" s="3">
        <f t="shared" ref="H6:H27" si="8">LN($B$3)-LN(G6)</f>
        <v>0.96517075651583362</v>
      </c>
      <c r="I6" s="3">
        <v>0.96517075651583362</v>
      </c>
      <c r="V6" s="10">
        <f t="shared" si="2"/>
        <v>4</v>
      </c>
      <c r="W6" s="9">
        <f t="shared" si="1"/>
        <v>54422.481692159992</v>
      </c>
      <c r="X6" s="9">
        <f t="shared" si="3"/>
        <v>2441.4733522943993</v>
      </c>
      <c r="Y6" s="9">
        <f t="shared" si="4"/>
        <v>2494.3223852800006</v>
      </c>
      <c r="Z6" s="9">
        <f t="shared" si="5"/>
        <v>2441.4733522943993</v>
      </c>
      <c r="AA6" s="9">
        <f t="shared" si="6"/>
        <v>2169.2174513448717</v>
      </c>
      <c r="AB6" s="9">
        <f t="shared" si="7"/>
        <v>52.849032985601298</v>
      </c>
    </row>
    <row r="7" spans="1:28" x14ac:dyDescent="0.3">
      <c r="A7" s="4" t="s">
        <v>4</v>
      </c>
      <c r="B7" s="4">
        <v>0.02</v>
      </c>
      <c r="D7" s="3" t="s">
        <v>37</v>
      </c>
      <c r="E7" s="3">
        <v>26546</v>
      </c>
      <c r="F7" s="3">
        <f t="shared" si="0"/>
        <v>22829.56</v>
      </c>
      <c r="G7" s="9">
        <f>MAX(SUM(AN37:AN66),1)</f>
        <v>4804.7139615737606</v>
      </c>
      <c r="H7" s="3">
        <f t="shared" si="8"/>
        <v>1.530494777557001</v>
      </c>
      <c r="I7" s="3">
        <v>1.530494777557001</v>
      </c>
      <c r="V7" s="10">
        <f t="shared" si="2"/>
        <v>5</v>
      </c>
      <c r="W7" s="9">
        <f t="shared" si="1"/>
        <v>55510.931326003192</v>
      </c>
      <c r="X7" s="9">
        <f t="shared" si="3"/>
        <v>2539.4338193402873</v>
      </c>
      <c r="Y7" s="9">
        <f t="shared" si="4"/>
        <v>52.849032985601298</v>
      </c>
      <c r="Z7" s="9">
        <f t="shared" si="5"/>
        <v>52.849032985601298</v>
      </c>
      <c r="AA7" s="9">
        <f t="shared" si="6"/>
        <v>45.588040099588127</v>
      </c>
      <c r="AB7" s="9">
        <f t="shared" si="7"/>
        <v>0</v>
      </c>
    </row>
    <row r="8" spans="1:28" x14ac:dyDescent="0.3">
      <c r="A8" s="4" t="s">
        <v>5</v>
      </c>
      <c r="B8" s="4">
        <v>0.03</v>
      </c>
      <c r="D8" s="3" t="s">
        <v>38</v>
      </c>
      <c r="E8" s="3">
        <v>61051</v>
      </c>
      <c r="F8" s="3">
        <f t="shared" si="0"/>
        <v>52503.86</v>
      </c>
      <c r="G8" s="9" t="s">
        <v>64</v>
      </c>
      <c r="H8" s="3" t="s">
        <v>64</v>
      </c>
      <c r="I8" s="3"/>
      <c r="V8" s="10">
        <f t="shared" si="2"/>
        <v>6</v>
      </c>
      <c r="W8" s="9">
        <f t="shared" si="1"/>
        <v>56621.149952523265</v>
      </c>
      <c r="X8" s="9">
        <f t="shared" si="3"/>
        <v>2639.3534957270936</v>
      </c>
      <c r="Y8" s="9">
        <f t="shared" si="4"/>
        <v>0</v>
      </c>
      <c r="Z8" s="9">
        <f t="shared" si="5"/>
        <v>0</v>
      </c>
      <c r="AA8" s="9">
        <f t="shared" si="6"/>
        <v>0</v>
      </c>
      <c r="AB8" s="9">
        <f t="shared" si="7"/>
        <v>0</v>
      </c>
    </row>
    <row r="9" spans="1:28" x14ac:dyDescent="0.3">
      <c r="A9" s="4" t="s">
        <v>6</v>
      </c>
      <c r="B9" s="4">
        <v>30</v>
      </c>
      <c r="D9" s="3" t="s">
        <v>39</v>
      </c>
      <c r="E9" s="3">
        <v>17954</v>
      </c>
      <c r="F9" s="3">
        <f t="shared" si="0"/>
        <v>15440.44</v>
      </c>
      <c r="G9" s="9">
        <f>MAX(SUM(X71:X100),1)</f>
        <v>4.6283025508584723</v>
      </c>
      <c r="H9" s="3">
        <f t="shared" si="8"/>
        <v>8.4756573866686491</v>
      </c>
      <c r="I9" s="3">
        <v>8.4756573866684768</v>
      </c>
      <c r="V9" s="10">
        <f t="shared" si="2"/>
        <v>7</v>
      </c>
      <c r="W9" s="9">
        <f t="shared" si="1"/>
        <v>57753.572951573726</v>
      </c>
      <c r="X9" s="9">
        <f t="shared" si="3"/>
        <v>2741.2715656416353</v>
      </c>
      <c r="Y9" s="9">
        <f t="shared" si="4"/>
        <v>0</v>
      </c>
      <c r="Z9" s="9">
        <f t="shared" si="5"/>
        <v>0</v>
      </c>
      <c r="AA9" s="9">
        <f t="shared" si="6"/>
        <v>0</v>
      </c>
      <c r="AB9" s="9">
        <f t="shared" si="7"/>
        <v>0</v>
      </c>
    </row>
    <row r="10" spans="1:28" x14ac:dyDescent="0.3">
      <c r="D10" s="5" t="s">
        <v>40</v>
      </c>
      <c r="E10" s="5">
        <v>33700</v>
      </c>
      <c r="F10" s="5">
        <f>E10*$B$4</f>
        <v>28982</v>
      </c>
      <c r="G10" s="61">
        <f>MAX(SUM(AF71:AF100),1)</f>
        <v>6801.1285512987261</v>
      </c>
      <c r="H10" s="61">
        <f>LN($B$3)-LN(G10)</f>
        <v>1.183003727040294</v>
      </c>
      <c r="I10" s="5">
        <v>1.183003727040296</v>
      </c>
      <c r="V10" s="10">
        <f t="shared" si="2"/>
        <v>8</v>
      </c>
      <c r="W10" s="9">
        <f t="shared" si="1"/>
        <v>58908.644410605193</v>
      </c>
      <c r="X10" s="9">
        <f t="shared" si="3"/>
        <v>2845.2279969544675</v>
      </c>
      <c r="Y10" s="9">
        <f t="shared" si="4"/>
        <v>0</v>
      </c>
      <c r="Z10" s="9">
        <f t="shared" si="5"/>
        <v>0</v>
      </c>
      <c r="AA10" s="9">
        <f t="shared" si="6"/>
        <v>0</v>
      </c>
      <c r="AB10" s="9">
        <f t="shared" si="7"/>
        <v>0</v>
      </c>
    </row>
    <row r="11" spans="1:28" x14ac:dyDescent="0.3">
      <c r="D11" s="3" t="s">
        <v>41</v>
      </c>
      <c r="E11" s="3">
        <v>43790</v>
      </c>
      <c r="F11" s="3">
        <f t="shared" si="0"/>
        <v>37659.4</v>
      </c>
      <c r="G11" s="9">
        <f>MAX(SUM(AN71:AN100),1)</f>
        <v>8054.8060048130046</v>
      </c>
      <c r="H11" s="3">
        <f t="shared" si="8"/>
        <v>1.0138233563614136</v>
      </c>
      <c r="I11" s="3">
        <v>1.0138233563614141</v>
      </c>
      <c r="V11" s="10">
        <f t="shared" si="2"/>
        <v>9</v>
      </c>
      <c r="W11" s="9">
        <f t="shared" si="1"/>
        <v>60086.817298817303</v>
      </c>
      <c r="X11" s="9">
        <f t="shared" si="3"/>
        <v>2951.2635568935571</v>
      </c>
      <c r="Y11" s="9">
        <f t="shared" si="4"/>
        <v>0</v>
      </c>
      <c r="Z11" s="9">
        <f t="shared" si="5"/>
        <v>0</v>
      </c>
      <c r="AA11" s="9">
        <f t="shared" si="6"/>
        <v>0</v>
      </c>
      <c r="AB11" s="9">
        <f t="shared" si="7"/>
        <v>0</v>
      </c>
    </row>
    <row r="12" spans="1:28" x14ac:dyDescent="0.3">
      <c r="D12" s="3" t="s">
        <v>42</v>
      </c>
      <c r="E12" s="3">
        <v>23446</v>
      </c>
      <c r="F12" s="3">
        <f t="shared" si="0"/>
        <v>20163.560000000001</v>
      </c>
      <c r="G12" s="9">
        <f>MAX(SUM(P105:P134),1)</f>
        <v>2527.4655797491146</v>
      </c>
      <c r="H12" s="3">
        <f t="shared" si="8"/>
        <v>2.1728752353575382</v>
      </c>
      <c r="I12" s="3">
        <v>2.1728752353575351</v>
      </c>
      <c r="V12" s="10">
        <f t="shared" si="2"/>
        <v>10</v>
      </c>
      <c r="W12" s="9">
        <f t="shared" si="1"/>
        <v>61288.553644793647</v>
      </c>
      <c r="X12" s="9">
        <f t="shared" si="3"/>
        <v>3059.4198280314281</v>
      </c>
      <c r="Y12" s="9">
        <f t="shared" si="4"/>
        <v>0</v>
      </c>
      <c r="Z12" s="9">
        <f t="shared" si="5"/>
        <v>0</v>
      </c>
      <c r="AA12" s="9">
        <f t="shared" si="6"/>
        <v>0</v>
      </c>
      <c r="AB12" s="9">
        <f t="shared" si="7"/>
        <v>0</v>
      </c>
    </row>
    <row r="13" spans="1:28" x14ac:dyDescent="0.3">
      <c r="D13" s="3" t="s">
        <v>43</v>
      </c>
      <c r="E13" s="3">
        <v>33523</v>
      </c>
      <c r="F13" s="3">
        <f t="shared" si="0"/>
        <v>28829.78</v>
      </c>
      <c r="G13" s="9">
        <f>MAX(SUM(X105:X134),1)</f>
        <v>6758.7786561670055</v>
      </c>
      <c r="H13" s="3">
        <f t="shared" si="8"/>
        <v>1.1892500873111871</v>
      </c>
      <c r="I13" s="3">
        <v>1.1892500873111871</v>
      </c>
      <c r="V13" s="10">
        <f t="shared" si="2"/>
        <v>11</v>
      </c>
      <c r="W13" s="9">
        <f t="shared" si="1"/>
        <v>62514.324717689524</v>
      </c>
      <c r="X13" s="9">
        <f t="shared" si="3"/>
        <v>3169.7392245920569</v>
      </c>
      <c r="Y13" s="9">
        <f t="shared" si="4"/>
        <v>0</v>
      </c>
      <c r="Z13" s="9">
        <f t="shared" si="5"/>
        <v>0</v>
      </c>
      <c r="AA13" s="9">
        <f t="shared" si="6"/>
        <v>0</v>
      </c>
      <c r="AB13" s="9">
        <f t="shared" si="7"/>
        <v>0</v>
      </c>
    </row>
    <row r="14" spans="1:28" x14ac:dyDescent="0.3">
      <c r="D14" s="3" t="s">
        <v>44</v>
      </c>
      <c r="E14" s="3">
        <v>27611</v>
      </c>
      <c r="F14" s="3">
        <f t="shared" si="0"/>
        <v>23745.46</v>
      </c>
      <c r="G14" s="9">
        <f>MAX(SUM(AF105:AF134),1)</f>
        <v>5095.4372531995514</v>
      </c>
      <c r="H14" s="3">
        <f t="shared" si="8"/>
        <v>1.4717468058270828</v>
      </c>
      <c r="I14" s="3">
        <v>1.4717468058270831</v>
      </c>
      <c r="V14" s="10">
        <f t="shared" si="2"/>
        <v>12</v>
      </c>
      <c r="W14" s="9">
        <f t="shared" si="1"/>
        <v>63764.611212043303</v>
      </c>
      <c r="X14" s="9">
        <f t="shared" si="3"/>
        <v>3282.265009083897</v>
      </c>
      <c r="Y14" s="9">
        <f t="shared" si="4"/>
        <v>0</v>
      </c>
      <c r="Z14" s="9">
        <f t="shared" si="5"/>
        <v>0</v>
      </c>
      <c r="AA14" s="9">
        <f t="shared" si="6"/>
        <v>0</v>
      </c>
      <c r="AB14" s="9">
        <f t="shared" si="7"/>
        <v>0</v>
      </c>
    </row>
    <row r="15" spans="1:28" x14ac:dyDescent="0.3">
      <c r="D15" s="3" t="s">
        <v>45</v>
      </c>
      <c r="E15" s="3">
        <v>22262</v>
      </c>
      <c r="F15" s="3">
        <f t="shared" si="0"/>
        <v>19145.32</v>
      </c>
      <c r="G15" s="9">
        <f>MAX(SUM(AN105:AN134),1)</f>
        <v>1607.4555099714594</v>
      </c>
      <c r="H15" s="3">
        <f t="shared" si="8"/>
        <v>2.6254397886656822</v>
      </c>
      <c r="I15" s="3">
        <v>2.6254397886656782</v>
      </c>
      <c r="V15" s="10">
        <f t="shared" si="2"/>
        <v>13</v>
      </c>
      <c r="W15" s="9">
        <f t="shared" si="1"/>
        <v>65039.903436284178</v>
      </c>
      <c r="X15" s="9">
        <f t="shared" si="3"/>
        <v>3397.0413092655758</v>
      </c>
      <c r="Y15" s="9">
        <f t="shared" si="4"/>
        <v>0</v>
      </c>
      <c r="Z15" s="9">
        <f t="shared" si="5"/>
        <v>0</v>
      </c>
      <c r="AA15" s="9">
        <f t="shared" si="6"/>
        <v>0</v>
      </c>
      <c r="AB15" s="9">
        <f t="shared" si="7"/>
        <v>0</v>
      </c>
    </row>
    <row r="16" spans="1:28" x14ac:dyDescent="0.3">
      <c r="D16" s="3" t="s">
        <v>46</v>
      </c>
      <c r="E16" s="3">
        <v>29104</v>
      </c>
      <c r="F16" s="3">
        <f t="shared" si="0"/>
        <v>25029.439999999999</v>
      </c>
      <c r="G16" s="9">
        <f>MAX(SUM(P139:P168),1)</f>
        <v>5513.5373619605416</v>
      </c>
      <c r="H16" s="3">
        <f t="shared" si="8"/>
        <v>1.3928858822339691</v>
      </c>
      <c r="I16" s="3">
        <v>1.3928858822339689</v>
      </c>
      <c r="V16" s="10">
        <f t="shared" si="2"/>
        <v>14</v>
      </c>
      <c r="W16" s="9">
        <f t="shared" si="1"/>
        <v>66340.701505009856</v>
      </c>
      <c r="X16" s="9">
        <f t="shared" si="3"/>
        <v>3514.1131354508871</v>
      </c>
      <c r="Y16" s="9">
        <f t="shared" si="4"/>
        <v>0</v>
      </c>
      <c r="Z16" s="9">
        <f t="shared" si="5"/>
        <v>0</v>
      </c>
      <c r="AA16" s="9">
        <f t="shared" si="6"/>
        <v>0</v>
      </c>
      <c r="AB16" s="9">
        <f t="shared" si="7"/>
        <v>0</v>
      </c>
    </row>
    <row r="17" spans="4:28" x14ac:dyDescent="0.3">
      <c r="D17" s="3" t="s">
        <v>47</v>
      </c>
      <c r="E17" s="3">
        <v>82969</v>
      </c>
      <c r="F17" s="3">
        <f t="shared" si="0"/>
        <v>71353.34</v>
      </c>
      <c r="G17" s="9">
        <f>MAX(SUM(X139:X168),1)</f>
        <v>8798.4412940286093</v>
      </c>
      <c r="H17" s="3">
        <f t="shared" si="8"/>
        <v>0.92551770876124451</v>
      </c>
      <c r="I17" s="3">
        <v>0.92551770876124451</v>
      </c>
      <c r="V17" s="10">
        <f t="shared" si="2"/>
        <v>15</v>
      </c>
      <c r="W17" s="9">
        <f t="shared" si="1"/>
        <v>67667.515535110055</v>
      </c>
      <c r="X17" s="9">
        <f t="shared" si="3"/>
        <v>3633.5263981599046</v>
      </c>
      <c r="Y17" s="9">
        <f t="shared" si="4"/>
        <v>0</v>
      </c>
      <c r="Z17" s="9">
        <f t="shared" si="5"/>
        <v>0</v>
      </c>
      <c r="AA17" s="9">
        <f t="shared" si="6"/>
        <v>0</v>
      </c>
      <c r="AB17" s="9">
        <f t="shared" si="7"/>
        <v>0</v>
      </c>
    </row>
    <row r="18" spans="4:28" x14ac:dyDescent="0.3">
      <c r="D18" s="3" t="s">
        <v>48</v>
      </c>
      <c r="E18" s="3">
        <v>18461</v>
      </c>
      <c r="F18" s="3">
        <f t="shared" si="0"/>
        <v>15876.46</v>
      </c>
      <c r="G18" s="9">
        <f>MAX(SUM(AF139:AF168),1)</f>
        <v>46.564212524394662</v>
      </c>
      <c r="H18" s="3">
        <f t="shared" si="8"/>
        <v>6.1670152933495226</v>
      </c>
      <c r="I18" s="3">
        <v>6.1670152933494924</v>
      </c>
      <c r="V18" s="10">
        <f t="shared" si="2"/>
        <v>16</v>
      </c>
      <c r="W18" s="9">
        <f t="shared" si="1"/>
        <v>69020.865845812237</v>
      </c>
      <c r="X18" s="9">
        <f t="shared" si="3"/>
        <v>3755.3279261231014</v>
      </c>
      <c r="Y18" s="9">
        <f t="shared" si="4"/>
        <v>0</v>
      </c>
      <c r="Z18" s="9">
        <f t="shared" si="5"/>
        <v>0</v>
      </c>
      <c r="AA18" s="9">
        <f t="shared" si="6"/>
        <v>0</v>
      </c>
      <c r="AB18" s="9">
        <f t="shared" si="7"/>
        <v>0</v>
      </c>
    </row>
    <row r="19" spans="4:28" x14ac:dyDescent="0.3">
      <c r="D19" s="3" t="s">
        <v>49</v>
      </c>
      <c r="E19" s="3">
        <v>33499</v>
      </c>
      <c r="F19" s="3">
        <f t="shared" si="0"/>
        <v>28809.14</v>
      </c>
      <c r="G19" s="9">
        <f>MAX(SUM(AN139:AN168),1)</f>
        <v>6752.8799230129853</v>
      </c>
      <c r="H19" s="3">
        <f t="shared" si="8"/>
        <v>1.1901232197240876</v>
      </c>
      <c r="I19" s="3">
        <v>1.1901232197240881</v>
      </c>
      <c r="V19" s="10">
        <f t="shared" si="2"/>
        <v>17</v>
      </c>
      <c r="W19" s="9">
        <f t="shared" si="1"/>
        <v>70401.283162728505</v>
      </c>
      <c r="X19" s="9">
        <f t="shared" si="3"/>
        <v>3879.5654846455654</v>
      </c>
      <c r="Y19" s="9">
        <f t="shared" si="4"/>
        <v>0</v>
      </c>
      <c r="Z19" s="9">
        <f t="shared" si="5"/>
        <v>0</v>
      </c>
      <c r="AA19" s="9">
        <f t="shared" si="6"/>
        <v>0</v>
      </c>
      <c r="AB19" s="9">
        <f t="shared" si="7"/>
        <v>0</v>
      </c>
    </row>
    <row r="20" spans="4:28" x14ac:dyDescent="0.3">
      <c r="D20" s="3" t="s">
        <v>50</v>
      </c>
      <c r="E20" s="3">
        <v>58600</v>
      </c>
      <c r="F20" s="3">
        <f t="shared" si="0"/>
        <v>50396</v>
      </c>
      <c r="G20" s="9">
        <f>MAX(SUM(P173:P202),1)</f>
        <v>8557.6144138588024</v>
      </c>
      <c r="H20" s="3">
        <f t="shared" si="8"/>
        <v>0.95327082753561498</v>
      </c>
      <c r="I20" s="3">
        <v>0.95327082753561498</v>
      </c>
      <c r="V20" s="10">
        <f t="shared" si="2"/>
        <v>18</v>
      </c>
      <c r="W20" s="9">
        <f t="shared" si="1"/>
        <v>71809.308825983069</v>
      </c>
      <c r="X20" s="9">
        <f t="shared" si="3"/>
        <v>4006.287794338476</v>
      </c>
      <c r="Y20" s="9">
        <f t="shared" si="4"/>
        <v>0</v>
      </c>
      <c r="Z20" s="9">
        <f t="shared" si="5"/>
        <v>0</v>
      </c>
      <c r="AA20" s="9">
        <f t="shared" si="6"/>
        <v>0</v>
      </c>
      <c r="AB20" s="9">
        <f t="shared" si="7"/>
        <v>0</v>
      </c>
    </row>
    <row r="21" spans="4:28" x14ac:dyDescent="0.3">
      <c r="D21" s="3" t="s">
        <v>51</v>
      </c>
      <c r="E21" s="3">
        <v>21246</v>
      </c>
      <c r="F21" s="3">
        <f t="shared" si="0"/>
        <v>18271.560000000001</v>
      </c>
      <c r="G21" s="9">
        <f>MAX(SUM(X173:X202),1)</f>
        <v>980.81535395248432</v>
      </c>
      <c r="H21" s="3">
        <f t="shared" si="8"/>
        <v>3.1194633482817</v>
      </c>
      <c r="I21" s="3">
        <v>3.1194633482816938</v>
      </c>
      <c r="V21" s="10">
        <f>V20+1</f>
        <v>19</v>
      </c>
      <c r="W21" s="9">
        <f t="shared" si="1"/>
        <v>73245.495002502736</v>
      </c>
      <c r="X21" s="9">
        <f t="shared" si="3"/>
        <v>4135.544550225246</v>
      </c>
      <c r="Y21" s="9">
        <f t="shared" si="4"/>
        <v>0</v>
      </c>
      <c r="Z21" s="9">
        <f t="shared" si="5"/>
        <v>0</v>
      </c>
      <c r="AA21" s="9">
        <f t="shared" si="6"/>
        <v>0</v>
      </c>
      <c r="AB21" s="9">
        <f t="shared" si="7"/>
        <v>0</v>
      </c>
    </row>
    <row r="22" spans="4:28" x14ac:dyDescent="0.3">
      <c r="D22" s="3" t="s">
        <v>52</v>
      </c>
      <c r="E22" s="3">
        <v>24818</v>
      </c>
      <c r="F22" s="3">
        <f t="shared" si="0"/>
        <v>21343.48</v>
      </c>
      <c r="G22" s="9">
        <f>MAX(SUM(P241:P270),1)</f>
        <v>3836.3557746572274</v>
      </c>
      <c r="H22" s="3">
        <f t="shared" si="8"/>
        <v>1.7555693898967011</v>
      </c>
      <c r="I22" s="3">
        <v>1.7555693898966991</v>
      </c>
      <c r="V22" s="10">
        <f t="shared" si="2"/>
        <v>20</v>
      </c>
      <c r="W22" s="9">
        <f t="shared" si="1"/>
        <v>74710.404902552778</v>
      </c>
      <c r="X22" s="9">
        <f t="shared" si="3"/>
        <v>4267.3864412297498</v>
      </c>
      <c r="Y22" s="9">
        <f t="shared" si="4"/>
        <v>0</v>
      </c>
      <c r="Z22" s="9">
        <f t="shared" si="5"/>
        <v>0</v>
      </c>
      <c r="AA22" s="9">
        <f t="shared" si="6"/>
        <v>0</v>
      </c>
      <c r="AB22" s="9">
        <f t="shared" si="7"/>
        <v>0</v>
      </c>
    </row>
    <row r="23" spans="4:28" x14ac:dyDescent="0.3">
      <c r="D23" s="3" t="s">
        <v>53</v>
      </c>
      <c r="E23" s="3">
        <v>21108</v>
      </c>
      <c r="F23" s="3">
        <f t="shared" si="0"/>
        <v>18152.88</v>
      </c>
      <c r="G23" s="9">
        <f>MAX(SUM(AN173:AN202),1)</f>
        <v>907.66157078317065</v>
      </c>
      <c r="H23" s="3">
        <f t="shared" si="8"/>
        <v>3.1969759781380116</v>
      </c>
      <c r="I23" s="3">
        <v>3.1969759781380058</v>
      </c>
      <c r="V23" s="10">
        <f t="shared" si="2"/>
        <v>21</v>
      </c>
      <c r="W23" s="9">
        <f t="shared" si="1"/>
        <v>76204.613000603844</v>
      </c>
      <c r="X23" s="9">
        <f t="shared" si="3"/>
        <v>4401.865170054346</v>
      </c>
      <c r="Y23" s="9">
        <f t="shared" si="4"/>
        <v>0</v>
      </c>
      <c r="Z23" s="9">
        <f t="shared" si="5"/>
        <v>0</v>
      </c>
      <c r="AA23" s="9">
        <f t="shared" si="6"/>
        <v>0</v>
      </c>
      <c r="AB23" s="9">
        <f t="shared" si="7"/>
        <v>0</v>
      </c>
    </row>
    <row r="24" spans="4:28" x14ac:dyDescent="0.3">
      <c r="D24" s="3" t="s">
        <v>54</v>
      </c>
      <c r="E24" s="3">
        <v>35133</v>
      </c>
      <c r="F24" s="3">
        <f t="shared" si="0"/>
        <v>30214.38</v>
      </c>
      <c r="G24" s="9">
        <f>MAX(SUM(P207:P236),1)</f>
        <v>7098.4662411320096</v>
      </c>
      <c r="H24" s="3">
        <f t="shared" si="8"/>
        <v>1.1402135505429314</v>
      </c>
      <c r="I24" s="3">
        <v>1.1402135505429309</v>
      </c>
      <c r="V24" s="10">
        <f t="shared" si="2"/>
        <v>22</v>
      </c>
      <c r="W24" s="9">
        <f t="shared" si="1"/>
        <v>77728.705260615912</v>
      </c>
      <c r="X24" s="9">
        <f t="shared" si="3"/>
        <v>4539.0334734554317</v>
      </c>
      <c r="Y24" s="9">
        <f t="shared" si="4"/>
        <v>0</v>
      </c>
      <c r="Z24" s="9">
        <f t="shared" si="5"/>
        <v>0</v>
      </c>
      <c r="AA24" s="9">
        <f t="shared" si="6"/>
        <v>0</v>
      </c>
      <c r="AB24" s="9">
        <f t="shared" si="7"/>
        <v>0</v>
      </c>
    </row>
    <row r="25" spans="4:28" x14ac:dyDescent="0.3">
      <c r="D25" s="3" t="s">
        <v>55</v>
      </c>
      <c r="E25" s="3">
        <v>20287</v>
      </c>
      <c r="F25" s="3">
        <f t="shared" si="0"/>
        <v>17446.82</v>
      </c>
      <c r="G25" s="9">
        <f>MAX(SUM(X207:X236),1)</f>
        <v>527.15204792888926</v>
      </c>
      <c r="H25" s="3">
        <f t="shared" si="8"/>
        <v>3.7403585449376466</v>
      </c>
      <c r="I25" s="3">
        <v>3.7403585449376369</v>
      </c>
      <c r="V25" s="10">
        <f t="shared" si="2"/>
        <v>23</v>
      </c>
      <c r="W25" s="9">
        <f t="shared" si="1"/>
        <v>79283.279365828232</v>
      </c>
      <c r="X25" s="9">
        <f t="shared" si="3"/>
        <v>4678.945142924541</v>
      </c>
      <c r="Y25" s="9">
        <f t="shared" si="4"/>
        <v>0</v>
      </c>
      <c r="Z25" s="9">
        <f t="shared" si="5"/>
        <v>0</v>
      </c>
      <c r="AA25" s="9">
        <f t="shared" si="6"/>
        <v>0</v>
      </c>
      <c r="AB25" s="9">
        <f t="shared" si="7"/>
        <v>0</v>
      </c>
    </row>
    <row r="26" spans="4:28" x14ac:dyDescent="0.3">
      <c r="D26" s="3" t="s">
        <v>56</v>
      </c>
      <c r="E26" s="3">
        <v>49428</v>
      </c>
      <c r="F26" s="3">
        <f t="shared" si="0"/>
        <v>42508.08</v>
      </c>
      <c r="G26" s="9">
        <f>MAX(SUM(AF207:AF236),1)</f>
        <v>8323.7499593169778</v>
      </c>
      <c r="H26" s="3">
        <f t="shared" si="8"/>
        <v>0.9809794193231216</v>
      </c>
      <c r="I26" s="3">
        <v>0.9809794193231216</v>
      </c>
      <c r="V26" s="10">
        <f t="shared" si="2"/>
        <v>24</v>
      </c>
      <c r="W26" s="9">
        <f t="shared" si="1"/>
        <v>80868.94495314479</v>
      </c>
      <c r="X26" s="9">
        <f t="shared" si="3"/>
        <v>4821.6550457830308</v>
      </c>
      <c r="Y26" s="9">
        <f t="shared" si="4"/>
        <v>0</v>
      </c>
      <c r="Z26" s="9">
        <f t="shared" si="5"/>
        <v>0</v>
      </c>
      <c r="AA26" s="9">
        <f t="shared" si="6"/>
        <v>0</v>
      </c>
      <c r="AB26" s="9">
        <f t="shared" si="7"/>
        <v>0</v>
      </c>
    </row>
    <row r="27" spans="4:28" x14ac:dyDescent="0.3">
      <c r="D27" s="3" t="s">
        <v>57</v>
      </c>
      <c r="E27" s="3">
        <v>46525</v>
      </c>
      <c r="F27" s="3">
        <f t="shared" si="0"/>
        <v>40011.5</v>
      </c>
      <c r="G27" s="9">
        <f>MAX(SUM(AN207:AN236),1)</f>
        <v>8202.197258424203</v>
      </c>
      <c r="H27" s="3">
        <f t="shared" si="8"/>
        <v>0.99569021215803666</v>
      </c>
      <c r="I27" s="3">
        <v>0.99569021215803666</v>
      </c>
      <c r="V27" s="10">
        <f t="shared" si="2"/>
        <v>25</v>
      </c>
      <c r="W27" s="9">
        <f t="shared" si="1"/>
        <v>82486.323852207686</v>
      </c>
      <c r="X27" s="9">
        <f t="shared" si="3"/>
        <v>4967.2191466986915</v>
      </c>
      <c r="Y27" s="9">
        <f t="shared" si="4"/>
        <v>0</v>
      </c>
      <c r="Z27" s="9">
        <f t="shared" si="5"/>
        <v>0</v>
      </c>
      <c r="AA27" s="9">
        <f t="shared" si="6"/>
        <v>0</v>
      </c>
      <c r="AB27" s="9">
        <f t="shared" si="7"/>
        <v>0</v>
      </c>
    </row>
    <row r="28" spans="4:28" x14ac:dyDescent="0.3">
      <c r="V28" s="10">
        <f>V27+1</f>
        <v>26</v>
      </c>
      <c r="W28" s="9">
        <f t="shared" si="1"/>
        <v>84136.050329251841</v>
      </c>
      <c r="X28" s="9">
        <f t="shared" si="3"/>
        <v>5115.6945296326658</v>
      </c>
      <c r="Y28" s="9">
        <f t="shared" si="4"/>
        <v>0</v>
      </c>
      <c r="Z28" s="9">
        <f t="shared" si="5"/>
        <v>0</v>
      </c>
      <c r="AA28" s="9">
        <f t="shared" si="6"/>
        <v>0</v>
      </c>
      <c r="AB28" s="9">
        <f t="shared" si="7"/>
        <v>0</v>
      </c>
    </row>
    <row r="29" spans="4:28" x14ac:dyDescent="0.3">
      <c r="V29" s="10">
        <f t="shared" si="2"/>
        <v>27</v>
      </c>
      <c r="W29" s="9">
        <f t="shared" si="1"/>
        <v>85818.771335836893</v>
      </c>
      <c r="X29" s="9">
        <f t="shared" si="3"/>
        <v>5267.1394202253205</v>
      </c>
      <c r="Y29" s="9">
        <f t="shared" si="4"/>
        <v>0</v>
      </c>
      <c r="Z29" s="9">
        <f t="shared" si="5"/>
        <v>0</v>
      </c>
      <c r="AA29" s="9">
        <f t="shared" si="6"/>
        <v>0</v>
      </c>
      <c r="AB29" s="9">
        <f t="shared" si="7"/>
        <v>0</v>
      </c>
    </row>
    <row r="30" spans="4:28" x14ac:dyDescent="0.3">
      <c r="V30" s="10">
        <f t="shared" si="2"/>
        <v>28</v>
      </c>
      <c r="W30" s="9">
        <f t="shared" si="1"/>
        <v>87535.146762553602</v>
      </c>
      <c r="X30" s="9">
        <f t="shared" si="3"/>
        <v>5421.6132086298239</v>
      </c>
      <c r="Y30" s="9">
        <f t="shared" si="4"/>
        <v>0</v>
      </c>
      <c r="Z30" s="9">
        <f t="shared" si="5"/>
        <v>0</v>
      </c>
      <c r="AA30" s="9">
        <f t="shared" si="6"/>
        <v>0</v>
      </c>
      <c r="AB30" s="9">
        <f t="shared" si="7"/>
        <v>0</v>
      </c>
    </row>
    <row r="31" spans="4:28" x14ac:dyDescent="0.3">
      <c r="V31" s="10">
        <f t="shared" si="2"/>
        <v>29</v>
      </c>
      <c r="W31" s="9">
        <f t="shared" si="1"/>
        <v>89285.849697804704</v>
      </c>
      <c r="X31" s="9">
        <f t="shared" si="3"/>
        <v>5579.1764728024227</v>
      </c>
      <c r="Y31" s="9">
        <f t="shared" si="4"/>
        <v>0</v>
      </c>
      <c r="Z31" s="9">
        <f t="shared" si="5"/>
        <v>0</v>
      </c>
      <c r="AA31" s="9">
        <f t="shared" si="6"/>
        <v>0</v>
      </c>
      <c r="AB31" s="9">
        <f t="shared" si="7"/>
        <v>0</v>
      </c>
    </row>
    <row r="32" spans="4:28" x14ac:dyDescent="0.3">
      <c r="V32" s="10">
        <f t="shared" si="2"/>
        <v>30</v>
      </c>
      <c r="W32" s="9">
        <f t="shared" si="1"/>
        <v>91071.566691760774</v>
      </c>
      <c r="X32" s="9">
        <f t="shared" si="3"/>
        <v>5739.8910022584696</v>
      </c>
      <c r="Y32" s="9">
        <f t="shared" si="4"/>
        <v>0</v>
      </c>
      <c r="Z32" s="9">
        <f t="shared" si="5"/>
        <v>0</v>
      </c>
      <c r="AA32" s="9">
        <f t="shared" si="6"/>
        <v>0</v>
      </c>
      <c r="AB32" s="9">
        <f t="shared" si="7"/>
        <v>0</v>
      </c>
    </row>
    <row r="33" spans="11:41" x14ac:dyDescent="0.3">
      <c r="V33" s="9"/>
      <c r="W33" s="9"/>
      <c r="X33" s="9"/>
      <c r="Y33" s="9"/>
      <c r="Z33" s="9"/>
      <c r="AA33" s="9"/>
      <c r="AB33" s="9"/>
    </row>
    <row r="35" spans="11:41" x14ac:dyDescent="0.3">
      <c r="K35" s="71" t="s">
        <v>59</v>
      </c>
      <c r="L35" s="72"/>
      <c r="M35" s="72"/>
      <c r="N35" s="72"/>
      <c r="O35" s="72"/>
      <c r="P35" s="72"/>
      <c r="Q35" s="73"/>
      <c r="S35" s="71" t="s">
        <v>61</v>
      </c>
      <c r="T35" s="72"/>
      <c r="U35" s="72"/>
      <c r="V35" s="72"/>
      <c r="W35" s="72"/>
      <c r="X35" s="72"/>
      <c r="Y35" s="73"/>
      <c r="AA35" s="71" t="s">
        <v>62</v>
      </c>
      <c r="AB35" s="72"/>
      <c r="AC35" s="72"/>
      <c r="AD35" s="72"/>
      <c r="AE35" s="72"/>
      <c r="AF35" s="72"/>
      <c r="AG35" s="73"/>
      <c r="AI35" s="71" t="s">
        <v>63</v>
      </c>
      <c r="AJ35" s="72"/>
      <c r="AK35" s="72"/>
      <c r="AL35" s="72"/>
      <c r="AM35" s="72"/>
      <c r="AN35" s="72"/>
      <c r="AO35" s="73"/>
    </row>
    <row r="36" spans="11:41" ht="43.2" x14ac:dyDescent="0.3">
      <c r="K36" s="14" t="s">
        <v>13</v>
      </c>
      <c r="L36" s="14" t="s">
        <v>14</v>
      </c>
      <c r="M36" s="14" t="s">
        <v>15</v>
      </c>
      <c r="N36" s="14" t="s">
        <v>16</v>
      </c>
      <c r="O36" s="14" t="s">
        <v>17</v>
      </c>
      <c r="P36" s="14" t="s">
        <v>18</v>
      </c>
      <c r="Q36" s="14" t="s">
        <v>19</v>
      </c>
      <c r="S36" s="14" t="s">
        <v>13</v>
      </c>
      <c r="T36" s="14" t="s">
        <v>14</v>
      </c>
      <c r="U36" s="14" t="s">
        <v>15</v>
      </c>
      <c r="V36" s="14" t="s">
        <v>16</v>
      </c>
      <c r="W36" s="14" t="s">
        <v>17</v>
      </c>
      <c r="X36" s="14" t="s">
        <v>18</v>
      </c>
      <c r="Y36" s="14" t="s">
        <v>19</v>
      </c>
      <c r="AA36" s="14" t="s">
        <v>13</v>
      </c>
      <c r="AB36" s="14" t="s">
        <v>14</v>
      </c>
      <c r="AC36" s="14" t="s">
        <v>15</v>
      </c>
      <c r="AD36" s="14" t="s">
        <v>16</v>
      </c>
      <c r="AE36" s="14" t="s">
        <v>17</v>
      </c>
      <c r="AF36" s="14" t="s">
        <v>18</v>
      </c>
      <c r="AG36" s="14" t="s">
        <v>19</v>
      </c>
      <c r="AI36" s="14" t="s">
        <v>13</v>
      </c>
      <c r="AJ36" s="14" t="s">
        <v>14</v>
      </c>
      <c r="AK36" s="14" t="s">
        <v>15</v>
      </c>
      <c r="AL36" s="14" t="s">
        <v>16</v>
      </c>
      <c r="AM36" s="14" t="s">
        <v>17</v>
      </c>
      <c r="AN36" s="14" t="s">
        <v>18</v>
      </c>
      <c r="AO36" s="14" t="s">
        <v>19</v>
      </c>
    </row>
    <row r="37" spans="11:41" x14ac:dyDescent="0.3">
      <c r="K37" s="10">
        <v>1</v>
      </c>
      <c r="L37" s="9">
        <f>$F$3*(1+$B$7)^(K37-1)</f>
        <v>13232.82</v>
      </c>
      <c r="M37" s="9">
        <f>$B$5*MAX(0,L37-$B$6)</f>
        <v>0</v>
      </c>
      <c r="N37" s="9">
        <f>$B$2</f>
        <v>9250</v>
      </c>
      <c r="O37" s="9">
        <f>MIN(M37,N37)</f>
        <v>0</v>
      </c>
      <c r="P37" s="9">
        <f>O37/(1+$B$8)^K37</f>
        <v>0</v>
      </c>
      <c r="Q37" s="9">
        <f>N37-O37</f>
        <v>9250</v>
      </c>
      <c r="S37" s="10">
        <v>1</v>
      </c>
      <c r="T37" s="9">
        <f>$F$5*(1+$B$7)^(S37-1)</f>
        <v>61545.9</v>
      </c>
      <c r="U37" s="9">
        <f>$B$5*MAX(0,T37-$B$6)</f>
        <v>3082.5810000000001</v>
      </c>
      <c r="V37" s="9">
        <f>$B$2</f>
        <v>9250</v>
      </c>
      <c r="W37" s="9">
        <f>MIN(U37,V37)</f>
        <v>3082.5810000000001</v>
      </c>
      <c r="X37" s="9">
        <f>W37/(1+$B$8)^S37</f>
        <v>2992.7970873786408</v>
      </c>
      <c r="Y37" s="9">
        <f>V37-W37</f>
        <v>6167.4189999999999</v>
      </c>
      <c r="AA37" s="10">
        <v>1</v>
      </c>
      <c r="AB37" s="9">
        <f>$F$6*(1+$B$7)^(AA37-1)</f>
        <v>46260.26</v>
      </c>
      <c r="AC37" s="9">
        <f>$B$5*MAX(0,AB37-$B$6)</f>
        <v>1706.8734000000002</v>
      </c>
      <c r="AD37" s="9">
        <f>$B$2</f>
        <v>9250</v>
      </c>
      <c r="AE37" s="9">
        <f>MIN(AC37,AD37)</f>
        <v>1706.8734000000002</v>
      </c>
      <c r="AF37" s="9">
        <f>AE37/(1+$B$8)^AA37</f>
        <v>1657.1586407766993</v>
      </c>
      <c r="AG37" s="9">
        <f>AD37-AE37</f>
        <v>7543.1265999999996</v>
      </c>
      <c r="AI37" s="10">
        <v>1</v>
      </c>
      <c r="AJ37" s="9">
        <f>$F$7*(1+$B$7)^(AI37-1)</f>
        <v>22829.56</v>
      </c>
      <c r="AK37" s="9">
        <f>$B$5*MAX(0,AJ37-$B$6)</f>
        <v>0</v>
      </c>
      <c r="AL37" s="9">
        <f>$B$2</f>
        <v>9250</v>
      </c>
      <c r="AM37" s="9">
        <f>MIN(AK37,AL37)</f>
        <v>0</v>
      </c>
      <c r="AN37" s="9">
        <f>AM37/(1+$B$8)^AI37</f>
        <v>0</v>
      </c>
      <c r="AO37" s="9">
        <f>AL37-AM37</f>
        <v>9250</v>
      </c>
    </row>
    <row r="38" spans="11:41" x14ac:dyDescent="0.3">
      <c r="K38" s="10">
        <f>K37+1</f>
        <v>2</v>
      </c>
      <c r="L38" s="9">
        <f t="shared" ref="L38:L66" si="9">$F$3*(1+$B$7)^(K38-1)</f>
        <v>13497.4764</v>
      </c>
      <c r="M38" s="9">
        <f>$B$5*MAX(0,L38-$B$6)</f>
        <v>0</v>
      </c>
      <c r="N38" s="9">
        <f>Q37</f>
        <v>9250</v>
      </c>
      <c r="O38" s="9">
        <f>IF(N38&lt;=0,0,MIN(M38,N38))</f>
        <v>0</v>
      </c>
      <c r="P38" s="9">
        <f>O38/(1+$B$8)^K38</f>
        <v>0</v>
      </c>
      <c r="Q38" s="9">
        <f>MAX(0,N38-O38)</f>
        <v>9250</v>
      </c>
      <c r="S38" s="10">
        <f>S37+1</f>
        <v>2</v>
      </c>
      <c r="T38" s="9">
        <f t="shared" ref="T38:T66" si="10">$F$5*(1+$B$7)^(S38-1)</f>
        <v>62776.817999999999</v>
      </c>
      <c r="U38" s="9">
        <f>$B$5*MAX(0,T38-$B$6)</f>
        <v>3193.3636199999996</v>
      </c>
      <c r="V38" s="9">
        <f>Y37</f>
        <v>6167.4189999999999</v>
      </c>
      <c r="W38" s="9">
        <f>IF(V38&lt;=0,0,MIN(U38,V38))</f>
        <v>3193.3636199999996</v>
      </c>
      <c r="X38" s="9">
        <f>W38/(1+$B$8)^S38</f>
        <v>3010.0514845885568</v>
      </c>
      <c r="Y38" s="9">
        <f>MAX(0,V38-W38)</f>
        <v>2974.0553800000002</v>
      </c>
      <c r="AA38" s="10">
        <f>AA37+1</f>
        <v>2</v>
      </c>
      <c r="AB38" s="9">
        <f t="shared" ref="AB38:AB66" si="11">$F$6*(1+$B$7)^(AA38-1)</f>
        <v>47185.465200000006</v>
      </c>
      <c r="AC38" s="9">
        <f>$B$5*MAX(0,AB38-$B$6)</f>
        <v>1790.1418680000004</v>
      </c>
      <c r="AD38" s="9">
        <f>AG37</f>
        <v>7543.1265999999996</v>
      </c>
      <c r="AE38" s="9">
        <f>IF(AD38&lt;=0,0,MIN(AC38,AD38))</f>
        <v>1790.1418680000004</v>
      </c>
      <c r="AF38" s="9">
        <f>AE38/(1+$B$8)^AA38</f>
        <v>1687.3804015458577</v>
      </c>
      <c r="AG38" s="9">
        <f>MAX(0,AD38-AE38)</f>
        <v>5752.984731999999</v>
      </c>
      <c r="AI38" s="10">
        <f>AI37+1</f>
        <v>2</v>
      </c>
      <c r="AJ38" s="9">
        <f t="shared" ref="AJ38:AJ66" si="12">$F$7*(1+$B$7)^(AI38-1)</f>
        <v>23286.1512</v>
      </c>
      <c r="AK38" s="9">
        <f>$B$5*MAX(0,AJ38-$B$6)</f>
        <v>0</v>
      </c>
      <c r="AL38" s="9">
        <f>AO37</f>
        <v>9250</v>
      </c>
      <c r="AM38" s="9">
        <f>IF(AL38&lt;=0,0,MIN(AK38,AL38))</f>
        <v>0</v>
      </c>
      <c r="AN38" s="9">
        <f>AM38/(1+$B$8)^AI38</f>
        <v>0</v>
      </c>
      <c r="AO38" s="9">
        <f>MAX(0,AL38-AM38)</f>
        <v>9250</v>
      </c>
    </row>
    <row r="39" spans="11:41" x14ac:dyDescent="0.3">
      <c r="K39" s="10">
        <f t="shared" ref="K39:K54" si="13">K38+1</f>
        <v>3</v>
      </c>
      <c r="L39" s="9">
        <f t="shared" si="9"/>
        <v>13767.425927999999</v>
      </c>
      <c r="M39" s="9">
        <f t="shared" ref="M39:M66" si="14">$B$5*MAX(0,L39-$B$6)</f>
        <v>0</v>
      </c>
      <c r="N39" s="9">
        <f t="shared" ref="N39:N66" si="15">Q38</f>
        <v>9250</v>
      </c>
      <c r="O39" s="9">
        <f t="shared" ref="O39:O66" si="16">IF(N39&lt;=0,0,MIN(M39,N39))</f>
        <v>0</v>
      </c>
      <c r="P39" s="9">
        <f t="shared" ref="P39:P66" si="17">O39/(1+$B$8)^K39</f>
        <v>0</v>
      </c>
      <c r="Q39" s="9">
        <f t="shared" ref="Q39:Q66" si="18">MAX(0,N39-O39)</f>
        <v>9250</v>
      </c>
      <c r="S39" s="10">
        <f t="shared" ref="S39:S54" si="19">S38+1</f>
        <v>3</v>
      </c>
      <c r="T39" s="9">
        <f t="shared" si="10"/>
        <v>64032.354359999998</v>
      </c>
      <c r="U39" s="9">
        <f t="shared" ref="U39:U66" si="20">$B$5*MAX(0,T39-$B$6)</f>
        <v>3306.3618923999998</v>
      </c>
      <c r="V39" s="9">
        <f t="shared" ref="V39:V66" si="21">Y38</f>
        <v>2974.0553800000002</v>
      </c>
      <c r="W39" s="9">
        <f t="shared" ref="W39:W66" si="22">IF(V39&lt;=0,0,MIN(U39,V39))</f>
        <v>2974.0553800000002</v>
      </c>
      <c r="X39" s="9">
        <f t="shared" ref="X39:X66" si="23">W39/(1+$B$8)^S39</f>
        <v>2721.6819754613916</v>
      </c>
      <c r="Y39" s="9">
        <f t="shared" ref="Y39:Y66" si="24">MAX(0,V39-W39)</f>
        <v>0</v>
      </c>
      <c r="AA39" s="10">
        <f t="shared" ref="AA39:AA54" si="25">AA38+1</f>
        <v>3</v>
      </c>
      <c r="AB39" s="9">
        <f t="shared" si="11"/>
        <v>48129.174504000002</v>
      </c>
      <c r="AC39" s="9">
        <f t="shared" ref="AC39:AC66" si="26">$B$5*MAX(0,AB39-$B$6)</f>
        <v>1875.07570536</v>
      </c>
      <c r="AD39" s="9">
        <f t="shared" ref="AD39:AD66" si="27">AG38</f>
        <v>5752.984731999999</v>
      </c>
      <c r="AE39" s="9">
        <f t="shared" ref="AE39:AE66" si="28">IF(AD39&lt;=0,0,MIN(AC39,AD39))</f>
        <v>1875.07570536</v>
      </c>
      <c r="AF39" s="9">
        <f t="shared" ref="AF39:AF66" si="29">AE39/(1+$B$8)^AA39</f>
        <v>1715.9598924159466</v>
      </c>
      <c r="AG39" s="9">
        <f t="shared" ref="AG39:AG66" si="30">MAX(0,AD39-AE39)</f>
        <v>3877.909026639999</v>
      </c>
      <c r="AI39" s="10">
        <f t="shared" ref="AI39:AI54" si="31">AI38+1</f>
        <v>3</v>
      </c>
      <c r="AJ39" s="9">
        <f t="shared" si="12"/>
        <v>23751.874224000003</v>
      </c>
      <c r="AK39" s="9">
        <f t="shared" ref="AK39:AK66" si="32">$B$5*MAX(0,AJ39-$B$6)</f>
        <v>0</v>
      </c>
      <c r="AL39" s="9">
        <f t="shared" ref="AL39:AL66" si="33">AO38</f>
        <v>9250</v>
      </c>
      <c r="AM39" s="9">
        <f t="shared" ref="AM39:AM66" si="34">IF(AL39&lt;=0,0,MIN(AK39,AL39))</f>
        <v>0</v>
      </c>
      <c r="AN39" s="9">
        <f t="shared" ref="AN39:AN66" si="35">AM39/(1+$B$8)^AI39</f>
        <v>0</v>
      </c>
      <c r="AO39" s="9">
        <f t="shared" ref="AO39:AO66" si="36">MAX(0,AL39-AM39)</f>
        <v>9250</v>
      </c>
    </row>
    <row r="40" spans="11:41" x14ac:dyDescent="0.3">
      <c r="K40" s="10">
        <f t="shared" si="13"/>
        <v>4</v>
      </c>
      <c r="L40" s="9">
        <f t="shared" si="9"/>
        <v>14042.774446559999</v>
      </c>
      <c r="M40" s="9">
        <f t="shared" si="14"/>
        <v>0</v>
      </c>
      <c r="N40" s="9">
        <f t="shared" si="15"/>
        <v>9250</v>
      </c>
      <c r="O40" s="9">
        <f t="shared" si="16"/>
        <v>0</v>
      </c>
      <c r="P40" s="9">
        <f t="shared" si="17"/>
        <v>0</v>
      </c>
      <c r="Q40" s="9">
        <f t="shared" si="18"/>
        <v>9250</v>
      </c>
      <c r="S40" s="10">
        <f t="shared" si="19"/>
        <v>4</v>
      </c>
      <c r="T40" s="9">
        <f t="shared" si="10"/>
        <v>65313.001447199997</v>
      </c>
      <c r="U40" s="9">
        <f t="shared" si="20"/>
        <v>3421.6201302479994</v>
      </c>
      <c r="V40" s="9">
        <f t="shared" si="21"/>
        <v>0</v>
      </c>
      <c r="W40" s="9">
        <f t="shared" si="22"/>
        <v>0</v>
      </c>
      <c r="X40" s="9">
        <f t="shared" si="23"/>
        <v>0</v>
      </c>
      <c r="Y40" s="9">
        <f t="shared" si="24"/>
        <v>0</v>
      </c>
      <c r="AA40" s="10">
        <f t="shared" si="25"/>
        <v>4</v>
      </c>
      <c r="AB40" s="9">
        <f t="shared" si="11"/>
        <v>49091.757994079999</v>
      </c>
      <c r="AC40" s="9">
        <f t="shared" si="26"/>
        <v>1961.7082194671998</v>
      </c>
      <c r="AD40" s="9">
        <f t="shared" si="27"/>
        <v>3877.909026639999</v>
      </c>
      <c r="AE40" s="9">
        <f t="shared" si="28"/>
        <v>1961.7082194671998</v>
      </c>
      <c r="AF40" s="9">
        <f t="shared" si="29"/>
        <v>1742.9523447863548</v>
      </c>
      <c r="AG40" s="9">
        <f t="shared" si="30"/>
        <v>1916.2008071727992</v>
      </c>
      <c r="AI40" s="10">
        <f t="shared" si="31"/>
        <v>4</v>
      </c>
      <c r="AJ40" s="9">
        <f t="shared" si="12"/>
        <v>24226.911708479998</v>
      </c>
      <c r="AK40" s="9">
        <f t="shared" si="32"/>
        <v>0</v>
      </c>
      <c r="AL40" s="9">
        <f t="shared" si="33"/>
        <v>9250</v>
      </c>
      <c r="AM40" s="9">
        <f t="shared" si="34"/>
        <v>0</v>
      </c>
      <c r="AN40" s="9">
        <f t="shared" si="35"/>
        <v>0</v>
      </c>
      <c r="AO40" s="9">
        <f t="shared" si="36"/>
        <v>9250</v>
      </c>
    </row>
    <row r="41" spans="11:41" x14ac:dyDescent="0.3">
      <c r="K41" s="10">
        <f t="shared" si="13"/>
        <v>5</v>
      </c>
      <c r="L41" s="9">
        <f t="shared" si="9"/>
        <v>14323.629935491199</v>
      </c>
      <c r="M41" s="9">
        <f t="shared" si="14"/>
        <v>0</v>
      </c>
      <c r="N41" s="9">
        <f t="shared" si="15"/>
        <v>9250</v>
      </c>
      <c r="O41" s="9">
        <f t="shared" si="16"/>
        <v>0</v>
      </c>
      <c r="P41" s="9">
        <f t="shared" si="17"/>
        <v>0</v>
      </c>
      <c r="Q41" s="9">
        <f t="shared" si="18"/>
        <v>9250</v>
      </c>
      <c r="S41" s="10">
        <f t="shared" si="19"/>
        <v>5</v>
      </c>
      <c r="T41" s="9">
        <f t="shared" si="10"/>
        <v>66619.261476144005</v>
      </c>
      <c r="U41" s="9">
        <f t="shared" si="20"/>
        <v>3539.1835328529605</v>
      </c>
      <c r="V41" s="9">
        <f t="shared" si="21"/>
        <v>0</v>
      </c>
      <c r="W41" s="9">
        <f t="shared" si="22"/>
        <v>0</v>
      </c>
      <c r="X41" s="9">
        <f t="shared" si="23"/>
        <v>0</v>
      </c>
      <c r="Y41" s="9">
        <f t="shared" si="24"/>
        <v>0</v>
      </c>
      <c r="AA41" s="10">
        <f t="shared" si="25"/>
        <v>5</v>
      </c>
      <c r="AB41" s="9">
        <f t="shared" si="11"/>
        <v>50073.593153961599</v>
      </c>
      <c r="AC41" s="9">
        <f t="shared" si="26"/>
        <v>2050.0733838565438</v>
      </c>
      <c r="AD41" s="9">
        <f t="shared" si="27"/>
        <v>1916.2008071727992</v>
      </c>
      <c r="AE41" s="9">
        <f t="shared" si="28"/>
        <v>1916.2008071727992</v>
      </c>
      <c r="AF41" s="9">
        <f t="shared" si="29"/>
        <v>1652.9316489112823</v>
      </c>
      <c r="AG41" s="9">
        <f t="shared" si="30"/>
        <v>0</v>
      </c>
      <c r="AI41" s="10">
        <f t="shared" si="31"/>
        <v>5</v>
      </c>
      <c r="AJ41" s="9">
        <f t="shared" si="12"/>
        <v>24711.4499426496</v>
      </c>
      <c r="AK41" s="9">
        <f t="shared" si="32"/>
        <v>0</v>
      </c>
      <c r="AL41" s="9">
        <f t="shared" si="33"/>
        <v>9250</v>
      </c>
      <c r="AM41" s="9">
        <f t="shared" si="34"/>
        <v>0</v>
      </c>
      <c r="AN41" s="9">
        <f t="shared" si="35"/>
        <v>0</v>
      </c>
      <c r="AO41" s="9">
        <f t="shared" si="36"/>
        <v>9250</v>
      </c>
    </row>
    <row r="42" spans="11:41" x14ac:dyDescent="0.3">
      <c r="K42" s="10">
        <f t="shared" si="13"/>
        <v>6</v>
      </c>
      <c r="L42" s="9">
        <f t="shared" si="9"/>
        <v>14610.102534201023</v>
      </c>
      <c r="M42" s="9">
        <f t="shared" si="14"/>
        <v>0</v>
      </c>
      <c r="N42" s="9">
        <f t="shared" si="15"/>
        <v>9250</v>
      </c>
      <c r="O42" s="9">
        <f t="shared" si="16"/>
        <v>0</v>
      </c>
      <c r="P42" s="9">
        <f t="shared" si="17"/>
        <v>0</v>
      </c>
      <c r="Q42" s="9">
        <f t="shared" si="18"/>
        <v>9250</v>
      </c>
      <c r="S42" s="10">
        <f t="shared" si="19"/>
        <v>6</v>
      </c>
      <c r="T42" s="9">
        <f t="shared" si="10"/>
        <v>67951.646705666877</v>
      </c>
      <c r="U42" s="9">
        <f t="shared" si="20"/>
        <v>3659.0982035100187</v>
      </c>
      <c r="V42" s="9">
        <f t="shared" si="21"/>
        <v>0</v>
      </c>
      <c r="W42" s="9">
        <f t="shared" si="22"/>
        <v>0</v>
      </c>
      <c r="X42" s="9">
        <f t="shared" si="23"/>
        <v>0</v>
      </c>
      <c r="Y42" s="9">
        <f t="shared" si="24"/>
        <v>0</v>
      </c>
      <c r="AA42" s="10">
        <f t="shared" si="25"/>
        <v>6</v>
      </c>
      <c r="AB42" s="9">
        <f t="shared" si="11"/>
        <v>51075.065017040833</v>
      </c>
      <c r="AC42" s="9">
        <f t="shared" si="26"/>
        <v>2140.2058515336748</v>
      </c>
      <c r="AD42" s="9">
        <f t="shared" si="27"/>
        <v>0</v>
      </c>
      <c r="AE42" s="9">
        <f t="shared" si="28"/>
        <v>0</v>
      </c>
      <c r="AF42" s="9">
        <f t="shared" si="29"/>
        <v>0</v>
      </c>
      <c r="AG42" s="9">
        <f t="shared" si="30"/>
        <v>0</v>
      </c>
      <c r="AI42" s="10">
        <f t="shared" si="31"/>
        <v>6</v>
      </c>
      <c r="AJ42" s="9">
        <f t="shared" si="12"/>
        <v>25205.678941502592</v>
      </c>
      <c r="AK42" s="9">
        <f t="shared" si="32"/>
        <v>0</v>
      </c>
      <c r="AL42" s="9">
        <f t="shared" si="33"/>
        <v>9250</v>
      </c>
      <c r="AM42" s="9">
        <f t="shared" si="34"/>
        <v>0</v>
      </c>
      <c r="AN42" s="9">
        <f t="shared" si="35"/>
        <v>0</v>
      </c>
      <c r="AO42" s="9">
        <f t="shared" si="36"/>
        <v>9250</v>
      </c>
    </row>
    <row r="43" spans="11:41" x14ac:dyDescent="0.3">
      <c r="K43" s="10">
        <f t="shared" si="13"/>
        <v>7</v>
      </c>
      <c r="L43" s="9">
        <f t="shared" si="9"/>
        <v>14902.304584885045</v>
      </c>
      <c r="M43" s="9">
        <f t="shared" si="14"/>
        <v>0</v>
      </c>
      <c r="N43" s="9">
        <f t="shared" si="15"/>
        <v>9250</v>
      </c>
      <c r="O43" s="9">
        <f t="shared" si="16"/>
        <v>0</v>
      </c>
      <c r="P43" s="9">
        <f t="shared" si="17"/>
        <v>0</v>
      </c>
      <c r="Q43" s="9">
        <f t="shared" si="18"/>
        <v>9250</v>
      </c>
      <c r="S43" s="10">
        <f t="shared" si="19"/>
        <v>7</v>
      </c>
      <c r="T43" s="9">
        <f t="shared" si="10"/>
        <v>69310.679639780225</v>
      </c>
      <c r="U43" s="9">
        <f t="shared" si="20"/>
        <v>3781.4111675802201</v>
      </c>
      <c r="V43" s="9">
        <f t="shared" si="21"/>
        <v>0</v>
      </c>
      <c r="W43" s="9">
        <f t="shared" si="22"/>
        <v>0</v>
      </c>
      <c r="X43" s="9">
        <f t="shared" si="23"/>
        <v>0</v>
      </c>
      <c r="Y43" s="9">
        <f t="shared" si="24"/>
        <v>0</v>
      </c>
      <c r="AA43" s="10">
        <f t="shared" si="25"/>
        <v>7</v>
      </c>
      <c r="AB43" s="9">
        <f t="shared" si="11"/>
        <v>52096.566317381657</v>
      </c>
      <c r="AC43" s="9">
        <f t="shared" si="26"/>
        <v>2232.1409685643489</v>
      </c>
      <c r="AD43" s="9">
        <f t="shared" si="27"/>
        <v>0</v>
      </c>
      <c r="AE43" s="9">
        <f t="shared" si="28"/>
        <v>0</v>
      </c>
      <c r="AF43" s="9">
        <f t="shared" si="29"/>
        <v>0</v>
      </c>
      <c r="AG43" s="9">
        <f t="shared" si="30"/>
        <v>0</v>
      </c>
      <c r="AI43" s="10">
        <f t="shared" si="31"/>
        <v>7</v>
      </c>
      <c r="AJ43" s="9">
        <f t="shared" si="12"/>
        <v>25709.792520332649</v>
      </c>
      <c r="AK43" s="9">
        <f t="shared" si="32"/>
        <v>0</v>
      </c>
      <c r="AL43" s="9">
        <f t="shared" si="33"/>
        <v>9250</v>
      </c>
      <c r="AM43" s="9">
        <f t="shared" si="34"/>
        <v>0</v>
      </c>
      <c r="AN43" s="9">
        <f t="shared" si="35"/>
        <v>0</v>
      </c>
      <c r="AO43" s="9">
        <f t="shared" si="36"/>
        <v>9250</v>
      </c>
    </row>
    <row r="44" spans="11:41" x14ac:dyDescent="0.3">
      <c r="K44" s="10">
        <f t="shared" si="13"/>
        <v>8</v>
      </c>
      <c r="L44" s="9">
        <f t="shared" si="9"/>
        <v>15200.350676582742</v>
      </c>
      <c r="M44" s="9">
        <f t="shared" si="14"/>
        <v>0</v>
      </c>
      <c r="N44" s="9">
        <f t="shared" si="15"/>
        <v>9250</v>
      </c>
      <c r="O44" s="9">
        <f t="shared" si="16"/>
        <v>0</v>
      </c>
      <c r="P44" s="9">
        <f t="shared" si="17"/>
        <v>0</v>
      </c>
      <c r="Q44" s="9">
        <f t="shared" si="18"/>
        <v>9250</v>
      </c>
      <c r="S44" s="10">
        <f t="shared" si="19"/>
        <v>8</v>
      </c>
      <c r="T44" s="9">
        <f t="shared" si="10"/>
        <v>70696.893232575807</v>
      </c>
      <c r="U44" s="9">
        <f t="shared" si="20"/>
        <v>3906.1703909318226</v>
      </c>
      <c r="V44" s="9">
        <f t="shared" si="21"/>
        <v>0</v>
      </c>
      <c r="W44" s="9">
        <f t="shared" si="22"/>
        <v>0</v>
      </c>
      <c r="X44" s="9">
        <f t="shared" si="23"/>
        <v>0</v>
      </c>
      <c r="Y44" s="9">
        <f t="shared" si="24"/>
        <v>0</v>
      </c>
      <c r="AA44" s="10">
        <f t="shared" si="25"/>
        <v>8</v>
      </c>
      <c r="AB44" s="9">
        <f t="shared" si="11"/>
        <v>53138.497643729279</v>
      </c>
      <c r="AC44" s="9">
        <f t="shared" si="26"/>
        <v>2325.9147879356351</v>
      </c>
      <c r="AD44" s="9">
        <f t="shared" si="27"/>
        <v>0</v>
      </c>
      <c r="AE44" s="9">
        <f t="shared" si="28"/>
        <v>0</v>
      </c>
      <c r="AF44" s="9">
        <f t="shared" si="29"/>
        <v>0</v>
      </c>
      <c r="AG44" s="9">
        <f t="shared" si="30"/>
        <v>0</v>
      </c>
      <c r="AI44" s="10">
        <f t="shared" si="31"/>
        <v>8</v>
      </c>
      <c r="AJ44" s="9">
        <f t="shared" si="12"/>
        <v>26223.988370739295</v>
      </c>
      <c r="AK44" s="9">
        <f t="shared" si="32"/>
        <v>0</v>
      </c>
      <c r="AL44" s="9">
        <f t="shared" si="33"/>
        <v>9250</v>
      </c>
      <c r="AM44" s="9">
        <f t="shared" si="34"/>
        <v>0</v>
      </c>
      <c r="AN44" s="9">
        <f t="shared" si="35"/>
        <v>0</v>
      </c>
      <c r="AO44" s="9">
        <f t="shared" si="36"/>
        <v>9250</v>
      </c>
    </row>
    <row r="45" spans="11:41" x14ac:dyDescent="0.3">
      <c r="K45" s="10">
        <f t="shared" si="13"/>
        <v>9</v>
      </c>
      <c r="L45" s="9">
        <f t="shared" si="9"/>
        <v>15504.357690114399</v>
      </c>
      <c r="M45" s="9">
        <f t="shared" si="14"/>
        <v>0</v>
      </c>
      <c r="N45" s="9">
        <f t="shared" si="15"/>
        <v>9250</v>
      </c>
      <c r="O45" s="9">
        <f t="shared" si="16"/>
        <v>0</v>
      </c>
      <c r="P45" s="9">
        <f t="shared" si="17"/>
        <v>0</v>
      </c>
      <c r="Q45" s="9">
        <f t="shared" si="18"/>
        <v>9250</v>
      </c>
      <c r="S45" s="10">
        <f t="shared" si="19"/>
        <v>9</v>
      </c>
      <c r="T45" s="9">
        <f t="shared" si="10"/>
        <v>72110.831097227332</v>
      </c>
      <c r="U45" s="9">
        <f t="shared" si="20"/>
        <v>4033.4247987504596</v>
      </c>
      <c r="V45" s="9">
        <f t="shared" si="21"/>
        <v>0</v>
      </c>
      <c r="W45" s="9">
        <f t="shared" si="22"/>
        <v>0</v>
      </c>
      <c r="X45" s="9">
        <f t="shared" si="23"/>
        <v>0</v>
      </c>
      <c r="Y45" s="9">
        <f t="shared" si="24"/>
        <v>0</v>
      </c>
      <c r="AA45" s="10">
        <f t="shared" si="25"/>
        <v>9</v>
      </c>
      <c r="AB45" s="9">
        <f t="shared" si="11"/>
        <v>54201.267596603866</v>
      </c>
      <c r="AC45" s="9">
        <f t="shared" si="26"/>
        <v>2421.564083694348</v>
      </c>
      <c r="AD45" s="9">
        <f t="shared" si="27"/>
        <v>0</v>
      </c>
      <c r="AE45" s="9">
        <f t="shared" si="28"/>
        <v>0</v>
      </c>
      <c r="AF45" s="9">
        <f t="shared" si="29"/>
        <v>0</v>
      </c>
      <c r="AG45" s="9">
        <f t="shared" si="30"/>
        <v>0</v>
      </c>
      <c r="AI45" s="10">
        <f t="shared" si="31"/>
        <v>9</v>
      </c>
      <c r="AJ45" s="9">
        <f t="shared" si="12"/>
        <v>26748.468138154083</v>
      </c>
      <c r="AK45" s="9">
        <f t="shared" si="32"/>
        <v>0</v>
      </c>
      <c r="AL45" s="9">
        <f t="shared" si="33"/>
        <v>9250</v>
      </c>
      <c r="AM45" s="9">
        <f t="shared" si="34"/>
        <v>0</v>
      </c>
      <c r="AN45" s="9">
        <f t="shared" si="35"/>
        <v>0</v>
      </c>
      <c r="AO45" s="9">
        <f t="shared" si="36"/>
        <v>9250</v>
      </c>
    </row>
    <row r="46" spans="11:41" x14ac:dyDescent="0.3">
      <c r="K46" s="10">
        <f t="shared" si="13"/>
        <v>10</v>
      </c>
      <c r="L46" s="9">
        <f t="shared" si="9"/>
        <v>15814.444843916686</v>
      </c>
      <c r="M46" s="9">
        <f t="shared" si="14"/>
        <v>0</v>
      </c>
      <c r="N46" s="9">
        <f t="shared" si="15"/>
        <v>9250</v>
      </c>
      <c r="O46" s="9">
        <f t="shared" si="16"/>
        <v>0</v>
      </c>
      <c r="P46" s="9">
        <f t="shared" si="17"/>
        <v>0</v>
      </c>
      <c r="Q46" s="9">
        <f t="shared" si="18"/>
        <v>9250</v>
      </c>
      <c r="S46" s="10">
        <f t="shared" si="19"/>
        <v>10</v>
      </c>
      <c r="T46" s="9">
        <f t="shared" si="10"/>
        <v>73553.047719171882</v>
      </c>
      <c r="U46" s="9">
        <f t="shared" si="20"/>
        <v>4163.224294725469</v>
      </c>
      <c r="V46" s="9">
        <f t="shared" si="21"/>
        <v>0</v>
      </c>
      <c r="W46" s="9">
        <f t="shared" si="22"/>
        <v>0</v>
      </c>
      <c r="X46" s="9">
        <f t="shared" si="23"/>
        <v>0</v>
      </c>
      <c r="Y46" s="9">
        <f t="shared" si="24"/>
        <v>0</v>
      </c>
      <c r="AA46" s="10">
        <f t="shared" si="25"/>
        <v>10</v>
      </c>
      <c r="AB46" s="9">
        <f t="shared" si="11"/>
        <v>55285.292948535942</v>
      </c>
      <c r="AC46" s="9">
        <f t="shared" si="26"/>
        <v>2519.1263653682345</v>
      </c>
      <c r="AD46" s="9">
        <f t="shared" si="27"/>
        <v>0</v>
      </c>
      <c r="AE46" s="9">
        <f t="shared" si="28"/>
        <v>0</v>
      </c>
      <c r="AF46" s="9">
        <f t="shared" si="29"/>
        <v>0</v>
      </c>
      <c r="AG46" s="9">
        <f t="shared" si="30"/>
        <v>0</v>
      </c>
      <c r="AI46" s="10">
        <f t="shared" si="31"/>
        <v>10</v>
      </c>
      <c r="AJ46" s="9">
        <f t="shared" si="12"/>
        <v>27283.437500917164</v>
      </c>
      <c r="AK46" s="9">
        <f t="shared" si="32"/>
        <v>0</v>
      </c>
      <c r="AL46" s="9">
        <f t="shared" si="33"/>
        <v>9250</v>
      </c>
      <c r="AM46" s="9">
        <f t="shared" si="34"/>
        <v>0</v>
      </c>
      <c r="AN46" s="9">
        <f t="shared" si="35"/>
        <v>0</v>
      </c>
      <c r="AO46" s="9">
        <f t="shared" si="36"/>
        <v>9250</v>
      </c>
    </row>
    <row r="47" spans="11:41" x14ac:dyDescent="0.3">
      <c r="K47" s="10">
        <f t="shared" si="13"/>
        <v>11</v>
      </c>
      <c r="L47" s="9">
        <f t="shared" si="9"/>
        <v>16130.733740795022</v>
      </c>
      <c r="M47" s="9">
        <f t="shared" si="14"/>
        <v>0</v>
      </c>
      <c r="N47" s="9">
        <f t="shared" si="15"/>
        <v>9250</v>
      </c>
      <c r="O47" s="9">
        <f t="shared" si="16"/>
        <v>0</v>
      </c>
      <c r="P47" s="9">
        <f t="shared" si="17"/>
        <v>0</v>
      </c>
      <c r="Q47" s="9">
        <f t="shared" si="18"/>
        <v>9250</v>
      </c>
      <c r="S47" s="10">
        <f t="shared" si="19"/>
        <v>11</v>
      </c>
      <c r="T47" s="9">
        <f t="shared" si="10"/>
        <v>75024.108673555325</v>
      </c>
      <c r="U47" s="9">
        <f t="shared" si="20"/>
        <v>4295.6197806199789</v>
      </c>
      <c r="V47" s="9">
        <f t="shared" si="21"/>
        <v>0</v>
      </c>
      <c r="W47" s="9">
        <f t="shared" si="22"/>
        <v>0</v>
      </c>
      <c r="X47" s="9">
        <f t="shared" si="23"/>
        <v>0</v>
      </c>
      <c r="Y47" s="9">
        <f t="shared" si="24"/>
        <v>0</v>
      </c>
      <c r="AA47" s="10">
        <f t="shared" si="25"/>
        <v>11</v>
      </c>
      <c r="AB47" s="9">
        <f t="shared" si="11"/>
        <v>56390.998807506665</v>
      </c>
      <c r="AC47" s="9">
        <f t="shared" si="26"/>
        <v>2618.6398926755996</v>
      </c>
      <c r="AD47" s="9">
        <f t="shared" si="27"/>
        <v>0</v>
      </c>
      <c r="AE47" s="9">
        <f t="shared" si="28"/>
        <v>0</v>
      </c>
      <c r="AF47" s="9">
        <f t="shared" si="29"/>
        <v>0</v>
      </c>
      <c r="AG47" s="9">
        <f t="shared" si="30"/>
        <v>0</v>
      </c>
      <c r="AI47" s="10">
        <f t="shared" si="31"/>
        <v>11</v>
      </c>
      <c r="AJ47" s="9">
        <f t="shared" si="12"/>
        <v>27829.106250935507</v>
      </c>
      <c r="AK47" s="9">
        <f t="shared" si="32"/>
        <v>48.069562584195623</v>
      </c>
      <c r="AL47" s="9">
        <f t="shared" si="33"/>
        <v>9250</v>
      </c>
      <c r="AM47" s="9">
        <f t="shared" si="34"/>
        <v>48.069562584195623</v>
      </c>
      <c r="AN47" s="9">
        <f t="shared" si="35"/>
        <v>34.726474767618704</v>
      </c>
      <c r="AO47" s="9">
        <f t="shared" si="36"/>
        <v>9201.9304374158037</v>
      </c>
    </row>
    <row r="48" spans="11:41" x14ac:dyDescent="0.3">
      <c r="K48" s="10">
        <f t="shared" si="13"/>
        <v>12</v>
      </c>
      <c r="L48" s="9">
        <f t="shared" si="9"/>
        <v>16453.348415610919</v>
      </c>
      <c r="M48" s="9">
        <f t="shared" si="14"/>
        <v>0</v>
      </c>
      <c r="N48" s="9">
        <f t="shared" si="15"/>
        <v>9250</v>
      </c>
      <c r="O48" s="9">
        <f t="shared" si="16"/>
        <v>0</v>
      </c>
      <c r="P48" s="9">
        <f t="shared" si="17"/>
        <v>0</v>
      </c>
      <c r="Q48" s="9">
        <f t="shared" si="18"/>
        <v>9250</v>
      </c>
      <c r="S48" s="10">
        <f t="shared" si="19"/>
        <v>12</v>
      </c>
      <c r="T48" s="9">
        <f t="shared" si="10"/>
        <v>76524.590847026411</v>
      </c>
      <c r="U48" s="9">
        <f t="shared" si="20"/>
        <v>4430.6631762323768</v>
      </c>
      <c r="V48" s="9">
        <f t="shared" si="21"/>
        <v>0</v>
      </c>
      <c r="W48" s="9">
        <f t="shared" si="22"/>
        <v>0</v>
      </c>
      <c r="X48" s="9">
        <f t="shared" si="23"/>
        <v>0</v>
      </c>
      <c r="Y48" s="9">
        <f t="shared" si="24"/>
        <v>0</v>
      </c>
      <c r="AA48" s="10">
        <f t="shared" si="25"/>
        <v>12</v>
      </c>
      <c r="AB48" s="9">
        <f t="shared" si="11"/>
        <v>57518.818783656789</v>
      </c>
      <c r="AC48" s="9">
        <f t="shared" si="26"/>
        <v>2720.1436905291107</v>
      </c>
      <c r="AD48" s="9">
        <f t="shared" si="27"/>
        <v>0</v>
      </c>
      <c r="AE48" s="9">
        <f t="shared" si="28"/>
        <v>0</v>
      </c>
      <c r="AF48" s="9">
        <f t="shared" si="29"/>
        <v>0</v>
      </c>
      <c r="AG48" s="9">
        <f t="shared" si="30"/>
        <v>0</v>
      </c>
      <c r="AI48" s="10">
        <f t="shared" si="31"/>
        <v>12</v>
      </c>
      <c r="AJ48" s="9">
        <f t="shared" si="12"/>
        <v>28385.688375954214</v>
      </c>
      <c r="AK48" s="9">
        <f t="shared" si="32"/>
        <v>98.161953835879288</v>
      </c>
      <c r="AL48" s="9">
        <f t="shared" si="33"/>
        <v>9201.9304374158037</v>
      </c>
      <c r="AM48" s="9">
        <f t="shared" si="34"/>
        <v>98.161953835879288</v>
      </c>
      <c r="AN48" s="9">
        <f t="shared" si="35"/>
        <v>68.848819420917181</v>
      </c>
      <c r="AO48" s="9">
        <f t="shared" si="36"/>
        <v>9103.7684835799246</v>
      </c>
    </row>
    <row r="49" spans="11:41" x14ac:dyDescent="0.3">
      <c r="K49" s="10">
        <f t="shared" si="13"/>
        <v>13</v>
      </c>
      <c r="L49" s="9">
        <f t="shared" si="9"/>
        <v>16782.41538392314</v>
      </c>
      <c r="M49" s="9">
        <f t="shared" si="14"/>
        <v>0</v>
      </c>
      <c r="N49" s="9">
        <f t="shared" si="15"/>
        <v>9250</v>
      </c>
      <c r="O49" s="9">
        <f t="shared" si="16"/>
        <v>0</v>
      </c>
      <c r="P49" s="9">
        <f t="shared" si="17"/>
        <v>0</v>
      </c>
      <c r="Q49" s="9">
        <f t="shared" si="18"/>
        <v>9250</v>
      </c>
      <c r="S49" s="10">
        <f t="shared" si="19"/>
        <v>13</v>
      </c>
      <c r="T49" s="9">
        <f t="shared" si="10"/>
        <v>78055.082663966954</v>
      </c>
      <c r="U49" s="9">
        <f t="shared" si="20"/>
        <v>4568.4074397570257</v>
      </c>
      <c r="V49" s="9">
        <f t="shared" si="21"/>
        <v>0</v>
      </c>
      <c r="W49" s="9">
        <f t="shared" si="22"/>
        <v>0</v>
      </c>
      <c r="X49" s="9">
        <f t="shared" si="23"/>
        <v>0</v>
      </c>
      <c r="Y49" s="9">
        <f t="shared" si="24"/>
        <v>0</v>
      </c>
      <c r="AA49" s="10">
        <f t="shared" si="25"/>
        <v>13</v>
      </c>
      <c r="AB49" s="9">
        <f t="shared" si="11"/>
        <v>58669.195159329931</v>
      </c>
      <c r="AC49" s="9">
        <f t="shared" si="26"/>
        <v>2823.6775643396936</v>
      </c>
      <c r="AD49" s="9">
        <f t="shared" si="27"/>
        <v>0</v>
      </c>
      <c r="AE49" s="9">
        <f t="shared" si="28"/>
        <v>0</v>
      </c>
      <c r="AF49" s="9">
        <f t="shared" si="29"/>
        <v>0</v>
      </c>
      <c r="AG49" s="9">
        <f t="shared" si="30"/>
        <v>0</v>
      </c>
      <c r="AI49" s="10">
        <f t="shared" si="31"/>
        <v>13</v>
      </c>
      <c r="AJ49" s="9">
        <f t="shared" si="12"/>
        <v>28953.402143473304</v>
      </c>
      <c r="AK49" s="9">
        <f t="shared" si="32"/>
        <v>149.25619291259736</v>
      </c>
      <c r="AL49" s="9">
        <f t="shared" si="33"/>
        <v>9103.7684835799246</v>
      </c>
      <c r="AM49" s="9">
        <f t="shared" si="34"/>
        <v>149.25619291259736</v>
      </c>
      <c r="AN49" s="9">
        <f t="shared" si="35"/>
        <v>101.63620456611343</v>
      </c>
      <c r="AO49" s="9">
        <f t="shared" si="36"/>
        <v>8954.5122906673278</v>
      </c>
    </row>
    <row r="50" spans="11:41" x14ac:dyDescent="0.3">
      <c r="K50" s="10">
        <f t="shared" si="13"/>
        <v>14</v>
      </c>
      <c r="L50" s="9">
        <f t="shared" si="9"/>
        <v>17118.063691601601</v>
      </c>
      <c r="M50" s="9">
        <f t="shared" si="14"/>
        <v>0</v>
      </c>
      <c r="N50" s="9">
        <f t="shared" si="15"/>
        <v>9250</v>
      </c>
      <c r="O50" s="9">
        <f t="shared" si="16"/>
        <v>0</v>
      </c>
      <c r="P50" s="9">
        <f t="shared" si="17"/>
        <v>0</v>
      </c>
      <c r="Q50" s="9">
        <f t="shared" si="18"/>
        <v>9250</v>
      </c>
      <c r="S50" s="10">
        <f t="shared" si="19"/>
        <v>14</v>
      </c>
      <c r="T50" s="9">
        <f t="shared" si="10"/>
        <v>79616.184317246298</v>
      </c>
      <c r="U50" s="9">
        <f t="shared" si="20"/>
        <v>4708.9065885521668</v>
      </c>
      <c r="V50" s="9">
        <f t="shared" si="21"/>
        <v>0</v>
      </c>
      <c r="W50" s="9">
        <f t="shared" si="22"/>
        <v>0</v>
      </c>
      <c r="X50" s="9">
        <f t="shared" si="23"/>
        <v>0</v>
      </c>
      <c r="Y50" s="9">
        <f t="shared" si="24"/>
        <v>0</v>
      </c>
      <c r="AA50" s="10">
        <f t="shared" si="25"/>
        <v>14</v>
      </c>
      <c r="AB50" s="9">
        <f t="shared" si="11"/>
        <v>59842.579062516525</v>
      </c>
      <c r="AC50" s="9">
        <f t="shared" si="26"/>
        <v>2929.2821156264872</v>
      </c>
      <c r="AD50" s="9">
        <f t="shared" si="27"/>
        <v>0</v>
      </c>
      <c r="AE50" s="9">
        <f t="shared" si="28"/>
        <v>0</v>
      </c>
      <c r="AF50" s="9">
        <f t="shared" si="29"/>
        <v>0</v>
      </c>
      <c r="AG50" s="9">
        <f t="shared" si="30"/>
        <v>0</v>
      </c>
      <c r="AI50" s="10">
        <f t="shared" si="31"/>
        <v>14</v>
      </c>
      <c r="AJ50" s="9">
        <f t="shared" si="12"/>
        <v>29532.470186342765</v>
      </c>
      <c r="AK50" s="9">
        <f t="shared" si="32"/>
        <v>201.37231677084887</v>
      </c>
      <c r="AL50" s="9">
        <f t="shared" si="33"/>
        <v>8954.5122906673278</v>
      </c>
      <c r="AM50" s="9">
        <f t="shared" si="34"/>
        <v>201.37231677084887</v>
      </c>
      <c r="AN50" s="9">
        <f t="shared" si="35"/>
        <v>133.13082421615556</v>
      </c>
      <c r="AO50" s="9">
        <f t="shared" si="36"/>
        <v>8753.1399738964792</v>
      </c>
    </row>
    <row r="51" spans="11:41" x14ac:dyDescent="0.3">
      <c r="K51" s="10">
        <f t="shared" si="13"/>
        <v>15</v>
      </c>
      <c r="L51" s="9">
        <f t="shared" si="9"/>
        <v>17460.424965433634</v>
      </c>
      <c r="M51" s="9">
        <f t="shared" si="14"/>
        <v>0</v>
      </c>
      <c r="N51" s="9">
        <f t="shared" si="15"/>
        <v>9250</v>
      </c>
      <c r="O51" s="9">
        <f t="shared" si="16"/>
        <v>0</v>
      </c>
      <c r="P51" s="9">
        <f t="shared" si="17"/>
        <v>0</v>
      </c>
      <c r="Q51" s="9">
        <f t="shared" si="18"/>
        <v>9250</v>
      </c>
      <c r="S51" s="10">
        <f t="shared" si="19"/>
        <v>15</v>
      </c>
      <c r="T51" s="9">
        <f t="shared" si="10"/>
        <v>81208.508003591225</v>
      </c>
      <c r="U51" s="9">
        <f t="shared" si="20"/>
        <v>4852.21572032321</v>
      </c>
      <c r="V51" s="9">
        <f t="shared" si="21"/>
        <v>0</v>
      </c>
      <c r="W51" s="9">
        <f t="shared" si="22"/>
        <v>0</v>
      </c>
      <c r="X51" s="9">
        <f t="shared" si="23"/>
        <v>0</v>
      </c>
      <c r="Y51" s="9">
        <f t="shared" si="24"/>
        <v>0</v>
      </c>
      <c r="AA51" s="10">
        <f t="shared" si="25"/>
        <v>15</v>
      </c>
      <c r="AB51" s="9">
        <f t="shared" si="11"/>
        <v>61039.430643766864</v>
      </c>
      <c r="AC51" s="9">
        <f t="shared" si="26"/>
        <v>3036.9987579390177</v>
      </c>
      <c r="AD51" s="9">
        <f t="shared" si="27"/>
        <v>0</v>
      </c>
      <c r="AE51" s="9">
        <f t="shared" si="28"/>
        <v>0</v>
      </c>
      <c r="AF51" s="9">
        <f t="shared" si="29"/>
        <v>0</v>
      </c>
      <c r="AG51" s="9">
        <f t="shared" si="30"/>
        <v>0</v>
      </c>
      <c r="AI51" s="10">
        <f t="shared" si="31"/>
        <v>15</v>
      </c>
      <c r="AJ51" s="9">
        <f t="shared" si="12"/>
        <v>30123.119590069626</v>
      </c>
      <c r="AK51" s="9">
        <f t="shared" si="32"/>
        <v>254.53076310626631</v>
      </c>
      <c r="AL51" s="9">
        <f t="shared" si="33"/>
        <v>8753.1399738964792</v>
      </c>
      <c r="AM51" s="9">
        <f t="shared" si="34"/>
        <v>254.53076310626631</v>
      </c>
      <c r="AN51" s="9">
        <f t="shared" si="35"/>
        <v>163.37361127976072</v>
      </c>
      <c r="AO51" s="9">
        <f t="shared" si="36"/>
        <v>8498.6092107902132</v>
      </c>
    </row>
    <row r="52" spans="11:41" x14ac:dyDescent="0.3">
      <c r="K52" s="10">
        <f t="shared" si="13"/>
        <v>16</v>
      </c>
      <c r="L52" s="9">
        <f t="shared" si="9"/>
        <v>17809.633464742303</v>
      </c>
      <c r="M52" s="9">
        <f t="shared" si="14"/>
        <v>0</v>
      </c>
      <c r="N52" s="9">
        <f t="shared" si="15"/>
        <v>9250</v>
      </c>
      <c r="O52" s="9">
        <f t="shared" si="16"/>
        <v>0</v>
      </c>
      <c r="P52" s="9">
        <f t="shared" si="17"/>
        <v>0</v>
      </c>
      <c r="Q52" s="9">
        <f t="shared" si="18"/>
        <v>9250</v>
      </c>
      <c r="S52" s="10">
        <f t="shared" si="19"/>
        <v>16</v>
      </c>
      <c r="T52" s="9">
        <f t="shared" si="10"/>
        <v>82832.678163663033</v>
      </c>
      <c r="U52" s="9">
        <f t="shared" si="20"/>
        <v>4998.3910347296724</v>
      </c>
      <c r="V52" s="9">
        <f t="shared" si="21"/>
        <v>0</v>
      </c>
      <c r="W52" s="9">
        <f t="shared" si="22"/>
        <v>0</v>
      </c>
      <c r="X52" s="9">
        <f t="shared" si="23"/>
        <v>0</v>
      </c>
      <c r="Y52" s="9">
        <f t="shared" si="24"/>
        <v>0</v>
      </c>
      <c r="AA52" s="10">
        <f t="shared" si="25"/>
        <v>16</v>
      </c>
      <c r="AB52" s="9">
        <f t="shared" si="11"/>
        <v>62260.219256642187</v>
      </c>
      <c r="AC52" s="9">
        <f t="shared" si="26"/>
        <v>3146.8697330977966</v>
      </c>
      <c r="AD52" s="9">
        <f t="shared" si="27"/>
        <v>0</v>
      </c>
      <c r="AE52" s="9">
        <f t="shared" si="28"/>
        <v>0</v>
      </c>
      <c r="AF52" s="9">
        <f t="shared" si="29"/>
        <v>0</v>
      </c>
      <c r="AG52" s="9">
        <f t="shared" si="30"/>
        <v>0</v>
      </c>
      <c r="AI52" s="10">
        <f t="shared" si="31"/>
        <v>16</v>
      </c>
      <c r="AJ52" s="9">
        <f t="shared" si="12"/>
        <v>30725.581981871008</v>
      </c>
      <c r="AK52" s="9">
        <f t="shared" si="32"/>
        <v>308.75237836839068</v>
      </c>
      <c r="AL52" s="9">
        <f t="shared" si="33"/>
        <v>8498.6092107902132</v>
      </c>
      <c r="AM52" s="9">
        <f t="shared" si="34"/>
        <v>308.75237836839068</v>
      </c>
      <c r="AN52" s="9">
        <f t="shared" si="35"/>
        <v>192.40427460476067</v>
      </c>
      <c r="AO52" s="9">
        <f t="shared" si="36"/>
        <v>8189.8568324218222</v>
      </c>
    </row>
    <row r="53" spans="11:41" x14ac:dyDescent="0.3">
      <c r="K53" s="10">
        <f t="shared" si="13"/>
        <v>17</v>
      </c>
      <c r="L53" s="9">
        <f t="shared" si="9"/>
        <v>18165.826134037154</v>
      </c>
      <c r="M53" s="9">
        <f t="shared" si="14"/>
        <v>0</v>
      </c>
      <c r="N53" s="9">
        <f t="shared" si="15"/>
        <v>9250</v>
      </c>
      <c r="O53" s="9">
        <f t="shared" si="16"/>
        <v>0</v>
      </c>
      <c r="P53" s="9">
        <f t="shared" si="17"/>
        <v>0</v>
      </c>
      <c r="Q53" s="9">
        <f t="shared" si="18"/>
        <v>9250</v>
      </c>
      <c r="S53" s="10">
        <f t="shared" si="19"/>
        <v>17</v>
      </c>
      <c r="T53" s="9">
        <f t="shared" si="10"/>
        <v>84489.331726936303</v>
      </c>
      <c r="U53" s="9">
        <f t="shared" si="20"/>
        <v>5147.4898554242673</v>
      </c>
      <c r="V53" s="9">
        <f t="shared" si="21"/>
        <v>0</v>
      </c>
      <c r="W53" s="9">
        <f t="shared" si="22"/>
        <v>0</v>
      </c>
      <c r="X53" s="9">
        <f t="shared" si="23"/>
        <v>0</v>
      </c>
      <c r="Y53" s="9">
        <f t="shared" si="24"/>
        <v>0</v>
      </c>
      <c r="AA53" s="10">
        <f t="shared" si="25"/>
        <v>17</v>
      </c>
      <c r="AB53" s="9">
        <f t="shared" si="11"/>
        <v>63505.423641775036</v>
      </c>
      <c r="AC53" s="9">
        <f t="shared" si="26"/>
        <v>3258.9381277597531</v>
      </c>
      <c r="AD53" s="9">
        <f t="shared" si="27"/>
        <v>0</v>
      </c>
      <c r="AE53" s="9">
        <f t="shared" si="28"/>
        <v>0</v>
      </c>
      <c r="AF53" s="9">
        <f t="shared" si="29"/>
        <v>0</v>
      </c>
      <c r="AG53" s="9">
        <f t="shared" si="30"/>
        <v>0</v>
      </c>
      <c r="AI53" s="10">
        <f t="shared" si="31"/>
        <v>17</v>
      </c>
      <c r="AJ53" s="9">
        <f t="shared" si="12"/>
        <v>31340.093621508437</v>
      </c>
      <c r="AK53" s="9">
        <f t="shared" si="32"/>
        <v>364.05842593575926</v>
      </c>
      <c r="AL53" s="9">
        <f t="shared" si="33"/>
        <v>8189.8568324218222</v>
      </c>
      <c r="AM53" s="9">
        <f t="shared" si="34"/>
        <v>364.05842593575926</v>
      </c>
      <c r="AN53" s="9">
        <f t="shared" si="35"/>
        <v>220.26133493949496</v>
      </c>
      <c r="AO53" s="9">
        <f t="shared" si="36"/>
        <v>7825.798406486063</v>
      </c>
    </row>
    <row r="54" spans="11:41" x14ac:dyDescent="0.3">
      <c r="K54" s="10">
        <f t="shared" si="13"/>
        <v>18</v>
      </c>
      <c r="L54" s="9">
        <f t="shared" si="9"/>
        <v>18529.142656717897</v>
      </c>
      <c r="M54" s="9">
        <f t="shared" si="14"/>
        <v>0</v>
      </c>
      <c r="N54" s="9">
        <f t="shared" si="15"/>
        <v>9250</v>
      </c>
      <c r="O54" s="9">
        <f t="shared" si="16"/>
        <v>0</v>
      </c>
      <c r="P54" s="9">
        <f t="shared" si="17"/>
        <v>0</v>
      </c>
      <c r="Q54" s="9">
        <f t="shared" si="18"/>
        <v>9250</v>
      </c>
      <c r="S54" s="10">
        <f t="shared" si="19"/>
        <v>18</v>
      </c>
      <c r="T54" s="9">
        <f t="shared" si="10"/>
        <v>86179.118361475033</v>
      </c>
      <c r="U54" s="9">
        <f t="shared" si="20"/>
        <v>5299.5706525327532</v>
      </c>
      <c r="V54" s="9">
        <f t="shared" si="21"/>
        <v>0</v>
      </c>
      <c r="W54" s="9">
        <f t="shared" si="22"/>
        <v>0</v>
      </c>
      <c r="X54" s="9">
        <f t="shared" si="23"/>
        <v>0</v>
      </c>
      <c r="Y54" s="9">
        <f t="shared" si="24"/>
        <v>0</v>
      </c>
      <c r="AA54" s="10">
        <f t="shared" si="25"/>
        <v>18</v>
      </c>
      <c r="AB54" s="9">
        <f t="shared" si="11"/>
        <v>64775.532114610549</v>
      </c>
      <c r="AC54" s="9">
        <f t="shared" si="26"/>
        <v>3373.2478903149495</v>
      </c>
      <c r="AD54" s="9">
        <f t="shared" si="27"/>
        <v>0</v>
      </c>
      <c r="AE54" s="9">
        <f t="shared" si="28"/>
        <v>0</v>
      </c>
      <c r="AF54" s="9">
        <f t="shared" si="29"/>
        <v>0</v>
      </c>
      <c r="AG54" s="9">
        <f t="shared" si="30"/>
        <v>0</v>
      </c>
      <c r="AI54" s="10">
        <f t="shared" si="31"/>
        <v>18</v>
      </c>
      <c r="AJ54" s="9">
        <f t="shared" si="12"/>
        <v>31966.895493938606</v>
      </c>
      <c r="AK54" s="9">
        <f t="shared" si="32"/>
        <v>420.47059445447451</v>
      </c>
      <c r="AL54" s="9">
        <f t="shared" si="33"/>
        <v>7825.798406486063</v>
      </c>
      <c r="AM54" s="9">
        <f t="shared" si="34"/>
        <v>420.47059445447451</v>
      </c>
      <c r="AN54" s="9">
        <f t="shared" si="35"/>
        <v>246.9821598437712</v>
      </c>
      <c r="AO54" s="9">
        <f t="shared" si="36"/>
        <v>7405.3278120315881</v>
      </c>
    </row>
    <row r="55" spans="11:41" x14ac:dyDescent="0.3">
      <c r="K55" s="10">
        <f>K54+1</f>
        <v>19</v>
      </c>
      <c r="L55" s="9">
        <f t="shared" si="9"/>
        <v>18899.725509852251</v>
      </c>
      <c r="M55" s="9">
        <f t="shared" si="14"/>
        <v>0</v>
      </c>
      <c r="N55" s="9">
        <f t="shared" si="15"/>
        <v>9250</v>
      </c>
      <c r="O55" s="9">
        <f t="shared" si="16"/>
        <v>0</v>
      </c>
      <c r="P55" s="9">
        <f t="shared" si="17"/>
        <v>0</v>
      </c>
      <c r="Q55" s="9">
        <f t="shared" si="18"/>
        <v>9250</v>
      </c>
      <c r="S55" s="10">
        <f>S54+1</f>
        <v>19</v>
      </c>
      <c r="T55" s="9">
        <f t="shared" si="10"/>
        <v>87902.700728704527</v>
      </c>
      <c r="U55" s="9">
        <f t="shared" si="20"/>
        <v>5454.6930655834076</v>
      </c>
      <c r="V55" s="9">
        <f t="shared" si="21"/>
        <v>0</v>
      </c>
      <c r="W55" s="9">
        <f t="shared" si="22"/>
        <v>0</v>
      </c>
      <c r="X55" s="9">
        <f t="shared" si="23"/>
        <v>0</v>
      </c>
      <c r="Y55" s="9">
        <f t="shared" si="24"/>
        <v>0</v>
      </c>
      <c r="AA55" s="10">
        <f>AA54+1</f>
        <v>19</v>
      </c>
      <c r="AB55" s="9">
        <f t="shared" si="11"/>
        <v>66071.042756902752</v>
      </c>
      <c r="AC55" s="9">
        <f t="shared" si="26"/>
        <v>3489.8438481212474</v>
      </c>
      <c r="AD55" s="9">
        <f t="shared" si="27"/>
        <v>0</v>
      </c>
      <c r="AE55" s="9">
        <f t="shared" si="28"/>
        <v>0</v>
      </c>
      <c r="AF55" s="9">
        <f t="shared" si="29"/>
        <v>0</v>
      </c>
      <c r="AG55" s="9">
        <f t="shared" si="30"/>
        <v>0</v>
      </c>
      <c r="AI55" s="10">
        <f>AI54+1</f>
        <v>19</v>
      </c>
      <c r="AJ55" s="9">
        <f t="shared" si="12"/>
        <v>32606.233403817376</v>
      </c>
      <c r="AK55" s="9">
        <f t="shared" si="32"/>
        <v>478.01100634356379</v>
      </c>
      <c r="AL55" s="9">
        <f t="shared" si="33"/>
        <v>7405.3278120315881</v>
      </c>
      <c r="AM55" s="9">
        <f t="shared" si="34"/>
        <v>478.01100634356379</v>
      </c>
      <c r="AN55" s="9">
        <f t="shared" si="35"/>
        <v>272.60299758004089</v>
      </c>
      <c r="AO55" s="9">
        <f t="shared" si="36"/>
        <v>6927.316805688024</v>
      </c>
    </row>
    <row r="56" spans="11:41" x14ac:dyDescent="0.3">
      <c r="K56" s="10">
        <f t="shared" ref="K56:K61" si="37">K55+1</f>
        <v>20</v>
      </c>
      <c r="L56" s="9">
        <f t="shared" si="9"/>
        <v>19277.720020049299</v>
      </c>
      <c r="M56" s="9">
        <f t="shared" si="14"/>
        <v>0</v>
      </c>
      <c r="N56" s="9">
        <f t="shared" si="15"/>
        <v>9250</v>
      </c>
      <c r="O56" s="9">
        <f t="shared" si="16"/>
        <v>0</v>
      </c>
      <c r="P56" s="9">
        <f t="shared" si="17"/>
        <v>0</v>
      </c>
      <c r="Q56" s="9">
        <f t="shared" si="18"/>
        <v>9250</v>
      </c>
      <c r="S56" s="10">
        <f t="shared" ref="S56:S61" si="38">S55+1</f>
        <v>20</v>
      </c>
      <c r="T56" s="9">
        <f t="shared" si="10"/>
        <v>89660.754743278609</v>
      </c>
      <c r="U56" s="9">
        <f t="shared" si="20"/>
        <v>5612.9179268950747</v>
      </c>
      <c r="V56" s="9">
        <f t="shared" si="21"/>
        <v>0</v>
      </c>
      <c r="W56" s="9">
        <f t="shared" si="22"/>
        <v>0</v>
      </c>
      <c r="X56" s="9">
        <f t="shared" si="23"/>
        <v>0</v>
      </c>
      <c r="Y56" s="9">
        <f t="shared" si="24"/>
        <v>0</v>
      </c>
      <c r="AA56" s="10">
        <f t="shared" ref="AA56:AA61" si="39">AA55+1</f>
        <v>20</v>
      </c>
      <c r="AB56" s="9">
        <f t="shared" si="11"/>
        <v>67392.463612040796</v>
      </c>
      <c r="AC56" s="9">
        <f t="shared" si="26"/>
        <v>3608.7717250836713</v>
      </c>
      <c r="AD56" s="9">
        <f t="shared" si="27"/>
        <v>0</v>
      </c>
      <c r="AE56" s="9">
        <f t="shared" si="28"/>
        <v>0</v>
      </c>
      <c r="AF56" s="9">
        <f t="shared" si="29"/>
        <v>0</v>
      </c>
      <c r="AG56" s="9">
        <f t="shared" si="30"/>
        <v>0</v>
      </c>
      <c r="AI56" s="10">
        <f t="shared" ref="AI56:AI61" si="40">AI55+1</f>
        <v>20</v>
      </c>
      <c r="AJ56" s="9">
        <f t="shared" si="12"/>
        <v>33258.358071893723</v>
      </c>
      <c r="AK56" s="9">
        <f t="shared" si="32"/>
        <v>536.70222647043499</v>
      </c>
      <c r="AL56" s="9">
        <f t="shared" si="33"/>
        <v>6927.316805688024</v>
      </c>
      <c r="AM56" s="9">
        <f t="shared" si="34"/>
        <v>536.70222647043499</v>
      </c>
      <c r="AN56" s="9">
        <f t="shared" si="35"/>
        <v>297.15901001450322</v>
      </c>
      <c r="AO56" s="9">
        <f t="shared" si="36"/>
        <v>6390.6145792175894</v>
      </c>
    </row>
    <row r="57" spans="11:41" x14ac:dyDescent="0.3">
      <c r="K57" s="10">
        <f t="shared" si="37"/>
        <v>21</v>
      </c>
      <c r="L57" s="9">
        <f t="shared" si="9"/>
        <v>19663.274420450285</v>
      </c>
      <c r="M57" s="9">
        <f t="shared" si="14"/>
        <v>0</v>
      </c>
      <c r="N57" s="9">
        <f t="shared" si="15"/>
        <v>9250</v>
      </c>
      <c r="O57" s="9">
        <f t="shared" si="16"/>
        <v>0</v>
      </c>
      <c r="P57" s="9">
        <f t="shared" si="17"/>
        <v>0</v>
      </c>
      <c r="Q57" s="9">
        <f t="shared" si="18"/>
        <v>9250</v>
      </c>
      <c r="S57" s="10">
        <f t="shared" si="38"/>
        <v>21</v>
      </c>
      <c r="T57" s="9">
        <f t="shared" si="10"/>
        <v>91453.969838144199</v>
      </c>
      <c r="U57" s="9">
        <f t="shared" si="20"/>
        <v>5774.3072854329776</v>
      </c>
      <c r="V57" s="9">
        <f t="shared" si="21"/>
        <v>0</v>
      </c>
      <c r="W57" s="9">
        <f t="shared" si="22"/>
        <v>0</v>
      </c>
      <c r="X57" s="9">
        <f t="shared" si="23"/>
        <v>0</v>
      </c>
      <c r="Y57" s="9">
        <f t="shared" si="24"/>
        <v>0</v>
      </c>
      <c r="AA57" s="10">
        <f t="shared" si="39"/>
        <v>21</v>
      </c>
      <c r="AB57" s="9">
        <f t="shared" si="11"/>
        <v>68740.312884281622</v>
      </c>
      <c r="AC57" s="9">
        <f t="shared" si="26"/>
        <v>3730.0781595853459</v>
      </c>
      <c r="AD57" s="9">
        <f t="shared" si="27"/>
        <v>0</v>
      </c>
      <c r="AE57" s="9">
        <f t="shared" si="28"/>
        <v>0</v>
      </c>
      <c r="AF57" s="9">
        <f t="shared" si="29"/>
        <v>0</v>
      </c>
      <c r="AG57" s="9">
        <f t="shared" si="30"/>
        <v>0</v>
      </c>
      <c r="AI57" s="10">
        <f t="shared" si="40"/>
        <v>21</v>
      </c>
      <c r="AJ57" s="9">
        <f t="shared" si="12"/>
        <v>33923.525233331602</v>
      </c>
      <c r="AK57" s="9">
        <f t="shared" si="32"/>
        <v>596.56727099984414</v>
      </c>
      <c r="AL57" s="9">
        <f t="shared" si="33"/>
        <v>6390.6145792175894</v>
      </c>
      <c r="AM57" s="9">
        <f t="shared" si="34"/>
        <v>596.56727099984414</v>
      </c>
      <c r="AN57" s="9">
        <f t="shared" si="35"/>
        <v>320.68430455701207</v>
      </c>
      <c r="AO57" s="9">
        <f t="shared" si="36"/>
        <v>5794.047308217745</v>
      </c>
    </row>
    <row r="58" spans="11:41" x14ac:dyDescent="0.3">
      <c r="K58" s="10">
        <f t="shared" si="37"/>
        <v>22</v>
      </c>
      <c r="L58" s="9">
        <f t="shared" si="9"/>
        <v>20056.539908859289</v>
      </c>
      <c r="M58" s="9">
        <f t="shared" si="14"/>
        <v>0</v>
      </c>
      <c r="N58" s="9">
        <f t="shared" si="15"/>
        <v>9250</v>
      </c>
      <c r="O58" s="9">
        <f t="shared" si="16"/>
        <v>0</v>
      </c>
      <c r="P58" s="9">
        <f t="shared" si="17"/>
        <v>0</v>
      </c>
      <c r="Q58" s="9">
        <f t="shared" si="18"/>
        <v>9250</v>
      </c>
      <c r="S58" s="10">
        <f t="shared" si="38"/>
        <v>22</v>
      </c>
      <c r="T58" s="9">
        <f t="shared" si="10"/>
        <v>93283.04923490707</v>
      </c>
      <c r="U58" s="9">
        <f t="shared" si="20"/>
        <v>5938.924431141636</v>
      </c>
      <c r="V58" s="9">
        <f t="shared" si="21"/>
        <v>0</v>
      </c>
      <c r="W58" s="9">
        <f t="shared" si="22"/>
        <v>0</v>
      </c>
      <c r="X58" s="9">
        <f t="shared" si="23"/>
        <v>0</v>
      </c>
      <c r="Y58" s="9">
        <f t="shared" si="24"/>
        <v>0</v>
      </c>
      <c r="AA58" s="10">
        <f t="shared" si="39"/>
        <v>22</v>
      </c>
      <c r="AB58" s="9">
        <f t="shared" si="11"/>
        <v>70115.119141967254</v>
      </c>
      <c r="AC58" s="9">
        <f t="shared" si="26"/>
        <v>3853.8107227770529</v>
      </c>
      <c r="AD58" s="9">
        <f t="shared" si="27"/>
        <v>0</v>
      </c>
      <c r="AE58" s="9">
        <f t="shared" si="28"/>
        <v>0</v>
      </c>
      <c r="AF58" s="9">
        <f t="shared" si="29"/>
        <v>0</v>
      </c>
      <c r="AG58" s="9">
        <f t="shared" si="30"/>
        <v>0</v>
      </c>
      <c r="AI58" s="10">
        <f t="shared" si="40"/>
        <v>22</v>
      </c>
      <c r="AJ58" s="9">
        <f t="shared" si="12"/>
        <v>34601.99573799823</v>
      </c>
      <c r="AK58" s="9">
        <f t="shared" si="32"/>
        <v>657.62961641984066</v>
      </c>
      <c r="AL58" s="9">
        <f t="shared" si="33"/>
        <v>5794.047308217745</v>
      </c>
      <c r="AM58" s="9">
        <f t="shared" si="34"/>
        <v>657.62961641984066</v>
      </c>
      <c r="AN58" s="9">
        <f t="shared" si="35"/>
        <v>343.21196516780606</v>
      </c>
      <c r="AO58" s="9">
        <f t="shared" si="36"/>
        <v>5136.4176917979039</v>
      </c>
    </row>
    <row r="59" spans="11:41" x14ac:dyDescent="0.3">
      <c r="K59" s="10">
        <f t="shared" si="37"/>
        <v>23</v>
      </c>
      <c r="L59" s="9">
        <f t="shared" si="9"/>
        <v>20457.670707036476</v>
      </c>
      <c r="M59" s="9">
        <f t="shared" si="14"/>
        <v>0</v>
      </c>
      <c r="N59" s="9">
        <f t="shared" si="15"/>
        <v>9250</v>
      </c>
      <c r="O59" s="9">
        <f t="shared" si="16"/>
        <v>0</v>
      </c>
      <c r="P59" s="9">
        <f t="shared" si="17"/>
        <v>0</v>
      </c>
      <c r="Q59" s="9">
        <f t="shared" si="18"/>
        <v>9250</v>
      </c>
      <c r="S59" s="10">
        <f t="shared" si="38"/>
        <v>23</v>
      </c>
      <c r="T59" s="9">
        <f t="shared" si="10"/>
        <v>95148.710219605215</v>
      </c>
      <c r="U59" s="9">
        <f t="shared" si="20"/>
        <v>6106.8339197644691</v>
      </c>
      <c r="V59" s="9">
        <f t="shared" si="21"/>
        <v>0</v>
      </c>
      <c r="W59" s="9">
        <f t="shared" si="22"/>
        <v>0</v>
      </c>
      <c r="X59" s="9">
        <f t="shared" si="23"/>
        <v>0</v>
      </c>
      <c r="Y59" s="9">
        <f t="shared" si="24"/>
        <v>0</v>
      </c>
      <c r="AA59" s="10">
        <f t="shared" si="39"/>
        <v>23</v>
      </c>
      <c r="AB59" s="9">
        <f t="shared" si="11"/>
        <v>71517.421524806603</v>
      </c>
      <c r="AC59" s="9">
        <f t="shared" si="26"/>
        <v>3980.0179372325942</v>
      </c>
      <c r="AD59" s="9">
        <f t="shared" si="27"/>
        <v>0</v>
      </c>
      <c r="AE59" s="9">
        <f t="shared" si="28"/>
        <v>0</v>
      </c>
      <c r="AF59" s="9">
        <f t="shared" si="29"/>
        <v>0</v>
      </c>
      <c r="AG59" s="9">
        <f t="shared" si="30"/>
        <v>0</v>
      </c>
      <c r="AI59" s="10">
        <f t="shared" si="40"/>
        <v>23</v>
      </c>
      <c r="AJ59" s="9">
        <f t="shared" si="12"/>
        <v>35294.035652758197</v>
      </c>
      <c r="AK59" s="9">
        <f t="shared" si="32"/>
        <v>719.91320874823771</v>
      </c>
      <c r="AL59" s="9">
        <f t="shared" si="33"/>
        <v>5136.4176917979039</v>
      </c>
      <c r="AM59" s="9">
        <f t="shared" si="34"/>
        <v>719.91320874823771</v>
      </c>
      <c r="AN59" s="9">
        <f t="shared" si="35"/>
        <v>364.77408245827633</v>
      </c>
      <c r="AO59" s="9">
        <f t="shared" si="36"/>
        <v>4416.5044830496663</v>
      </c>
    </row>
    <row r="60" spans="11:41" x14ac:dyDescent="0.3">
      <c r="K60" s="10">
        <f t="shared" si="37"/>
        <v>24</v>
      </c>
      <c r="L60" s="9">
        <f t="shared" si="9"/>
        <v>20866.824121177204</v>
      </c>
      <c r="M60" s="9">
        <f t="shared" si="14"/>
        <v>0</v>
      </c>
      <c r="N60" s="9">
        <f t="shared" si="15"/>
        <v>9250</v>
      </c>
      <c r="O60" s="9">
        <f t="shared" si="16"/>
        <v>0</v>
      </c>
      <c r="P60" s="9">
        <f t="shared" si="17"/>
        <v>0</v>
      </c>
      <c r="Q60" s="9">
        <f t="shared" si="18"/>
        <v>9250</v>
      </c>
      <c r="S60" s="10">
        <f t="shared" si="38"/>
        <v>24</v>
      </c>
      <c r="T60" s="9">
        <f t="shared" si="10"/>
        <v>97051.6844239973</v>
      </c>
      <c r="U60" s="9">
        <f t="shared" si="20"/>
        <v>6278.1015981597566</v>
      </c>
      <c r="V60" s="9">
        <f t="shared" si="21"/>
        <v>0</v>
      </c>
      <c r="W60" s="9">
        <f t="shared" si="22"/>
        <v>0</v>
      </c>
      <c r="X60" s="9">
        <f t="shared" si="23"/>
        <v>0</v>
      </c>
      <c r="Y60" s="9">
        <f t="shared" si="24"/>
        <v>0</v>
      </c>
      <c r="AA60" s="10">
        <f t="shared" si="39"/>
        <v>24</v>
      </c>
      <c r="AB60" s="9">
        <f t="shared" si="11"/>
        <v>72947.76995530272</v>
      </c>
      <c r="AC60" s="9">
        <f t="shared" si="26"/>
        <v>4108.7492959772444</v>
      </c>
      <c r="AD60" s="9">
        <f t="shared" si="27"/>
        <v>0</v>
      </c>
      <c r="AE60" s="9">
        <f t="shared" si="28"/>
        <v>0</v>
      </c>
      <c r="AF60" s="9">
        <f t="shared" si="29"/>
        <v>0</v>
      </c>
      <c r="AG60" s="9">
        <f t="shared" si="30"/>
        <v>0</v>
      </c>
      <c r="AI60" s="10">
        <f t="shared" si="40"/>
        <v>24</v>
      </c>
      <c r="AJ60" s="9">
        <f t="shared" si="12"/>
        <v>35999.916365813355</v>
      </c>
      <c r="AK60" s="9">
        <f t="shared" si="32"/>
        <v>783.44247292320188</v>
      </c>
      <c r="AL60" s="9">
        <f t="shared" si="33"/>
        <v>4416.5044830496663</v>
      </c>
      <c r="AM60" s="9">
        <f t="shared" si="34"/>
        <v>783.44247292320188</v>
      </c>
      <c r="AN60" s="9">
        <f t="shared" si="35"/>
        <v>385.40178291217563</v>
      </c>
      <c r="AO60" s="9">
        <f t="shared" si="36"/>
        <v>3633.0620101264644</v>
      </c>
    </row>
    <row r="61" spans="11:41" x14ac:dyDescent="0.3">
      <c r="K61" s="10">
        <f t="shared" si="37"/>
        <v>25</v>
      </c>
      <c r="L61" s="9">
        <f t="shared" si="9"/>
        <v>21284.160603600747</v>
      </c>
      <c r="M61" s="9">
        <f t="shared" si="14"/>
        <v>0</v>
      </c>
      <c r="N61" s="9">
        <f t="shared" si="15"/>
        <v>9250</v>
      </c>
      <c r="O61" s="9">
        <f t="shared" si="16"/>
        <v>0</v>
      </c>
      <c r="P61" s="9">
        <f t="shared" si="17"/>
        <v>0</v>
      </c>
      <c r="Q61" s="9">
        <f t="shared" si="18"/>
        <v>9250</v>
      </c>
      <c r="S61" s="10">
        <f t="shared" si="38"/>
        <v>25</v>
      </c>
      <c r="T61" s="9">
        <f t="shared" si="10"/>
        <v>98992.718112477261</v>
      </c>
      <c r="U61" s="9">
        <f t="shared" si="20"/>
        <v>6452.7946301229531</v>
      </c>
      <c r="V61" s="9">
        <f t="shared" si="21"/>
        <v>0</v>
      </c>
      <c r="W61" s="9">
        <f t="shared" si="22"/>
        <v>0</v>
      </c>
      <c r="X61" s="9">
        <f t="shared" si="23"/>
        <v>0</v>
      </c>
      <c r="Y61" s="9">
        <f t="shared" si="24"/>
        <v>0</v>
      </c>
      <c r="AA61" s="10">
        <f t="shared" si="39"/>
        <v>25</v>
      </c>
      <c r="AB61" s="9">
        <f t="shared" si="11"/>
        <v>74406.725354408773</v>
      </c>
      <c r="AC61" s="9">
        <f t="shared" si="26"/>
        <v>4240.055281896789</v>
      </c>
      <c r="AD61" s="9">
        <f t="shared" si="27"/>
        <v>0</v>
      </c>
      <c r="AE61" s="9">
        <f t="shared" si="28"/>
        <v>0</v>
      </c>
      <c r="AF61" s="9">
        <f t="shared" si="29"/>
        <v>0</v>
      </c>
      <c r="AG61" s="9">
        <f t="shared" si="30"/>
        <v>0</v>
      </c>
      <c r="AI61" s="10">
        <f t="shared" si="40"/>
        <v>25</v>
      </c>
      <c r="AJ61" s="9">
        <f t="shared" si="12"/>
        <v>36719.91469312962</v>
      </c>
      <c r="AK61" s="9">
        <f t="shared" si="32"/>
        <v>848.24232238166576</v>
      </c>
      <c r="AL61" s="9">
        <f t="shared" si="33"/>
        <v>3633.0620101264644</v>
      </c>
      <c r="AM61" s="9">
        <f t="shared" si="34"/>
        <v>848.24232238166576</v>
      </c>
      <c r="AN61" s="9">
        <f t="shared" si="35"/>
        <v>405.12525725292772</v>
      </c>
      <c r="AO61" s="9">
        <f t="shared" si="36"/>
        <v>2784.8196877447986</v>
      </c>
    </row>
    <row r="62" spans="11:41" x14ac:dyDescent="0.3">
      <c r="K62" s="10">
        <f>K61+1</f>
        <v>26</v>
      </c>
      <c r="L62" s="9">
        <f t="shared" si="9"/>
        <v>21709.843815672761</v>
      </c>
      <c r="M62" s="9">
        <f t="shared" si="14"/>
        <v>0</v>
      </c>
      <c r="N62" s="9">
        <f t="shared" si="15"/>
        <v>9250</v>
      </c>
      <c r="O62" s="9">
        <f t="shared" si="16"/>
        <v>0</v>
      </c>
      <c r="P62" s="9">
        <f t="shared" si="17"/>
        <v>0</v>
      </c>
      <c r="Q62" s="9">
        <f t="shared" si="18"/>
        <v>9250</v>
      </c>
      <c r="S62" s="10">
        <f>S61+1</f>
        <v>26</v>
      </c>
      <c r="T62" s="9">
        <f t="shared" si="10"/>
        <v>100972.5724747268</v>
      </c>
      <c r="U62" s="9">
        <f t="shared" si="20"/>
        <v>6630.9815227254112</v>
      </c>
      <c r="V62" s="9">
        <f t="shared" si="21"/>
        <v>0</v>
      </c>
      <c r="W62" s="9">
        <f t="shared" si="22"/>
        <v>0</v>
      </c>
      <c r="X62" s="9">
        <f t="shared" si="23"/>
        <v>0</v>
      </c>
      <c r="Y62" s="9">
        <f t="shared" si="24"/>
        <v>0</v>
      </c>
      <c r="AA62" s="10">
        <f>AA61+1</f>
        <v>26</v>
      </c>
      <c r="AB62" s="9">
        <f t="shared" si="11"/>
        <v>75894.859861496952</v>
      </c>
      <c r="AC62" s="9">
        <f t="shared" si="26"/>
        <v>4373.9873875347257</v>
      </c>
      <c r="AD62" s="9">
        <f t="shared" si="27"/>
        <v>0</v>
      </c>
      <c r="AE62" s="9">
        <f t="shared" si="28"/>
        <v>0</v>
      </c>
      <c r="AF62" s="9">
        <f t="shared" si="29"/>
        <v>0</v>
      </c>
      <c r="AG62" s="9">
        <f t="shared" si="30"/>
        <v>0</v>
      </c>
      <c r="AI62" s="10">
        <f>AI61+1</f>
        <v>26</v>
      </c>
      <c r="AJ62" s="9">
        <f t="shared" si="12"/>
        <v>37454.312986992212</v>
      </c>
      <c r="AK62" s="9">
        <f t="shared" si="32"/>
        <v>914.33816882929909</v>
      </c>
      <c r="AL62" s="9">
        <f t="shared" si="33"/>
        <v>2784.8196877447986</v>
      </c>
      <c r="AM62" s="9">
        <f t="shared" si="34"/>
        <v>914.33816882929909</v>
      </c>
      <c r="AN62" s="9">
        <f t="shared" si="35"/>
        <v>423.97378798192312</v>
      </c>
      <c r="AO62" s="9">
        <f t="shared" si="36"/>
        <v>1870.4815189154995</v>
      </c>
    </row>
    <row r="63" spans="11:41" x14ac:dyDescent="0.3">
      <c r="K63" s="10">
        <f t="shared" ref="K63:K66" si="41">K62+1</f>
        <v>27</v>
      </c>
      <c r="L63" s="9">
        <f t="shared" si="9"/>
        <v>22144.040691986218</v>
      </c>
      <c r="M63" s="9">
        <f t="shared" si="14"/>
        <v>0</v>
      </c>
      <c r="N63" s="9">
        <f t="shared" si="15"/>
        <v>9250</v>
      </c>
      <c r="O63" s="9">
        <f t="shared" si="16"/>
        <v>0</v>
      </c>
      <c r="P63" s="9">
        <f t="shared" si="17"/>
        <v>0</v>
      </c>
      <c r="Q63" s="9">
        <f t="shared" si="18"/>
        <v>9250</v>
      </c>
      <c r="S63" s="10">
        <f t="shared" ref="S63:S66" si="42">S62+1</f>
        <v>27</v>
      </c>
      <c r="T63" s="9">
        <f t="shared" si="10"/>
        <v>102992.02392422134</v>
      </c>
      <c r="U63" s="9">
        <f t="shared" si="20"/>
        <v>6812.7321531799207</v>
      </c>
      <c r="V63" s="9">
        <f t="shared" si="21"/>
        <v>0</v>
      </c>
      <c r="W63" s="9">
        <f t="shared" si="22"/>
        <v>0</v>
      </c>
      <c r="X63" s="9">
        <f t="shared" si="23"/>
        <v>0</v>
      </c>
      <c r="Y63" s="9">
        <f t="shared" si="24"/>
        <v>0</v>
      </c>
      <c r="AA63" s="10">
        <f t="shared" ref="AA63:AA66" si="43">AA62+1</f>
        <v>27</v>
      </c>
      <c r="AB63" s="9">
        <f t="shared" si="11"/>
        <v>77412.7570587269</v>
      </c>
      <c r="AC63" s="9">
        <f t="shared" si="26"/>
        <v>4510.5981352854205</v>
      </c>
      <c r="AD63" s="9">
        <f t="shared" si="27"/>
        <v>0</v>
      </c>
      <c r="AE63" s="9">
        <f t="shared" si="28"/>
        <v>0</v>
      </c>
      <c r="AF63" s="9">
        <f t="shared" si="29"/>
        <v>0</v>
      </c>
      <c r="AG63" s="9">
        <f t="shared" si="30"/>
        <v>0</v>
      </c>
      <c r="AI63" s="10">
        <f t="shared" ref="AI63:AI66" si="44">AI62+1</f>
        <v>27</v>
      </c>
      <c r="AJ63" s="9">
        <f t="shared" si="12"/>
        <v>38203.399246732064</v>
      </c>
      <c r="AK63" s="9">
        <f t="shared" si="32"/>
        <v>981.75593220588576</v>
      </c>
      <c r="AL63" s="9">
        <f t="shared" si="33"/>
        <v>1870.4815189154995</v>
      </c>
      <c r="AM63" s="9">
        <f t="shared" si="34"/>
        <v>981.75593220588576</v>
      </c>
      <c r="AN63" s="9">
        <f t="shared" si="35"/>
        <v>441.97577611198358</v>
      </c>
      <c r="AO63" s="9">
        <f t="shared" si="36"/>
        <v>888.72558670961371</v>
      </c>
    </row>
    <row r="64" spans="11:41" x14ac:dyDescent="0.3">
      <c r="K64" s="10">
        <f t="shared" si="41"/>
        <v>28</v>
      </c>
      <c r="L64" s="9">
        <f t="shared" si="9"/>
        <v>22586.92150582594</v>
      </c>
      <c r="M64" s="9">
        <f t="shared" si="14"/>
        <v>0</v>
      </c>
      <c r="N64" s="9">
        <f t="shared" si="15"/>
        <v>9250</v>
      </c>
      <c r="O64" s="9">
        <f t="shared" si="16"/>
        <v>0</v>
      </c>
      <c r="P64" s="9">
        <f t="shared" si="17"/>
        <v>0</v>
      </c>
      <c r="Q64" s="9">
        <f t="shared" si="18"/>
        <v>9250</v>
      </c>
      <c r="S64" s="10">
        <f t="shared" si="42"/>
        <v>28</v>
      </c>
      <c r="T64" s="9">
        <f t="shared" si="10"/>
        <v>105051.86440270576</v>
      </c>
      <c r="U64" s="9">
        <f t="shared" si="20"/>
        <v>6998.1177962435186</v>
      </c>
      <c r="V64" s="9">
        <f t="shared" si="21"/>
        <v>0</v>
      </c>
      <c r="W64" s="9">
        <f t="shared" si="22"/>
        <v>0</v>
      </c>
      <c r="X64" s="9">
        <f t="shared" si="23"/>
        <v>0</v>
      </c>
      <c r="Y64" s="9">
        <f t="shared" si="24"/>
        <v>0</v>
      </c>
      <c r="AA64" s="10">
        <f t="shared" si="43"/>
        <v>28</v>
      </c>
      <c r="AB64" s="9">
        <f t="shared" si="11"/>
        <v>78961.012199901423</v>
      </c>
      <c r="AC64" s="9">
        <f t="shared" si="26"/>
        <v>4649.9410979911281</v>
      </c>
      <c r="AD64" s="9">
        <f t="shared" si="27"/>
        <v>0</v>
      </c>
      <c r="AE64" s="9">
        <f t="shared" si="28"/>
        <v>0</v>
      </c>
      <c r="AF64" s="9">
        <f t="shared" si="29"/>
        <v>0</v>
      </c>
      <c r="AG64" s="9">
        <f t="shared" si="30"/>
        <v>0</v>
      </c>
      <c r="AI64" s="10">
        <f t="shared" si="44"/>
        <v>28</v>
      </c>
      <c r="AJ64" s="9">
        <f t="shared" si="12"/>
        <v>38967.467231666698</v>
      </c>
      <c r="AK64" s="9">
        <f t="shared" si="32"/>
        <v>1050.5220508500029</v>
      </c>
      <c r="AL64" s="9">
        <f t="shared" si="33"/>
        <v>888.72558670961371</v>
      </c>
      <c r="AM64" s="9">
        <f t="shared" si="34"/>
        <v>888.72558670961371</v>
      </c>
      <c r="AN64" s="9">
        <f t="shared" si="35"/>
        <v>388.44129389851952</v>
      </c>
      <c r="AO64" s="9">
        <f t="shared" si="36"/>
        <v>0</v>
      </c>
    </row>
    <row r="65" spans="11:41" x14ac:dyDescent="0.3">
      <c r="K65" s="10">
        <f t="shared" si="41"/>
        <v>29</v>
      </c>
      <c r="L65" s="9">
        <f t="shared" si="9"/>
        <v>23038.659935942462</v>
      </c>
      <c r="M65" s="9">
        <f t="shared" si="14"/>
        <v>0</v>
      </c>
      <c r="N65" s="9">
        <f t="shared" si="15"/>
        <v>9250</v>
      </c>
      <c r="O65" s="9">
        <f t="shared" si="16"/>
        <v>0</v>
      </c>
      <c r="P65" s="9">
        <f t="shared" si="17"/>
        <v>0</v>
      </c>
      <c r="Q65" s="9">
        <f t="shared" si="18"/>
        <v>9250</v>
      </c>
      <c r="S65" s="10">
        <f t="shared" si="42"/>
        <v>29</v>
      </c>
      <c r="T65" s="9">
        <f t="shared" si="10"/>
        <v>107152.9016907599</v>
      </c>
      <c r="U65" s="9">
        <f t="shared" si="20"/>
        <v>7187.211152168391</v>
      </c>
      <c r="V65" s="9">
        <f t="shared" si="21"/>
        <v>0</v>
      </c>
      <c r="W65" s="9">
        <f t="shared" si="22"/>
        <v>0</v>
      </c>
      <c r="X65" s="9">
        <f t="shared" si="23"/>
        <v>0</v>
      </c>
      <c r="Y65" s="9">
        <f t="shared" si="24"/>
        <v>0</v>
      </c>
      <c r="AA65" s="10">
        <f t="shared" si="43"/>
        <v>29</v>
      </c>
      <c r="AB65" s="9">
        <f t="shared" si="11"/>
        <v>80540.232443899469</v>
      </c>
      <c r="AC65" s="9">
        <f t="shared" si="26"/>
        <v>4792.070919950952</v>
      </c>
      <c r="AD65" s="9">
        <f t="shared" si="27"/>
        <v>0</v>
      </c>
      <c r="AE65" s="9">
        <f t="shared" si="28"/>
        <v>0</v>
      </c>
      <c r="AF65" s="9">
        <f t="shared" si="29"/>
        <v>0</v>
      </c>
      <c r="AG65" s="9">
        <f t="shared" si="30"/>
        <v>0</v>
      </c>
      <c r="AI65" s="10">
        <f t="shared" si="44"/>
        <v>29</v>
      </c>
      <c r="AJ65" s="9">
        <f t="shared" si="12"/>
        <v>39746.816576300036</v>
      </c>
      <c r="AK65" s="9">
        <f t="shared" si="32"/>
        <v>1120.6634918670031</v>
      </c>
      <c r="AL65" s="9">
        <f t="shared" si="33"/>
        <v>0</v>
      </c>
      <c r="AM65" s="9">
        <f t="shared" si="34"/>
        <v>0</v>
      </c>
      <c r="AN65" s="9">
        <f t="shared" si="35"/>
        <v>0</v>
      </c>
      <c r="AO65" s="9">
        <f t="shared" si="36"/>
        <v>0</v>
      </c>
    </row>
    <row r="66" spans="11:41" x14ac:dyDescent="0.3">
      <c r="K66" s="10">
        <f t="shared" si="41"/>
        <v>30</v>
      </c>
      <c r="L66" s="9">
        <f t="shared" si="9"/>
        <v>23499.433134661311</v>
      </c>
      <c r="M66" s="9">
        <f t="shared" si="14"/>
        <v>0</v>
      </c>
      <c r="N66" s="9">
        <f t="shared" si="15"/>
        <v>9250</v>
      </c>
      <c r="O66" s="9">
        <f t="shared" si="16"/>
        <v>0</v>
      </c>
      <c r="P66" s="9">
        <f t="shared" si="17"/>
        <v>0</v>
      </c>
      <c r="Q66" s="9">
        <f t="shared" si="18"/>
        <v>9250</v>
      </c>
      <c r="S66" s="10">
        <f t="shared" si="42"/>
        <v>30</v>
      </c>
      <c r="T66" s="9">
        <f t="shared" si="10"/>
        <v>109295.95972457508</v>
      </c>
      <c r="U66" s="9">
        <f t="shared" si="20"/>
        <v>7380.0863752117566</v>
      </c>
      <c r="V66" s="9">
        <f t="shared" si="21"/>
        <v>0</v>
      </c>
      <c r="W66" s="9">
        <f t="shared" si="22"/>
        <v>0</v>
      </c>
      <c r="X66" s="9">
        <f t="shared" si="23"/>
        <v>0</v>
      </c>
      <c r="Y66" s="9">
        <f t="shared" si="24"/>
        <v>0</v>
      </c>
      <c r="AA66" s="10">
        <f t="shared" si="43"/>
        <v>30</v>
      </c>
      <c r="AB66" s="9">
        <f t="shared" si="11"/>
        <v>82151.037092777449</v>
      </c>
      <c r="AC66" s="9">
        <f t="shared" si="26"/>
        <v>4937.0433383499703</v>
      </c>
      <c r="AD66" s="9">
        <f t="shared" si="27"/>
        <v>0</v>
      </c>
      <c r="AE66" s="9">
        <f t="shared" si="28"/>
        <v>0</v>
      </c>
      <c r="AF66" s="9">
        <f t="shared" si="29"/>
        <v>0</v>
      </c>
      <c r="AG66" s="9">
        <f t="shared" si="30"/>
        <v>0</v>
      </c>
      <c r="AI66" s="10">
        <f t="shared" si="44"/>
        <v>30</v>
      </c>
      <c r="AJ66" s="9">
        <f t="shared" si="12"/>
        <v>40541.752907826034</v>
      </c>
      <c r="AK66" s="9">
        <f t="shared" si="32"/>
        <v>1192.2077617043431</v>
      </c>
      <c r="AL66" s="9">
        <f t="shared" si="33"/>
        <v>0</v>
      </c>
      <c r="AM66" s="9">
        <f t="shared" si="34"/>
        <v>0</v>
      </c>
      <c r="AN66" s="9">
        <f t="shared" si="35"/>
        <v>0</v>
      </c>
      <c r="AO66" s="9">
        <f t="shared" si="36"/>
        <v>0</v>
      </c>
    </row>
    <row r="67" spans="11:41" x14ac:dyDescent="0.3">
      <c r="K67" s="9"/>
      <c r="L67" s="9"/>
      <c r="M67" s="9"/>
      <c r="N67" s="9"/>
      <c r="O67" s="9"/>
      <c r="P67" s="9"/>
      <c r="Q67" s="9"/>
      <c r="S67" s="9"/>
      <c r="T67" s="9"/>
      <c r="U67" s="9"/>
      <c r="V67" s="9"/>
      <c r="W67" s="9"/>
      <c r="X67" s="9"/>
      <c r="Y67" s="9"/>
      <c r="AA67" s="9"/>
      <c r="AB67" s="9"/>
      <c r="AC67" s="9"/>
      <c r="AD67" s="9"/>
      <c r="AE67" s="9"/>
      <c r="AF67" s="9"/>
      <c r="AG67" s="9"/>
      <c r="AI67" s="9"/>
      <c r="AJ67" s="9"/>
      <c r="AK67" s="9"/>
      <c r="AL67" s="9"/>
      <c r="AM67" s="9"/>
      <c r="AN67" s="9"/>
      <c r="AO67" s="9"/>
    </row>
    <row r="69" spans="11:41" x14ac:dyDescent="0.3">
      <c r="K69" s="71" t="s">
        <v>60</v>
      </c>
      <c r="L69" s="72"/>
      <c r="M69" s="72"/>
      <c r="N69" s="72"/>
      <c r="O69" s="72"/>
      <c r="P69" s="72"/>
      <c r="Q69" s="73"/>
      <c r="S69" s="71" t="s">
        <v>65</v>
      </c>
      <c r="T69" s="72"/>
      <c r="U69" s="72"/>
      <c r="V69" s="72"/>
      <c r="W69" s="72"/>
      <c r="X69" s="72"/>
      <c r="Y69" s="73"/>
      <c r="AA69" s="71" t="s">
        <v>66</v>
      </c>
      <c r="AB69" s="72"/>
      <c r="AC69" s="72"/>
      <c r="AD69" s="72"/>
      <c r="AE69" s="72"/>
      <c r="AF69" s="72"/>
      <c r="AG69" s="73"/>
      <c r="AI69" s="71" t="s">
        <v>67</v>
      </c>
      <c r="AJ69" s="72"/>
      <c r="AK69" s="72"/>
      <c r="AL69" s="72"/>
      <c r="AM69" s="72"/>
      <c r="AN69" s="72"/>
      <c r="AO69" s="73"/>
    </row>
    <row r="70" spans="11:41" ht="43.2" x14ac:dyDescent="0.3">
      <c r="K70" s="14" t="s">
        <v>13</v>
      </c>
      <c r="L70" s="14" t="s">
        <v>14</v>
      </c>
      <c r="M70" s="14" t="s">
        <v>15</v>
      </c>
      <c r="N70" s="14" t="s">
        <v>16</v>
      </c>
      <c r="O70" s="14" t="s">
        <v>17</v>
      </c>
      <c r="P70" s="14" t="s">
        <v>18</v>
      </c>
      <c r="Q70" s="14" t="s">
        <v>19</v>
      </c>
      <c r="S70" s="14" t="s">
        <v>13</v>
      </c>
      <c r="T70" s="14" t="s">
        <v>14</v>
      </c>
      <c r="U70" s="14" t="s">
        <v>15</v>
      </c>
      <c r="V70" s="14" t="s">
        <v>16</v>
      </c>
      <c r="W70" s="14" t="s">
        <v>17</v>
      </c>
      <c r="X70" s="14" t="s">
        <v>18</v>
      </c>
      <c r="Y70" s="14" t="s">
        <v>19</v>
      </c>
      <c r="AA70" s="14" t="s">
        <v>13</v>
      </c>
      <c r="AB70" s="14" t="s">
        <v>14</v>
      </c>
      <c r="AC70" s="14" t="s">
        <v>15</v>
      </c>
      <c r="AD70" s="14" t="s">
        <v>16</v>
      </c>
      <c r="AE70" s="14" t="s">
        <v>17</v>
      </c>
      <c r="AF70" s="14" t="s">
        <v>18</v>
      </c>
      <c r="AG70" s="14" t="s">
        <v>19</v>
      </c>
      <c r="AI70" s="14" t="s">
        <v>13</v>
      </c>
      <c r="AJ70" s="14" t="s">
        <v>14</v>
      </c>
      <c r="AK70" s="14" t="s">
        <v>15</v>
      </c>
      <c r="AL70" s="14" t="s">
        <v>16</v>
      </c>
      <c r="AM70" s="14" t="s">
        <v>17</v>
      </c>
      <c r="AN70" s="14" t="s">
        <v>18</v>
      </c>
      <c r="AO70" s="14" t="s">
        <v>19</v>
      </c>
    </row>
    <row r="71" spans="11:41" x14ac:dyDescent="0.3">
      <c r="K71" s="10">
        <v>1</v>
      </c>
      <c r="L71" s="9">
        <f>$F$4*(1+$B$7)^(K71-1)</f>
        <v>20638.28</v>
      </c>
      <c r="M71" s="9">
        <f>$B$5*MAX(0,L71-$B$6)</f>
        <v>0</v>
      </c>
      <c r="N71" s="9">
        <f>$B$2</f>
        <v>9250</v>
      </c>
      <c r="O71" s="9">
        <f>MIN(M71,N71)</f>
        <v>0</v>
      </c>
      <c r="P71" s="9">
        <f>O71/(1+$B$8)^K71</f>
        <v>0</v>
      </c>
      <c r="Q71" s="9">
        <f>N71-O71</f>
        <v>9250</v>
      </c>
      <c r="S71" s="10">
        <v>1</v>
      </c>
      <c r="T71" s="9">
        <f>$F$9*(1+$B$7)^(S71-1)</f>
        <v>15440.44</v>
      </c>
      <c r="U71" s="9">
        <f>$B$5*MAX(0,T71-$B$6)</f>
        <v>0</v>
      </c>
      <c r="V71" s="9">
        <f>$B$2</f>
        <v>9250</v>
      </c>
      <c r="W71" s="9">
        <f>MIN(U71,V71)</f>
        <v>0</v>
      </c>
      <c r="X71" s="9">
        <f>W71/(1+$B$8)^S71</f>
        <v>0</v>
      </c>
      <c r="Y71" s="9">
        <f>V71-W71</f>
        <v>9250</v>
      </c>
      <c r="AA71" s="10">
        <v>1</v>
      </c>
      <c r="AB71" s="9">
        <f>$F$10*(1+$B$7)^(AA71-1)</f>
        <v>28982</v>
      </c>
      <c r="AC71" s="9">
        <f>$B$5*MAX(0,AB71-$B$6)</f>
        <v>151.82999999999998</v>
      </c>
      <c r="AD71" s="9">
        <f>$B$2</f>
        <v>9250</v>
      </c>
      <c r="AE71" s="9">
        <f>MIN(AC71,AD71)</f>
        <v>151.82999999999998</v>
      </c>
      <c r="AF71" s="9">
        <f>AE71/(1+$B$8)^AA71</f>
        <v>147.40776699029124</v>
      </c>
      <c r="AG71" s="9">
        <f>AD71-AE71</f>
        <v>9098.17</v>
      </c>
      <c r="AI71" s="10">
        <v>1</v>
      </c>
      <c r="AJ71" s="9">
        <f>$F$11*(1+$B$7)^(AI71-1)</f>
        <v>37659.4</v>
      </c>
      <c r="AK71" s="9">
        <f>$B$5*MAX(0,AJ71-$B$6)</f>
        <v>932.79600000000005</v>
      </c>
      <c r="AL71" s="9">
        <f>$B$2</f>
        <v>9250</v>
      </c>
      <c r="AM71" s="9">
        <f>MIN(AK71,AL71)</f>
        <v>932.79600000000005</v>
      </c>
      <c r="AN71" s="9">
        <f>AM71/(1+$B$8)^AI71</f>
        <v>905.62718446601946</v>
      </c>
      <c r="AO71" s="9">
        <f>AL71-AM71</f>
        <v>8317.2039999999997</v>
      </c>
    </row>
    <row r="72" spans="11:41" x14ac:dyDescent="0.3">
      <c r="K72" s="10">
        <f>K71+1</f>
        <v>2</v>
      </c>
      <c r="L72" s="9">
        <f t="shared" ref="L72:L100" si="45">$F$4*(1+$B$7)^(K72-1)</f>
        <v>21051.045599999998</v>
      </c>
      <c r="M72" s="9">
        <f>$B$5*MAX(0,L72-$B$6)</f>
        <v>0</v>
      </c>
      <c r="N72" s="9">
        <f>Q71</f>
        <v>9250</v>
      </c>
      <c r="O72" s="9">
        <f>IF(N72&lt;=0,0,MIN(M72,N72))</f>
        <v>0</v>
      </c>
      <c r="P72" s="9">
        <f>O72/(1+$B$8)^K72</f>
        <v>0</v>
      </c>
      <c r="Q72" s="9">
        <f>MAX(0,N72-O72)</f>
        <v>9250</v>
      </c>
      <c r="S72" s="10">
        <f>S71+1</f>
        <v>2</v>
      </c>
      <c r="T72" s="9">
        <f t="shared" ref="T72:T100" si="46">$F$9*(1+$B$7)^(S72-1)</f>
        <v>15749.248800000001</v>
      </c>
      <c r="U72" s="9">
        <f>$B$5*MAX(0,T72-$B$6)</f>
        <v>0</v>
      </c>
      <c r="V72" s="9">
        <f>Y71</f>
        <v>9250</v>
      </c>
      <c r="W72" s="9">
        <f>IF(V72&lt;=0,0,MIN(U72,V72))</f>
        <v>0</v>
      </c>
      <c r="X72" s="9">
        <f>W72/(1+$B$8)^S72</f>
        <v>0</v>
      </c>
      <c r="Y72" s="9">
        <f>MAX(0,V72-W72)</f>
        <v>9250</v>
      </c>
      <c r="AA72" s="10">
        <f>AA71+1</f>
        <v>2</v>
      </c>
      <c r="AB72" s="9">
        <f t="shared" ref="AB72:AB100" si="47">$F$10*(1+$B$7)^(AA72-1)</f>
        <v>29561.64</v>
      </c>
      <c r="AC72" s="9">
        <f>$B$5*MAX(0,AB72-$B$6)</f>
        <v>203.99759999999995</v>
      </c>
      <c r="AD72" s="9">
        <f>AG71</f>
        <v>9098.17</v>
      </c>
      <c r="AE72" s="9">
        <f>IF(AD72&lt;=0,0,MIN(AC72,AD72))</f>
        <v>203.99759999999995</v>
      </c>
      <c r="AF72" s="9">
        <f>AE72/(1+$B$8)^AA72</f>
        <v>192.28730323310393</v>
      </c>
      <c r="AG72" s="9">
        <f>MAX(0,AD72-AE72)</f>
        <v>8894.1723999999995</v>
      </c>
      <c r="AI72" s="10">
        <f>AI71+1</f>
        <v>2</v>
      </c>
      <c r="AJ72" s="9">
        <f t="shared" ref="AJ72:AJ100" si="48">$F$11*(1+$B$7)^(AI72-1)</f>
        <v>38412.588000000003</v>
      </c>
      <c r="AK72" s="9">
        <f>$B$5*MAX(0,AJ72-$B$6)</f>
        <v>1000.5829200000003</v>
      </c>
      <c r="AL72" s="9">
        <f>AO71</f>
        <v>8317.2039999999997</v>
      </c>
      <c r="AM72" s="9">
        <f>IF(AL72&lt;=0,0,MIN(AK72,AL72))</f>
        <v>1000.5829200000003</v>
      </c>
      <c r="AN72" s="9">
        <f>AM72/(1+$B$8)^AI72</f>
        <v>943.14536714110693</v>
      </c>
      <c r="AO72" s="9">
        <f>MAX(0,AL72-AM72)</f>
        <v>7316.621079999999</v>
      </c>
    </row>
    <row r="73" spans="11:41" x14ac:dyDescent="0.3">
      <c r="K73" s="10">
        <f t="shared" ref="K73:K88" si="49">K72+1</f>
        <v>3</v>
      </c>
      <c r="L73" s="9">
        <f t="shared" si="45"/>
        <v>21472.066511999998</v>
      </c>
      <c r="M73" s="9">
        <f t="shared" ref="M73:M100" si="50">$B$5*MAX(0,L73-$B$6)</f>
        <v>0</v>
      </c>
      <c r="N73" s="9">
        <f t="shared" ref="N73:N100" si="51">Q72</f>
        <v>9250</v>
      </c>
      <c r="O73" s="9">
        <f t="shared" ref="O73:O100" si="52">IF(N73&lt;=0,0,MIN(M73,N73))</f>
        <v>0</v>
      </c>
      <c r="P73" s="9">
        <f t="shared" ref="P73:P100" si="53">O73/(1+$B$8)^K73</f>
        <v>0</v>
      </c>
      <c r="Q73" s="9">
        <f t="shared" ref="Q73:Q100" si="54">MAX(0,N73-O73)</f>
        <v>9250</v>
      </c>
      <c r="S73" s="10">
        <f t="shared" ref="S73:S88" si="55">S72+1</f>
        <v>3</v>
      </c>
      <c r="T73" s="9">
        <f t="shared" si="46"/>
        <v>16064.233776000001</v>
      </c>
      <c r="U73" s="9">
        <f t="shared" ref="U73:U100" si="56">$B$5*MAX(0,T73-$B$6)</f>
        <v>0</v>
      </c>
      <c r="V73" s="9">
        <f t="shared" ref="V73:V100" si="57">Y72</f>
        <v>9250</v>
      </c>
      <c r="W73" s="9">
        <f t="shared" ref="W73:W100" si="58">IF(V73&lt;=0,0,MIN(U73,V73))</f>
        <v>0</v>
      </c>
      <c r="X73" s="9">
        <f t="shared" ref="X73:X100" si="59">W73/(1+$B$8)^S73</f>
        <v>0</v>
      </c>
      <c r="Y73" s="9">
        <f t="shared" ref="Y73:Y100" si="60">MAX(0,V73-W73)</f>
        <v>9250</v>
      </c>
      <c r="AA73" s="10">
        <f t="shared" ref="AA73:AA88" si="61">AA72+1</f>
        <v>3</v>
      </c>
      <c r="AB73" s="9">
        <f t="shared" si="47"/>
        <v>30152.872800000001</v>
      </c>
      <c r="AC73" s="9">
        <f t="shared" ref="AC73:AC100" si="62">$B$5*MAX(0,AB73-$B$6)</f>
        <v>257.20855200000005</v>
      </c>
      <c r="AD73" s="9">
        <f t="shared" ref="AD73:AD100" si="63">AG72</f>
        <v>8894.1723999999995</v>
      </c>
      <c r="AE73" s="9">
        <f t="shared" ref="AE73:AE100" si="64">IF(AD73&lt;=0,0,MIN(AC73,AD73))</f>
        <v>257.20855200000005</v>
      </c>
      <c r="AF73" s="9">
        <f t="shared" ref="AF73:AF100" si="65">AE73/(1+$B$8)^AA73</f>
        <v>235.38226107710349</v>
      </c>
      <c r="AG73" s="9">
        <f t="shared" ref="AG73:AG100" si="66">MAX(0,AD73-AE73)</f>
        <v>8636.9638479999994</v>
      </c>
      <c r="AI73" s="10">
        <f t="shared" ref="AI73:AI88" si="67">AI72+1</f>
        <v>3</v>
      </c>
      <c r="AJ73" s="9">
        <f t="shared" si="48"/>
        <v>39180.839760000003</v>
      </c>
      <c r="AK73" s="9">
        <f t="shared" ref="AK73:AK100" si="68">$B$5*MAX(0,AJ73-$B$6)</f>
        <v>1069.7255784000001</v>
      </c>
      <c r="AL73" s="9">
        <f t="shared" ref="AL73:AL100" si="69">AO72</f>
        <v>7316.621079999999</v>
      </c>
      <c r="AM73" s="9">
        <f t="shared" ref="AM73:AM100" si="70">IF(AL73&lt;=0,0,MIN(AK73,AL73))</f>
        <v>1069.7255784000001</v>
      </c>
      <c r="AN73" s="9">
        <f t="shared" ref="AN73:AN100" si="71">AM73/(1+$B$8)^AI73</f>
        <v>978.95044086949451</v>
      </c>
      <c r="AO73" s="9">
        <f t="shared" ref="AO73:AO100" si="72">MAX(0,AL73-AM73)</f>
        <v>6246.8955015999991</v>
      </c>
    </row>
    <row r="74" spans="11:41" x14ac:dyDescent="0.3">
      <c r="K74" s="10">
        <f t="shared" si="49"/>
        <v>4</v>
      </c>
      <c r="L74" s="9">
        <f t="shared" si="45"/>
        <v>21901.507842239997</v>
      </c>
      <c r="M74" s="9">
        <f t="shared" si="50"/>
        <v>0</v>
      </c>
      <c r="N74" s="9">
        <f t="shared" si="51"/>
        <v>9250</v>
      </c>
      <c r="O74" s="9">
        <f t="shared" si="52"/>
        <v>0</v>
      </c>
      <c r="P74" s="9">
        <f t="shared" si="53"/>
        <v>0</v>
      </c>
      <c r="Q74" s="9">
        <f t="shared" si="54"/>
        <v>9250</v>
      </c>
      <c r="S74" s="10">
        <f t="shared" si="55"/>
        <v>4</v>
      </c>
      <c r="T74" s="9">
        <f t="shared" si="46"/>
        <v>16385.518451519998</v>
      </c>
      <c r="U74" s="9">
        <f t="shared" si="56"/>
        <v>0</v>
      </c>
      <c r="V74" s="9">
        <f t="shared" si="57"/>
        <v>9250</v>
      </c>
      <c r="W74" s="9">
        <f t="shared" si="58"/>
        <v>0</v>
      </c>
      <c r="X74" s="9">
        <f t="shared" si="59"/>
        <v>0</v>
      </c>
      <c r="Y74" s="9">
        <f t="shared" si="60"/>
        <v>9250</v>
      </c>
      <c r="AA74" s="10">
        <f t="shared" si="61"/>
        <v>4</v>
      </c>
      <c r="AB74" s="9">
        <f t="shared" si="47"/>
        <v>30755.930256</v>
      </c>
      <c r="AC74" s="9">
        <f t="shared" si="62"/>
        <v>311.48372303999997</v>
      </c>
      <c r="AD74" s="9">
        <f t="shared" si="63"/>
        <v>8636.9638479999994</v>
      </c>
      <c r="AE74" s="9">
        <f t="shared" si="64"/>
        <v>311.48372303999997</v>
      </c>
      <c r="AF74" s="9">
        <f t="shared" si="65"/>
        <v>276.74925355759763</v>
      </c>
      <c r="AG74" s="9">
        <f t="shared" si="66"/>
        <v>8325.4801249599986</v>
      </c>
      <c r="AI74" s="10">
        <f t="shared" si="67"/>
        <v>4</v>
      </c>
      <c r="AJ74" s="9">
        <f t="shared" si="48"/>
        <v>39964.456555199999</v>
      </c>
      <c r="AK74" s="9">
        <f t="shared" si="68"/>
        <v>1140.2510899679999</v>
      </c>
      <c r="AL74" s="9">
        <f t="shared" si="69"/>
        <v>6246.8955015999991</v>
      </c>
      <c r="AM74" s="9">
        <f t="shared" si="70"/>
        <v>1140.2510899679999</v>
      </c>
      <c r="AN74" s="9">
        <f t="shared" si="71"/>
        <v>1013.0983248083148</v>
      </c>
      <c r="AO74" s="9">
        <f t="shared" si="72"/>
        <v>5106.644411631999</v>
      </c>
    </row>
    <row r="75" spans="11:41" x14ac:dyDescent="0.3">
      <c r="K75" s="10">
        <f t="shared" si="49"/>
        <v>5</v>
      </c>
      <c r="L75" s="9">
        <f t="shared" si="45"/>
        <v>22339.537999084798</v>
      </c>
      <c r="M75" s="9">
        <f t="shared" si="50"/>
        <v>0</v>
      </c>
      <c r="N75" s="9">
        <f t="shared" si="51"/>
        <v>9250</v>
      </c>
      <c r="O75" s="9">
        <f t="shared" si="52"/>
        <v>0</v>
      </c>
      <c r="P75" s="9">
        <f t="shared" si="53"/>
        <v>0</v>
      </c>
      <c r="Q75" s="9">
        <f t="shared" si="54"/>
        <v>9250</v>
      </c>
      <c r="S75" s="10">
        <f t="shared" si="55"/>
        <v>5</v>
      </c>
      <c r="T75" s="9">
        <f t="shared" si="46"/>
        <v>16713.228820550401</v>
      </c>
      <c r="U75" s="9">
        <f t="shared" si="56"/>
        <v>0</v>
      </c>
      <c r="V75" s="9">
        <f t="shared" si="57"/>
        <v>9250</v>
      </c>
      <c r="W75" s="9">
        <f t="shared" si="58"/>
        <v>0</v>
      </c>
      <c r="X75" s="9">
        <f t="shared" si="59"/>
        <v>0</v>
      </c>
      <c r="Y75" s="9">
        <f t="shared" si="60"/>
        <v>9250</v>
      </c>
      <c r="AA75" s="10">
        <f t="shared" si="61"/>
        <v>5</v>
      </c>
      <c r="AB75" s="9">
        <f t="shared" si="47"/>
        <v>31371.048861119998</v>
      </c>
      <c r="AC75" s="9">
        <f t="shared" si="62"/>
        <v>366.8443975007998</v>
      </c>
      <c r="AD75" s="9">
        <f t="shared" si="63"/>
        <v>8325.4801249599986</v>
      </c>
      <c r="AE75" s="9">
        <f t="shared" si="64"/>
        <v>366.8443975007998</v>
      </c>
      <c r="AF75" s="9">
        <f t="shared" si="65"/>
        <v>316.44319978630602</v>
      </c>
      <c r="AG75" s="9">
        <f t="shared" si="66"/>
        <v>7958.6357274591992</v>
      </c>
      <c r="AI75" s="10">
        <f t="shared" si="67"/>
        <v>5</v>
      </c>
      <c r="AJ75" s="9">
        <f t="shared" si="48"/>
        <v>40763.745686303999</v>
      </c>
      <c r="AK75" s="9">
        <f t="shared" si="68"/>
        <v>1212.1871117673597</v>
      </c>
      <c r="AL75" s="9">
        <f t="shared" si="69"/>
        <v>5106.644411631999</v>
      </c>
      <c r="AM75" s="9">
        <f t="shared" si="70"/>
        <v>1212.1871117673597</v>
      </c>
      <c r="AN75" s="9">
        <f t="shared" si="71"/>
        <v>1045.6432509277931</v>
      </c>
      <c r="AO75" s="9">
        <f t="shared" si="72"/>
        <v>3894.457299864639</v>
      </c>
    </row>
    <row r="76" spans="11:41" x14ac:dyDescent="0.3">
      <c r="K76" s="10">
        <f t="shared" si="49"/>
        <v>6</v>
      </c>
      <c r="L76" s="9">
        <f t="shared" si="45"/>
        <v>22786.328759066495</v>
      </c>
      <c r="M76" s="9">
        <f t="shared" si="50"/>
        <v>0</v>
      </c>
      <c r="N76" s="9">
        <f t="shared" si="51"/>
        <v>9250</v>
      </c>
      <c r="O76" s="9">
        <f t="shared" si="52"/>
        <v>0</v>
      </c>
      <c r="P76" s="9">
        <f t="shared" si="53"/>
        <v>0</v>
      </c>
      <c r="Q76" s="9">
        <f t="shared" si="54"/>
        <v>9250</v>
      </c>
      <c r="S76" s="10">
        <f t="shared" si="55"/>
        <v>6</v>
      </c>
      <c r="T76" s="9">
        <f t="shared" si="46"/>
        <v>17047.49339696141</v>
      </c>
      <c r="U76" s="9">
        <f t="shared" si="56"/>
        <v>0</v>
      </c>
      <c r="V76" s="9">
        <f t="shared" si="57"/>
        <v>9250</v>
      </c>
      <c r="W76" s="9">
        <f t="shared" si="58"/>
        <v>0</v>
      </c>
      <c r="X76" s="9">
        <f t="shared" si="59"/>
        <v>0</v>
      </c>
      <c r="Y76" s="9">
        <f t="shared" si="60"/>
        <v>9250</v>
      </c>
      <c r="AA76" s="10">
        <f t="shared" si="61"/>
        <v>6</v>
      </c>
      <c r="AB76" s="9">
        <f t="shared" si="47"/>
        <v>31998.4698383424</v>
      </c>
      <c r="AC76" s="9">
        <f t="shared" si="62"/>
        <v>423.31228545081598</v>
      </c>
      <c r="AD76" s="9">
        <f t="shared" si="63"/>
        <v>7958.6357274591992</v>
      </c>
      <c r="AE76" s="9">
        <f t="shared" si="64"/>
        <v>423.31228545081598</v>
      </c>
      <c r="AF76" s="9">
        <f t="shared" si="65"/>
        <v>354.51737472583557</v>
      </c>
      <c r="AG76" s="9">
        <f t="shared" si="66"/>
        <v>7535.3234420083836</v>
      </c>
      <c r="AI76" s="10">
        <f t="shared" si="67"/>
        <v>6</v>
      </c>
      <c r="AJ76" s="9">
        <f t="shared" si="48"/>
        <v>41579.020600030082</v>
      </c>
      <c r="AK76" s="9">
        <f t="shared" si="68"/>
        <v>1285.5618540027074</v>
      </c>
      <c r="AL76" s="9">
        <f t="shared" si="69"/>
        <v>3894.457299864639</v>
      </c>
      <c r="AM76" s="9">
        <f t="shared" si="70"/>
        <v>1285.5618540027074</v>
      </c>
      <c r="AN76" s="9">
        <f t="shared" si="71"/>
        <v>1076.637813720318</v>
      </c>
      <c r="AO76" s="9">
        <f t="shared" si="72"/>
        <v>2608.8954458619319</v>
      </c>
    </row>
    <row r="77" spans="11:41" x14ac:dyDescent="0.3">
      <c r="K77" s="10">
        <f t="shared" si="49"/>
        <v>7</v>
      </c>
      <c r="L77" s="9">
        <f t="shared" si="45"/>
        <v>23242.055334247827</v>
      </c>
      <c r="M77" s="9">
        <f t="shared" si="50"/>
        <v>0</v>
      </c>
      <c r="N77" s="9">
        <f t="shared" si="51"/>
        <v>9250</v>
      </c>
      <c r="O77" s="9">
        <f t="shared" si="52"/>
        <v>0</v>
      </c>
      <c r="P77" s="9">
        <f t="shared" si="53"/>
        <v>0</v>
      </c>
      <c r="Q77" s="9">
        <f t="shared" si="54"/>
        <v>9250</v>
      </c>
      <c r="S77" s="10">
        <f t="shared" si="55"/>
        <v>7</v>
      </c>
      <c r="T77" s="9">
        <f t="shared" si="46"/>
        <v>17388.443264900638</v>
      </c>
      <c r="U77" s="9">
        <f t="shared" si="56"/>
        <v>0</v>
      </c>
      <c r="V77" s="9">
        <f t="shared" si="57"/>
        <v>9250</v>
      </c>
      <c r="W77" s="9">
        <f t="shared" si="58"/>
        <v>0</v>
      </c>
      <c r="X77" s="9">
        <f t="shared" si="59"/>
        <v>0</v>
      </c>
      <c r="Y77" s="9">
        <f t="shared" si="60"/>
        <v>9250</v>
      </c>
      <c r="AA77" s="10">
        <f t="shared" si="61"/>
        <v>7</v>
      </c>
      <c r="AB77" s="9">
        <f t="shared" si="47"/>
        <v>32638.43923510925</v>
      </c>
      <c r="AC77" s="9">
        <f t="shared" si="62"/>
        <v>480.90953115983251</v>
      </c>
      <c r="AD77" s="9">
        <f t="shared" si="63"/>
        <v>7535.3234420083836</v>
      </c>
      <c r="AE77" s="9">
        <f t="shared" si="64"/>
        <v>480.90953115983251</v>
      </c>
      <c r="AF77" s="9">
        <f t="shared" si="65"/>
        <v>391.02345751017191</v>
      </c>
      <c r="AG77" s="9">
        <f t="shared" si="66"/>
        <v>7054.4139108485515</v>
      </c>
      <c r="AI77" s="10">
        <f t="shared" si="67"/>
        <v>7</v>
      </c>
      <c r="AJ77" s="9">
        <f t="shared" si="48"/>
        <v>42410.601012030689</v>
      </c>
      <c r="AK77" s="9">
        <f t="shared" si="68"/>
        <v>1360.4040910827621</v>
      </c>
      <c r="AL77" s="9">
        <f t="shared" si="69"/>
        <v>2608.8954458619319</v>
      </c>
      <c r="AM77" s="9">
        <f t="shared" si="70"/>
        <v>1360.4040910827621</v>
      </c>
      <c r="AN77" s="9">
        <f t="shared" si="71"/>
        <v>1106.1330184561646</v>
      </c>
      <c r="AO77" s="9">
        <f t="shared" si="72"/>
        <v>1248.4913547791698</v>
      </c>
    </row>
    <row r="78" spans="11:41" x14ac:dyDescent="0.3">
      <c r="K78" s="10">
        <f t="shared" si="49"/>
        <v>8</v>
      </c>
      <c r="L78" s="9">
        <f t="shared" si="45"/>
        <v>23706.896440932778</v>
      </c>
      <c r="M78" s="9">
        <f t="shared" si="50"/>
        <v>0</v>
      </c>
      <c r="N78" s="9">
        <f t="shared" si="51"/>
        <v>9250</v>
      </c>
      <c r="O78" s="9">
        <f t="shared" si="52"/>
        <v>0</v>
      </c>
      <c r="P78" s="9">
        <f t="shared" si="53"/>
        <v>0</v>
      </c>
      <c r="Q78" s="9">
        <f t="shared" si="54"/>
        <v>9250</v>
      </c>
      <c r="S78" s="10">
        <f t="shared" si="55"/>
        <v>8</v>
      </c>
      <c r="T78" s="9">
        <f t="shared" si="46"/>
        <v>17736.212130198648</v>
      </c>
      <c r="U78" s="9">
        <f t="shared" si="56"/>
        <v>0</v>
      </c>
      <c r="V78" s="9">
        <f t="shared" si="57"/>
        <v>9250</v>
      </c>
      <c r="W78" s="9">
        <f t="shared" si="58"/>
        <v>0</v>
      </c>
      <c r="X78" s="9">
        <f t="shared" si="59"/>
        <v>0</v>
      </c>
      <c r="Y78" s="9">
        <f t="shared" si="60"/>
        <v>9250</v>
      </c>
      <c r="AA78" s="10">
        <f t="shared" si="61"/>
        <v>8</v>
      </c>
      <c r="AB78" s="9">
        <f t="shared" si="47"/>
        <v>33291.208019811427</v>
      </c>
      <c r="AC78" s="9">
        <f t="shared" si="62"/>
        <v>539.65872178302845</v>
      </c>
      <c r="AD78" s="9">
        <f t="shared" si="63"/>
        <v>7054.4139108485515</v>
      </c>
      <c r="AE78" s="9">
        <f t="shared" si="64"/>
        <v>539.65872178302845</v>
      </c>
      <c r="AF78" s="9">
        <f t="shared" si="65"/>
        <v>426.01157835357776</v>
      </c>
      <c r="AG78" s="9">
        <f t="shared" si="66"/>
        <v>6514.7551890655232</v>
      </c>
      <c r="AI78" s="10">
        <f t="shared" si="67"/>
        <v>8</v>
      </c>
      <c r="AJ78" s="9">
        <f t="shared" si="48"/>
        <v>43258.81303227129</v>
      </c>
      <c r="AK78" s="9">
        <f t="shared" si="68"/>
        <v>1436.743172904416</v>
      </c>
      <c r="AL78" s="9">
        <f t="shared" si="69"/>
        <v>1248.4913547791698</v>
      </c>
      <c r="AM78" s="9">
        <f t="shared" si="70"/>
        <v>1248.4913547791698</v>
      </c>
      <c r="AN78" s="9">
        <f t="shared" si="71"/>
        <v>985.57060442379282</v>
      </c>
      <c r="AO78" s="9">
        <f t="shared" si="72"/>
        <v>0</v>
      </c>
    </row>
    <row r="79" spans="11:41" x14ac:dyDescent="0.3">
      <c r="K79" s="10">
        <f t="shared" si="49"/>
        <v>9</v>
      </c>
      <c r="L79" s="9">
        <f t="shared" si="45"/>
        <v>24181.034369751436</v>
      </c>
      <c r="M79" s="9">
        <f t="shared" si="50"/>
        <v>0</v>
      </c>
      <c r="N79" s="9">
        <f t="shared" si="51"/>
        <v>9250</v>
      </c>
      <c r="O79" s="9">
        <f t="shared" si="52"/>
        <v>0</v>
      </c>
      <c r="P79" s="9">
        <f t="shared" si="53"/>
        <v>0</v>
      </c>
      <c r="Q79" s="9">
        <f t="shared" si="54"/>
        <v>9250</v>
      </c>
      <c r="S79" s="10">
        <f t="shared" si="55"/>
        <v>9</v>
      </c>
      <c r="T79" s="9">
        <f t="shared" si="46"/>
        <v>18090.936372802622</v>
      </c>
      <c r="U79" s="9">
        <f t="shared" si="56"/>
        <v>0</v>
      </c>
      <c r="V79" s="9">
        <f t="shared" si="57"/>
        <v>9250</v>
      </c>
      <c r="W79" s="9">
        <f t="shared" si="58"/>
        <v>0</v>
      </c>
      <c r="X79" s="9">
        <f t="shared" si="59"/>
        <v>0</v>
      </c>
      <c r="Y79" s="9">
        <f t="shared" si="60"/>
        <v>9250</v>
      </c>
      <c r="AA79" s="10">
        <f t="shared" si="61"/>
        <v>9</v>
      </c>
      <c r="AB79" s="9">
        <f t="shared" si="47"/>
        <v>33957.032180207658</v>
      </c>
      <c r="AC79" s="9">
        <f t="shared" si="62"/>
        <v>599.58289621868914</v>
      </c>
      <c r="AD79" s="9">
        <f t="shared" si="63"/>
        <v>6514.7551890655232</v>
      </c>
      <c r="AE79" s="9">
        <f t="shared" si="64"/>
        <v>599.58289621868914</v>
      </c>
      <c r="AF79" s="9">
        <f t="shared" si="65"/>
        <v>459.53036408905575</v>
      </c>
      <c r="AG79" s="9">
        <f t="shared" si="66"/>
        <v>5915.1722928468344</v>
      </c>
      <c r="AI79" s="10">
        <f t="shared" si="67"/>
        <v>9</v>
      </c>
      <c r="AJ79" s="9">
        <f t="shared" si="48"/>
        <v>44123.989292916718</v>
      </c>
      <c r="AK79" s="9">
        <f t="shared" si="68"/>
        <v>1514.6090363625046</v>
      </c>
      <c r="AL79" s="9">
        <f t="shared" si="69"/>
        <v>0</v>
      </c>
      <c r="AM79" s="9">
        <f t="shared" si="70"/>
        <v>0</v>
      </c>
      <c r="AN79" s="9">
        <f t="shared" si="71"/>
        <v>0</v>
      </c>
      <c r="AO79" s="9">
        <f t="shared" si="72"/>
        <v>0</v>
      </c>
    </row>
    <row r="80" spans="11:41" x14ac:dyDescent="0.3">
      <c r="K80" s="10">
        <f t="shared" si="49"/>
        <v>10</v>
      </c>
      <c r="L80" s="9">
        <f t="shared" si="45"/>
        <v>24664.655057146465</v>
      </c>
      <c r="M80" s="9">
        <f t="shared" si="50"/>
        <v>0</v>
      </c>
      <c r="N80" s="9">
        <f t="shared" si="51"/>
        <v>9250</v>
      </c>
      <c r="O80" s="9">
        <f t="shared" si="52"/>
        <v>0</v>
      </c>
      <c r="P80" s="9">
        <f t="shared" si="53"/>
        <v>0</v>
      </c>
      <c r="Q80" s="9">
        <f t="shared" si="54"/>
        <v>9250</v>
      </c>
      <c r="S80" s="10">
        <f t="shared" si="55"/>
        <v>10</v>
      </c>
      <c r="T80" s="9">
        <f t="shared" si="46"/>
        <v>18452.755100258673</v>
      </c>
      <c r="U80" s="9">
        <f t="shared" si="56"/>
        <v>0</v>
      </c>
      <c r="V80" s="9">
        <f t="shared" si="57"/>
        <v>9250</v>
      </c>
      <c r="W80" s="9">
        <f t="shared" si="58"/>
        <v>0</v>
      </c>
      <c r="X80" s="9">
        <f t="shared" si="59"/>
        <v>0</v>
      </c>
      <c r="Y80" s="9">
        <f t="shared" si="60"/>
        <v>9250</v>
      </c>
      <c r="AA80" s="10">
        <f t="shared" si="61"/>
        <v>10</v>
      </c>
      <c r="AB80" s="9">
        <f t="shared" si="47"/>
        <v>34636.172823811816</v>
      </c>
      <c r="AC80" s="9">
        <f t="shared" si="62"/>
        <v>660.70555414306341</v>
      </c>
      <c r="AD80" s="9">
        <f t="shared" si="63"/>
        <v>5915.1722928468344</v>
      </c>
      <c r="AE80" s="9">
        <f t="shared" si="64"/>
        <v>660.70555414306341</v>
      </c>
      <c r="AF80" s="9">
        <f t="shared" si="65"/>
        <v>491.6269823763223</v>
      </c>
      <c r="AG80" s="9">
        <f t="shared" si="66"/>
        <v>5254.4667387037707</v>
      </c>
      <c r="AI80" s="10">
        <f t="shared" si="67"/>
        <v>10</v>
      </c>
      <c r="AJ80" s="9">
        <f t="shared" si="48"/>
        <v>45006.469078775051</v>
      </c>
      <c r="AK80" s="9">
        <f t="shared" si="68"/>
        <v>1594.0322170897546</v>
      </c>
      <c r="AL80" s="9">
        <f t="shared" si="69"/>
        <v>0</v>
      </c>
      <c r="AM80" s="9">
        <f t="shared" si="70"/>
        <v>0</v>
      </c>
      <c r="AN80" s="9">
        <f t="shared" si="71"/>
        <v>0</v>
      </c>
      <c r="AO80" s="9">
        <f t="shared" si="72"/>
        <v>0</v>
      </c>
    </row>
    <row r="81" spans="11:41" x14ac:dyDescent="0.3">
      <c r="K81" s="10">
        <f t="shared" si="49"/>
        <v>11</v>
      </c>
      <c r="L81" s="9">
        <f t="shared" si="45"/>
        <v>25157.948158289393</v>
      </c>
      <c r="M81" s="9">
        <f t="shared" si="50"/>
        <v>0</v>
      </c>
      <c r="N81" s="9">
        <f t="shared" si="51"/>
        <v>9250</v>
      </c>
      <c r="O81" s="9">
        <f t="shared" si="52"/>
        <v>0</v>
      </c>
      <c r="P81" s="9">
        <f t="shared" si="53"/>
        <v>0</v>
      </c>
      <c r="Q81" s="9">
        <f t="shared" si="54"/>
        <v>9250</v>
      </c>
      <c r="S81" s="10">
        <f t="shared" si="55"/>
        <v>11</v>
      </c>
      <c r="T81" s="9">
        <f t="shared" si="46"/>
        <v>18821.810202263849</v>
      </c>
      <c r="U81" s="9">
        <f t="shared" si="56"/>
        <v>0</v>
      </c>
      <c r="V81" s="9">
        <f t="shared" si="57"/>
        <v>9250</v>
      </c>
      <c r="W81" s="9">
        <f t="shared" si="58"/>
        <v>0</v>
      </c>
      <c r="X81" s="9">
        <f t="shared" si="59"/>
        <v>0</v>
      </c>
      <c r="Y81" s="9">
        <f t="shared" si="60"/>
        <v>9250</v>
      </c>
      <c r="AA81" s="10">
        <f t="shared" si="61"/>
        <v>11</v>
      </c>
      <c r="AB81" s="9">
        <f t="shared" si="47"/>
        <v>35328.896280288049</v>
      </c>
      <c r="AC81" s="9">
        <f t="shared" si="62"/>
        <v>723.05066522592438</v>
      </c>
      <c r="AD81" s="9">
        <f t="shared" si="63"/>
        <v>5254.4667387037707</v>
      </c>
      <c r="AE81" s="9">
        <f t="shared" si="64"/>
        <v>723.05066522592438</v>
      </c>
      <c r="AF81" s="9">
        <f t="shared" si="65"/>
        <v>522.34718461809655</v>
      </c>
      <c r="AG81" s="9">
        <f t="shared" si="66"/>
        <v>4531.4160734778461</v>
      </c>
      <c r="AI81" s="10">
        <f t="shared" si="67"/>
        <v>11</v>
      </c>
      <c r="AJ81" s="9">
        <f t="shared" si="48"/>
        <v>45906.598460350557</v>
      </c>
      <c r="AK81" s="9">
        <f t="shared" si="68"/>
        <v>1675.0438614315501</v>
      </c>
      <c r="AL81" s="9">
        <f t="shared" si="69"/>
        <v>0</v>
      </c>
      <c r="AM81" s="9">
        <f t="shared" si="70"/>
        <v>0</v>
      </c>
      <c r="AN81" s="9">
        <f t="shared" si="71"/>
        <v>0</v>
      </c>
      <c r="AO81" s="9">
        <f t="shared" si="72"/>
        <v>0</v>
      </c>
    </row>
    <row r="82" spans="11:41" x14ac:dyDescent="0.3">
      <c r="K82" s="10">
        <f t="shared" si="49"/>
        <v>12</v>
      </c>
      <c r="L82" s="9">
        <f t="shared" si="45"/>
        <v>25661.107121455178</v>
      </c>
      <c r="M82" s="9">
        <f t="shared" si="50"/>
        <v>0</v>
      </c>
      <c r="N82" s="9">
        <f t="shared" si="51"/>
        <v>9250</v>
      </c>
      <c r="O82" s="9">
        <f t="shared" si="52"/>
        <v>0</v>
      </c>
      <c r="P82" s="9">
        <f t="shared" si="53"/>
        <v>0</v>
      </c>
      <c r="Q82" s="9">
        <f t="shared" si="54"/>
        <v>9250</v>
      </c>
      <c r="S82" s="10">
        <f t="shared" si="55"/>
        <v>12</v>
      </c>
      <c r="T82" s="9">
        <f t="shared" si="46"/>
        <v>19198.246406309121</v>
      </c>
      <c r="U82" s="9">
        <f t="shared" si="56"/>
        <v>0</v>
      </c>
      <c r="V82" s="9">
        <f t="shared" si="57"/>
        <v>9250</v>
      </c>
      <c r="W82" s="9">
        <f t="shared" si="58"/>
        <v>0</v>
      </c>
      <c r="X82" s="9">
        <f t="shared" si="59"/>
        <v>0</v>
      </c>
      <c r="Y82" s="9">
        <f t="shared" si="60"/>
        <v>9250</v>
      </c>
      <c r="AA82" s="10">
        <f t="shared" si="61"/>
        <v>12</v>
      </c>
      <c r="AB82" s="9">
        <f t="shared" si="47"/>
        <v>36035.474205893806</v>
      </c>
      <c r="AC82" s="9">
        <f t="shared" si="62"/>
        <v>786.64267853044259</v>
      </c>
      <c r="AD82" s="9">
        <f t="shared" si="63"/>
        <v>4531.4160734778461</v>
      </c>
      <c r="AE82" s="9">
        <f t="shared" si="64"/>
        <v>786.64267853044259</v>
      </c>
      <c r="AF82" s="9">
        <f t="shared" si="65"/>
        <v>551.73534762236136</v>
      </c>
      <c r="AG82" s="9">
        <f t="shared" si="66"/>
        <v>3744.7733949474036</v>
      </c>
      <c r="AI82" s="10">
        <f t="shared" si="67"/>
        <v>12</v>
      </c>
      <c r="AJ82" s="9">
        <f t="shared" si="48"/>
        <v>46824.73042955756</v>
      </c>
      <c r="AK82" s="9">
        <f t="shared" si="68"/>
        <v>1757.6757386601803</v>
      </c>
      <c r="AL82" s="9">
        <f t="shared" si="69"/>
        <v>0</v>
      </c>
      <c r="AM82" s="9">
        <f t="shared" si="70"/>
        <v>0</v>
      </c>
      <c r="AN82" s="9">
        <f t="shared" si="71"/>
        <v>0</v>
      </c>
      <c r="AO82" s="9">
        <f t="shared" si="72"/>
        <v>0</v>
      </c>
    </row>
    <row r="83" spans="11:41" x14ac:dyDescent="0.3">
      <c r="K83" s="10">
        <f t="shared" si="49"/>
        <v>13</v>
      </c>
      <c r="L83" s="9">
        <f t="shared" si="45"/>
        <v>26174.329263884287</v>
      </c>
      <c r="M83" s="9">
        <f t="shared" si="50"/>
        <v>0</v>
      </c>
      <c r="N83" s="9">
        <f t="shared" si="51"/>
        <v>9250</v>
      </c>
      <c r="O83" s="9">
        <f t="shared" si="52"/>
        <v>0</v>
      </c>
      <c r="P83" s="9">
        <f t="shared" si="53"/>
        <v>0</v>
      </c>
      <c r="Q83" s="9">
        <f t="shared" si="54"/>
        <v>9250</v>
      </c>
      <c r="S83" s="10">
        <f t="shared" si="55"/>
        <v>13</v>
      </c>
      <c r="T83" s="9">
        <f t="shared" si="46"/>
        <v>19582.211334435306</v>
      </c>
      <c r="U83" s="9">
        <f t="shared" si="56"/>
        <v>0</v>
      </c>
      <c r="V83" s="9">
        <f t="shared" si="57"/>
        <v>9250</v>
      </c>
      <c r="W83" s="9">
        <f t="shared" si="58"/>
        <v>0</v>
      </c>
      <c r="X83" s="9">
        <f t="shared" si="59"/>
        <v>0</v>
      </c>
      <c r="Y83" s="9">
        <f t="shared" si="60"/>
        <v>9250</v>
      </c>
      <c r="AA83" s="10">
        <f t="shared" si="61"/>
        <v>13</v>
      </c>
      <c r="AB83" s="9">
        <f t="shared" si="47"/>
        <v>36756.18369001169</v>
      </c>
      <c r="AC83" s="9">
        <f t="shared" si="62"/>
        <v>851.50653210105213</v>
      </c>
      <c r="AD83" s="9">
        <f t="shared" si="63"/>
        <v>3744.7733949474036</v>
      </c>
      <c r="AE83" s="9">
        <f t="shared" si="64"/>
        <v>851.50653210105213</v>
      </c>
      <c r="AF83" s="9">
        <f t="shared" si="65"/>
        <v>579.83451404715538</v>
      </c>
      <c r="AG83" s="9">
        <f t="shared" si="66"/>
        <v>2893.2668628463516</v>
      </c>
      <c r="AI83" s="10">
        <f t="shared" si="67"/>
        <v>13</v>
      </c>
      <c r="AJ83" s="9">
        <f t="shared" si="48"/>
        <v>47761.225038148717</v>
      </c>
      <c r="AK83" s="9">
        <f t="shared" si="68"/>
        <v>1841.9602534333844</v>
      </c>
      <c r="AL83" s="9">
        <f t="shared" si="69"/>
        <v>0</v>
      </c>
      <c r="AM83" s="9">
        <f t="shared" si="70"/>
        <v>0</v>
      </c>
      <c r="AN83" s="9">
        <f t="shared" si="71"/>
        <v>0</v>
      </c>
      <c r="AO83" s="9">
        <f t="shared" si="72"/>
        <v>0</v>
      </c>
    </row>
    <row r="84" spans="11:41" x14ac:dyDescent="0.3">
      <c r="K84" s="10">
        <f t="shared" si="49"/>
        <v>14</v>
      </c>
      <c r="L84" s="9">
        <f t="shared" si="45"/>
        <v>26697.815849161969</v>
      </c>
      <c r="M84" s="9">
        <f t="shared" si="50"/>
        <v>0</v>
      </c>
      <c r="N84" s="9">
        <f t="shared" si="51"/>
        <v>9250</v>
      </c>
      <c r="O84" s="9">
        <f t="shared" si="52"/>
        <v>0</v>
      </c>
      <c r="P84" s="9">
        <f t="shared" si="53"/>
        <v>0</v>
      </c>
      <c r="Q84" s="9">
        <f t="shared" si="54"/>
        <v>9250</v>
      </c>
      <c r="S84" s="10">
        <f t="shared" si="55"/>
        <v>14</v>
      </c>
      <c r="T84" s="9">
        <f t="shared" si="46"/>
        <v>19973.855561124012</v>
      </c>
      <c r="U84" s="9">
        <f t="shared" si="56"/>
        <v>0</v>
      </c>
      <c r="V84" s="9">
        <f t="shared" si="57"/>
        <v>9250</v>
      </c>
      <c r="W84" s="9">
        <f t="shared" si="58"/>
        <v>0</v>
      </c>
      <c r="X84" s="9">
        <f t="shared" si="59"/>
        <v>0</v>
      </c>
      <c r="Y84" s="9">
        <f t="shared" si="60"/>
        <v>9250</v>
      </c>
      <c r="AA84" s="10">
        <f t="shared" si="61"/>
        <v>14</v>
      </c>
      <c r="AB84" s="9">
        <f t="shared" si="47"/>
        <v>37491.307363811917</v>
      </c>
      <c r="AC84" s="9">
        <f t="shared" si="62"/>
        <v>917.66766274307247</v>
      </c>
      <c r="AD84" s="9">
        <f t="shared" si="63"/>
        <v>2893.2668628463516</v>
      </c>
      <c r="AE84" s="9">
        <f t="shared" si="64"/>
        <v>917.66766274307247</v>
      </c>
      <c r="AF84" s="9">
        <f t="shared" si="65"/>
        <v>606.68643166340075</v>
      </c>
      <c r="AG84" s="9">
        <f t="shared" si="66"/>
        <v>1975.5992001032791</v>
      </c>
      <c r="AI84" s="10">
        <f t="shared" si="67"/>
        <v>14</v>
      </c>
      <c r="AJ84" s="9">
        <f t="shared" si="48"/>
        <v>48716.449538911693</v>
      </c>
      <c r="AK84" s="9">
        <f t="shared" si="68"/>
        <v>1927.9304585020523</v>
      </c>
      <c r="AL84" s="9">
        <f t="shared" si="69"/>
        <v>0</v>
      </c>
      <c r="AM84" s="9">
        <f t="shared" si="70"/>
        <v>0</v>
      </c>
      <c r="AN84" s="9">
        <f t="shared" si="71"/>
        <v>0</v>
      </c>
      <c r="AO84" s="9">
        <f t="shared" si="72"/>
        <v>0</v>
      </c>
    </row>
    <row r="85" spans="11:41" x14ac:dyDescent="0.3">
      <c r="K85" s="10">
        <f t="shared" si="49"/>
        <v>15</v>
      </c>
      <c r="L85" s="9">
        <f t="shared" si="45"/>
        <v>27231.772166145212</v>
      </c>
      <c r="M85" s="9">
        <f t="shared" si="50"/>
        <v>0</v>
      </c>
      <c r="N85" s="9">
        <f t="shared" si="51"/>
        <v>9250</v>
      </c>
      <c r="O85" s="9">
        <f t="shared" si="52"/>
        <v>0</v>
      </c>
      <c r="P85" s="9">
        <f t="shared" si="53"/>
        <v>0</v>
      </c>
      <c r="Q85" s="9">
        <f t="shared" si="54"/>
        <v>9250</v>
      </c>
      <c r="S85" s="10">
        <f t="shared" si="55"/>
        <v>15</v>
      </c>
      <c r="T85" s="9">
        <f t="shared" si="46"/>
        <v>20373.332672346496</v>
      </c>
      <c r="U85" s="9">
        <f t="shared" si="56"/>
        <v>0</v>
      </c>
      <c r="V85" s="9">
        <f t="shared" si="57"/>
        <v>9250</v>
      </c>
      <c r="W85" s="9">
        <f t="shared" si="58"/>
        <v>0</v>
      </c>
      <c r="X85" s="9">
        <f t="shared" si="59"/>
        <v>0</v>
      </c>
      <c r="Y85" s="9">
        <f t="shared" si="60"/>
        <v>9250</v>
      </c>
      <c r="AA85" s="10">
        <f t="shared" si="61"/>
        <v>15</v>
      </c>
      <c r="AB85" s="9">
        <f t="shared" si="47"/>
        <v>38241.133511088163</v>
      </c>
      <c r="AC85" s="9">
        <f t="shared" si="62"/>
        <v>985.15201599793465</v>
      </c>
      <c r="AD85" s="9">
        <f t="shared" si="63"/>
        <v>1975.5992001032791</v>
      </c>
      <c r="AE85" s="9">
        <f t="shared" si="64"/>
        <v>985.15201599793465</v>
      </c>
      <c r="AF85" s="9">
        <f t="shared" si="65"/>
        <v>632.33159147023673</v>
      </c>
      <c r="AG85" s="9">
        <f t="shared" si="66"/>
        <v>990.44718410534449</v>
      </c>
      <c r="AI85" s="10">
        <f t="shared" si="67"/>
        <v>15</v>
      </c>
      <c r="AJ85" s="9">
        <f t="shared" si="48"/>
        <v>49690.778529689931</v>
      </c>
      <c r="AK85" s="9">
        <f t="shared" si="68"/>
        <v>2015.6200676720937</v>
      </c>
      <c r="AL85" s="9">
        <f t="shared" si="69"/>
        <v>0</v>
      </c>
      <c r="AM85" s="9">
        <f t="shared" si="70"/>
        <v>0</v>
      </c>
      <c r="AN85" s="9">
        <f t="shared" si="71"/>
        <v>0</v>
      </c>
      <c r="AO85" s="9">
        <f t="shared" si="72"/>
        <v>0</v>
      </c>
    </row>
    <row r="86" spans="11:41" x14ac:dyDescent="0.3">
      <c r="K86" s="10">
        <f t="shared" si="49"/>
        <v>16</v>
      </c>
      <c r="L86" s="9">
        <f t="shared" si="45"/>
        <v>27776.407609468108</v>
      </c>
      <c r="M86" s="9">
        <f t="shared" si="50"/>
        <v>43.326684852129688</v>
      </c>
      <c r="N86" s="9">
        <f t="shared" si="51"/>
        <v>9250</v>
      </c>
      <c r="O86" s="9">
        <f t="shared" si="52"/>
        <v>43.326684852129688</v>
      </c>
      <c r="P86" s="9">
        <f t="shared" si="53"/>
        <v>26.999757585856152</v>
      </c>
      <c r="Q86" s="9">
        <f t="shared" si="54"/>
        <v>9206.6733151478711</v>
      </c>
      <c r="S86" s="10">
        <f t="shared" si="55"/>
        <v>16</v>
      </c>
      <c r="T86" s="9">
        <f t="shared" si="46"/>
        <v>20780.799325793418</v>
      </c>
      <c r="U86" s="9">
        <f t="shared" si="56"/>
        <v>0</v>
      </c>
      <c r="V86" s="9">
        <f t="shared" si="57"/>
        <v>9250</v>
      </c>
      <c r="W86" s="9">
        <f t="shared" si="58"/>
        <v>0</v>
      </c>
      <c r="X86" s="9">
        <f t="shared" si="59"/>
        <v>0</v>
      </c>
      <c r="Y86" s="9">
        <f t="shared" si="60"/>
        <v>9250</v>
      </c>
      <c r="AA86" s="10">
        <f t="shared" si="61"/>
        <v>16</v>
      </c>
      <c r="AB86" s="9">
        <f t="shared" si="47"/>
        <v>39005.956181309914</v>
      </c>
      <c r="AC86" s="9">
        <f t="shared" si="62"/>
        <v>1053.9860563178922</v>
      </c>
      <c r="AD86" s="9">
        <f t="shared" si="63"/>
        <v>990.44718410534449</v>
      </c>
      <c r="AE86" s="9">
        <f t="shared" si="64"/>
        <v>990.44718410534449</v>
      </c>
      <c r="AF86" s="9">
        <f t="shared" si="65"/>
        <v>617.2139401781086</v>
      </c>
      <c r="AG86" s="9">
        <f t="shared" si="66"/>
        <v>0</v>
      </c>
      <c r="AI86" s="10">
        <f t="shared" si="67"/>
        <v>16</v>
      </c>
      <c r="AJ86" s="9">
        <f t="shared" si="48"/>
        <v>50684.594100283713</v>
      </c>
      <c r="AK86" s="9">
        <f t="shared" si="68"/>
        <v>2105.0634690255342</v>
      </c>
      <c r="AL86" s="9">
        <f t="shared" si="69"/>
        <v>0</v>
      </c>
      <c r="AM86" s="9">
        <f t="shared" si="70"/>
        <v>0</v>
      </c>
      <c r="AN86" s="9">
        <f t="shared" si="71"/>
        <v>0</v>
      </c>
      <c r="AO86" s="9">
        <f t="shared" si="72"/>
        <v>0</v>
      </c>
    </row>
    <row r="87" spans="11:41" x14ac:dyDescent="0.3">
      <c r="K87" s="10">
        <f t="shared" si="49"/>
        <v>17</v>
      </c>
      <c r="L87" s="9">
        <f t="shared" si="45"/>
        <v>28331.935761657474</v>
      </c>
      <c r="M87" s="9">
        <f t="shared" si="50"/>
        <v>93.324218549172684</v>
      </c>
      <c r="N87" s="9">
        <f t="shared" si="51"/>
        <v>9206.6733151478711</v>
      </c>
      <c r="O87" s="9">
        <f t="shared" si="52"/>
        <v>93.324218549172684</v>
      </c>
      <c r="P87" s="9">
        <f t="shared" si="53"/>
        <v>56.462687017861128</v>
      </c>
      <c r="Q87" s="9">
        <f t="shared" si="54"/>
        <v>9113.3490965986985</v>
      </c>
      <c r="S87" s="10">
        <f t="shared" si="55"/>
        <v>17</v>
      </c>
      <c r="T87" s="9">
        <f t="shared" si="46"/>
        <v>21196.415312309291</v>
      </c>
      <c r="U87" s="9">
        <f t="shared" si="56"/>
        <v>0</v>
      </c>
      <c r="V87" s="9">
        <f t="shared" si="57"/>
        <v>9250</v>
      </c>
      <c r="W87" s="9">
        <f t="shared" si="58"/>
        <v>0</v>
      </c>
      <c r="X87" s="9">
        <f t="shared" si="59"/>
        <v>0</v>
      </c>
      <c r="Y87" s="9">
        <f t="shared" si="60"/>
        <v>9250</v>
      </c>
      <c r="AA87" s="10">
        <f t="shared" si="61"/>
        <v>17</v>
      </c>
      <c r="AB87" s="9">
        <f t="shared" si="47"/>
        <v>39786.075304936116</v>
      </c>
      <c r="AC87" s="9">
        <f t="shared" si="62"/>
        <v>1124.1967774442503</v>
      </c>
      <c r="AD87" s="9">
        <f t="shared" si="63"/>
        <v>0</v>
      </c>
      <c r="AE87" s="9">
        <f t="shared" si="64"/>
        <v>0</v>
      </c>
      <c r="AF87" s="9">
        <f t="shared" si="65"/>
        <v>0</v>
      </c>
      <c r="AG87" s="9">
        <f t="shared" si="66"/>
        <v>0</v>
      </c>
      <c r="AI87" s="10">
        <f t="shared" si="67"/>
        <v>17</v>
      </c>
      <c r="AJ87" s="9">
        <f t="shared" si="48"/>
        <v>51698.285982289395</v>
      </c>
      <c r="AK87" s="9">
        <f t="shared" si="68"/>
        <v>2196.2957384060455</v>
      </c>
      <c r="AL87" s="9">
        <f t="shared" si="69"/>
        <v>0</v>
      </c>
      <c r="AM87" s="9">
        <f t="shared" si="70"/>
        <v>0</v>
      </c>
      <c r="AN87" s="9">
        <f t="shared" si="71"/>
        <v>0</v>
      </c>
      <c r="AO87" s="9">
        <f t="shared" si="72"/>
        <v>0</v>
      </c>
    </row>
    <row r="88" spans="11:41" x14ac:dyDescent="0.3">
      <c r="K88" s="10">
        <f t="shared" si="49"/>
        <v>18</v>
      </c>
      <c r="L88" s="9">
        <f t="shared" si="45"/>
        <v>28898.574476890626</v>
      </c>
      <c r="M88" s="9">
        <f t="shared" si="50"/>
        <v>144.32170292015635</v>
      </c>
      <c r="N88" s="9">
        <f t="shared" si="51"/>
        <v>9113.3490965986985</v>
      </c>
      <c r="O88" s="9">
        <f t="shared" si="52"/>
        <v>144.32170292015635</v>
      </c>
      <c r="P88" s="9">
        <f t="shared" si="53"/>
        <v>84.773790057298967</v>
      </c>
      <c r="Q88" s="9">
        <f t="shared" si="54"/>
        <v>8969.0273936785416</v>
      </c>
      <c r="S88" s="10">
        <f t="shared" si="55"/>
        <v>18</v>
      </c>
      <c r="T88" s="9">
        <f t="shared" si="46"/>
        <v>21620.343618555478</v>
      </c>
      <c r="U88" s="9">
        <f t="shared" si="56"/>
        <v>0</v>
      </c>
      <c r="V88" s="9">
        <f t="shared" si="57"/>
        <v>9250</v>
      </c>
      <c r="W88" s="9">
        <f t="shared" si="58"/>
        <v>0</v>
      </c>
      <c r="X88" s="9">
        <f t="shared" si="59"/>
        <v>0</v>
      </c>
      <c r="Y88" s="9">
        <f t="shared" si="60"/>
        <v>9250</v>
      </c>
      <c r="AA88" s="10">
        <f t="shared" si="61"/>
        <v>18</v>
      </c>
      <c r="AB88" s="9">
        <f t="shared" si="47"/>
        <v>40581.796811034845</v>
      </c>
      <c r="AC88" s="9">
        <f t="shared" si="62"/>
        <v>1195.8117129931359</v>
      </c>
      <c r="AD88" s="9">
        <f t="shared" si="63"/>
        <v>0</v>
      </c>
      <c r="AE88" s="9">
        <f t="shared" si="64"/>
        <v>0</v>
      </c>
      <c r="AF88" s="9">
        <f t="shared" si="65"/>
        <v>0</v>
      </c>
      <c r="AG88" s="9">
        <f t="shared" si="66"/>
        <v>0</v>
      </c>
      <c r="AI88" s="10">
        <f t="shared" si="67"/>
        <v>18</v>
      </c>
      <c r="AJ88" s="9">
        <f t="shared" si="48"/>
        <v>52732.251701935187</v>
      </c>
      <c r="AK88" s="9">
        <f t="shared" si="68"/>
        <v>2289.3526531741668</v>
      </c>
      <c r="AL88" s="9">
        <f t="shared" si="69"/>
        <v>0</v>
      </c>
      <c r="AM88" s="9">
        <f t="shared" si="70"/>
        <v>0</v>
      </c>
      <c r="AN88" s="9">
        <f t="shared" si="71"/>
        <v>0</v>
      </c>
      <c r="AO88" s="9">
        <f t="shared" si="72"/>
        <v>0</v>
      </c>
    </row>
    <row r="89" spans="11:41" x14ac:dyDescent="0.3">
      <c r="K89" s="10">
        <f>K88+1</f>
        <v>19</v>
      </c>
      <c r="L89" s="9">
        <f t="shared" si="45"/>
        <v>29476.545966428435</v>
      </c>
      <c r="M89" s="9">
        <f t="shared" si="50"/>
        <v>196.33913697855917</v>
      </c>
      <c r="N89" s="9">
        <f t="shared" si="51"/>
        <v>8969.0273936785416</v>
      </c>
      <c r="O89" s="9">
        <f t="shared" si="52"/>
        <v>196.33913697855917</v>
      </c>
      <c r="P89" s="9">
        <f t="shared" si="53"/>
        <v>111.9694663351848</v>
      </c>
      <c r="Q89" s="9">
        <f t="shared" si="54"/>
        <v>8772.688256699983</v>
      </c>
      <c r="S89" s="10">
        <f>S88+1</f>
        <v>19</v>
      </c>
      <c r="T89" s="9">
        <f t="shared" si="46"/>
        <v>22052.750490926584</v>
      </c>
      <c r="U89" s="9">
        <f t="shared" si="56"/>
        <v>0</v>
      </c>
      <c r="V89" s="9">
        <f t="shared" si="57"/>
        <v>9250</v>
      </c>
      <c r="W89" s="9">
        <f t="shared" si="58"/>
        <v>0</v>
      </c>
      <c r="X89" s="9">
        <f t="shared" si="59"/>
        <v>0</v>
      </c>
      <c r="Y89" s="9">
        <f t="shared" si="60"/>
        <v>9250</v>
      </c>
      <c r="AA89" s="10">
        <f>AA88+1</f>
        <v>19</v>
      </c>
      <c r="AB89" s="9">
        <f t="shared" si="47"/>
        <v>41393.432747255538</v>
      </c>
      <c r="AC89" s="9">
        <f t="shared" si="62"/>
        <v>1268.8589472529984</v>
      </c>
      <c r="AD89" s="9">
        <f t="shared" si="63"/>
        <v>0</v>
      </c>
      <c r="AE89" s="9">
        <f t="shared" si="64"/>
        <v>0</v>
      </c>
      <c r="AF89" s="9">
        <f t="shared" si="65"/>
        <v>0</v>
      </c>
      <c r="AG89" s="9">
        <f t="shared" si="66"/>
        <v>0</v>
      </c>
      <c r="AI89" s="10">
        <f>AI88+1</f>
        <v>19</v>
      </c>
      <c r="AJ89" s="9">
        <f t="shared" si="48"/>
        <v>53786.896735973889</v>
      </c>
      <c r="AK89" s="9">
        <f t="shared" si="68"/>
        <v>2384.2707062376498</v>
      </c>
      <c r="AL89" s="9">
        <f t="shared" si="69"/>
        <v>0</v>
      </c>
      <c r="AM89" s="9">
        <f t="shared" si="70"/>
        <v>0</v>
      </c>
      <c r="AN89" s="9">
        <f t="shared" si="71"/>
        <v>0</v>
      </c>
      <c r="AO89" s="9">
        <f t="shared" si="72"/>
        <v>0</v>
      </c>
    </row>
    <row r="90" spans="11:41" x14ac:dyDescent="0.3">
      <c r="K90" s="10">
        <f t="shared" ref="K90:K95" si="73">K89+1</f>
        <v>20</v>
      </c>
      <c r="L90" s="9">
        <f t="shared" si="45"/>
        <v>30066.076885757004</v>
      </c>
      <c r="M90" s="9">
        <f t="shared" si="50"/>
        <v>249.39691971813033</v>
      </c>
      <c r="N90" s="9">
        <f t="shared" si="51"/>
        <v>8772.688256699983</v>
      </c>
      <c r="O90" s="9">
        <f t="shared" si="52"/>
        <v>249.39691971813033</v>
      </c>
      <c r="P90" s="9">
        <f t="shared" si="53"/>
        <v>138.08502761668464</v>
      </c>
      <c r="Q90" s="9">
        <f t="shared" si="54"/>
        <v>8523.2913369818525</v>
      </c>
      <c r="S90" s="10">
        <f t="shared" ref="S90:S95" si="74">S89+1</f>
        <v>20</v>
      </c>
      <c r="T90" s="9">
        <f t="shared" si="46"/>
        <v>22493.805500745115</v>
      </c>
      <c r="U90" s="9">
        <f t="shared" si="56"/>
        <v>0</v>
      </c>
      <c r="V90" s="9">
        <f t="shared" si="57"/>
        <v>9250</v>
      </c>
      <c r="W90" s="9">
        <f t="shared" si="58"/>
        <v>0</v>
      </c>
      <c r="X90" s="9">
        <f t="shared" si="59"/>
        <v>0</v>
      </c>
      <c r="Y90" s="9">
        <f t="shared" si="60"/>
        <v>9250</v>
      </c>
      <c r="AA90" s="10">
        <f t="shared" ref="AA90:AA95" si="75">AA89+1</f>
        <v>20</v>
      </c>
      <c r="AB90" s="9">
        <f t="shared" si="47"/>
        <v>42221.301402200646</v>
      </c>
      <c r="AC90" s="9">
        <f t="shared" si="62"/>
        <v>1343.367126198058</v>
      </c>
      <c r="AD90" s="9">
        <f t="shared" si="63"/>
        <v>0</v>
      </c>
      <c r="AE90" s="9">
        <f t="shared" si="64"/>
        <v>0</v>
      </c>
      <c r="AF90" s="9">
        <f t="shared" si="65"/>
        <v>0</v>
      </c>
      <c r="AG90" s="9">
        <f t="shared" si="66"/>
        <v>0</v>
      </c>
      <c r="AI90" s="10">
        <f t="shared" ref="AI90:AI95" si="76">AI89+1</f>
        <v>20</v>
      </c>
      <c r="AJ90" s="9">
        <f t="shared" si="48"/>
        <v>54862.634670693362</v>
      </c>
      <c r="AK90" s="9">
        <f t="shared" si="68"/>
        <v>2481.0871203624024</v>
      </c>
      <c r="AL90" s="9">
        <f t="shared" si="69"/>
        <v>0</v>
      </c>
      <c r="AM90" s="9">
        <f t="shared" si="70"/>
        <v>0</v>
      </c>
      <c r="AN90" s="9">
        <f t="shared" si="71"/>
        <v>0</v>
      </c>
      <c r="AO90" s="9">
        <f t="shared" si="72"/>
        <v>0</v>
      </c>
    </row>
    <row r="91" spans="11:41" x14ac:dyDescent="0.3">
      <c r="K91" s="10">
        <f t="shared" si="73"/>
        <v>21</v>
      </c>
      <c r="L91" s="9">
        <f t="shared" si="45"/>
        <v>30667.398423472147</v>
      </c>
      <c r="M91" s="9">
        <f t="shared" si="50"/>
        <v>303.51585811249316</v>
      </c>
      <c r="N91" s="9">
        <f t="shared" si="51"/>
        <v>8523.2913369818525</v>
      </c>
      <c r="O91" s="9">
        <f t="shared" si="52"/>
        <v>303.51585811249316</v>
      </c>
      <c r="P91" s="9">
        <f t="shared" si="53"/>
        <v>163.15472975528866</v>
      </c>
      <c r="Q91" s="9">
        <f t="shared" si="54"/>
        <v>8219.7754788693601</v>
      </c>
      <c r="S91" s="10">
        <f t="shared" si="74"/>
        <v>21</v>
      </c>
      <c r="T91" s="9">
        <f t="shared" si="46"/>
        <v>22943.681610760021</v>
      </c>
      <c r="U91" s="9">
        <f t="shared" si="56"/>
        <v>0</v>
      </c>
      <c r="V91" s="9">
        <f t="shared" si="57"/>
        <v>9250</v>
      </c>
      <c r="W91" s="9">
        <f t="shared" si="58"/>
        <v>0</v>
      </c>
      <c r="X91" s="9">
        <f t="shared" si="59"/>
        <v>0</v>
      </c>
      <c r="Y91" s="9">
        <f t="shared" si="60"/>
        <v>9250</v>
      </c>
      <c r="AA91" s="10">
        <f t="shared" si="75"/>
        <v>21</v>
      </c>
      <c r="AB91" s="9">
        <f t="shared" si="47"/>
        <v>43065.72743024466</v>
      </c>
      <c r="AC91" s="9">
        <f t="shared" si="62"/>
        <v>1419.3654687220194</v>
      </c>
      <c r="AD91" s="9">
        <f t="shared" si="63"/>
        <v>0</v>
      </c>
      <c r="AE91" s="9">
        <f t="shared" si="64"/>
        <v>0</v>
      </c>
      <c r="AF91" s="9">
        <f t="shared" si="65"/>
        <v>0</v>
      </c>
      <c r="AG91" s="9">
        <f t="shared" si="66"/>
        <v>0</v>
      </c>
      <c r="AI91" s="10">
        <f t="shared" si="76"/>
        <v>21</v>
      </c>
      <c r="AJ91" s="9">
        <f t="shared" si="48"/>
        <v>55959.887364107235</v>
      </c>
      <c r="AK91" s="9">
        <f t="shared" si="68"/>
        <v>2579.8398627696511</v>
      </c>
      <c r="AL91" s="9">
        <f t="shared" si="69"/>
        <v>0</v>
      </c>
      <c r="AM91" s="9">
        <f t="shared" si="70"/>
        <v>0</v>
      </c>
      <c r="AN91" s="9">
        <f t="shared" si="71"/>
        <v>0</v>
      </c>
      <c r="AO91" s="9">
        <f t="shared" si="72"/>
        <v>0</v>
      </c>
    </row>
    <row r="92" spans="11:41" x14ac:dyDescent="0.3">
      <c r="K92" s="10">
        <f t="shared" si="73"/>
        <v>22</v>
      </c>
      <c r="L92" s="9">
        <f t="shared" si="45"/>
        <v>31280.746391941586</v>
      </c>
      <c r="M92" s="9">
        <f t="shared" si="50"/>
        <v>358.71717527474271</v>
      </c>
      <c r="N92" s="9">
        <f t="shared" si="51"/>
        <v>8219.7754788693601</v>
      </c>
      <c r="O92" s="9">
        <f t="shared" si="52"/>
        <v>358.71717527474271</v>
      </c>
      <c r="P92" s="9">
        <f t="shared" si="53"/>
        <v>187.21180371367225</v>
      </c>
      <c r="Q92" s="9">
        <f t="shared" si="54"/>
        <v>7861.0583035946174</v>
      </c>
      <c r="S92" s="10">
        <f t="shared" si="74"/>
        <v>22</v>
      </c>
      <c r="T92" s="9">
        <f t="shared" si="46"/>
        <v>23402.555242975221</v>
      </c>
      <c r="U92" s="9">
        <f t="shared" si="56"/>
        <v>0</v>
      </c>
      <c r="V92" s="9">
        <f t="shared" si="57"/>
        <v>9250</v>
      </c>
      <c r="W92" s="9">
        <f t="shared" si="58"/>
        <v>0</v>
      </c>
      <c r="X92" s="9">
        <f t="shared" si="59"/>
        <v>0</v>
      </c>
      <c r="Y92" s="9">
        <f t="shared" si="60"/>
        <v>9250</v>
      </c>
      <c r="AA92" s="10">
        <f t="shared" si="75"/>
        <v>22</v>
      </c>
      <c r="AB92" s="9">
        <f t="shared" si="47"/>
        <v>43927.041978849549</v>
      </c>
      <c r="AC92" s="9">
        <f t="shared" si="62"/>
        <v>1496.8837780964593</v>
      </c>
      <c r="AD92" s="9">
        <f t="shared" si="63"/>
        <v>0</v>
      </c>
      <c r="AE92" s="9">
        <f t="shared" si="64"/>
        <v>0</v>
      </c>
      <c r="AF92" s="9">
        <f t="shared" si="65"/>
        <v>0</v>
      </c>
      <c r="AG92" s="9">
        <f t="shared" si="66"/>
        <v>0</v>
      </c>
      <c r="AI92" s="10">
        <f t="shared" si="76"/>
        <v>22</v>
      </c>
      <c r="AJ92" s="9">
        <f t="shared" si="48"/>
        <v>57079.085111389373</v>
      </c>
      <c r="AK92" s="9">
        <f t="shared" si="68"/>
        <v>2680.5676600250436</v>
      </c>
      <c r="AL92" s="9">
        <f t="shared" si="69"/>
        <v>0</v>
      </c>
      <c r="AM92" s="9">
        <f t="shared" si="70"/>
        <v>0</v>
      </c>
      <c r="AN92" s="9">
        <f t="shared" si="71"/>
        <v>0</v>
      </c>
      <c r="AO92" s="9">
        <f t="shared" si="72"/>
        <v>0</v>
      </c>
    </row>
    <row r="93" spans="11:41" x14ac:dyDescent="0.3">
      <c r="K93" s="10">
        <f t="shared" si="73"/>
        <v>23</v>
      </c>
      <c r="L93" s="9">
        <f t="shared" si="45"/>
        <v>31906.361319780422</v>
      </c>
      <c r="M93" s="9">
        <f t="shared" si="50"/>
        <v>415.02251878023799</v>
      </c>
      <c r="N93" s="9">
        <f t="shared" si="51"/>
        <v>7861.0583035946174</v>
      </c>
      <c r="O93" s="9">
        <f t="shared" si="52"/>
        <v>415.02251878023799</v>
      </c>
      <c r="P93" s="9">
        <f t="shared" si="53"/>
        <v>210.28848567845458</v>
      </c>
      <c r="Q93" s="9">
        <f t="shared" si="54"/>
        <v>7446.0357848143794</v>
      </c>
      <c r="S93" s="10">
        <f t="shared" si="74"/>
        <v>23</v>
      </c>
      <c r="T93" s="9">
        <f t="shared" si="46"/>
        <v>23870.606347834724</v>
      </c>
      <c r="U93" s="9">
        <f t="shared" si="56"/>
        <v>0</v>
      </c>
      <c r="V93" s="9">
        <f t="shared" si="57"/>
        <v>9250</v>
      </c>
      <c r="W93" s="9">
        <f t="shared" si="58"/>
        <v>0</v>
      </c>
      <c r="X93" s="9">
        <f t="shared" si="59"/>
        <v>0</v>
      </c>
      <c r="Y93" s="9">
        <f t="shared" si="60"/>
        <v>9250</v>
      </c>
      <c r="AA93" s="10">
        <f t="shared" si="75"/>
        <v>23</v>
      </c>
      <c r="AB93" s="9">
        <f t="shared" si="47"/>
        <v>44805.582818426548</v>
      </c>
      <c r="AC93" s="9">
        <f t="shared" si="62"/>
        <v>1575.9524536583892</v>
      </c>
      <c r="AD93" s="9">
        <f t="shared" si="63"/>
        <v>0</v>
      </c>
      <c r="AE93" s="9">
        <f t="shared" si="64"/>
        <v>0</v>
      </c>
      <c r="AF93" s="9">
        <f t="shared" si="65"/>
        <v>0</v>
      </c>
      <c r="AG93" s="9">
        <f t="shared" si="66"/>
        <v>0</v>
      </c>
      <c r="AI93" s="10">
        <f t="shared" si="76"/>
        <v>23</v>
      </c>
      <c r="AJ93" s="9">
        <f t="shared" si="48"/>
        <v>58220.666813617165</v>
      </c>
      <c r="AK93" s="9">
        <f t="shared" si="68"/>
        <v>2783.3100132255449</v>
      </c>
      <c r="AL93" s="9">
        <f t="shared" si="69"/>
        <v>0</v>
      </c>
      <c r="AM93" s="9">
        <f t="shared" si="70"/>
        <v>0</v>
      </c>
      <c r="AN93" s="9">
        <f t="shared" si="71"/>
        <v>0</v>
      </c>
      <c r="AO93" s="9">
        <f t="shared" si="72"/>
        <v>0</v>
      </c>
    </row>
    <row r="94" spans="11:41" x14ac:dyDescent="0.3">
      <c r="K94" s="10">
        <f t="shared" si="73"/>
        <v>24</v>
      </c>
      <c r="L94" s="9">
        <f t="shared" si="45"/>
        <v>32544.488546176024</v>
      </c>
      <c r="M94" s="9">
        <f t="shared" si="50"/>
        <v>472.45396915584217</v>
      </c>
      <c r="N94" s="9">
        <f t="shared" si="51"/>
        <v>7446.0357848143794</v>
      </c>
      <c r="O94" s="9">
        <f t="shared" si="52"/>
        <v>472.45396915584217</v>
      </c>
      <c r="P94" s="9">
        <f t="shared" si="53"/>
        <v>232.41604629526478</v>
      </c>
      <c r="Q94" s="9">
        <f t="shared" si="54"/>
        <v>6973.5818156585374</v>
      </c>
      <c r="S94" s="10">
        <f t="shared" si="74"/>
        <v>24</v>
      </c>
      <c r="T94" s="9">
        <f t="shared" si="46"/>
        <v>24348.018474791414</v>
      </c>
      <c r="U94" s="9">
        <f t="shared" si="56"/>
        <v>0</v>
      </c>
      <c r="V94" s="9">
        <f t="shared" si="57"/>
        <v>9250</v>
      </c>
      <c r="W94" s="9">
        <f t="shared" si="58"/>
        <v>0</v>
      </c>
      <c r="X94" s="9">
        <f t="shared" si="59"/>
        <v>0</v>
      </c>
      <c r="Y94" s="9">
        <f t="shared" si="60"/>
        <v>9250</v>
      </c>
      <c r="AA94" s="10">
        <f t="shared" si="75"/>
        <v>24</v>
      </c>
      <c r="AB94" s="9">
        <f t="shared" si="47"/>
        <v>45701.694474795069</v>
      </c>
      <c r="AC94" s="9">
        <f t="shared" si="62"/>
        <v>1656.6025027315561</v>
      </c>
      <c r="AD94" s="9">
        <f t="shared" si="63"/>
        <v>0</v>
      </c>
      <c r="AE94" s="9">
        <f t="shared" si="64"/>
        <v>0</v>
      </c>
      <c r="AF94" s="9">
        <f t="shared" si="65"/>
        <v>0</v>
      </c>
      <c r="AG94" s="9">
        <f t="shared" si="66"/>
        <v>0</v>
      </c>
      <c r="AI94" s="10">
        <f t="shared" si="76"/>
        <v>24</v>
      </c>
      <c r="AJ94" s="9">
        <f t="shared" si="48"/>
        <v>59385.080149889502</v>
      </c>
      <c r="AK94" s="9">
        <f t="shared" si="68"/>
        <v>2888.1072134900551</v>
      </c>
      <c r="AL94" s="9">
        <f t="shared" si="69"/>
        <v>0</v>
      </c>
      <c r="AM94" s="9">
        <f t="shared" si="70"/>
        <v>0</v>
      </c>
      <c r="AN94" s="9">
        <f t="shared" si="71"/>
        <v>0</v>
      </c>
      <c r="AO94" s="9">
        <f t="shared" si="72"/>
        <v>0</v>
      </c>
    </row>
    <row r="95" spans="11:41" x14ac:dyDescent="0.3">
      <c r="K95" s="10">
        <f t="shared" si="73"/>
        <v>25</v>
      </c>
      <c r="L95" s="9">
        <f t="shared" si="45"/>
        <v>33195.378317099545</v>
      </c>
      <c r="M95" s="9">
        <f t="shared" si="50"/>
        <v>531.03404853895904</v>
      </c>
      <c r="N95" s="9">
        <f t="shared" si="51"/>
        <v>6973.5818156585374</v>
      </c>
      <c r="O95" s="9">
        <f t="shared" si="52"/>
        <v>531.03404853895904</v>
      </c>
      <c r="P95" s="9">
        <f t="shared" si="53"/>
        <v>253.62481904977335</v>
      </c>
      <c r="Q95" s="9">
        <f t="shared" si="54"/>
        <v>6442.5477671195786</v>
      </c>
      <c r="S95" s="10">
        <f t="shared" si="74"/>
        <v>25</v>
      </c>
      <c r="T95" s="9">
        <f t="shared" si="46"/>
        <v>24834.978844287245</v>
      </c>
      <c r="U95" s="9">
        <f t="shared" si="56"/>
        <v>0</v>
      </c>
      <c r="V95" s="9">
        <f t="shared" si="57"/>
        <v>9250</v>
      </c>
      <c r="W95" s="9">
        <f t="shared" si="58"/>
        <v>0</v>
      </c>
      <c r="X95" s="9">
        <f t="shared" si="59"/>
        <v>0</v>
      </c>
      <c r="Y95" s="9">
        <f t="shared" si="60"/>
        <v>9250</v>
      </c>
      <c r="AA95" s="10">
        <f t="shared" si="75"/>
        <v>25</v>
      </c>
      <c r="AB95" s="9">
        <f t="shared" si="47"/>
        <v>46615.728364290975</v>
      </c>
      <c r="AC95" s="9">
        <f t="shared" si="62"/>
        <v>1738.8655527861877</v>
      </c>
      <c r="AD95" s="9">
        <f t="shared" si="63"/>
        <v>0</v>
      </c>
      <c r="AE95" s="9">
        <f t="shared" si="64"/>
        <v>0</v>
      </c>
      <c r="AF95" s="9">
        <f t="shared" si="65"/>
        <v>0</v>
      </c>
      <c r="AG95" s="9">
        <f t="shared" si="66"/>
        <v>0</v>
      </c>
      <c r="AI95" s="10">
        <f t="shared" si="76"/>
        <v>25</v>
      </c>
      <c r="AJ95" s="9">
        <f t="shared" si="48"/>
        <v>60572.781752887291</v>
      </c>
      <c r="AK95" s="9">
        <f t="shared" si="68"/>
        <v>2995.0003577598559</v>
      </c>
      <c r="AL95" s="9">
        <f t="shared" si="69"/>
        <v>0</v>
      </c>
      <c r="AM95" s="9">
        <f t="shared" si="70"/>
        <v>0</v>
      </c>
      <c r="AN95" s="9">
        <f t="shared" si="71"/>
        <v>0</v>
      </c>
      <c r="AO95" s="9">
        <f t="shared" si="72"/>
        <v>0</v>
      </c>
    </row>
    <row r="96" spans="11:41" x14ac:dyDescent="0.3">
      <c r="K96" s="10">
        <f>K95+1</f>
        <v>26</v>
      </c>
      <c r="L96" s="9">
        <f t="shared" si="45"/>
        <v>33859.285883441538</v>
      </c>
      <c r="M96" s="9">
        <f t="shared" si="50"/>
        <v>590.78572950973842</v>
      </c>
      <c r="N96" s="9">
        <f t="shared" si="51"/>
        <v>6442.5477671195786</v>
      </c>
      <c r="O96" s="9">
        <f t="shared" si="52"/>
        <v>590.78572950973842</v>
      </c>
      <c r="P96" s="9">
        <f t="shared" si="53"/>
        <v>273.94422781957616</v>
      </c>
      <c r="Q96" s="9">
        <f t="shared" si="54"/>
        <v>5851.7620376098403</v>
      </c>
      <c r="S96" s="10">
        <f>S95+1</f>
        <v>26</v>
      </c>
      <c r="T96" s="9">
        <f t="shared" si="46"/>
        <v>25331.67842117299</v>
      </c>
      <c r="U96" s="9">
        <f t="shared" si="56"/>
        <v>0</v>
      </c>
      <c r="V96" s="9">
        <f t="shared" si="57"/>
        <v>9250</v>
      </c>
      <c r="W96" s="9">
        <f t="shared" si="58"/>
        <v>0</v>
      </c>
      <c r="X96" s="9">
        <f t="shared" si="59"/>
        <v>0</v>
      </c>
      <c r="Y96" s="9">
        <f t="shared" si="60"/>
        <v>9250</v>
      </c>
      <c r="AA96" s="10">
        <f>AA95+1</f>
        <v>26</v>
      </c>
      <c r="AB96" s="9">
        <f t="shared" si="47"/>
        <v>47548.042931576791</v>
      </c>
      <c r="AC96" s="9">
        <f t="shared" si="62"/>
        <v>1822.7738638419112</v>
      </c>
      <c r="AD96" s="9">
        <f t="shared" si="63"/>
        <v>0</v>
      </c>
      <c r="AE96" s="9">
        <f t="shared" si="64"/>
        <v>0</v>
      </c>
      <c r="AF96" s="9">
        <f t="shared" si="65"/>
        <v>0</v>
      </c>
      <c r="AG96" s="9">
        <f t="shared" si="66"/>
        <v>0</v>
      </c>
      <c r="AI96" s="10">
        <f>AI95+1</f>
        <v>26</v>
      </c>
      <c r="AJ96" s="9">
        <f t="shared" si="48"/>
        <v>61784.237387945039</v>
      </c>
      <c r="AK96" s="9">
        <f t="shared" si="68"/>
        <v>3104.0313649150535</v>
      </c>
      <c r="AL96" s="9">
        <f t="shared" si="69"/>
        <v>0</v>
      </c>
      <c r="AM96" s="9">
        <f t="shared" si="70"/>
        <v>0</v>
      </c>
      <c r="AN96" s="9">
        <f t="shared" si="71"/>
        <v>0</v>
      </c>
      <c r="AO96" s="9">
        <f t="shared" si="72"/>
        <v>0</v>
      </c>
    </row>
    <row r="97" spans="11:41" x14ac:dyDescent="0.3">
      <c r="K97" s="10">
        <f t="shared" ref="K97:K100" si="77">K96+1</f>
        <v>27</v>
      </c>
      <c r="L97" s="9">
        <f t="shared" si="45"/>
        <v>34536.471601110374</v>
      </c>
      <c r="M97" s="9">
        <f t="shared" si="50"/>
        <v>651.73244409993356</v>
      </c>
      <c r="N97" s="9">
        <f t="shared" si="51"/>
        <v>5851.7620376098403</v>
      </c>
      <c r="O97" s="9">
        <f t="shared" si="52"/>
        <v>651.73244409993356</v>
      </c>
      <c r="P97" s="9">
        <f t="shared" si="53"/>
        <v>293.40281362111563</v>
      </c>
      <c r="Q97" s="9">
        <f t="shared" si="54"/>
        <v>5200.0295935099066</v>
      </c>
      <c r="S97" s="10">
        <f t="shared" ref="S97:S100" si="78">S96+1</f>
        <v>27</v>
      </c>
      <c r="T97" s="9">
        <f t="shared" si="46"/>
        <v>25838.311989596452</v>
      </c>
      <c r="U97" s="9">
        <f t="shared" si="56"/>
        <v>0</v>
      </c>
      <c r="V97" s="9">
        <f t="shared" si="57"/>
        <v>9250</v>
      </c>
      <c r="W97" s="9">
        <f t="shared" si="58"/>
        <v>0</v>
      </c>
      <c r="X97" s="9">
        <f t="shared" si="59"/>
        <v>0</v>
      </c>
      <c r="Y97" s="9">
        <f t="shared" si="60"/>
        <v>9250</v>
      </c>
      <c r="AA97" s="10">
        <f t="shared" ref="AA97:AA100" si="79">AA96+1</f>
        <v>27</v>
      </c>
      <c r="AB97" s="9">
        <f t="shared" si="47"/>
        <v>48499.003790208335</v>
      </c>
      <c r="AC97" s="9">
        <f t="shared" si="62"/>
        <v>1908.3603411187501</v>
      </c>
      <c r="AD97" s="9">
        <f t="shared" si="63"/>
        <v>0</v>
      </c>
      <c r="AE97" s="9">
        <f t="shared" si="64"/>
        <v>0</v>
      </c>
      <c r="AF97" s="9">
        <f t="shared" si="65"/>
        <v>0</v>
      </c>
      <c r="AG97" s="9">
        <f t="shared" si="66"/>
        <v>0</v>
      </c>
      <c r="AI97" s="10">
        <f t="shared" ref="AI97:AI100" si="80">AI96+1</f>
        <v>27</v>
      </c>
      <c r="AJ97" s="9">
        <f t="shared" si="48"/>
        <v>63019.92213570395</v>
      </c>
      <c r="AK97" s="9">
        <f t="shared" si="68"/>
        <v>3215.2429922133551</v>
      </c>
      <c r="AL97" s="9">
        <f t="shared" si="69"/>
        <v>0</v>
      </c>
      <c r="AM97" s="9">
        <f t="shared" si="70"/>
        <v>0</v>
      </c>
      <c r="AN97" s="9">
        <f t="shared" si="71"/>
        <v>0</v>
      </c>
      <c r="AO97" s="9">
        <f t="shared" si="72"/>
        <v>0</v>
      </c>
    </row>
    <row r="98" spans="11:41" x14ac:dyDescent="0.3">
      <c r="K98" s="10">
        <f t="shared" si="77"/>
        <v>28</v>
      </c>
      <c r="L98" s="9">
        <f t="shared" si="45"/>
        <v>35227.201033132573</v>
      </c>
      <c r="M98" s="9">
        <f t="shared" si="50"/>
        <v>713.89809298193154</v>
      </c>
      <c r="N98" s="9">
        <f t="shared" si="51"/>
        <v>5200.0295935099066</v>
      </c>
      <c r="O98" s="9">
        <f t="shared" si="52"/>
        <v>713.89809298193154</v>
      </c>
      <c r="P98" s="9">
        <f t="shared" si="53"/>
        <v>312.02826057510123</v>
      </c>
      <c r="Q98" s="9">
        <f t="shared" si="54"/>
        <v>4486.1315005279748</v>
      </c>
      <c r="S98" s="10">
        <f t="shared" si="78"/>
        <v>28</v>
      </c>
      <c r="T98" s="9">
        <f t="shared" si="46"/>
        <v>26355.078229388375</v>
      </c>
      <c r="U98" s="9">
        <f t="shared" si="56"/>
        <v>0</v>
      </c>
      <c r="V98" s="9">
        <f t="shared" si="57"/>
        <v>9250</v>
      </c>
      <c r="W98" s="9">
        <f t="shared" si="58"/>
        <v>0</v>
      </c>
      <c r="X98" s="9">
        <f t="shared" si="59"/>
        <v>0</v>
      </c>
      <c r="Y98" s="9">
        <f t="shared" si="60"/>
        <v>9250</v>
      </c>
      <c r="AA98" s="10">
        <f t="shared" si="79"/>
        <v>28</v>
      </c>
      <c r="AB98" s="9">
        <f t="shared" si="47"/>
        <v>49468.983866012488</v>
      </c>
      <c r="AC98" s="9">
        <f t="shared" si="62"/>
        <v>1995.6585479411237</v>
      </c>
      <c r="AD98" s="9">
        <f t="shared" si="63"/>
        <v>0</v>
      </c>
      <c r="AE98" s="9">
        <f t="shared" si="64"/>
        <v>0</v>
      </c>
      <c r="AF98" s="9">
        <f t="shared" si="65"/>
        <v>0</v>
      </c>
      <c r="AG98" s="9">
        <f t="shared" si="66"/>
        <v>0</v>
      </c>
      <c r="AI98" s="10">
        <f t="shared" si="80"/>
        <v>28</v>
      </c>
      <c r="AJ98" s="9">
        <f t="shared" si="48"/>
        <v>64280.32057841801</v>
      </c>
      <c r="AK98" s="9">
        <f t="shared" si="68"/>
        <v>3328.6788520576206</v>
      </c>
      <c r="AL98" s="9">
        <f t="shared" si="69"/>
        <v>0</v>
      </c>
      <c r="AM98" s="9">
        <f t="shared" si="70"/>
        <v>0</v>
      </c>
      <c r="AN98" s="9">
        <f t="shared" si="71"/>
        <v>0</v>
      </c>
      <c r="AO98" s="9">
        <f t="shared" si="72"/>
        <v>0</v>
      </c>
    </row>
    <row r="99" spans="11:41" x14ac:dyDescent="0.3">
      <c r="K99" s="10">
        <f t="shared" si="77"/>
        <v>29</v>
      </c>
      <c r="L99" s="9">
        <f t="shared" si="45"/>
        <v>35931.745053795232</v>
      </c>
      <c r="M99" s="9">
        <f t="shared" si="50"/>
        <v>777.30705484157079</v>
      </c>
      <c r="N99" s="9">
        <f t="shared" si="51"/>
        <v>4486.1315005279748</v>
      </c>
      <c r="O99" s="9">
        <f t="shared" si="52"/>
        <v>777.30705484157079</v>
      </c>
      <c r="P99" s="9">
        <f t="shared" si="53"/>
        <v>329.84742111322305</v>
      </c>
      <c r="Q99" s="9">
        <f t="shared" si="54"/>
        <v>3708.824445686404</v>
      </c>
      <c r="S99" s="10">
        <f t="shared" si="78"/>
        <v>29</v>
      </c>
      <c r="T99" s="9">
        <f t="shared" si="46"/>
        <v>26882.179793976149</v>
      </c>
      <c r="U99" s="9">
        <f t="shared" si="56"/>
        <v>0</v>
      </c>
      <c r="V99" s="9">
        <f t="shared" si="57"/>
        <v>9250</v>
      </c>
      <c r="W99" s="9">
        <f t="shared" si="58"/>
        <v>0</v>
      </c>
      <c r="X99" s="9">
        <f t="shared" si="59"/>
        <v>0</v>
      </c>
      <c r="Y99" s="9">
        <f t="shared" si="60"/>
        <v>9250</v>
      </c>
      <c r="AA99" s="10">
        <f t="shared" si="79"/>
        <v>29</v>
      </c>
      <c r="AB99" s="9">
        <f t="shared" si="47"/>
        <v>50458.363543332751</v>
      </c>
      <c r="AC99" s="9">
        <f t="shared" si="62"/>
        <v>2084.7027188999473</v>
      </c>
      <c r="AD99" s="9">
        <f t="shared" si="63"/>
        <v>0</v>
      </c>
      <c r="AE99" s="9">
        <f t="shared" si="64"/>
        <v>0</v>
      </c>
      <c r="AF99" s="9">
        <f t="shared" si="65"/>
        <v>0</v>
      </c>
      <c r="AG99" s="9">
        <f t="shared" si="66"/>
        <v>0</v>
      </c>
      <c r="AI99" s="10">
        <f t="shared" si="80"/>
        <v>29</v>
      </c>
      <c r="AJ99" s="9">
        <f t="shared" si="48"/>
        <v>65565.926989986387</v>
      </c>
      <c r="AK99" s="9">
        <f t="shared" si="68"/>
        <v>3444.3834290987747</v>
      </c>
      <c r="AL99" s="9">
        <f t="shared" si="69"/>
        <v>0</v>
      </c>
      <c r="AM99" s="9">
        <f t="shared" si="70"/>
        <v>0</v>
      </c>
      <c r="AN99" s="9">
        <f t="shared" si="71"/>
        <v>0</v>
      </c>
      <c r="AO99" s="9">
        <f t="shared" si="72"/>
        <v>0</v>
      </c>
    </row>
    <row r="100" spans="11:41" x14ac:dyDescent="0.3">
      <c r="K100" s="10">
        <f t="shared" si="77"/>
        <v>30</v>
      </c>
      <c r="L100" s="9">
        <f t="shared" si="45"/>
        <v>36650.379954871132</v>
      </c>
      <c r="M100" s="9">
        <f t="shared" si="50"/>
        <v>841.98419593840185</v>
      </c>
      <c r="N100" s="9">
        <f t="shared" si="51"/>
        <v>3708.824445686404</v>
      </c>
      <c r="O100" s="9">
        <f t="shared" si="52"/>
        <v>841.98419593840185</v>
      </c>
      <c r="P100" s="9">
        <f t="shared" si="53"/>
        <v>346.88634044826858</v>
      </c>
      <c r="Q100" s="9">
        <f t="shared" si="54"/>
        <v>2866.840249748002</v>
      </c>
      <c r="S100" s="10">
        <f t="shared" si="78"/>
        <v>30</v>
      </c>
      <c r="T100" s="9">
        <f t="shared" si="46"/>
        <v>27419.823389855668</v>
      </c>
      <c r="U100" s="9">
        <f t="shared" si="56"/>
        <v>11.234105087010139</v>
      </c>
      <c r="V100" s="9">
        <f t="shared" si="57"/>
        <v>9250</v>
      </c>
      <c r="W100" s="9">
        <f t="shared" si="58"/>
        <v>11.234105087010139</v>
      </c>
      <c r="X100" s="9">
        <f t="shared" si="59"/>
        <v>4.6283025508584723</v>
      </c>
      <c r="Y100" s="9">
        <f t="shared" si="60"/>
        <v>9238.7658949129891</v>
      </c>
      <c r="AA100" s="10">
        <f t="shared" si="79"/>
        <v>30</v>
      </c>
      <c r="AB100" s="9">
        <f t="shared" si="47"/>
        <v>51467.530814199396</v>
      </c>
      <c r="AC100" s="9">
        <f t="shared" si="62"/>
        <v>2175.5277732779455</v>
      </c>
      <c r="AD100" s="9">
        <f t="shared" si="63"/>
        <v>0</v>
      </c>
      <c r="AE100" s="9">
        <f t="shared" si="64"/>
        <v>0</v>
      </c>
      <c r="AF100" s="9">
        <f t="shared" si="65"/>
        <v>0</v>
      </c>
      <c r="AG100" s="9">
        <f t="shared" si="66"/>
        <v>0</v>
      </c>
      <c r="AI100" s="10">
        <f t="shared" si="80"/>
        <v>30</v>
      </c>
      <c r="AJ100" s="9">
        <f t="shared" si="48"/>
        <v>66877.245529786102</v>
      </c>
      <c r="AK100" s="9">
        <f t="shared" si="68"/>
        <v>3562.4020976807492</v>
      </c>
      <c r="AL100" s="9">
        <f t="shared" si="69"/>
        <v>0</v>
      </c>
      <c r="AM100" s="9">
        <f t="shared" si="70"/>
        <v>0</v>
      </c>
      <c r="AN100" s="9">
        <f t="shared" si="71"/>
        <v>0</v>
      </c>
      <c r="AO100" s="9">
        <f t="shared" si="72"/>
        <v>0</v>
      </c>
    </row>
    <row r="101" spans="11:41" x14ac:dyDescent="0.3">
      <c r="K101" s="9"/>
      <c r="L101" s="9"/>
      <c r="M101" s="9"/>
      <c r="N101" s="9"/>
      <c r="O101" s="9"/>
      <c r="P101" s="9"/>
      <c r="Q101" s="9"/>
      <c r="S101" s="9"/>
      <c r="T101" s="9"/>
      <c r="U101" s="9"/>
      <c r="V101" s="9"/>
      <c r="W101" s="9"/>
      <c r="X101" s="9"/>
      <c r="Y101" s="9"/>
      <c r="AA101" s="9"/>
      <c r="AB101" s="9"/>
      <c r="AC101" s="9"/>
      <c r="AD101" s="9"/>
      <c r="AE101" s="9"/>
      <c r="AF101" s="9"/>
      <c r="AG101" s="9"/>
      <c r="AI101" s="9"/>
      <c r="AJ101" s="9"/>
      <c r="AK101" s="9"/>
      <c r="AL101" s="9"/>
      <c r="AM101" s="9"/>
      <c r="AN101" s="9"/>
      <c r="AO101" s="9"/>
    </row>
    <row r="103" spans="11:41" x14ac:dyDescent="0.3">
      <c r="K103" s="71" t="s">
        <v>68</v>
      </c>
      <c r="L103" s="72"/>
      <c r="M103" s="72"/>
      <c r="N103" s="72"/>
      <c r="O103" s="72"/>
      <c r="P103" s="72"/>
      <c r="Q103" s="73"/>
      <c r="S103" s="71" t="s">
        <v>69</v>
      </c>
      <c r="T103" s="72"/>
      <c r="U103" s="72"/>
      <c r="V103" s="72"/>
      <c r="W103" s="72"/>
      <c r="X103" s="72"/>
      <c r="Y103" s="73"/>
      <c r="AA103" s="71" t="s">
        <v>70</v>
      </c>
      <c r="AB103" s="72"/>
      <c r="AC103" s="72"/>
      <c r="AD103" s="72"/>
      <c r="AE103" s="72"/>
      <c r="AF103" s="72"/>
      <c r="AG103" s="73"/>
      <c r="AI103" s="71" t="s">
        <v>71</v>
      </c>
      <c r="AJ103" s="72"/>
      <c r="AK103" s="72"/>
      <c r="AL103" s="72"/>
      <c r="AM103" s="72"/>
      <c r="AN103" s="72"/>
      <c r="AO103" s="73"/>
    </row>
    <row r="104" spans="11:41" ht="43.2" x14ac:dyDescent="0.3">
      <c r="K104" s="14" t="s">
        <v>13</v>
      </c>
      <c r="L104" s="14" t="s">
        <v>14</v>
      </c>
      <c r="M104" s="14" t="s">
        <v>15</v>
      </c>
      <c r="N104" s="14" t="s">
        <v>16</v>
      </c>
      <c r="O104" s="14" t="s">
        <v>17</v>
      </c>
      <c r="P104" s="14" t="s">
        <v>18</v>
      </c>
      <c r="Q104" s="14" t="s">
        <v>19</v>
      </c>
      <c r="S104" s="14" t="s">
        <v>13</v>
      </c>
      <c r="T104" s="14" t="s">
        <v>14</v>
      </c>
      <c r="U104" s="14" t="s">
        <v>15</v>
      </c>
      <c r="V104" s="14" t="s">
        <v>16</v>
      </c>
      <c r="W104" s="14" t="s">
        <v>17</v>
      </c>
      <c r="X104" s="14" t="s">
        <v>18</v>
      </c>
      <c r="Y104" s="14" t="s">
        <v>19</v>
      </c>
      <c r="AA104" s="14" t="s">
        <v>13</v>
      </c>
      <c r="AB104" s="14" t="s">
        <v>14</v>
      </c>
      <c r="AC104" s="14" t="s">
        <v>15</v>
      </c>
      <c r="AD104" s="14" t="s">
        <v>16</v>
      </c>
      <c r="AE104" s="14" t="s">
        <v>17</v>
      </c>
      <c r="AF104" s="14" t="s">
        <v>18</v>
      </c>
      <c r="AG104" s="14" t="s">
        <v>19</v>
      </c>
      <c r="AI104" s="14" t="s">
        <v>13</v>
      </c>
      <c r="AJ104" s="14" t="s">
        <v>14</v>
      </c>
      <c r="AK104" s="14" t="s">
        <v>15</v>
      </c>
      <c r="AL104" s="14" t="s">
        <v>16</v>
      </c>
      <c r="AM104" s="14" t="s">
        <v>17</v>
      </c>
      <c r="AN104" s="14" t="s">
        <v>18</v>
      </c>
      <c r="AO104" s="14" t="s">
        <v>19</v>
      </c>
    </row>
    <row r="105" spans="11:41" x14ac:dyDescent="0.3">
      <c r="K105" s="10">
        <v>1</v>
      </c>
      <c r="L105" s="9">
        <f>$F$12*(1+$B$7)^(K105-1)</f>
        <v>20163.560000000001</v>
      </c>
      <c r="M105" s="9">
        <f>$B$5*MAX(0,L105-$B$6)</f>
        <v>0</v>
      </c>
      <c r="N105" s="9">
        <f>$B$2</f>
        <v>9250</v>
      </c>
      <c r="O105" s="9">
        <f>MIN(M105,N105)</f>
        <v>0</v>
      </c>
      <c r="P105" s="9">
        <f>O105/(1+$B$8)^K105</f>
        <v>0</v>
      </c>
      <c r="Q105" s="9">
        <f>N105-O105</f>
        <v>9250</v>
      </c>
      <c r="S105" s="10">
        <v>1</v>
      </c>
      <c r="T105" s="9">
        <f>$F$13*(1+$B$7)^(S105-1)</f>
        <v>28829.78</v>
      </c>
      <c r="U105" s="9">
        <f>$B$5*MAX(0,T105-$B$6)</f>
        <v>138.13019999999989</v>
      </c>
      <c r="V105" s="9">
        <f>$B$2</f>
        <v>9250</v>
      </c>
      <c r="W105" s="9">
        <f>MIN(U105,V105)</f>
        <v>138.13019999999989</v>
      </c>
      <c r="X105" s="9">
        <f>W105/(1+$B$8)^S105</f>
        <v>134.10699029126204</v>
      </c>
      <c r="Y105" s="9">
        <f>V105-W105</f>
        <v>9111.8698000000004</v>
      </c>
      <c r="AA105" s="10">
        <v>1</v>
      </c>
      <c r="AB105" s="9">
        <f>$F$14*(1+$B$7)^(AA105-1)</f>
        <v>23745.46</v>
      </c>
      <c r="AC105" s="9">
        <f>$B$5*MAX(0,AB105-$B$6)</f>
        <v>0</v>
      </c>
      <c r="AD105" s="9">
        <f>$B$2</f>
        <v>9250</v>
      </c>
      <c r="AE105" s="9">
        <f>MIN(AC105,AD105)</f>
        <v>0</v>
      </c>
      <c r="AF105" s="9">
        <f>AE105/(1+$B$8)^AA105</f>
        <v>0</v>
      </c>
      <c r="AG105" s="9">
        <f>AD105-AE105</f>
        <v>9250</v>
      </c>
      <c r="AI105" s="10">
        <v>1</v>
      </c>
      <c r="AJ105" s="9">
        <f>$F$15*(1+$B$7)^(AI105-1)</f>
        <v>19145.32</v>
      </c>
      <c r="AK105" s="9">
        <f>$B$5*MAX(0,AJ105-$B$6)</f>
        <v>0</v>
      </c>
      <c r="AL105" s="9">
        <f>$B$2</f>
        <v>9250</v>
      </c>
      <c r="AM105" s="9">
        <f>MIN(AK105,AL105)</f>
        <v>0</v>
      </c>
      <c r="AN105" s="9">
        <f>AM105/(1+$B$8)^AI105</f>
        <v>0</v>
      </c>
      <c r="AO105" s="9">
        <f>AL105-AM105</f>
        <v>9250</v>
      </c>
    </row>
    <row r="106" spans="11:41" x14ac:dyDescent="0.3">
      <c r="K106" s="10">
        <f>K105+1</f>
        <v>2</v>
      </c>
      <c r="L106" s="9">
        <f t="shared" ref="L106:L134" si="81">$F$12*(1+$B$7)^(K106-1)</f>
        <v>20566.831200000001</v>
      </c>
      <c r="M106" s="9">
        <f>$B$5*MAX(0,L106-$B$6)</f>
        <v>0</v>
      </c>
      <c r="N106" s="9">
        <f>Q105</f>
        <v>9250</v>
      </c>
      <c r="O106" s="9">
        <f>IF(N106&lt;=0,0,MIN(M106,N106))</f>
        <v>0</v>
      </c>
      <c r="P106" s="9">
        <f>O106/(1+$B$8)^K106</f>
        <v>0</v>
      </c>
      <c r="Q106" s="9">
        <f>MAX(0,N106-O106)</f>
        <v>9250</v>
      </c>
      <c r="S106" s="10">
        <f>S105+1</f>
        <v>2</v>
      </c>
      <c r="T106" s="9">
        <f t="shared" ref="T106:T134" si="82">$F$13*(1+$B$7)^(S106-1)</f>
        <v>29406.375599999999</v>
      </c>
      <c r="U106" s="9">
        <f>$B$5*MAX(0,T106-$B$6)</f>
        <v>190.02380399999993</v>
      </c>
      <c r="V106" s="9">
        <f>Y105</f>
        <v>9111.8698000000004</v>
      </c>
      <c r="W106" s="9">
        <f>IF(V106&lt;=0,0,MIN(U106,V106))</f>
        <v>190.02380399999993</v>
      </c>
      <c r="X106" s="9">
        <f>W106/(1+$B$8)^S106</f>
        <v>179.1156602884343</v>
      </c>
      <c r="Y106" s="9">
        <f>MAX(0,V106-W106)</f>
        <v>8921.845996</v>
      </c>
      <c r="AA106" s="10">
        <f>AA105+1</f>
        <v>2</v>
      </c>
      <c r="AB106" s="9">
        <f t="shared" ref="AB106:AB134" si="83">$F$14*(1+$B$7)^(AA106-1)</f>
        <v>24220.369200000001</v>
      </c>
      <c r="AC106" s="9">
        <f>$B$5*MAX(0,AB106-$B$6)</f>
        <v>0</v>
      </c>
      <c r="AD106" s="9">
        <f>AG105</f>
        <v>9250</v>
      </c>
      <c r="AE106" s="9">
        <f>IF(AD106&lt;=0,0,MIN(AC106,AD106))</f>
        <v>0</v>
      </c>
      <c r="AF106" s="9">
        <f>AE106/(1+$B$8)^AA106</f>
        <v>0</v>
      </c>
      <c r="AG106" s="9">
        <f>MAX(0,AD106-AE106)</f>
        <v>9250</v>
      </c>
      <c r="AI106" s="10">
        <f>AI105+1</f>
        <v>2</v>
      </c>
      <c r="AJ106" s="9">
        <f t="shared" ref="AJ106:AJ134" si="84">$F$15*(1+$B$7)^(AI106-1)</f>
        <v>19528.2264</v>
      </c>
      <c r="AK106" s="9">
        <f>$B$5*MAX(0,AJ106-$B$6)</f>
        <v>0</v>
      </c>
      <c r="AL106" s="9">
        <f>AO105</f>
        <v>9250</v>
      </c>
      <c r="AM106" s="9">
        <f>IF(AL106&lt;=0,0,MIN(AK106,AL106))</f>
        <v>0</v>
      </c>
      <c r="AN106" s="9">
        <f>AM106/(1+$B$8)^AI106</f>
        <v>0</v>
      </c>
      <c r="AO106" s="9">
        <f>MAX(0,AL106-AM106)</f>
        <v>9250</v>
      </c>
    </row>
    <row r="107" spans="11:41" x14ac:dyDescent="0.3">
      <c r="K107" s="10">
        <f t="shared" ref="K107:K122" si="85">K106+1</f>
        <v>3</v>
      </c>
      <c r="L107" s="9">
        <f t="shared" si="81"/>
        <v>20978.167824</v>
      </c>
      <c r="M107" s="9">
        <f t="shared" ref="M107:M134" si="86">$B$5*MAX(0,L107-$B$6)</f>
        <v>0</v>
      </c>
      <c r="N107" s="9">
        <f t="shared" ref="N107:N134" si="87">Q106</f>
        <v>9250</v>
      </c>
      <c r="O107" s="9">
        <f t="shared" ref="O107:O134" si="88">IF(N107&lt;=0,0,MIN(M107,N107))</f>
        <v>0</v>
      </c>
      <c r="P107" s="9">
        <f t="shared" ref="P107:P134" si="89">O107/(1+$B$8)^K107</f>
        <v>0</v>
      </c>
      <c r="Q107" s="9">
        <f t="shared" ref="Q107:Q134" si="90">MAX(0,N107-O107)</f>
        <v>9250</v>
      </c>
      <c r="S107" s="10">
        <f t="shared" ref="S107:S122" si="91">S106+1</f>
        <v>3</v>
      </c>
      <c r="T107" s="9">
        <f t="shared" si="82"/>
        <v>29994.503111999999</v>
      </c>
      <c r="U107" s="9">
        <f t="shared" ref="U107:U134" si="92">$B$5*MAX(0,T107-$B$6)</f>
        <v>242.95528007999985</v>
      </c>
      <c r="V107" s="9">
        <f t="shared" ref="V107:V134" si="93">Y106</f>
        <v>8921.845996</v>
      </c>
      <c r="W107" s="9">
        <f t="shared" ref="W107:W134" si="94">IF(V107&lt;=0,0,MIN(U107,V107))</f>
        <v>242.95528007999985</v>
      </c>
      <c r="X107" s="9">
        <f t="shared" ref="X107:X134" si="95">W107/(1+$B$8)^S107</f>
        <v>222.3384981610227</v>
      </c>
      <c r="Y107" s="9">
        <f t="shared" ref="Y107:Y134" si="96">MAX(0,V107-W107)</f>
        <v>8678.8907159200007</v>
      </c>
      <c r="AA107" s="10">
        <f t="shared" ref="AA107:AA122" si="97">AA106+1</f>
        <v>3</v>
      </c>
      <c r="AB107" s="9">
        <f t="shared" si="83"/>
        <v>24704.776583999999</v>
      </c>
      <c r="AC107" s="9">
        <f t="shared" ref="AC107:AC134" si="98">$B$5*MAX(0,AB107-$B$6)</f>
        <v>0</v>
      </c>
      <c r="AD107" s="9">
        <f t="shared" ref="AD107:AD134" si="99">AG106</f>
        <v>9250</v>
      </c>
      <c r="AE107" s="9">
        <f t="shared" ref="AE107:AE134" si="100">IF(AD107&lt;=0,0,MIN(AC107,AD107))</f>
        <v>0</v>
      </c>
      <c r="AF107" s="9">
        <f t="shared" ref="AF107:AF134" si="101">AE107/(1+$B$8)^AA107</f>
        <v>0</v>
      </c>
      <c r="AG107" s="9">
        <f t="shared" ref="AG107:AG134" si="102">MAX(0,AD107-AE107)</f>
        <v>9250</v>
      </c>
      <c r="AI107" s="10">
        <f t="shared" ref="AI107:AI122" si="103">AI106+1</f>
        <v>3</v>
      </c>
      <c r="AJ107" s="9">
        <f t="shared" si="84"/>
        <v>19918.790927999999</v>
      </c>
      <c r="AK107" s="9">
        <f t="shared" ref="AK107:AK134" si="104">$B$5*MAX(0,AJ107-$B$6)</f>
        <v>0</v>
      </c>
      <c r="AL107" s="9">
        <f t="shared" ref="AL107:AL134" si="105">AO106</f>
        <v>9250</v>
      </c>
      <c r="AM107" s="9">
        <f t="shared" ref="AM107:AM134" si="106">IF(AL107&lt;=0,0,MIN(AK107,AL107))</f>
        <v>0</v>
      </c>
      <c r="AN107" s="9">
        <f t="shared" ref="AN107:AN134" si="107">AM107/(1+$B$8)^AI107</f>
        <v>0</v>
      </c>
      <c r="AO107" s="9">
        <f t="shared" ref="AO107:AO134" si="108">MAX(0,AL107-AM107)</f>
        <v>9250</v>
      </c>
    </row>
    <row r="108" spans="11:41" x14ac:dyDescent="0.3">
      <c r="K108" s="10">
        <f t="shared" si="85"/>
        <v>4</v>
      </c>
      <c r="L108" s="9">
        <f t="shared" si="81"/>
        <v>21397.731180480001</v>
      </c>
      <c r="M108" s="9">
        <f t="shared" si="86"/>
        <v>0</v>
      </c>
      <c r="N108" s="9">
        <f t="shared" si="87"/>
        <v>9250</v>
      </c>
      <c r="O108" s="9">
        <f t="shared" si="88"/>
        <v>0</v>
      </c>
      <c r="P108" s="9">
        <f t="shared" si="89"/>
        <v>0</v>
      </c>
      <c r="Q108" s="9">
        <f t="shared" si="90"/>
        <v>9250</v>
      </c>
      <c r="S108" s="10">
        <f t="shared" si="91"/>
        <v>4</v>
      </c>
      <c r="T108" s="9">
        <f t="shared" si="82"/>
        <v>30594.393174239998</v>
      </c>
      <c r="U108" s="9">
        <f t="shared" si="92"/>
        <v>296.94538568159982</v>
      </c>
      <c r="V108" s="9">
        <f t="shared" si="93"/>
        <v>8678.8907159200007</v>
      </c>
      <c r="W108" s="9">
        <f t="shared" si="94"/>
        <v>296.94538568159982</v>
      </c>
      <c r="X108" s="9">
        <f t="shared" si="95"/>
        <v>263.83212911643034</v>
      </c>
      <c r="Y108" s="9">
        <f t="shared" si="96"/>
        <v>8381.9453302384009</v>
      </c>
      <c r="AA108" s="10">
        <f t="shared" si="97"/>
        <v>4</v>
      </c>
      <c r="AB108" s="9">
        <f t="shared" si="83"/>
        <v>25198.872115679998</v>
      </c>
      <c r="AC108" s="9">
        <f t="shared" si="98"/>
        <v>0</v>
      </c>
      <c r="AD108" s="9">
        <f t="shared" si="99"/>
        <v>9250</v>
      </c>
      <c r="AE108" s="9">
        <f t="shared" si="100"/>
        <v>0</v>
      </c>
      <c r="AF108" s="9">
        <f t="shared" si="101"/>
        <v>0</v>
      </c>
      <c r="AG108" s="9">
        <f t="shared" si="102"/>
        <v>9250</v>
      </c>
      <c r="AI108" s="10">
        <f t="shared" si="103"/>
        <v>4</v>
      </c>
      <c r="AJ108" s="9">
        <f t="shared" si="84"/>
        <v>20317.166746559997</v>
      </c>
      <c r="AK108" s="9">
        <f t="shared" si="104"/>
        <v>0</v>
      </c>
      <c r="AL108" s="9">
        <f t="shared" si="105"/>
        <v>9250</v>
      </c>
      <c r="AM108" s="9">
        <f t="shared" si="106"/>
        <v>0</v>
      </c>
      <c r="AN108" s="9">
        <f t="shared" si="107"/>
        <v>0</v>
      </c>
      <c r="AO108" s="9">
        <f t="shared" si="108"/>
        <v>9250</v>
      </c>
    </row>
    <row r="109" spans="11:41" x14ac:dyDescent="0.3">
      <c r="K109" s="10">
        <f t="shared" si="85"/>
        <v>5</v>
      </c>
      <c r="L109" s="9">
        <f t="shared" si="81"/>
        <v>21825.6858040896</v>
      </c>
      <c r="M109" s="9">
        <f t="shared" si="86"/>
        <v>0</v>
      </c>
      <c r="N109" s="9">
        <f t="shared" si="87"/>
        <v>9250</v>
      </c>
      <c r="O109" s="9">
        <f t="shared" si="88"/>
        <v>0</v>
      </c>
      <c r="P109" s="9">
        <f t="shared" si="89"/>
        <v>0</v>
      </c>
      <c r="Q109" s="9">
        <f t="shared" si="90"/>
        <v>9250</v>
      </c>
      <c r="S109" s="10">
        <f t="shared" si="91"/>
        <v>5</v>
      </c>
      <c r="T109" s="9">
        <f t="shared" si="82"/>
        <v>31206.281037724799</v>
      </c>
      <c r="U109" s="9">
        <f t="shared" si="92"/>
        <v>352.01529339523188</v>
      </c>
      <c r="V109" s="9">
        <f t="shared" si="93"/>
        <v>8381.9453302384009</v>
      </c>
      <c r="W109" s="9">
        <f t="shared" si="94"/>
        <v>352.01529339523188</v>
      </c>
      <c r="X109" s="9">
        <f t="shared" si="95"/>
        <v>303.65148432029582</v>
      </c>
      <c r="Y109" s="9">
        <f t="shared" si="96"/>
        <v>8029.9300368431686</v>
      </c>
      <c r="AA109" s="10">
        <f t="shared" si="97"/>
        <v>5</v>
      </c>
      <c r="AB109" s="9">
        <f t="shared" si="83"/>
        <v>25702.849557993599</v>
      </c>
      <c r="AC109" s="9">
        <f t="shared" si="98"/>
        <v>0</v>
      </c>
      <c r="AD109" s="9">
        <f t="shared" si="99"/>
        <v>9250</v>
      </c>
      <c r="AE109" s="9">
        <f t="shared" si="100"/>
        <v>0</v>
      </c>
      <c r="AF109" s="9">
        <f t="shared" si="101"/>
        <v>0</v>
      </c>
      <c r="AG109" s="9">
        <f t="shared" si="102"/>
        <v>9250</v>
      </c>
      <c r="AI109" s="10">
        <f t="shared" si="103"/>
        <v>5</v>
      </c>
      <c r="AJ109" s="9">
        <f t="shared" si="84"/>
        <v>20723.5100814912</v>
      </c>
      <c r="AK109" s="9">
        <f t="shared" si="104"/>
        <v>0</v>
      </c>
      <c r="AL109" s="9">
        <f t="shared" si="105"/>
        <v>9250</v>
      </c>
      <c r="AM109" s="9">
        <f t="shared" si="106"/>
        <v>0</v>
      </c>
      <c r="AN109" s="9">
        <f t="shared" si="107"/>
        <v>0</v>
      </c>
      <c r="AO109" s="9">
        <f t="shared" si="108"/>
        <v>9250</v>
      </c>
    </row>
    <row r="110" spans="11:41" x14ac:dyDescent="0.3">
      <c r="K110" s="10">
        <f t="shared" si="85"/>
        <v>6</v>
      </c>
      <c r="L110" s="9">
        <f t="shared" si="81"/>
        <v>22262.199520171394</v>
      </c>
      <c r="M110" s="9">
        <f t="shared" si="86"/>
        <v>0</v>
      </c>
      <c r="N110" s="9">
        <f t="shared" si="87"/>
        <v>9250</v>
      </c>
      <c r="O110" s="9">
        <f t="shared" si="88"/>
        <v>0</v>
      </c>
      <c r="P110" s="9">
        <f t="shared" si="89"/>
        <v>0</v>
      </c>
      <c r="Q110" s="9">
        <f t="shared" si="90"/>
        <v>9250</v>
      </c>
      <c r="S110" s="10">
        <f t="shared" si="91"/>
        <v>6</v>
      </c>
      <c r="T110" s="9">
        <f t="shared" si="82"/>
        <v>31830.406658479296</v>
      </c>
      <c r="U110" s="9">
        <f t="shared" si="92"/>
        <v>408.18659926313666</v>
      </c>
      <c r="V110" s="9">
        <f t="shared" si="93"/>
        <v>8029.9300368431686</v>
      </c>
      <c r="W110" s="9">
        <f t="shared" si="94"/>
        <v>408.18659926313666</v>
      </c>
      <c r="X110" s="9">
        <f t="shared" si="95"/>
        <v>341.8498506721167</v>
      </c>
      <c r="Y110" s="9">
        <f t="shared" si="96"/>
        <v>7621.7434375800322</v>
      </c>
      <c r="AA110" s="10">
        <f t="shared" si="97"/>
        <v>6</v>
      </c>
      <c r="AB110" s="9">
        <f t="shared" si="83"/>
        <v>26216.906549153471</v>
      </c>
      <c r="AC110" s="9">
        <f t="shared" si="98"/>
        <v>0</v>
      </c>
      <c r="AD110" s="9">
        <f t="shared" si="99"/>
        <v>9250</v>
      </c>
      <c r="AE110" s="9">
        <f t="shared" si="100"/>
        <v>0</v>
      </c>
      <c r="AF110" s="9">
        <f t="shared" si="101"/>
        <v>0</v>
      </c>
      <c r="AG110" s="9">
        <f t="shared" si="102"/>
        <v>9250</v>
      </c>
      <c r="AI110" s="10">
        <f t="shared" si="103"/>
        <v>6</v>
      </c>
      <c r="AJ110" s="9">
        <f t="shared" si="84"/>
        <v>21137.980283121025</v>
      </c>
      <c r="AK110" s="9">
        <f t="shared" si="104"/>
        <v>0</v>
      </c>
      <c r="AL110" s="9">
        <f t="shared" si="105"/>
        <v>9250</v>
      </c>
      <c r="AM110" s="9">
        <f t="shared" si="106"/>
        <v>0</v>
      </c>
      <c r="AN110" s="9">
        <f t="shared" si="107"/>
        <v>0</v>
      </c>
      <c r="AO110" s="9">
        <f t="shared" si="108"/>
        <v>9250</v>
      </c>
    </row>
    <row r="111" spans="11:41" x14ac:dyDescent="0.3">
      <c r="K111" s="10">
        <f t="shared" si="85"/>
        <v>7</v>
      </c>
      <c r="L111" s="9">
        <f t="shared" si="81"/>
        <v>22707.443510574823</v>
      </c>
      <c r="M111" s="9">
        <f t="shared" si="86"/>
        <v>0</v>
      </c>
      <c r="N111" s="9">
        <f t="shared" si="87"/>
        <v>9250</v>
      </c>
      <c r="O111" s="9">
        <f t="shared" si="88"/>
        <v>0</v>
      </c>
      <c r="P111" s="9">
        <f t="shared" si="89"/>
        <v>0</v>
      </c>
      <c r="Q111" s="9">
        <f t="shared" si="90"/>
        <v>9250</v>
      </c>
      <c r="S111" s="10">
        <f t="shared" si="91"/>
        <v>7</v>
      </c>
      <c r="T111" s="9">
        <f t="shared" si="82"/>
        <v>32467.014791648882</v>
      </c>
      <c r="U111" s="9">
        <f t="shared" si="92"/>
        <v>465.48133124839939</v>
      </c>
      <c r="V111" s="9">
        <f t="shared" si="93"/>
        <v>7621.7434375800322</v>
      </c>
      <c r="W111" s="9">
        <f t="shared" si="94"/>
        <v>465.48133124839939</v>
      </c>
      <c r="X111" s="9">
        <f t="shared" si="95"/>
        <v>378.47891912687732</v>
      </c>
      <c r="Y111" s="9">
        <f t="shared" si="96"/>
        <v>7156.2621063316328</v>
      </c>
      <c r="AA111" s="10">
        <f t="shared" si="97"/>
        <v>7</v>
      </c>
      <c r="AB111" s="9">
        <f t="shared" si="83"/>
        <v>26741.24468013654</v>
      </c>
      <c r="AC111" s="9">
        <f t="shared" si="98"/>
        <v>0</v>
      </c>
      <c r="AD111" s="9">
        <f t="shared" si="99"/>
        <v>9250</v>
      </c>
      <c r="AE111" s="9">
        <f t="shared" si="100"/>
        <v>0</v>
      </c>
      <c r="AF111" s="9">
        <f t="shared" si="101"/>
        <v>0</v>
      </c>
      <c r="AG111" s="9">
        <f t="shared" si="102"/>
        <v>9250</v>
      </c>
      <c r="AI111" s="10">
        <f t="shared" si="103"/>
        <v>7</v>
      </c>
      <c r="AJ111" s="9">
        <f t="shared" si="84"/>
        <v>21560.739888783446</v>
      </c>
      <c r="AK111" s="9">
        <f t="shared" si="104"/>
        <v>0</v>
      </c>
      <c r="AL111" s="9">
        <f t="shared" si="105"/>
        <v>9250</v>
      </c>
      <c r="AM111" s="9">
        <f t="shared" si="106"/>
        <v>0</v>
      </c>
      <c r="AN111" s="9">
        <f t="shared" si="107"/>
        <v>0</v>
      </c>
      <c r="AO111" s="9">
        <f t="shared" si="108"/>
        <v>9250</v>
      </c>
    </row>
    <row r="112" spans="11:41" x14ac:dyDescent="0.3">
      <c r="K112" s="10">
        <f t="shared" si="85"/>
        <v>8</v>
      </c>
      <c r="L112" s="9">
        <f t="shared" si="81"/>
        <v>23161.592380786315</v>
      </c>
      <c r="M112" s="9">
        <f t="shared" si="86"/>
        <v>0</v>
      </c>
      <c r="N112" s="9">
        <f t="shared" si="87"/>
        <v>9250</v>
      </c>
      <c r="O112" s="9">
        <f t="shared" si="88"/>
        <v>0</v>
      </c>
      <c r="P112" s="9">
        <f t="shared" si="89"/>
        <v>0</v>
      </c>
      <c r="Q112" s="9">
        <f t="shared" si="90"/>
        <v>9250</v>
      </c>
      <c r="S112" s="10">
        <f t="shared" si="91"/>
        <v>8</v>
      </c>
      <c r="T112" s="9">
        <f t="shared" si="82"/>
        <v>33116.355087481854</v>
      </c>
      <c r="U112" s="9">
        <f t="shared" si="92"/>
        <v>523.92195787336686</v>
      </c>
      <c r="V112" s="9">
        <f t="shared" si="93"/>
        <v>7156.2621063316328</v>
      </c>
      <c r="W112" s="9">
        <f t="shared" si="94"/>
        <v>523.92195787336686</v>
      </c>
      <c r="X112" s="9">
        <f t="shared" si="95"/>
        <v>413.58883160507264</v>
      </c>
      <c r="Y112" s="9">
        <f t="shared" si="96"/>
        <v>6632.3401484582664</v>
      </c>
      <c r="AA112" s="10">
        <f t="shared" si="97"/>
        <v>8</v>
      </c>
      <c r="AB112" s="9">
        <f t="shared" si="83"/>
        <v>27276.069573739267</v>
      </c>
      <c r="AC112" s="9">
        <f t="shared" si="98"/>
        <v>0</v>
      </c>
      <c r="AD112" s="9">
        <f t="shared" si="99"/>
        <v>9250</v>
      </c>
      <c r="AE112" s="9">
        <f t="shared" si="100"/>
        <v>0</v>
      </c>
      <c r="AF112" s="9">
        <f t="shared" si="101"/>
        <v>0</v>
      </c>
      <c r="AG112" s="9">
        <f t="shared" si="102"/>
        <v>9250</v>
      </c>
      <c r="AI112" s="10">
        <f t="shared" si="103"/>
        <v>8</v>
      </c>
      <c r="AJ112" s="9">
        <f t="shared" si="84"/>
        <v>21991.954686559111</v>
      </c>
      <c r="AK112" s="9">
        <f t="shared" si="104"/>
        <v>0</v>
      </c>
      <c r="AL112" s="9">
        <f t="shared" si="105"/>
        <v>9250</v>
      </c>
      <c r="AM112" s="9">
        <f t="shared" si="106"/>
        <v>0</v>
      </c>
      <c r="AN112" s="9">
        <f t="shared" si="107"/>
        <v>0</v>
      </c>
      <c r="AO112" s="9">
        <f t="shared" si="108"/>
        <v>9250</v>
      </c>
    </row>
    <row r="113" spans="11:41" x14ac:dyDescent="0.3">
      <c r="K113" s="10">
        <f t="shared" si="85"/>
        <v>9</v>
      </c>
      <c r="L113" s="9">
        <f t="shared" si="81"/>
        <v>23624.824228402042</v>
      </c>
      <c r="M113" s="9">
        <f t="shared" si="86"/>
        <v>0</v>
      </c>
      <c r="N113" s="9">
        <f t="shared" si="87"/>
        <v>9250</v>
      </c>
      <c r="O113" s="9">
        <f t="shared" si="88"/>
        <v>0</v>
      </c>
      <c r="P113" s="9">
        <f t="shared" si="89"/>
        <v>0</v>
      </c>
      <c r="Q113" s="9">
        <f t="shared" si="90"/>
        <v>9250</v>
      </c>
      <c r="S113" s="10">
        <f t="shared" si="91"/>
        <v>9</v>
      </c>
      <c r="T113" s="9">
        <f t="shared" si="82"/>
        <v>33778.682189231491</v>
      </c>
      <c r="U113" s="9">
        <f t="shared" si="92"/>
        <v>583.53139703083423</v>
      </c>
      <c r="V113" s="9">
        <f t="shared" si="93"/>
        <v>6632.3401484582664</v>
      </c>
      <c r="W113" s="9">
        <f t="shared" si="94"/>
        <v>583.53139703083423</v>
      </c>
      <c r="X113" s="9">
        <f t="shared" si="95"/>
        <v>447.2282265322836</v>
      </c>
      <c r="Y113" s="9">
        <f t="shared" si="96"/>
        <v>6048.8087514274321</v>
      </c>
      <c r="AA113" s="10">
        <f t="shared" si="97"/>
        <v>9</v>
      </c>
      <c r="AB113" s="9">
        <f t="shared" si="83"/>
        <v>27821.590965214054</v>
      </c>
      <c r="AC113" s="9">
        <f t="shared" si="98"/>
        <v>47.393186869264902</v>
      </c>
      <c r="AD113" s="9">
        <f t="shared" si="99"/>
        <v>9250</v>
      </c>
      <c r="AE113" s="9">
        <f t="shared" si="100"/>
        <v>47.393186869264902</v>
      </c>
      <c r="AF113" s="9">
        <f t="shared" si="101"/>
        <v>36.322931415692892</v>
      </c>
      <c r="AG113" s="9">
        <f t="shared" si="102"/>
        <v>9202.6068131307347</v>
      </c>
      <c r="AI113" s="10">
        <f t="shared" si="103"/>
        <v>9</v>
      </c>
      <c r="AJ113" s="9">
        <f t="shared" si="84"/>
        <v>22431.793780290292</v>
      </c>
      <c r="AK113" s="9">
        <f t="shared" si="104"/>
        <v>0</v>
      </c>
      <c r="AL113" s="9">
        <f t="shared" si="105"/>
        <v>9250</v>
      </c>
      <c r="AM113" s="9">
        <f t="shared" si="106"/>
        <v>0</v>
      </c>
      <c r="AN113" s="9">
        <f t="shared" si="107"/>
        <v>0</v>
      </c>
      <c r="AO113" s="9">
        <f t="shared" si="108"/>
        <v>9250</v>
      </c>
    </row>
    <row r="114" spans="11:41" x14ac:dyDescent="0.3">
      <c r="K114" s="10">
        <f t="shared" si="85"/>
        <v>10</v>
      </c>
      <c r="L114" s="9">
        <f t="shared" si="81"/>
        <v>24097.320712970082</v>
      </c>
      <c r="M114" s="9">
        <f t="shared" si="86"/>
        <v>0</v>
      </c>
      <c r="N114" s="9">
        <f t="shared" si="87"/>
        <v>9250</v>
      </c>
      <c r="O114" s="9">
        <f t="shared" si="88"/>
        <v>0</v>
      </c>
      <c r="P114" s="9">
        <f t="shared" si="89"/>
        <v>0</v>
      </c>
      <c r="Q114" s="9">
        <f t="shared" si="90"/>
        <v>9250</v>
      </c>
      <c r="S114" s="10">
        <f t="shared" si="91"/>
        <v>10</v>
      </c>
      <c r="T114" s="9">
        <f t="shared" si="82"/>
        <v>34454.255833016126</v>
      </c>
      <c r="U114" s="9">
        <f t="shared" si="92"/>
        <v>644.33302497145132</v>
      </c>
      <c r="V114" s="9">
        <f t="shared" si="93"/>
        <v>6048.8087514274321</v>
      </c>
      <c r="W114" s="9">
        <f t="shared" si="94"/>
        <v>644.33302497145132</v>
      </c>
      <c r="X114" s="9">
        <f t="shared" si="95"/>
        <v>479.44428304825658</v>
      </c>
      <c r="Y114" s="9">
        <f t="shared" si="96"/>
        <v>5404.4757264559812</v>
      </c>
      <c r="AA114" s="10">
        <f t="shared" si="97"/>
        <v>10</v>
      </c>
      <c r="AB114" s="9">
        <f t="shared" si="83"/>
        <v>28378.022784518336</v>
      </c>
      <c r="AC114" s="9">
        <f t="shared" si="98"/>
        <v>97.472050606650257</v>
      </c>
      <c r="AD114" s="9">
        <f t="shared" si="99"/>
        <v>9202.6068131307347</v>
      </c>
      <c r="AE114" s="9">
        <f t="shared" si="100"/>
        <v>97.472050606650257</v>
      </c>
      <c r="AF114" s="9">
        <f t="shared" si="101"/>
        <v>72.528359728914111</v>
      </c>
      <c r="AG114" s="9">
        <f t="shared" si="102"/>
        <v>9105.1347625240851</v>
      </c>
      <c r="AI114" s="10">
        <f t="shared" si="103"/>
        <v>10</v>
      </c>
      <c r="AJ114" s="9">
        <f t="shared" si="84"/>
        <v>22880.4296558961</v>
      </c>
      <c r="AK114" s="9">
        <f t="shared" si="104"/>
        <v>0</v>
      </c>
      <c r="AL114" s="9">
        <f t="shared" si="105"/>
        <v>9250</v>
      </c>
      <c r="AM114" s="9">
        <f t="shared" si="106"/>
        <v>0</v>
      </c>
      <c r="AN114" s="9">
        <f t="shared" si="107"/>
        <v>0</v>
      </c>
      <c r="AO114" s="9">
        <f t="shared" si="108"/>
        <v>9250</v>
      </c>
    </row>
    <row r="115" spans="11:41" x14ac:dyDescent="0.3">
      <c r="K115" s="10">
        <f t="shared" si="85"/>
        <v>11</v>
      </c>
      <c r="L115" s="9">
        <f t="shared" si="81"/>
        <v>24579.267127229487</v>
      </c>
      <c r="M115" s="9">
        <f t="shared" si="86"/>
        <v>0</v>
      </c>
      <c r="N115" s="9">
        <f t="shared" si="87"/>
        <v>9250</v>
      </c>
      <c r="O115" s="9">
        <f t="shared" si="88"/>
        <v>0</v>
      </c>
      <c r="P115" s="9">
        <f t="shared" si="89"/>
        <v>0</v>
      </c>
      <c r="Q115" s="9">
        <f t="shared" si="90"/>
        <v>9250</v>
      </c>
      <c r="S115" s="10">
        <f t="shared" si="91"/>
        <v>11</v>
      </c>
      <c r="T115" s="9">
        <f t="shared" si="82"/>
        <v>35143.340949676451</v>
      </c>
      <c r="U115" s="9">
        <f t="shared" si="92"/>
        <v>706.35068547088053</v>
      </c>
      <c r="V115" s="9">
        <f t="shared" si="93"/>
        <v>5404.4757264559812</v>
      </c>
      <c r="W115" s="9">
        <f t="shared" si="94"/>
        <v>706.35068547088053</v>
      </c>
      <c r="X115" s="9">
        <f t="shared" si="95"/>
        <v>510.28276392428432</v>
      </c>
      <c r="Y115" s="9">
        <f t="shared" si="96"/>
        <v>4698.1250409851009</v>
      </c>
      <c r="AA115" s="10">
        <f t="shared" si="97"/>
        <v>11</v>
      </c>
      <c r="AB115" s="9">
        <f t="shared" si="83"/>
        <v>28945.583240208704</v>
      </c>
      <c r="AC115" s="9">
        <f t="shared" si="98"/>
        <v>148.55249161878331</v>
      </c>
      <c r="AD115" s="9">
        <f t="shared" si="99"/>
        <v>9105.1347625240851</v>
      </c>
      <c r="AE115" s="9">
        <f t="shared" si="100"/>
        <v>148.55249161878331</v>
      </c>
      <c r="AF115" s="9">
        <f t="shared" si="101"/>
        <v>107.31748063716837</v>
      </c>
      <c r="AG115" s="9">
        <f t="shared" si="102"/>
        <v>8956.5822709053009</v>
      </c>
      <c r="AI115" s="10">
        <f t="shared" si="103"/>
        <v>11</v>
      </c>
      <c r="AJ115" s="9">
        <f t="shared" si="84"/>
        <v>23338.038249014022</v>
      </c>
      <c r="AK115" s="9">
        <f t="shared" si="104"/>
        <v>0</v>
      </c>
      <c r="AL115" s="9">
        <f t="shared" si="105"/>
        <v>9250</v>
      </c>
      <c r="AM115" s="9">
        <f t="shared" si="106"/>
        <v>0</v>
      </c>
      <c r="AN115" s="9">
        <f t="shared" si="107"/>
        <v>0</v>
      </c>
      <c r="AO115" s="9">
        <f t="shared" si="108"/>
        <v>9250</v>
      </c>
    </row>
    <row r="116" spans="11:41" x14ac:dyDescent="0.3">
      <c r="K116" s="10">
        <f t="shared" si="85"/>
        <v>12</v>
      </c>
      <c r="L116" s="9">
        <f t="shared" si="81"/>
        <v>25070.852469774072</v>
      </c>
      <c r="M116" s="9">
        <f t="shared" si="86"/>
        <v>0</v>
      </c>
      <c r="N116" s="9">
        <f t="shared" si="87"/>
        <v>9250</v>
      </c>
      <c r="O116" s="9">
        <f t="shared" si="88"/>
        <v>0</v>
      </c>
      <c r="P116" s="9">
        <f t="shared" si="89"/>
        <v>0</v>
      </c>
      <c r="Q116" s="9">
        <f t="shared" si="90"/>
        <v>9250</v>
      </c>
      <c r="S116" s="10">
        <f t="shared" si="91"/>
        <v>12</v>
      </c>
      <c r="T116" s="9">
        <f t="shared" si="82"/>
        <v>35846.20776866997</v>
      </c>
      <c r="U116" s="9">
        <f t="shared" si="92"/>
        <v>769.60869918029732</v>
      </c>
      <c r="V116" s="9">
        <f t="shared" si="93"/>
        <v>4698.1250409851009</v>
      </c>
      <c r="W116" s="9">
        <f t="shared" si="94"/>
        <v>769.60869918029732</v>
      </c>
      <c r="X116" s="9">
        <f t="shared" si="95"/>
        <v>539.78805722654693</v>
      </c>
      <c r="Y116" s="9">
        <f t="shared" si="96"/>
        <v>3928.5163418048037</v>
      </c>
      <c r="AA116" s="10">
        <f t="shared" si="97"/>
        <v>12</v>
      </c>
      <c r="AB116" s="9">
        <f t="shared" si="83"/>
        <v>29524.494905012874</v>
      </c>
      <c r="AC116" s="9">
        <f t="shared" si="98"/>
        <v>200.65454145115868</v>
      </c>
      <c r="AD116" s="9">
        <f t="shared" si="99"/>
        <v>8956.5822709053009</v>
      </c>
      <c r="AE116" s="9">
        <f t="shared" si="100"/>
        <v>200.65454145115868</v>
      </c>
      <c r="AF116" s="9">
        <f t="shared" si="101"/>
        <v>140.73505824318966</v>
      </c>
      <c r="AG116" s="9">
        <f t="shared" si="102"/>
        <v>8755.9277294541425</v>
      </c>
      <c r="AI116" s="10">
        <f t="shared" si="103"/>
        <v>12</v>
      </c>
      <c r="AJ116" s="9">
        <f t="shared" si="84"/>
        <v>23804.799013994299</v>
      </c>
      <c r="AK116" s="9">
        <f t="shared" si="104"/>
        <v>0</v>
      </c>
      <c r="AL116" s="9">
        <f t="shared" si="105"/>
        <v>9250</v>
      </c>
      <c r="AM116" s="9">
        <f t="shared" si="106"/>
        <v>0</v>
      </c>
      <c r="AN116" s="9">
        <f t="shared" si="107"/>
        <v>0</v>
      </c>
      <c r="AO116" s="9">
        <f t="shared" si="108"/>
        <v>9250</v>
      </c>
    </row>
    <row r="117" spans="11:41" x14ac:dyDescent="0.3">
      <c r="K117" s="10">
        <f t="shared" si="85"/>
        <v>13</v>
      </c>
      <c r="L117" s="9">
        <f t="shared" si="81"/>
        <v>25572.269519169557</v>
      </c>
      <c r="M117" s="9">
        <f t="shared" si="86"/>
        <v>0</v>
      </c>
      <c r="N117" s="9">
        <f t="shared" si="87"/>
        <v>9250</v>
      </c>
      <c r="O117" s="9">
        <f t="shared" si="88"/>
        <v>0</v>
      </c>
      <c r="P117" s="9">
        <f t="shared" si="89"/>
        <v>0</v>
      </c>
      <c r="Q117" s="9">
        <f t="shared" si="90"/>
        <v>9250</v>
      </c>
      <c r="S117" s="10">
        <f t="shared" si="91"/>
        <v>13</v>
      </c>
      <c r="T117" s="9">
        <f t="shared" si="82"/>
        <v>36563.131924043373</v>
      </c>
      <c r="U117" s="9">
        <f t="shared" si="92"/>
        <v>834.13187316390361</v>
      </c>
      <c r="V117" s="9">
        <f t="shared" si="93"/>
        <v>3928.5163418048037</v>
      </c>
      <c r="W117" s="9">
        <f t="shared" si="94"/>
        <v>834.13187316390361</v>
      </c>
      <c r="X117" s="9">
        <f t="shared" si="95"/>
        <v>568.00321676197973</v>
      </c>
      <c r="Y117" s="9">
        <f t="shared" si="96"/>
        <v>3094.3844686409002</v>
      </c>
      <c r="AA117" s="10">
        <f t="shared" si="97"/>
        <v>13</v>
      </c>
      <c r="AB117" s="9">
        <f t="shared" si="83"/>
        <v>30114.984803113133</v>
      </c>
      <c r="AC117" s="9">
        <f t="shared" si="98"/>
        <v>253.79863228018198</v>
      </c>
      <c r="AD117" s="9">
        <f t="shared" si="99"/>
        <v>8755.9277294541425</v>
      </c>
      <c r="AE117" s="9">
        <f t="shared" si="100"/>
        <v>253.79863228018198</v>
      </c>
      <c r="AF117" s="9">
        <f t="shared" si="101"/>
        <v>172.82451873962574</v>
      </c>
      <c r="AG117" s="9">
        <f t="shared" si="102"/>
        <v>8502.12909717396</v>
      </c>
      <c r="AI117" s="10">
        <f t="shared" si="103"/>
        <v>13</v>
      </c>
      <c r="AJ117" s="9">
        <f t="shared" si="84"/>
        <v>24280.894994274189</v>
      </c>
      <c r="AK117" s="9">
        <f t="shared" si="104"/>
        <v>0</v>
      </c>
      <c r="AL117" s="9">
        <f t="shared" si="105"/>
        <v>9250</v>
      </c>
      <c r="AM117" s="9">
        <f t="shared" si="106"/>
        <v>0</v>
      </c>
      <c r="AN117" s="9">
        <f t="shared" si="107"/>
        <v>0</v>
      </c>
      <c r="AO117" s="9">
        <f t="shared" si="108"/>
        <v>9250</v>
      </c>
    </row>
    <row r="118" spans="11:41" x14ac:dyDescent="0.3">
      <c r="K118" s="10">
        <f t="shared" si="85"/>
        <v>14</v>
      </c>
      <c r="L118" s="9">
        <f t="shared" si="81"/>
        <v>26083.714909552946</v>
      </c>
      <c r="M118" s="9">
        <f t="shared" si="86"/>
        <v>0</v>
      </c>
      <c r="N118" s="9">
        <f t="shared" si="87"/>
        <v>9250</v>
      </c>
      <c r="O118" s="9">
        <f t="shared" si="88"/>
        <v>0</v>
      </c>
      <c r="P118" s="9">
        <f t="shared" si="89"/>
        <v>0</v>
      </c>
      <c r="Q118" s="9">
        <f t="shared" si="90"/>
        <v>9250</v>
      </c>
      <c r="S118" s="10">
        <f t="shared" si="91"/>
        <v>14</v>
      </c>
      <c r="T118" s="9">
        <f t="shared" si="82"/>
        <v>37294.394562524241</v>
      </c>
      <c r="U118" s="9">
        <f t="shared" si="92"/>
        <v>899.94551062718165</v>
      </c>
      <c r="V118" s="9">
        <f t="shared" si="93"/>
        <v>3094.3844686409002</v>
      </c>
      <c r="W118" s="9">
        <f t="shared" si="94"/>
        <v>899.94551062718165</v>
      </c>
      <c r="X118" s="9">
        <f t="shared" si="95"/>
        <v>594.97000134215921</v>
      </c>
      <c r="Y118" s="9">
        <f t="shared" si="96"/>
        <v>2194.4389580137185</v>
      </c>
      <c r="AA118" s="10">
        <f t="shared" si="97"/>
        <v>14</v>
      </c>
      <c r="AB118" s="9">
        <f t="shared" si="83"/>
        <v>30717.284499175395</v>
      </c>
      <c r="AC118" s="9">
        <f t="shared" si="98"/>
        <v>308.00560492578558</v>
      </c>
      <c r="AD118" s="9">
        <f t="shared" si="99"/>
        <v>8502.12909717396</v>
      </c>
      <c r="AE118" s="9">
        <f t="shared" si="100"/>
        <v>308.00560492578558</v>
      </c>
      <c r="AF118" s="9">
        <f t="shared" si="101"/>
        <v>203.62798970837187</v>
      </c>
      <c r="AG118" s="9">
        <f t="shared" si="102"/>
        <v>8194.1234922481744</v>
      </c>
      <c r="AI118" s="10">
        <f t="shared" si="103"/>
        <v>14</v>
      </c>
      <c r="AJ118" s="9">
        <f t="shared" si="84"/>
        <v>24766.51289415967</v>
      </c>
      <c r="AK118" s="9">
        <f t="shared" si="104"/>
        <v>0</v>
      </c>
      <c r="AL118" s="9">
        <f t="shared" si="105"/>
        <v>9250</v>
      </c>
      <c r="AM118" s="9">
        <f t="shared" si="106"/>
        <v>0</v>
      </c>
      <c r="AN118" s="9">
        <f t="shared" si="107"/>
        <v>0</v>
      </c>
      <c r="AO118" s="9">
        <f t="shared" si="108"/>
        <v>9250</v>
      </c>
    </row>
    <row r="119" spans="11:41" x14ac:dyDescent="0.3">
      <c r="K119" s="10">
        <f t="shared" si="85"/>
        <v>15</v>
      </c>
      <c r="L119" s="9">
        <f t="shared" si="81"/>
        <v>26605.389207744007</v>
      </c>
      <c r="M119" s="9">
        <f t="shared" si="86"/>
        <v>0</v>
      </c>
      <c r="N119" s="9">
        <f t="shared" si="87"/>
        <v>9250</v>
      </c>
      <c r="O119" s="9">
        <f t="shared" si="88"/>
        <v>0</v>
      </c>
      <c r="P119" s="9">
        <f t="shared" si="89"/>
        <v>0</v>
      </c>
      <c r="Q119" s="9">
        <f t="shared" si="90"/>
        <v>9250</v>
      </c>
      <c r="S119" s="10">
        <f t="shared" si="91"/>
        <v>15</v>
      </c>
      <c r="T119" s="9">
        <f t="shared" si="82"/>
        <v>38040.282453774729</v>
      </c>
      <c r="U119" s="9">
        <f t="shared" si="92"/>
        <v>967.07542083972555</v>
      </c>
      <c r="V119" s="9">
        <f t="shared" si="93"/>
        <v>2194.4389580137185</v>
      </c>
      <c r="W119" s="9">
        <f t="shared" si="94"/>
        <v>967.07542083972555</v>
      </c>
      <c r="X119" s="9">
        <f t="shared" si="95"/>
        <v>620.72891289968652</v>
      </c>
      <c r="Y119" s="9">
        <f t="shared" si="96"/>
        <v>1227.3635371739929</v>
      </c>
      <c r="AA119" s="10">
        <f t="shared" si="97"/>
        <v>15</v>
      </c>
      <c r="AB119" s="9">
        <f t="shared" si="83"/>
        <v>31331.630189158906</v>
      </c>
      <c r="AC119" s="9">
        <f t="shared" si="98"/>
        <v>363.29671702430159</v>
      </c>
      <c r="AD119" s="9">
        <f t="shared" si="99"/>
        <v>8194.1234922481744</v>
      </c>
      <c r="AE119" s="9">
        <f t="shared" si="100"/>
        <v>363.29671702430159</v>
      </c>
      <c r="AF119" s="9">
        <f t="shared" si="101"/>
        <v>233.1863382720525</v>
      </c>
      <c r="AG119" s="9">
        <f t="shared" si="102"/>
        <v>7830.8267752238726</v>
      </c>
      <c r="AI119" s="10">
        <f t="shared" si="103"/>
        <v>15</v>
      </c>
      <c r="AJ119" s="9">
        <f t="shared" si="84"/>
        <v>25261.843152042868</v>
      </c>
      <c r="AK119" s="9">
        <f t="shared" si="104"/>
        <v>0</v>
      </c>
      <c r="AL119" s="9">
        <f t="shared" si="105"/>
        <v>9250</v>
      </c>
      <c r="AM119" s="9">
        <f t="shared" si="106"/>
        <v>0</v>
      </c>
      <c r="AN119" s="9">
        <f t="shared" si="107"/>
        <v>0</v>
      </c>
      <c r="AO119" s="9">
        <f t="shared" si="108"/>
        <v>9250</v>
      </c>
    </row>
    <row r="120" spans="11:41" x14ac:dyDescent="0.3">
      <c r="K120" s="10">
        <f t="shared" si="85"/>
        <v>16</v>
      </c>
      <c r="L120" s="9">
        <f t="shared" si="81"/>
        <v>27137.496991898879</v>
      </c>
      <c r="M120" s="9">
        <f t="shared" si="86"/>
        <v>0</v>
      </c>
      <c r="N120" s="9">
        <f t="shared" si="87"/>
        <v>9250</v>
      </c>
      <c r="O120" s="9">
        <f t="shared" si="88"/>
        <v>0</v>
      </c>
      <c r="P120" s="9">
        <f t="shared" si="89"/>
        <v>0</v>
      </c>
      <c r="Q120" s="9">
        <f t="shared" si="90"/>
        <v>9250</v>
      </c>
      <c r="S120" s="10">
        <f t="shared" si="91"/>
        <v>16</v>
      </c>
      <c r="T120" s="9">
        <f t="shared" si="82"/>
        <v>38801.088102850212</v>
      </c>
      <c r="U120" s="9">
        <f t="shared" si="92"/>
        <v>1035.547929256519</v>
      </c>
      <c r="V120" s="9">
        <f t="shared" si="93"/>
        <v>1227.3635371739929</v>
      </c>
      <c r="W120" s="9">
        <f t="shared" si="94"/>
        <v>1035.547929256519</v>
      </c>
      <c r="X120" s="9">
        <f t="shared" si="95"/>
        <v>645.31923349051249</v>
      </c>
      <c r="Y120" s="9">
        <f t="shared" si="96"/>
        <v>191.81560791747393</v>
      </c>
      <c r="AA120" s="10">
        <f t="shared" si="97"/>
        <v>16</v>
      </c>
      <c r="AB120" s="9">
        <f t="shared" si="83"/>
        <v>31958.262792942078</v>
      </c>
      <c r="AC120" s="9">
        <f t="shared" si="98"/>
        <v>419.693651364787</v>
      </c>
      <c r="AD120" s="9">
        <f t="shared" si="99"/>
        <v>7830.8267752238726</v>
      </c>
      <c r="AE120" s="9">
        <f t="shared" si="100"/>
        <v>419.693651364787</v>
      </c>
      <c r="AF120" s="9">
        <f t="shared" si="101"/>
        <v>261.53920813110807</v>
      </c>
      <c r="AG120" s="9">
        <f t="shared" si="102"/>
        <v>7411.1331238590856</v>
      </c>
      <c r="AI120" s="10">
        <f t="shared" si="103"/>
        <v>16</v>
      </c>
      <c r="AJ120" s="9">
        <f t="shared" si="84"/>
        <v>25767.080015083717</v>
      </c>
      <c r="AK120" s="9">
        <f t="shared" si="104"/>
        <v>0</v>
      </c>
      <c r="AL120" s="9">
        <f t="shared" si="105"/>
        <v>9250</v>
      </c>
      <c r="AM120" s="9">
        <f t="shared" si="106"/>
        <v>0</v>
      </c>
      <c r="AN120" s="9">
        <f t="shared" si="107"/>
        <v>0</v>
      </c>
      <c r="AO120" s="9">
        <f t="shared" si="108"/>
        <v>9250</v>
      </c>
    </row>
    <row r="121" spans="11:41" x14ac:dyDescent="0.3">
      <c r="K121" s="10">
        <f t="shared" si="85"/>
        <v>17</v>
      </c>
      <c r="L121" s="9">
        <f t="shared" si="81"/>
        <v>27680.246931736863</v>
      </c>
      <c r="M121" s="9">
        <f t="shared" si="86"/>
        <v>34.672223856317686</v>
      </c>
      <c r="N121" s="9">
        <f t="shared" si="87"/>
        <v>9250</v>
      </c>
      <c r="O121" s="9">
        <f t="shared" si="88"/>
        <v>34.672223856317686</v>
      </c>
      <c r="P121" s="9">
        <f t="shared" si="89"/>
        <v>20.977265647083613</v>
      </c>
      <c r="Q121" s="9">
        <f t="shared" si="90"/>
        <v>9215.3277761436821</v>
      </c>
      <c r="S121" s="10">
        <f t="shared" si="91"/>
        <v>17</v>
      </c>
      <c r="T121" s="9">
        <f t="shared" si="82"/>
        <v>39577.109864907223</v>
      </c>
      <c r="U121" s="9">
        <f t="shared" si="92"/>
        <v>1105.3898878416501</v>
      </c>
      <c r="V121" s="9">
        <f t="shared" si="93"/>
        <v>191.81560791747393</v>
      </c>
      <c r="W121" s="9">
        <f t="shared" si="94"/>
        <v>191.81560791747393</v>
      </c>
      <c r="X121" s="9">
        <f t="shared" si="95"/>
        <v>116.05159735978424</v>
      </c>
      <c r="Y121" s="9">
        <f t="shared" si="96"/>
        <v>0</v>
      </c>
      <c r="AA121" s="10">
        <f t="shared" si="97"/>
        <v>17</v>
      </c>
      <c r="AB121" s="9">
        <f t="shared" si="83"/>
        <v>32597.428048800924</v>
      </c>
      <c r="AC121" s="9">
        <f t="shared" si="98"/>
        <v>477.21852439208317</v>
      </c>
      <c r="AD121" s="9">
        <f t="shared" si="99"/>
        <v>7411.1331238590856</v>
      </c>
      <c r="AE121" s="9">
        <f t="shared" si="100"/>
        <v>477.21852439208317</v>
      </c>
      <c r="AF121" s="9">
        <f t="shared" si="101"/>
        <v>288.72505551898445</v>
      </c>
      <c r="AG121" s="9">
        <f t="shared" si="102"/>
        <v>6933.9145994670025</v>
      </c>
      <c r="AI121" s="10">
        <f t="shared" si="103"/>
        <v>17</v>
      </c>
      <c r="AJ121" s="9">
        <f t="shared" si="84"/>
        <v>26282.421615385396</v>
      </c>
      <c r="AK121" s="9">
        <f t="shared" si="104"/>
        <v>0</v>
      </c>
      <c r="AL121" s="9">
        <f t="shared" si="105"/>
        <v>9250</v>
      </c>
      <c r="AM121" s="9">
        <f t="shared" si="106"/>
        <v>0</v>
      </c>
      <c r="AN121" s="9">
        <f t="shared" si="107"/>
        <v>0</v>
      </c>
      <c r="AO121" s="9">
        <f t="shared" si="108"/>
        <v>9250</v>
      </c>
    </row>
    <row r="122" spans="11:41" x14ac:dyDescent="0.3">
      <c r="K122" s="10">
        <f t="shared" si="85"/>
        <v>18</v>
      </c>
      <c r="L122" s="9">
        <f t="shared" si="81"/>
        <v>28233.851870371604</v>
      </c>
      <c r="M122" s="9">
        <f t="shared" si="86"/>
        <v>84.496668333444319</v>
      </c>
      <c r="N122" s="9">
        <f t="shared" si="87"/>
        <v>9215.3277761436821</v>
      </c>
      <c r="O122" s="9">
        <f t="shared" si="88"/>
        <v>84.496668333444319</v>
      </c>
      <c r="P122" s="9">
        <f t="shared" si="89"/>
        <v>49.632887340606707</v>
      </c>
      <c r="Q122" s="9">
        <f t="shared" si="90"/>
        <v>9130.8311078102379</v>
      </c>
      <c r="S122" s="10">
        <f t="shared" si="91"/>
        <v>18</v>
      </c>
      <c r="T122" s="9">
        <f t="shared" si="82"/>
        <v>40368.652062205372</v>
      </c>
      <c r="U122" s="9">
        <f t="shared" si="92"/>
        <v>1176.6286855984833</v>
      </c>
      <c r="V122" s="9">
        <f t="shared" si="93"/>
        <v>0</v>
      </c>
      <c r="W122" s="9">
        <f t="shared" si="94"/>
        <v>0</v>
      </c>
      <c r="X122" s="9">
        <f t="shared" si="95"/>
        <v>0</v>
      </c>
      <c r="Y122" s="9">
        <f t="shared" si="96"/>
        <v>0</v>
      </c>
      <c r="AA122" s="10">
        <f t="shared" si="97"/>
        <v>18</v>
      </c>
      <c r="AB122" s="9">
        <f t="shared" si="83"/>
        <v>33249.376609776948</v>
      </c>
      <c r="AC122" s="9">
        <f t="shared" si="98"/>
        <v>535.89389487992526</v>
      </c>
      <c r="AD122" s="9">
        <f t="shared" si="99"/>
        <v>6933.9145994670025</v>
      </c>
      <c r="AE122" s="9">
        <f t="shared" si="100"/>
        <v>535.89389487992526</v>
      </c>
      <c r="AF122" s="9">
        <f t="shared" si="101"/>
        <v>314.78118410695515</v>
      </c>
      <c r="AG122" s="9">
        <f t="shared" si="102"/>
        <v>6398.0207045870775</v>
      </c>
      <c r="AI122" s="10">
        <f t="shared" si="103"/>
        <v>18</v>
      </c>
      <c r="AJ122" s="9">
        <f t="shared" si="84"/>
        <v>26808.070047693105</v>
      </c>
      <c r="AK122" s="9">
        <f t="shared" si="104"/>
        <v>0</v>
      </c>
      <c r="AL122" s="9">
        <f t="shared" si="105"/>
        <v>9250</v>
      </c>
      <c r="AM122" s="9">
        <f t="shared" si="106"/>
        <v>0</v>
      </c>
      <c r="AN122" s="9">
        <f t="shared" si="107"/>
        <v>0</v>
      </c>
      <c r="AO122" s="9">
        <f t="shared" si="108"/>
        <v>9250</v>
      </c>
    </row>
    <row r="123" spans="11:41" x14ac:dyDescent="0.3">
      <c r="K123" s="10">
        <f>K122+1</f>
        <v>19</v>
      </c>
      <c r="L123" s="9">
        <f t="shared" si="81"/>
        <v>28798.528907779033</v>
      </c>
      <c r="M123" s="9">
        <f t="shared" si="86"/>
        <v>135.31760170011296</v>
      </c>
      <c r="N123" s="9">
        <f t="shared" si="87"/>
        <v>9130.8311078102379</v>
      </c>
      <c r="O123" s="9">
        <f t="shared" si="88"/>
        <v>135.31760170011296</v>
      </c>
      <c r="P123" s="9">
        <f t="shared" si="89"/>
        <v>77.169737431276005</v>
      </c>
      <c r="Q123" s="9">
        <f t="shared" si="90"/>
        <v>8995.5135061101246</v>
      </c>
      <c r="S123" s="10">
        <f>S122+1</f>
        <v>19</v>
      </c>
      <c r="T123" s="9">
        <f t="shared" si="82"/>
        <v>41176.025103449472</v>
      </c>
      <c r="U123" s="9">
        <f t="shared" si="92"/>
        <v>1249.2922593104524</v>
      </c>
      <c r="V123" s="9">
        <f t="shared" si="93"/>
        <v>0</v>
      </c>
      <c r="W123" s="9">
        <f t="shared" si="94"/>
        <v>0</v>
      </c>
      <c r="X123" s="9">
        <f t="shared" si="95"/>
        <v>0</v>
      </c>
      <c r="Y123" s="9">
        <f t="shared" si="96"/>
        <v>0</v>
      </c>
      <c r="AA123" s="10">
        <f>AA122+1</f>
        <v>19</v>
      </c>
      <c r="AB123" s="9">
        <f t="shared" si="83"/>
        <v>33914.364141972481</v>
      </c>
      <c r="AC123" s="9">
        <f t="shared" si="98"/>
        <v>595.74277277752321</v>
      </c>
      <c r="AD123" s="9">
        <f t="shared" si="99"/>
        <v>6398.0207045870775</v>
      </c>
      <c r="AE123" s="9">
        <f t="shared" si="100"/>
        <v>595.74277277752321</v>
      </c>
      <c r="AF123" s="9">
        <f t="shared" si="101"/>
        <v>339.74377888921316</v>
      </c>
      <c r="AG123" s="9">
        <f t="shared" si="102"/>
        <v>5802.2779318095545</v>
      </c>
      <c r="AI123" s="10">
        <f>AI122+1</f>
        <v>19</v>
      </c>
      <c r="AJ123" s="9">
        <f t="shared" si="84"/>
        <v>27344.231448646966</v>
      </c>
      <c r="AK123" s="9">
        <f t="shared" si="104"/>
        <v>4.4308303782269283</v>
      </c>
      <c r="AL123" s="9">
        <f t="shared" si="105"/>
        <v>9250</v>
      </c>
      <c r="AM123" s="9">
        <f t="shared" si="106"/>
        <v>4.4308303782269283</v>
      </c>
      <c r="AN123" s="9">
        <f t="shared" si="107"/>
        <v>2.526840651876614</v>
      </c>
      <c r="AO123" s="9">
        <f t="shared" si="108"/>
        <v>9245.5691696217727</v>
      </c>
    </row>
    <row r="124" spans="11:41" x14ac:dyDescent="0.3">
      <c r="K124" s="10">
        <f t="shared" ref="K124:K129" si="109">K123+1</f>
        <v>20</v>
      </c>
      <c r="L124" s="9">
        <f t="shared" si="81"/>
        <v>29374.499485934612</v>
      </c>
      <c r="M124" s="9">
        <f t="shared" si="86"/>
        <v>187.15495373411503</v>
      </c>
      <c r="N124" s="9">
        <f t="shared" si="87"/>
        <v>8995.5135061101246</v>
      </c>
      <c r="O124" s="9">
        <f t="shared" si="88"/>
        <v>187.15495373411503</v>
      </c>
      <c r="P124" s="9">
        <f t="shared" si="89"/>
        <v>103.62316015844476</v>
      </c>
      <c r="Q124" s="9">
        <f t="shared" si="90"/>
        <v>8808.3585523760103</v>
      </c>
      <c r="S124" s="10">
        <f t="shared" ref="S124:S129" si="110">S123+1</f>
        <v>20</v>
      </c>
      <c r="T124" s="9">
        <f t="shared" si="82"/>
        <v>41999.545605518462</v>
      </c>
      <c r="U124" s="9">
        <f t="shared" si="92"/>
        <v>1323.4091044966615</v>
      </c>
      <c r="V124" s="9">
        <f t="shared" si="93"/>
        <v>0</v>
      </c>
      <c r="W124" s="9">
        <f t="shared" si="94"/>
        <v>0</v>
      </c>
      <c r="X124" s="9">
        <f t="shared" si="95"/>
        <v>0</v>
      </c>
      <c r="Y124" s="9">
        <f t="shared" si="96"/>
        <v>0</v>
      </c>
      <c r="AA124" s="10">
        <f t="shared" ref="AA124:AA129" si="111">AA123+1</f>
        <v>20</v>
      </c>
      <c r="AB124" s="9">
        <f t="shared" si="83"/>
        <v>34592.651424811927</v>
      </c>
      <c r="AC124" s="9">
        <f t="shared" si="98"/>
        <v>656.7886282330735</v>
      </c>
      <c r="AD124" s="9">
        <f t="shared" si="99"/>
        <v>5802.2779318095545</v>
      </c>
      <c r="AE124" s="9">
        <f t="shared" si="100"/>
        <v>656.7886282330735</v>
      </c>
      <c r="AF124" s="9">
        <f t="shared" si="101"/>
        <v>363.64793907795536</v>
      </c>
      <c r="AG124" s="9">
        <f t="shared" si="102"/>
        <v>5145.4893035764808</v>
      </c>
      <c r="AI124" s="10">
        <f t="shared" ref="AI124:AI129" si="112">AI123+1</f>
        <v>20</v>
      </c>
      <c r="AJ124" s="9">
        <f t="shared" si="84"/>
        <v>27891.116077619903</v>
      </c>
      <c r="AK124" s="9">
        <f t="shared" si="104"/>
        <v>53.650446985791277</v>
      </c>
      <c r="AL124" s="9">
        <f t="shared" si="105"/>
        <v>9245.5691696217727</v>
      </c>
      <c r="AM124" s="9">
        <f t="shared" si="106"/>
        <v>53.650446985791277</v>
      </c>
      <c r="AN124" s="9">
        <f t="shared" si="107"/>
        <v>29.704951697291968</v>
      </c>
      <c r="AO124" s="9">
        <f t="shared" si="108"/>
        <v>9191.9187226359809</v>
      </c>
    </row>
    <row r="125" spans="11:41" x14ac:dyDescent="0.3">
      <c r="K125" s="10">
        <f t="shared" si="109"/>
        <v>21</v>
      </c>
      <c r="L125" s="9">
        <f t="shared" si="81"/>
        <v>29961.989475653307</v>
      </c>
      <c r="M125" s="9">
        <f t="shared" si="86"/>
        <v>240.02905280879759</v>
      </c>
      <c r="N125" s="9">
        <f t="shared" si="87"/>
        <v>8808.3585523760103</v>
      </c>
      <c r="O125" s="9">
        <f t="shared" si="88"/>
        <v>240.02905280879759</v>
      </c>
      <c r="P125" s="9">
        <f t="shared" si="89"/>
        <v>129.02744353450743</v>
      </c>
      <c r="Q125" s="9">
        <f t="shared" si="90"/>
        <v>8568.3294995672131</v>
      </c>
      <c r="S125" s="10">
        <f t="shared" si="110"/>
        <v>21</v>
      </c>
      <c r="T125" s="9">
        <f t="shared" si="82"/>
        <v>42839.536517628832</v>
      </c>
      <c r="U125" s="9">
        <f t="shared" si="92"/>
        <v>1399.0082865865947</v>
      </c>
      <c r="V125" s="9">
        <f t="shared" si="93"/>
        <v>0</v>
      </c>
      <c r="W125" s="9">
        <f t="shared" si="94"/>
        <v>0</v>
      </c>
      <c r="X125" s="9">
        <f t="shared" si="95"/>
        <v>0</v>
      </c>
      <c r="Y125" s="9">
        <f t="shared" si="96"/>
        <v>0</v>
      </c>
      <c r="AA125" s="10">
        <f t="shared" si="111"/>
        <v>21</v>
      </c>
      <c r="AB125" s="9">
        <f t="shared" si="83"/>
        <v>35284.504453308167</v>
      </c>
      <c r="AC125" s="9">
        <f t="shared" si="98"/>
        <v>719.05540079773505</v>
      </c>
      <c r="AD125" s="9">
        <f t="shared" si="99"/>
        <v>5145.4893035764808</v>
      </c>
      <c r="AE125" s="9">
        <f t="shared" si="100"/>
        <v>719.05540079773505</v>
      </c>
      <c r="AF125" s="9">
        <f t="shared" si="101"/>
        <v>386.52771003732369</v>
      </c>
      <c r="AG125" s="9">
        <f t="shared" si="102"/>
        <v>4426.4339027787455</v>
      </c>
      <c r="AI125" s="10">
        <f t="shared" si="112"/>
        <v>21</v>
      </c>
      <c r="AJ125" s="9">
        <f t="shared" si="84"/>
        <v>28448.938399172304</v>
      </c>
      <c r="AK125" s="9">
        <f t="shared" si="104"/>
        <v>103.85445592550738</v>
      </c>
      <c r="AL125" s="9">
        <f t="shared" si="105"/>
        <v>9191.9187226359809</v>
      </c>
      <c r="AM125" s="9">
        <f t="shared" si="106"/>
        <v>103.85445592550738</v>
      </c>
      <c r="AN125" s="9">
        <f t="shared" si="107"/>
        <v>55.826887582686204</v>
      </c>
      <c r="AO125" s="9">
        <f t="shared" si="108"/>
        <v>9088.064266710473</v>
      </c>
    </row>
    <row r="126" spans="11:41" x14ac:dyDescent="0.3">
      <c r="K126" s="10">
        <f t="shared" si="109"/>
        <v>22</v>
      </c>
      <c r="L126" s="9">
        <f t="shared" si="81"/>
        <v>30561.22926516637</v>
      </c>
      <c r="M126" s="9">
        <f t="shared" si="86"/>
        <v>293.96063386497332</v>
      </c>
      <c r="N126" s="9">
        <f t="shared" si="87"/>
        <v>8568.3294995672131</v>
      </c>
      <c r="O126" s="9">
        <f t="shared" si="88"/>
        <v>293.96063386497332</v>
      </c>
      <c r="P126" s="9">
        <f t="shared" si="89"/>
        <v>153.415850368821</v>
      </c>
      <c r="Q126" s="9">
        <f t="shared" si="90"/>
        <v>8274.3688657022394</v>
      </c>
      <c r="S126" s="10">
        <f t="shared" si="110"/>
        <v>22</v>
      </c>
      <c r="T126" s="9">
        <f t="shared" si="82"/>
        <v>43696.327247981411</v>
      </c>
      <c r="U126" s="9">
        <f t="shared" si="92"/>
        <v>1476.1194523183269</v>
      </c>
      <c r="V126" s="9">
        <f t="shared" si="93"/>
        <v>0</v>
      </c>
      <c r="W126" s="9">
        <f t="shared" si="94"/>
        <v>0</v>
      </c>
      <c r="X126" s="9">
        <f t="shared" si="95"/>
        <v>0</v>
      </c>
      <c r="Y126" s="9">
        <f t="shared" si="96"/>
        <v>0</v>
      </c>
      <c r="AA126" s="10">
        <f t="shared" si="111"/>
        <v>22</v>
      </c>
      <c r="AB126" s="9">
        <f t="shared" si="83"/>
        <v>35990.194542374331</v>
      </c>
      <c r="AC126" s="9">
        <f t="shared" si="98"/>
        <v>782.56750881368976</v>
      </c>
      <c r="AD126" s="9">
        <f t="shared" si="99"/>
        <v>4426.4339027787455</v>
      </c>
      <c r="AE126" s="9">
        <f t="shared" si="100"/>
        <v>782.56750881368976</v>
      </c>
      <c r="AF126" s="9">
        <f t="shared" si="101"/>
        <v>408.41611428423136</v>
      </c>
      <c r="AG126" s="9">
        <f t="shared" si="102"/>
        <v>3643.866393965056</v>
      </c>
      <c r="AI126" s="10">
        <f t="shared" si="112"/>
        <v>22</v>
      </c>
      <c r="AJ126" s="9">
        <f t="shared" si="84"/>
        <v>29017.917167155749</v>
      </c>
      <c r="AK126" s="9">
        <f t="shared" si="104"/>
        <v>155.06254504401738</v>
      </c>
      <c r="AL126" s="9">
        <f t="shared" si="105"/>
        <v>9088.064266710473</v>
      </c>
      <c r="AM126" s="9">
        <f t="shared" si="106"/>
        <v>155.06254504401738</v>
      </c>
      <c r="AN126" s="9">
        <f t="shared" si="107"/>
        <v>80.925979426240801</v>
      </c>
      <c r="AO126" s="9">
        <f t="shared" si="108"/>
        <v>8933.0017216664564</v>
      </c>
    </row>
    <row r="127" spans="11:41" x14ac:dyDescent="0.3">
      <c r="K127" s="10">
        <f t="shared" si="109"/>
        <v>23</v>
      </c>
      <c r="L127" s="9">
        <f t="shared" si="81"/>
        <v>31172.453850469701</v>
      </c>
      <c r="M127" s="9">
        <f t="shared" si="86"/>
        <v>348.97084654227308</v>
      </c>
      <c r="N127" s="9">
        <f t="shared" si="87"/>
        <v>8274.3688657022394</v>
      </c>
      <c r="O127" s="9">
        <f t="shared" si="88"/>
        <v>348.97084654227308</v>
      </c>
      <c r="P127" s="9">
        <f t="shared" si="89"/>
        <v>176.82064838549502</v>
      </c>
      <c r="Q127" s="9">
        <f t="shared" si="90"/>
        <v>7925.3980191599667</v>
      </c>
      <c r="S127" s="10">
        <f t="shared" si="110"/>
        <v>23</v>
      </c>
      <c r="T127" s="9">
        <f t="shared" si="82"/>
        <v>44570.253792941039</v>
      </c>
      <c r="U127" s="9">
        <f t="shared" si="92"/>
        <v>1554.7728413646935</v>
      </c>
      <c r="V127" s="9">
        <f t="shared" si="93"/>
        <v>0</v>
      </c>
      <c r="W127" s="9">
        <f t="shared" si="94"/>
        <v>0</v>
      </c>
      <c r="X127" s="9">
        <f t="shared" si="95"/>
        <v>0</v>
      </c>
      <c r="Y127" s="9">
        <f t="shared" si="96"/>
        <v>0</v>
      </c>
      <c r="AA127" s="10">
        <f t="shared" si="111"/>
        <v>23</v>
      </c>
      <c r="AB127" s="9">
        <f t="shared" si="83"/>
        <v>36709.998433221823</v>
      </c>
      <c r="AC127" s="9">
        <f t="shared" si="98"/>
        <v>847.34985898996399</v>
      </c>
      <c r="AD127" s="9">
        <f t="shared" si="99"/>
        <v>3643.866393965056</v>
      </c>
      <c r="AE127" s="9">
        <f t="shared" si="100"/>
        <v>847.34985898996399</v>
      </c>
      <c r="AF127" s="9">
        <f t="shared" si="101"/>
        <v>429.34518158328007</v>
      </c>
      <c r="AG127" s="9">
        <f t="shared" si="102"/>
        <v>2796.5165349750919</v>
      </c>
      <c r="AI127" s="10">
        <f t="shared" si="112"/>
        <v>23</v>
      </c>
      <c r="AJ127" s="9">
        <f t="shared" si="84"/>
        <v>29598.275510498865</v>
      </c>
      <c r="AK127" s="9">
        <f t="shared" si="104"/>
        <v>207.2947959448978</v>
      </c>
      <c r="AL127" s="9">
        <f t="shared" si="105"/>
        <v>8933.0017216664564</v>
      </c>
      <c r="AM127" s="9">
        <f t="shared" si="106"/>
        <v>207.2947959448978</v>
      </c>
      <c r="AN127" s="9">
        <f t="shared" si="107"/>
        <v>105.03456259769705</v>
      </c>
      <c r="AO127" s="9">
        <f t="shared" si="108"/>
        <v>8725.7069257215589</v>
      </c>
    </row>
    <row r="128" spans="11:41" x14ac:dyDescent="0.3">
      <c r="K128" s="10">
        <f t="shared" si="109"/>
        <v>24</v>
      </c>
      <c r="L128" s="9">
        <f t="shared" si="81"/>
        <v>31795.902927479088</v>
      </c>
      <c r="M128" s="9">
        <f t="shared" si="86"/>
        <v>405.08126347311793</v>
      </c>
      <c r="N128" s="9">
        <f t="shared" si="87"/>
        <v>7925.3980191599667</v>
      </c>
      <c r="O128" s="9">
        <f t="shared" si="88"/>
        <v>405.08126347311793</v>
      </c>
      <c r="P128" s="9">
        <f t="shared" si="89"/>
        <v>199.27313946146015</v>
      </c>
      <c r="Q128" s="9">
        <f t="shared" si="90"/>
        <v>7520.3167556868484</v>
      </c>
      <c r="S128" s="10">
        <f t="shared" si="110"/>
        <v>24</v>
      </c>
      <c r="T128" s="9">
        <f t="shared" si="82"/>
        <v>45461.658868799852</v>
      </c>
      <c r="U128" s="9">
        <f t="shared" si="92"/>
        <v>1634.9992981919866</v>
      </c>
      <c r="V128" s="9">
        <f t="shared" si="93"/>
        <v>0</v>
      </c>
      <c r="W128" s="9">
        <f t="shared" si="94"/>
        <v>0</v>
      </c>
      <c r="X128" s="9">
        <f t="shared" si="95"/>
        <v>0</v>
      </c>
      <c r="Y128" s="9">
        <f t="shared" si="96"/>
        <v>0</v>
      </c>
      <c r="AA128" s="10">
        <f t="shared" si="111"/>
        <v>24</v>
      </c>
      <c r="AB128" s="9">
        <f t="shared" si="83"/>
        <v>37444.198401886249</v>
      </c>
      <c r="AC128" s="9">
        <f t="shared" si="98"/>
        <v>913.42785616976244</v>
      </c>
      <c r="AD128" s="9">
        <f t="shared" si="99"/>
        <v>2796.5165349750919</v>
      </c>
      <c r="AE128" s="9">
        <f t="shared" si="100"/>
        <v>913.42785616976244</v>
      </c>
      <c r="AF128" s="9">
        <f t="shared" si="101"/>
        <v>449.34597816217928</v>
      </c>
      <c r="AG128" s="9">
        <f t="shared" si="102"/>
        <v>1883.0886788053294</v>
      </c>
      <c r="AI128" s="10">
        <f t="shared" si="112"/>
        <v>24</v>
      </c>
      <c r="AJ128" s="9">
        <f t="shared" si="84"/>
        <v>30190.241020708836</v>
      </c>
      <c r="AK128" s="9">
        <f t="shared" si="104"/>
        <v>260.57169186379525</v>
      </c>
      <c r="AL128" s="9">
        <f t="shared" si="105"/>
        <v>8725.7069257215589</v>
      </c>
      <c r="AM128" s="9">
        <f t="shared" si="106"/>
        <v>260.57169186379525</v>
      </c>
      <c r="AN128" s="9">
        <f t="shared" si="107"/>
        <v>128.18400596286415</v>
      </c>
      <c r="AO128" s="9">
        <f t="shared" si="108"/>
        <v>8465.1352338577635</v>
      </c>
    </row>
    <row r="129" spans="11:41" x14ac:dyDescent="0.3">
      <c r="K129" s="10">
        <f t="shared" si="109"/>
        <v>25</v>
      </c>
      <c r="L129" s="9">
        <f t="shared" si="81"/>
        <v>32431.82098602867</v>
      </c>
      <c r="M129" s="9">
        <f t="shared" si="86"/>
        <v>462.31388874258027</v>
      </c>
      <c r="N129" s="9">
        <f t="shared" si="87"/>
        <v>7520.3167556868484</v>
      </c>
      <c r="O129" s="9">
        <f t="shared" si="88"/>
        <v>462.31388874258027</v>
      </c>
      <c r="P129" s="9">
        <f t="shared" si="89"/>
        <v>220.80368801047163</v>
      </c>
      <c r="Q129" s="9">
        <f t="shared" si="90"/>
        <v>7058.0028669442681</v>
      </c>
      <c r="S129" s="10">
        <f t="shared" si="110"/>
        <v>25</v>
      </c>
      <c r="T129" s="9">
        <f t="shared" si="82"/>
        <v>46370.892046175853</v>
      </c>
      <c r="U129" s="9">
        <f t="shared" si="92"/>
        <v>1716.8302841558268</v>
      </c>
      <c r="V129" s="9">
        <f t="shared" si="93"/>
        <v>0</v>
      </c>
      <c r="W129" s="9">
        <f t="shared" si="94"/>
        <v>0</v>
      </c>
      <c r="X129" s="9">
        <f t="shared" si="95"/>
        <v>0</v>
      </c>
      <c r="Y129" s="9">
        <f t="shared" si="96"/>
        <v>0</v>
      </c>
      <c r="AA129" s="10">
        <f t="shared" si="111"/>
        <v>25</v>
      </c>
      <c r="AB129" s="9">
        <f t="shared" si="83"/>
        <v>38193.082369923977</v>
      </c>
      <c r="AC129" s="9">
        <f t="shared" si="98"/>
        <v>980.82741329315786</v>
      </c>
      <c r="AD129" s="9">
        <f t="shared" si="99"/>
        <v>1883.0886788053294</v>
      </c>
      <c r="AE129" s="9">
        <f t="shared" si="100"/>
        <v>980.82741329315786</v>
      </c>
      <c r="AF129" s="9">
        <f t="shared" si="101"/>
        <v>468.44863507331979</v>
      </c>
      <c r="AG129" s="9">
        <f t="shared" si="102"/>
        <v>902.26126551217158</v>
      </c>
      <c r="AI129" s="10">
        <f t="shared" si="112"/>
        <v>25</v>
      </c>
      <c r="AJ129" s="9">
        <f t="shared" si="84"/>
        <v>30794.045841123014</v>
      </c>
      <c r="AK129" s="9">
        <f t="shared" si="104"/>
        <v>314.91412570107121</v>
      </c>
      <c r="AL129" s="9">
        <f t="shared" si="105"/>
        <v>8465.1352338577635</v>
      </c>
      <c r="AM129" s="9">
        <f t="shared" si="106"/>
        <v>314.91412570107121</v>
      </c>
      <c r="AN129" s="9">
        <f t="shared" si="107"/>
        <v>150.40474027399796</v>
      </c>
      <c r="AO129" s="9">
        <f t="shared" si="108"/>
        <v>8150.221108156692</v>
      </c>
    </row>
    <row r="130" spans="11:41" x14ac:dyDescent="0.3">
      <c r="K130" s="10">
        <f>K129+1</f>
        <v>26</v>
      </c>
      <c r="L130" s="9">
        <f t="shared" si="81"/>
        <v>33080.457405749243</v>
      </c>
      <c r="M130" s="9">
        <f t="shared" si="86"/>
        <v>520.69116651743184</v>
      </c>
      <c r="N130" s="9">
        <f t="shared" si="87"/>
        <v>7058.0028669442681</v>
      </c>
      <c r="O130" s="9">
        <f t="shared" si="88"/>
        <v>520.69116651743184</v>
      </c>
      <c r="P130" s="9">
        <f t="shared" si="89"/>
        <v>241.44174853793749</v>
      </c>
      <c r="Q130" s="9">
        <f t="shared" si="90"/>
        <v>6537.3117004268361</v>
      </c>
      <c r="S130" s="10">
        <f>S129+1</f>
        <v>26</v>
      </c>
      <c r="T130" s="9">
        <f t="shared" si="82"/>
        <v>47298.309887099371</v>
      </c>
      <c r="U130" s="9">
        <f t="shared" si="92"/>
        <v>1800.2978898389433</v>
      </c>
      <c r="V130" s="9">
        <f t="shared" si="93"/>
        <v>0</v>
      </c>
      <c r="W130" s="9">
        <f t="shared" si="94"/>
        <v>0</v>
      </c>
      <c r="X130" s="9">
        <f t="shared" si="95"/>
        <v>0</v>
      </c>
      <c r="Y130" s="9">
        <f t="shared" si="96"/>
        <v>0</v>
      </c>
      <c r="AA130" s="10">
        <f>AA129+1</f>
        <v>26</v>
      </c>
      <c r="AB130" s="9">
        <f t="shared" si="83"/>
        <v>38956.944017322458</v>
      </c>
      <c r="AC130" s="9">
        <f t="shared" si="98"/>
        <v>1049.5749615590212</v>
      </c>
      <c r="AD130" s="9">
        <f t="shared" si="99"/>
        <v>902.26126551217158</v>
      </c>
      <c r="AE130" s="9">
        <f t="shared" si="100"/>
        <v>902.26126551217158</v>
      </c>
      <c r="AF130" s="9">
        <f t="shared" si="101"/>
        <v>418.37379158998652</v>
      </c>
      <c r="AG130" s="9">
        <f t="shared" si="102"/>
        <v>0</v>
      </c>
      <c r="AI130" s="10">
        <f>AI129+1</f>
        <v>26</v>
      </c>
      <c r="AJ130" s="9">
        <f t="shared" si="84"/>
        <v>31409.926757945475</v>
      </c>
      <c r="AK130" s="9">
        <f t="shared" si="104"/>
        <v>370.34340821509278</v>
      </c>
      <c r="AL130" s="9">
        <f t="shared" si="105"/>
        <v>8150.221108156692</v>
      </c>
      <c r="AM130" s="9">
        <f t="shared" si="106"/>
        <v>370.34340821509278</v>
      </c>
      <c r="AN130" s="9">
        <f t="shared" si="107"/>
        <v>171.72628573094423</v>
      </c>
      <c r="AO130" s="9">
        <f t="shared" si="108"/>
        <v>7779.8776999415995</v>
      </c>
    </row>
    <row r="131" spans="11:41" x14ac:dyDescent="0.3">
      <c r="K131" s="10">
        <f t="shared" ref="K131:K134" si="113">K130+1</f>
        <v>27</v>
      </c>
      <c r="L131" s="9">
        <f t="shared" si="81"/>
        <v>33742.066553864235</v>
      </c>
      <c r="M131" s="9">
        <f t="shared" si="86"/>
        <v>580.23598984778118</v>
      </c>
      <c r="N131" s="9">
        <f t="shared" si="87"/>
        <v>6537.3117004268361</v>
      </c>
      <c r="O131" s="9">
        <f t="shared" si="88"/>
        <v>580.23598984778118</v>
      </c>
      <c r="P131" s="9">
        <f t="shared" si="89"/>
        <v>261.21589239075513</v>
      </c>
      <c r="Q131" s="9">
        <f t="shared" si="90"/>
        <v>5957.0757105790544</v>
      </c>
      <c r="S131" s="10">
        <f t="shared" ref="S131:S134" si="114">S130+1</f>
        <v>27</v>
      </c>
      <c r="T131" s="9">
        <f t="shared" si="82"/>
        <v>48244.27608484136</v>
      </c>
      <c r="U131" s="9">
        <f t="shared" si="92"/>
        <v>1885.4348476357222</v>
      </c>
      <c r="V131" s="9">
        <f t="shared" si="93"/>
        <v>0</v>
      </c>
      <c r="W131" s="9">
        <f t="shared" si="94"/>
        <v>0</v>
      </c>
      <c r="X131" s="9">
        <f t="shared" si="95"/>
        <v>0</v>
      </c>
      <c r="Y131" s="9">
        <f t="shared" si="96"/>
        <v>0</v>
      </c>
      <c r="AA131" s="10">
        <f t="shared" ref="AA131:AA134" si="115">AA130+1</f>
        <v>27</v>
      </c>
      <c r="AB131" s="9">
        <f t="shared" si="83"/>
        <v>39736.082897668908</v>
      </c>
      <c r="AC131" s="9">
        <f t="shared" si="98"/>
        <v>1119.6974607902016</v>
      </c>
      <c r="AD131" s="9">
        <f t="shared" si="99"/>
        <v>0</v>
      </c>
      <c r="AE131" s="9">
        <f t="shared" si="100"/>
        <v>0</v>
      </c>
      <c r="AF131" s="9">
        <f t="shared" si="101"/>
        <v>0</v>
      </c>
      <c r="AG131" s="9">
        <f t="shared" si="102"/>
        <v>0</v>
      </c>
      <c r="AI131" s="10">
        <f t="shared" ref="AI131:AI134" si="116">AI130+1</f>
        <v>27</v>
      </c>
      <c r="AJ131" s="9">
        <f t="shared" si="84"/>
        <v>32038.125293104389</v>
      </c>
      <c r="AK131" s="9">
        <f t="shared" si="104"/>
        <v>426.88127637939499</v>
      </c>
      <c r="AL131" s="9">
        <f t="shared" si="105"/>
        <v>7779.8776999415995</v>
      </c>
      <c r="AM131" s="9">
        <f t="shared" si="106"/>
        <v>426.88127637939499</v>
      </c>
      <c r="AN131" s="9">
        <f t="shared" si="107"/>
        <v>192.17727873722765</v>
      </c>
      <c r="AO131" s="9">
        <f t="shared" si="108"/>
        <v>7352.9964235622047</v>
      </c>
    </row>
    <row r="132" spans="11:41" x14ac:dyDescent="0.3">
      <c r="K132" s="10">
        <f t="shared" si="113"/>
        <v>28</v>
      </c>
      <c r="L132" s="9">
        <f t="shared" si="81"/>
        <v>34416.907884941509</v>
      </c>
      <c r="M132" s="9">
        <f t="shared" si="86"/>
        <v>640.97170964473582</v>
      </c>
      <c r="N132" s="9">
        <f t="shared" si="87"/>
        <v>5957.0757105790544</v>
      </c>
      <c r="O132" s="9">
        <f t="shared" si="88"/>
        <v>640.97170964473582</v>
      </c>
      <c r="P132" s="9">
        <f t="shared" si="89"/>
        <v>280.15383372561791</v>
      </c>
      <c r="Q132" s="9">
        <f t="shared" si="90"/>
        <v>5316.1040009343187</v>
      </c>
      <c r="S132" s="10">
        <f t="shared" si="114"/>
        <v>28</v>
      </c>
      <c r="T132" s="9">
        <f t="shared" si="82"/>
        <v>49209.161606538182</v>
      </c>
      <c r="U132" s="9">
        <f t="shared" si="92"/>
        <v>1972.2745445884364</v>
      </c>
      <c r="V132" s="9">
        <f t="shared" si="93"/>
        <v>0</v>
      </c>
      <c r="W132" s="9">
        <f t="shared" si="94"/>
        <v>0</v>
      </c>
      <c r="X132" s="9">
        <f t="shared" si="95"/>
        <v>0</v>
      </c>
      <c r="Y132" s="9">
        <f t="shared" si="96"/>
        <v>0</v>
      </c>
      <c r="AA132" s="10">
        <f t="shared" si="115"/>
        <v>28</v>
      </c>
      <c r="AB132" s="9">
        <f t="shared" si="83"/>
        <v>40530.804555622279</v>
      </c>
      <c r="AC132" s="9">
        <f t="shared" si="98"/>
        <v>1191.222410006005</v>
      </c>
      <c r="AD132" s="9">
        <f t="shared" si="99"/>
        <v>0</v>
      </c>
      <c r="AE132" s="9">
        <f t="shared" si="100"/>
        <v>0</v>
      </c>
      <c r="AF132" s="9">
        <f t="shared" si="101"/>
        <v>0</v>
      </c>
      <c r="AG132" s="9">
        <f t="shared" si="102"/>
        <v>0</v>
      </c>
      <c r="AI132" s="10">
        <f t="shared" si="116"/>
        <v>28</v>
      </c>
      <c r="AJ132" s="9">
        <f t="shared" si="84"/>
        <v>32678.887798966469</v>
      </c>
      <c r="AK132" s="9">
        <f t="shared" si="104"/>
        <v>484.5499019069822</v>
      </c>
      <c r="AL132" s="9">
        <f t="shared" si="105"/>
        <v>7352.9964235622047</v>
      </c>
      <c r="AM132" s="9">
        <f t="shared" si="106"/>
        <v>484.5499019069822</v>
      </c>
      <c r="AN132" s="9">
        <f t="shared" si="107"/>
        <v>211.78549787455199</v>
      </c>
      <c r="AO132" s="9">
        <f t="shared" si="108"/>
        <v>6868.4465216552226</v>
      </c>
    </row>
    <row r="133" spans="11:41" x14ac:dyDescent="0.3">
      <c r="K133" s="10">
        <f t="shared" si="113"/>
        <v>29</v>
      </c>
      <c r="L133" s="9">
        <f t="shared" si="81"/>
        <v>35105.246042640349</v>
      </c>
      <c r="M133" s="9">
        <f t="shared" si="86"/>
        <v>702.92214383763132</v>
      </c>
      <c r="N133" s="9">
        <f t="shared" si="87"/>
        <v>5316.1040009343187</v>
      </c>
      <c r="O133" s="9">
        <f t="shared" si="88"/>
        <v>702.92214383763132</v>
      </c>
      <c r="P133" s="9">
        <f t="shared" si="89"/>
        <v>298.28245471858912</v>
      </c>
      <c r="Q133" s="9">
        <f t="shared" si="90"/>
        <v>4613.1818570966871</v>
      </c>
      <c r="S133" s="10">
        <f t="shared" si="114"/>
        <v>29</v>
      </c>
      <c r="T133" s="9">
        <f t="shared" si="82"/>
        <v>50193.344838668956</v>
      </c>
      <c r="U133" s="9">
        <f t="shared" si="92"/>
        <v>2060.8510354802061</v>
      </c>
      <c r="V133" s="9">
        <f t="shared" si="93"/>
        <v>0</v>
      </c>
      <c r="W133" s="9">
        <f t="shared" si="94"/>
        <v>0</v>
      </c>
      <c r="X133" s="9">
        <f t="shared" si="95"/>
        <v>0</v>
      </c>
      <c r="Y133" s="9">
        <f t="shared" si="96"/>
        <v>0</v>
      </c>
      <c r="AA133" s="10">
        <f t="shared" si="115"/>
        <v>29</v>
      </c>
      <c r="AB133" s="9">
        <f t="shared" si="83"/>
        <v>41341.420646734732</v>
      </c>
      <c r="AC133" s="9">
        <f t="shared" si="98"/>
        <v>1264.1778582061258</v>
      </c>
      <c r="AD133" s="9">
        <f t="shared" si="99"/>
        <v>0</v>
      </c>
      <c r="AE133" s="9">
        <f t="shared" si="100"/>
        <v>0</v>
      </c>
      <c r="AF133" s="9">
        <f t="shared" si="101"/>
        <v>0</v>
      </c>
      <c r="AG133" s="9">
        <f t="shared" si="102"/>
        <v>0</v>
      </c>
      <c r="AI133" s="10">
        <f t="shared" si="116"/>
        <v>29</v>
      </c>
      <c r="AJ133" s="9">
        <f t="shared" si="84"/>
        <v>33332.465554945804</v>
      </c>
      <c r="AK133" s="9">
        <f t="shared" si="104"/>
        <v>543.37189994512232</v>
      </c>
      <c r="AL133" s="9">
        <f t="shared" si="105"/>
        <v>6868.4465216552226</v>
      </c>
      <c r="AM133" s="9">
        <f t="shared" si="106"/>
        <v>543.37189994512232</v>
      </c>
      <c r="AN133" s="9">
        <f t="shared" si="107"/>
        <v>230.57788911850432</v>
      </c>
      <c r="AO133" s="9">
        <f t="shared" si="108"/>
        <v>6325.0746217101005</v>
      </c>
    </row>
    <row r="134" spans="11:41" x14ac:dyDescent="0.3">
      <c r="K134" s="10">
        <f t="shared" si="113"/>
        <v>30</v>
      </c>
      <c r="L134" s="9">
        <f t="shared" si="81"/>
        <v>35807.350963493147</v>
      </c>
      <c r="M134" s="9">
        <f t="shared" si="86"/>
        <v>766.11158671438318</v>
      </c>
      <c r="N134" s="9">
        <f t="shared" si="87"/>
        <v>4613.1818570966871</v>
      </c>
      <c r="O134" s="9">
        <f t="shared" si="88"/>
        <v>766.11158671438318</v>
      </c>
      <c r="P134" s="9">
        <f t="shared" si="89"/>
        <v>315.62783003804844</v>
      </c>
      <c r="Q134" s="9">
        <f t="shared" si="90"/>
        <v>3847.070270382304</v>
      </c>
      <c r="S134" s="10">
        <f t="shared" si="114"/>
        <v>30</v>
      </c>
      <c r="T134" s="9">
        <f t="shared" si="82"/>
        <v>51197.211735442324</v>
      </c>
      <c r="U134" s="9">
        <f t="shared" si="92"/>
        <v>2151.1990561898092</v>
      </c>
      <c r="V134" s="9">
        <f t="shared" si="93"/>
        <v>0</v>
      </c>
      <c r="W134" s="9">
        <f t="shared" si="94"/>
        <v>0</v>
      </c>
      <c r="X134" s="9">
        <f t="shared" si="95"/>
        <v>0</v>
      </c>
      <c r="Y134" s="9">
        <f t="shared" si="96"/>
        <v>0</v>
      </c>
      <c r="AA134" s="10">
        <f t="shared" si="115"/>
        <v>30</v>
      </c>
      <c r="AB134" s="9">
        <f t="shared" si="83"/>
        <v>42168.249059669419</v>
      </c>
      <c r="AC134" s="9">
        <f t="shared" si="98"/>
        <v>1338.5924153702476</v>
      </c>
      <c r="AD134" s="9">
        <f t="shared" si="99"/>
        <v>0</v>
      </c>
      <c r="AE134" s="9">
        <f t="shared" si="100"/>
        <v>0</v>
      </c>
      <c r="AF134" s="9">
        <f t="shared" si="101"/>
        <v>0</v>
      </c>
      <c r="AG134" s="9">
        <f t="shared" si="102"/>
        <v>0</v>
      </c>
      <c r="AI134" s="10">
        <f t="shared" si="116"/>
        <v>30</v>
      </c>
      <c r="AJ134" s="9">
        <f t="shared" si="84"/>
        <v>33999.114866044714</v>
      </c>
      <c r="AK134" s="9">
        <f t="shared" si="104"/>
        <v>603.3703379440243</v>
      </c>
      <c r="AL134" s="9">
        <f t="shared" si="105"/>
        <v>6325.0746217101005</v>
      </c>
      <c r="AM134" s="9">
        <f t="shared" si="106"/>
        <v>603.3703379440243</v>
      </c>
      <c r="AN134" s="9">
        <f t="shared" si="107"/>
        <v>248.58059031757622</v>
      </c>
      <c r="AO134" s="9">
        <f t="shared" si="108"/>
        <v>5721.7042837660765</v>
      </c>
    </row>
    <row r="135" spans="11:41" x14ac:dyDescent="0.3">
      <c r="K135" s="9"/>
      <c r="L135" s="9"/>
      <c r="M135" s="9"/>
      <c r="N135" s="9"/>
      <c r="O135" s="9"/>
      <c r="P135" s="9"/>
      <c r="Q135" s="9"/>
      <c r="S135" s="9"/>
      <c r="T135" s="9"/>
      <c r="U135" s="9"/>
      <c r="V135" s="9"/>
      <c r="W135" s="9"/>
      <c r="X135" s="9"/>
      <c r="Y135" s="9"/>
      <c r="AA135" s="9"/>
      <c r="AB135" s="9"/>
      <c r="AC135" s="9"/>
      <c r="AD135" s="9"/>
      <c r="AE135" s="9"/>
      <c r="AF135" s="9"/>
      <c r="AG135" s="9"/>
      <c r="AI135" s="9"/>
      <c r="AJ135" s="9"/>
      <c r="AK135" s="9"/>
      <c r="AL135" s="9"/>
      <c r="AM135" s="9"/>
      <c r="AN135" s="9"/>
      <c r="AO135" s="9"/>
    </row>
    <row r="137" spans="11:41" x14ac:dyDescent="0.3">
      <c r="K137" s="71" t="s">
        <v>72</v>
      </c>
      <c r="L137" s="72"/>
      <c r="M137" s="72"/>
      <c r="N137" s="72"/>
      <c r="O137" s="72"/>
      <c r="P137" s="72"/>
      <c r="Q137" s="73"/>
      <c r="S137" s="71" t="s">
        <v>73</v>
      </c>
      <c r="T137" s="72"/>
      <c r="U137" s="72"/>
      <c r="V137" s="72"/>
      <c r="W137" s="72"/>
      <c r="X137" s="72"/>
      <c r="Y137" s="73"/>
      <c r="AA137" s="71" t="s">
        <v>74</v>
      </c>
      <c r="AB137" s="72"/>
      <c r="AC137" s="72"/>
      <c r="AD137" s="72"/>
      <c r="AE137" s="72"/>
      <c r="AF137" s="72"/>
      <c r="AG137" s="73"/>
      <c r="AI137" s="71" t="s">
        <v>75</v>
      </c>
      <c r="AJ137" s="72"/>
      <c r="AK137" s="72"/>
      <c r="AL137" s="72"/>
      <c r="AM137" s="72"/>
      <c r="AN137" s="72"/>
      <c r="AO137" s="73"/>
    </row>
    <row r="138" spans="11:41" ht="43.2" x14ac:dyDescent="0.3">
      <c r="K138" s="14" t="s">
        <v>13</v>
      </c>
      <c r="L138" s="14" t="s">
        <v>14</v>
      </c>
      <c r="M138" s="14" t="s">
        <v>15</v>
      </c>
      <c r="N138" s="14" t="s">
        <v>16</v>
      </c>
      <c r="O138" s="14" t="s">
        <v>17</v>
      </c>
      <c r="P138" s="14" t="s">
        <v>18</v>
      </c>
      <c r="Q138" s="14" t="s">
        <v>19</v>
      </c>
      <c r="S138" s="14" t="s">
        <v>13</v>
      </c>
      <c r="T138" s="14" t="s">
        <v>14</v>
      </c>
      <c r="U138" s="14" t="s">
        <v>15</v>
      </c>
      <c r="V138" s="14" t="s">
        <v>16</v>
      </c>
      <c r="W138" s="14" t="s">
        <v>17</v>
      </c>
      <c r="X138" s="14" t="s">
        <v>18</v>
      </c>
      <c r="Y138" s="14" t="s">
        <v>19</v>
      </c>
      <c r="AA138" s="14" t="s">
        <v>13</v>
      </c>
      <c r="AB138" s="14" t="s">
        <v>14</v>
      </c>
      <c r="AC138" s="14" t="s">
        <v>15</v>
      </c>
      <c r="AD138" s="14" t="s">
        <v>16</v>
      </c>
      <c r="AE138" s="14" t="s">
        <v>17</v>
      </c>
      <c r="AF138" s="14" t="s">
        <v>18</v>
      </c>
      <c r="AG138" s="14" t="s">
        <v>19</v>
      </c>
      <c r="AI138" s="14" t="s">
        <v>13</v>
      </c>
      <c r="AJ138" s="14" t="s">
        <v>14</v>
      </c>
      <c r="AK138" s="14" t="s">
        <v>15</v>
      </c>
      <c r="AL138" s="14" t="s">
        <v>16</v>
      </c>
      <c r="AM138" s="14" t="s">
        <v>17</v>
      </c>
      <c r="AN138" s="14" t="s">
        <v>18</v>
      </c>
      <c r="AO138" s="14" t="s">
        <v>19</v>
      </c>
    </row>
    <row r="139" spans="11:41" x14ac:dyDescent="0.3">
      <c r="K139" s="10">
        <v>1</v>
      </c>
      <c r="L139" s="9">
        <f>$F$16*(1+$B$7)^(K139-1)</f>
        <v>25029.439999999999</v>
      </c>
      <c r="M139" s="9">
        <f>$B$5*MAX(0,L139-$B$6)</f>
        <v>0</v>
      </c>
      <c r="N139" s="9">
        <f>$B$2</f>
        <v>9250</v>
      </c>
      <c r="O139" s="9">
        <f>MIN(M139,N139)</f>
        <v>0</v>
      </c>
      <c r="P139" s="9">
        <f>O139/(1+$B$8)^K139</f>
        <v>0</v>
      </c>
      <c r="Q139" s="9">
        <f>N139-O139</f>
        <v>9250</v>
      </c>
      <c r="S139" s="10">
        <v>1</v>
      </c>
      <c r="T139" s="9">
        <f>$F$17*(1+$B$7)^(S139-1)</f>
        <v>71353.34</v>
      </c>
      <c r="U139" s="9">
        <f>$B$5*MAX(0,T139-$B$6)</f>
        <v>3965.2505999999994</v>
      </c>
      <c r="V139" s="9">
        <f>$B$2</f>
        <v>9250</v>
      </c>
      <c r="W139" s="9">
        <f>MIN(U139,V139)</f>
        <v>3965.2505999999994</v>
      </c>
      <c r="X139" s="9">
        <f>W139/(1+$B$8)^S139</f>
        <v>3849.7578640776692</v>
      </c>
      <c r="Y139" s="9">
        <f>V139-W139</f>
        <v>5284.7494000000006</v>
      </c>
      <c r="AA139" s="10">
        <v>1</v>
      </c>
      <c r="AB139" s="9">
        <f>$F$18*(1+$B$7)^(AA139-1)</f>
        <v>15876.46</v>
      </c>
      <c r="AC139" s="9">
        <f>$B$5*MAX(0,AB139-$B$6)</f>
        <v>0</v>
      </c>
      <c r="AD139" s="9">
        <f>$B$2</f>
        <v>9250</v>
      </c>
      <c r="AE139" s="9">
        <f>MIN(AC139,AD139)</f>
        <v>0</v>
      </c>
      <c r="AF139" s="9">
        <f>AE139/(1+$B$8)^AA139</f>
        <v>0</v>
      </c>
      <c r="AG139" s="9">
        <f>AD139-AE139</f>
        <v>9250</v>
      </c>
      <c r="AI139" s="10">
        <v>1</v>
      </c>
      <c r="AJ139" s="9">
        <f>$F$19*(1+$B$7)^(AI139-1)</f>
        <v>28809.14</v>
      </c>
      <c r="AK139" s="9">
        <f>$B$5*MAX(0,AJ139-$B$6)</f>
        <v>136.27259999999995</v>
      </c>
      <c r="AL139" s="9">
        <f>$B$2</f>
        <v>9250</v>
      </c>
      <c r="AM139" s="9">
        <f>MIN(AK139,AL139)</f>
        <v>136.27259999999995</v>
      </c>
      <c r="AN139" s="9">
        <f>AM139/(1+$B$8)^AI139</f>
        <v>132.30349514563102</v>
      </c>
      <c r="AO139" s="9">
        <f>AL139-AM139</f>
        <v>9113.7273999999998</v>
      </c>
    </row>
    <row r="140" spans="11:41" x14ac:dyDescent="0.3">
      <c r="K140" s="10">
        <f>K139+1</f>
        <v>2</v>
      </c>
      <c r="L140" s="9">
        <f t="shared" ref="L140:L168" si="117">$F$16*(1+$B$7)^(K140-1)</f>
        <v>25530.0288</v>
      </c>
      <c r="M140" s="9">
        <f>$B$5*MAX(0,L140-$B$6)</f>
        <v>0</v>
      </c>
      <c r="N140" s="9">
        <f>Q139</f>
        <v>9250</v>
      </c>
      <c r="O140" s="9">
        <f>IF(N140&lt;=0,0,MIN(M140,N140))</f>
        <v>0</v>
      </c>
      <c r="P140" s="9">
        <f>O140/(1+$B$8)^K140</f>
        <v>0</v>
      </c>
      <c r="Q140" s="9">
        <f>MAX(0,N140-O140)</f>
        <v>9250</v>
      </c>
      <c r="S140" s="10">
        <f>S139+1</f>
        <v>2</v>
      </c>
      <c r="T140" s="9">
        <f t="shared" ref="T140:T167" si="118">$F$17*(1+$B$7)^(S140-1)</f>
        <v>72780.406799999997</v>
      </c>
      <c r="U140" s="9">
        <f>$B$5*MAX(0,T140-$B$6)</f>
        <v>4093.6866119999995</v>
      </c>
      <c r="V140" s="9">
        <f>Y139</f>
        <v>5284.7494000000006</v>
      </c>
      <c r="W140" s="9">
        <f>IF(V140&lt;=0,0,MIN(U140,V140))</f>
        <v>4093.6866119999995</v>
      </c>
      <c r="X140" s="9">
        <f>W140/(1+$B$8)^S140</f>
        <v>3858.6922537468186</v>
      </c>
      <c r="Y140" s="9">
        <f>MAX(0,V140-W140)</f>
        <v>1191.0627880000011</v>
      </c>
      <c r="AA140" s="10">
        <f>AA139+1</f>
        <v>2</v>
      </c>
      <c r="AB140" s="9">
        <f t="shared" ref="AB140:AB168" si="119">$F$18*(1+$B$7)^(AA140-1)</f>
        <v>16193.9892</v>
      </c>
      <c r="AC140" s="9">
        <f>$B$5*MAX(0,AB140-$B$6)</f>
        <v>0</v>
      </c>
      <c r="AD140" s="9">
        <f>AG139</f>
        <v>9250</v>
      </c>
      <c r="AE140" s="9">
        <f>IF(AD140&lt;=0,0,MIN(AC140,AD140))</f>
        <v>0</v>
      </c>
      <c r="AF140" s="9">
        <f>AE140/(1+$B$8)^AA140</f>
        <v>0</v>
      </c>
      <c r="AG140" s="9">
        <f>MAX(0,AD140-AE140)</f>
        <v>9250</v>
      </c>
      <c r="AI140" s="10">
        <f>AI139+1</f>
        <v>2</v>
      </c>
      <c r="AJ140" s="9">
        <f t="shared" ref="AJ140:AJ168" si="120">$F$19*(1+$B$7)^(AI140-1)</f>
        <v>29385.322800000002</v>
      </c>
      <c r="AK140" s="9">
        <f>$B$5*MAX(0,AJ140-$B$6)</f>
        <v>188.12905200000014</v>
      </c>
      <c r="AL140" s="9">
        <f>AO139</f>
        <v>9113.7273999999998</v>
      </c>
      <c r="AM140" s="9">
        <f>IF(AL140&lt;=0,0,MIN(AK140,AL140))</f>
        <v>188.12905200000014</v>
      </c>
      <c r="AN140" s="9">
        <f>AM140/(1+$B$8)^AI140</f>
        <v>177.3296748044115</v>
      </c>
      <c r="AO140" s="9">
        <f>MAX(0,AL140-AM140)</f>
        <v>8925.5983479999995</v>
      </c>
    </row>
    <row r="141" spans="11:41" x14ac:dyDescent="0.3">
      <c r="K141" s="10">
        <f t="shared" ref="K141:K156" si="121">K140+1</f>
        <v>3</v>
      </c>
      <c r="L141" s="9">
        <f t="shared" si="117"/>
        <v>26040.629375999997</v>
      </c>
      <c r="M141" s="9">
        <f t="shared" ref="M141:M168" si="122">$B$5*MAX(0,L141-$B$6)</f>
        <v>0</v>
      </c>
      <c r="N141" s="9">
        <f t="shared" ref="N141:N168" si="123">Q140</f>
        <v>9250</v>
      </c>
      <c r="O141" s="9">
        <f t="shared" ref="O141:O168" si="124">IF(N141&lt;=0,0,MIN(M141,N141))</f>
        <v>0</v>
      </c>
      <c r="P141" s="9">
        <f t="shared" ref="P141:P168" si="125">O141/(1+$B$8)^K141</f>
        <v>0</v>
      </c>
      <c r="Q141" s="9">
        <f t="shared" ref="Q141:Q168" si="126">MAX(0,N141-O141)</f>
        <v>9250</v>
      </c>
      <c r="S141" s="10">
        <f t="shared" ref="S141:S156" si="127">S140+1</f>
        <v>3</v>
      </c>
      <c r="T141" s="9">
        <f t="shared" si="118"/>
        <v>74236.014935999992</v>
      </c>
      <c r="U141" s="9">
        <f t="shared" ref="U141:U168" si="128">$B$5*MAX(0,T141-$B$6)</f>
        <v>4224.6913442399991</v>
      </c>
      <c r="V141" s="9">
        <f t="shared" ref="V141:V168" si="129">Y140</f>
        <v>1191.0627880000011</v>
      </c>
      <c r="W141" s="9">
        <f t="shared" ref="W141:W168" si="130">IF(V141&lt;=0,0,MIN(U141,V141))</f>
        <v>1191.0627880000011</v>
      </c>
      <c r="X141" s="9">
        <f t="shared" ref="X141:X168" si="131">W141/(1+$B$8)^S141</f>
        <v>1089.9911762041215</v>
      </c>
      <c r="Y141" s="9">
        <f t="shared" ref="Y141:Y168" si="132">MAX(0,V141-W141)</f>
        <v>0</v>
      </c>
      <c r="AA141" s="10">
        <f t="shared" ref="AA141:AA156" si="133">AA140+1</f>
        <v>3</v>
      </c>
      <c r="AB141" s="9">
        <f t="shared" si="119"/>
        <v>16517.868984000001</v>
      </c>
      <c r="AC141" s="9">
        <f t="shared" ref="AC141:AC168" si="134">$B$5*MAX(0,AB141-$B$6)</f>
        <v>0</v>
      </c>
      <c r="AD141" s="9">
        <f t="shared" ref="AD141:AD168" si="135">AG140</f>
        <v>9250</v>
      </c>
      <c r="AE141" s="9">
        <f t="shared" ref="AE141:AE168" si="136">IF(AD141&lt;=0,0,MIN(AC141,AD141))</f>
        <v>0</v>
      </c>
      <c r="AF141" s="9">
        <f t="shared" ref="AF141:AF168" si="137">AE141/(1+$B$8)^AA141</f>
        <v>0</v>
      </c>
      <c r="AG141" s="9">
        <f t="shared" ref="AG141:AG168" si="138">MAX(0,AD141-AE141)</f>
        <v>9250</v>
      </c>
      <c r="AI141" s="10">
        <f t="shared" ref="AI141:AI156" si="139">AI140+1</f>
        <v>3</v>
      </c>
      <c r="AJ141" s="9">
        <f t="shared" si="120"/>
        <v>29973.029255999998</v>
      </c>
      <c r="AK141" s="9">
        <f t="shared" ref="AK141:AK168" si="140">$B$5*MAX(0,AJ141-$B$6)</f>
        <v>241.02263303999982</v>
      </c>
      <c r="AL141" s="9">
        <f t="shared" ref="AL141:AL168" si="141">AO140</f>
        <v>8925.5983479999995</v>
      </c>
      <c r="AM141" s="9">
        <f t="shared" ref="AM141:AM168" si="142">IF(AL141&lt;=0,0,MIN(AK141,AL141))</f>
        <v>241.02263303999982</v>
      </c>
      <c r="AN141" s="9">
        <f t="shared" ref="AN141:AN168" si="143">AM141/(1+$B$8)^AI141</f>
        <v>220.5698523418931</v>
      </c>
      <c r="AO141" s="9">
        <f t="shared" ref="AO141:AO168" si="144">MAX(0,AL141-AM141)</f>
        <v>8684.5757149599995</v>
      </c>
    </row>
    <row r="142" spans="11:41" x14ac:dyDescent="0.3">
      <c r="K142" s="10">
        <f t="shared" si="121"/>
        <v>4</v>
      </c>
      <c r="L142" s="9">
        <f t="shared" si="117"/>
        <v>26561.441963519996</v>
      </c>
      <c r="M142" s="9">
        <f t="shared" si="122"/>
        <v>0</v>
      </c>
      <c r="N142" s="9">
        <f t="shared" si="123"/>
        <v>9250</v>
      </c>
      <c r="O142" s="9">
        <f t="shared" si="124"/>
        <v>0</v>
      </c>
      <c r="P142" s="9">
        <f t="shared" si="125"/>
        <v>0</v>
      </c>
      <c r="Q142" s="9">
        <f t="shared" si="126"/>
        <v>9250</v>
      </c>
      <c r="S142" s="10">
        <f t="shared" si="127"/>
        <v>4</v>
      </c>
      <c r="T142" s="9">
        <f t="shared" si="118"/>
        <v>75720.735234719992</v>
      </c>
      <c r="U142" s="9">
        <f t="shared" si="128"/>
        <v>4358.3161711247994</v>
      </c>
      <c r="V142" s="9">
        <f t="shared" si="129"/>
        <v>0</v>
      </c>
      <c r="W142" s="9">
        <f t="shared" si="130"/>
        <v>0</v>
      </c>
      <c r="X142" s="9">
        <f t="shared" si="131"/>
        <v>0</v>
      </c>
      <c r="Y142" s="9">
        <f t="shared" si="132"/>
        <v>0</v>
      </c>
      <c r="AA142" s="10">
        <f t="shared" si="133"/>
        <v>4</v>
      </c>
      <c r="AB142" s="9">
        <f t="shared" si="119"/>
        <v>16848.226363679998</v>
      </c>
      <c r="AC142" s="9">
        <f t="shared" si="134"/>
        <v>0</v>
      </c>
      <c r="AD142" s="9">
        <f t="shared" si="135"/>
        <v>9250</v>
      </c>
      <c r="AE142" s="9">
        <f t="shared" si="136"/>
        <v>0</v>
      </c>
      <c r="AF142" s="9">
        <f t="shared" si="137"/>
        <v>0</v>
      </c>
      <c r="AG142" s="9">
        <f t="shared" si="138"/>
        <v>9250</v>
      </c>
      <c r="AI142" s="10">
        <f t="shared" si="139"/>
        <v>4</v>
      </c>
      <c r="AJ142" s="9">
        <f t="shared" si="120"/>
        <v>30572.489841119997</v>
      </c>
      <c r="AK142" s="9">
        <f t="shared" si="140"/>
        <v>294.97408570079978</v>
      </c>
      <c r="AL142" s="9">
        <f t="shared" si="141"/>
        <v>8684.5757149599995</v>
      </c>
      <c r="AM142" s="9">
        <f t="shared" si="142"/>
        <v>294.97408570079978</v>
      </c>
      <c r="AN142" s="9">
        <f t="shared" si="143"/>
        <v>262.08065461593304</v>
      </c>
      <c r="AO142" s="9">
        <f t="shared" si="144"/>
        <v>8389.6016292591994</v>
      </c>
    </row>
    <row r="143" spans="11:41" x14ac:dyDescent="0.3">
      <c r="K143" s="10">
        <f t="shared" si="121"/>
        <v>5</v>
      </c>
      <c r="L143" s="9">
        <f t="shared" si="117"/>
        <v>27092.670802790399</v>
      </c>
      <c r="M143" s="9">
        <f t="shared" si="122"/>
        <v>0</v>
      </c>
      <c r="N143" s="9">
        <f t="shared" si="123"/>
        <v>9250</v>
      </c>
      <c r="O143" s="9">
        <f t="shared" si="124"/>
        <v>0</v>
      </c>
      <c r="P143" s="9">
        <f t="shared" si="125"/>
        <v>0</v>
      </c>
      <c r="Q143" s="9">
        <f t="shared" si="126"/>
        <v>9250</v>
      </c>
      <c r="S143" s="10">
        <f t="shared" si="127"/>
        <v>5</v>
      </c>
      <c r="T143" s="9">
        <f t="shared" si="118"/>
        <v>77235.14993941439</v>
      </c>
      <c r="U143" s="9">
        <f t="shared" si="128"/>
        <v>4494.613494547295</v>
      </c>
      <c r="V143" s="9">
        <f t="shared" si="129"/>
        <v>0</v>
      </c>
      <c r="W143" s="9">
        <f t="shared" si="130"/>
        <v>0</v>
      </c>
      <c r="X143" s="9">
        <f t="shared" si="131"/>
        <v>0</v>
      </c>
      <c r="Y143" s="9">
        <f t="shared" si="132"/>
        <v>0</v>
      </c>
      <c r="AA143" s="10">
        <f t="shared" si="133"/>
        <v>5</v>
      </c>
      <c r="AB143" s="9">
        <f t="shared" si="119"/>
        <v>17185.1908909536</v>
      </c>
      <c r="AC143" s="9">
        <f t="shared" si="134"/>
        <v>0</v>
      </c>
      <c r="AD143" s="9">
        <f t="shared" si="135"/>
        <v>9250</v>
      </c>
      <c r="AE143" s="9">
        <f t="shared" si="136"/>
        <v>0</v>
      </c>
      <c r="AF143" s="9">
        <f t="shared" si="137"/>
        <v>0</v>
      </c>
      <c r="AG143" s="9">
        <f t="shared" si="138"/>
        <v>9250</v>
      </c>
      <c r="AI143" s="10">
        <f t="shared" si="139"/>
        <v>5</v>
      </c>
      <c r="AJ143" s="9">
        <f t="shared" si="120"/>
        <v>31183.9396379424</v>
      </c>
      <c r="AK143" s="9">
        <f t="shared" si="140"/>
        <v>350.00456741481594</v>
      </c>
      <c r="AL143" s="9">
        <f t="shared" si="141"/>
        <v>8389.6016292591994</v>
      </c>
      <c r="AM143" s="9">
        <f t="shared" si="142"/>
        <v>350.00456741481594</v>
      </c>
      <c r="AN143" s="9">
        <f t="shared" si="143"/>
        <v>301.91701442659956</v>
      </c>
      <c r="AO143" s="9">
        <f t="shared" si="144"/>
        <v>8039.5970618443835</v>
      </c>
    </row>
    <row r="144" spans="11:41" x14ac:dyDescent="0.3">
      <c r="K144" s="10">
        <f t="shared" si="121"/>
        <v>6</v>
      </c>
      <c r="L144" s="9">
        <f t="shared" si="117"/>
        <v>27634.524218846207</v>
      </c>
      <c r="M144" s="9">
        <f t="shared" si="122"/>
        <v>30.557179696158634</v>
      </c>
      <c r="N144" s="9">
        <f t="shared" si="123"/>
        <v>9250</v>
      </c>
      <c r="O144" s="9">
        <f t="shared" si="124"/>
        <v>30.557179696158634</v>
      </c>
      <c r="P144" s="9">
        <f t="shared" si="125"/>
        <v>25.591156924186272</v>
      </c>
      <c r="Q144" s="9">
        <f t="shared" si="126"/>
        <v>9219.4428203038406</v>
      </c>
      <c r="S144" s="10">
        <f t="shared" si="127"/>
        <v>6</v>
      </c>
      <c r="T144" s="9">
        <f t="shared" si="118"/>
        <v>78779.85293820269</v>
      </c>
      <c r="U144" s="9">
        <f t="shared" si="128"/>
        <v>4633.6367644382417</v>
      </c>
      <c r="V144" s="9">
        <f t="shared" si="129"/>
        <v>0</v>
      </c>
      <c r="W144" s="9">
        <f t="shared" si="130"/>
        <v>0</v>
      </c>
      <c r="X144" s="9">
        <f t="shared" si="131"/>
        <v>0</v>
      </c>
      <c r="Y144" s="9">
        <f t="shared" si="132"/>
        <v>0</v>
      </c>
      <c r="AA144" s="10">
        <f t="shared" si="133"/>
        <v>6</v>
      </c>
      <c r="AB144" s="9">
        <f t="shared" si="119"/>
        <v>17528.89470877267</v>
      </c>
      <c r="AC144" s="9">
        <f t="shared" si="134"/>
        <v>0</v>
      </c>
      <c r="AD144" s="9">
        <f t="shared" si="135"/>
        <v>9250</v>
      </c>
      <c r="AE144" s="9">
        <f t="shared" si="136"/>
        <v>0</v>
      </c>
      <c r="AF144" s="9">
        <f t="shared" si="137"/>
        <v>0</v>
      </c>
      <c r="AG144" s="9">
        <f t="shared" si="138"/>
        <v>9250</v>
      </c>
      <c r="AI144" s="10">
        <f t="shared" si="139"/>
        <v>6</v>
      </c>
      <c r="AJ144" s="9">
        <f t="shared" si="120"/>
        <v>31807.618430701248</v>
      </c>
      <c r="AK144" s="9">
        <f t="shared" si="140"/>
        <v>406.1356587631123</v>
      </c>
      <c r="AL144" s="9">
        <f t="shared" si="141"/>
        <v>8039.5970618443835</v>
      </c>
      <c r="AM144" s="9">
        <f t="shared" si="142"/>
        <v>406.1356587631123</v>
      </c>
      <c r="AN144" s="9">
        <f t="shared" si="143"/>
        <v>340.1322202919514</v>
      </c>
      <c r="AO144" s="9">
        <f t="shared" si="144"/>
        <v>7633.4614030812709</v>
      </c>
    </row>
    <row r="145" spans="11:41" x14ac:dyDescent="0.3">
      <c r="K145" s="10">
        <f t="shared" si="121"/>
        <v>7</v>
      </c>
      <c r="L145" s="9">
        <f t="shared" si="117"/>
        <v>28187.214703223133</v>
      </c>
      <c r="M145" s="9">
        <f t="shared" si="122"/>
        <v>80.299323290081986</v>
      </c>
      <c r="N145" s="9">
        <f t="shared" si="123"/>
        <v>9219.4428203038406</v>
      </c>
      <c r="O145" s="9">
        <f t="shared" si="124"/>
        <v>80.299323290081986</v>
      </c>
      <c r="P145" s="9">
        <f t="shared" si="125"/>
        <v>65.290698133781333</v>
      </c>
      <c r="Q145" s="9">
        <f t="shared" si="126"/>
        <v>9139.143497013758</v>
      </c>
      <c r="S145" s="10">
        <f t="shared" si="127"/>
        <v>7</v>
      </c>
      <c r="T145" s="9">
        <f t="shared" si="118"/>
        <v>80355.449996966738</v>
      </c>
      <c r="U145" s="9">
        <f t="shared" si="128"/>
        <v>4775.4404997270058</v>
      </c>
      <c r="V145" s="9">
        <f t="shared" si="129"/>
        <v>0</v>
      </c>
      <c r="W145" s="9">
        <f t="shared" si="130"/>
        <v>0</v>
      </c>
      <c r="X145" s="9">
        <f t="shared" si="131"/>
        <v>0</v>
      </c>
      <c r="Y145" s="9">
        <f t="shared" si="132"/>
        <v>0</v>
      </c>
      <c r="AA145" s="10">
        <f t="shared" si="133"/>
        <v>7</v>
      </c>
      <c r="AB145" s="9">
        <f t="shared" si="119"/>
        <v>17879.472602948124</v>
      </c>
      <c r="AC145" s="9">
        <f t="shared" si="134"/>
        <v>0</v>
      </c>
      <c r="AD145" s="9">
        <f t="shared" si="135"/>
        <v>9250</v>
      </c>
      <c r="AE145" s="9">
        <f t="shared" si="136"/>
        <v>0</v>
      </c>
      <c r="AF145" s="9">
        <f t="shared" si="137"/>
        <v>0</v>
      </c>
      <c r="AG145" s="9">
        <f t="shared" si="138"/>
        <v>9250</v>
      </c>
      <c r="AI145" s="10">
        <f t="shared" si="139"/>
        <v>7</v>
      </c>
      <c r="AJ145" s="9">
        <f t="shared" si="120"/>
        <v>32443.770799315273</v>
      </c>
      <c r="AK145" s="9">
        <f t="shared" si="140"/>
        <v>463.3893719383745</v>
      </c>
      <c r="AL145" s="9">
        <f t="shared" si="141"/>
        <v>7633.4614030812709</v>
      </c>
      <c r="AM145" s="9">
        <f t="shared" si="142"/>
        <v>463.3893719383745</v>
      </c>
      <c r="AN145" s="9">
        <f t="shared" si="143"/>
        <v>376.77796476982041</v>
      </c>
      <c r="AO145" s="9">
        <f t="shared" si="144"/>
        <v>7170.0720311428968</v>
      </c>
    </row>
    <row r="146" spans="11:41" x14ac:dyDescent="0.3">
      <c r="K146" s="10">
        <f t="shared" si="121"/>
        <v>8</v>
      </c>
      <c r="L146" s="9">
        <f t="shared" si="117"/>
        <v>28750.958997287587</v>
      </c>
      <c r="M146" s="9">
        <f t="shared" si="122"/>
        <v>131.03630975588285</v>
      </c>
      <c r="N146" s="9">
        <f t="shared" si="123"/>
        <v>9139.143497013758</v>
      </c>
      <c r="O146" s="9">
        <f t="shared" si="124"/>
        <v>131.03630975588285</v>
      </c>
      <c r="P146" s="9">
        <f t="shared" si="125"/>
        <v>103.44127295171519</v>
      </c>
      <c r="Q146" s="9">
        <f t="shared" si="126"/>
        <v>9008.1071872578759</v>
      </c>
      <c r="S146" s="10">
        <f t="shared" si="127"/>
        <v>8</v>
      </c>
      <c r="T146" s="9">
        <f t="shared" si="118"/>
        <v>81962.558996906053</v>
      </c>
      <c r="U146" s="9">
        <f t="shared" si="128"/>
        <v>4920.0803097215448</v>
      </c>
      <c r="V146" s="9">
        <f t="shared" si="129"/>
        <v>0</v>
      </c>
      <c r="W146" s="9">
        <f t="shared" si="130"/>
        <v>0</v>
      </c>
      <c r="X146" s="9">
        <f t="shared" si="131"/>
        <v>0</v>
      </c>
      <c r="Y146" s="9">
        <f t="shared" si="132"/>
        <v>0</v>
      </c>
      <c r="AA146" s="10">
        <f t="shared" si="133"/>
        <v>8</v>
      </c>
      <c r="AB146" s="9">
        <f t="shared" si="119"/>
        <v>18237.062055007085</v>
      </c>
      <c r="AC146" s="9">
        <f t="shared" si="134"/>
        <v>0</v>
      </c>
      <c r="AD146" s="9">
        <f t="shared" si="135"/>
        <v>9250</v>
      </c>
      <c r="AE146" s="9">
        <f t="shared" si="136"/>
        <v>0</v>
      </c>
      <c r="AF146" s="9">
        <f t="shared" si="137"/>
        <v>0</v>
      </c>
      <c r="AG146" s="9">
        <f t="shared" si="138"/>
        <v>9250</v>
      </c>
      <c r="AI146" s="10">
        <f t="shared" si="139"/>
        <v>8</v>
      </c>
      <c r="AJ146" s="9">
        <f t="shared" si="120"/>
        <v>33092.646215301575</v>
      </c>
      <c r="AK146" s="9">
        <f t="shared" si="140"/>
        <v>521.78815937714171</v>
      </c>
      <c r="AL146" s="9">
        <f t="shared" si="141"/>
        <v>7170.0720311428968</v>
      </c>
      <c r="AM146" s="9">
        <f t="shared" si="142"/>
        <v>521.78815937714171</v>
      </c>
      <c r="AN146" s="9">
        <f t="shared" si="143"/>
        <v>411.90439136798733</v>
      </c>
      <c r="AO146" s="9">
        <f t="shared" si="144"/>
        <v>6648.2838717657551</v>
      </c>
    </row>
    <row r="147" spans="11:41" x14ac:dyDescent="0.3">
      <c r="K147" s="10">
        <f t="shared" si="121"/>
        <v>9</v>
      </c>
      <c r="L147" s="9">
        <f t="shared" si="117"/>
        <v>29325.978177233344</v>
      </c>
      <c r="M147" s="9">
        <f t="shared" si="122"/>
        <v>182.78803595100101</v>
      </c>
      <c r="N147" s="9">
        <f t="shared" si="123"/>
        <v>9008.1071872578759</v>
      </c>
      <c r="O147" s="9">
        <f t="shared" si="124"/>
        <v>182.78803595100101</v>
      </c>
      <c r="P147" s="9">
        <f t="shared" si="125"/>
        <v>140.09180922507559</v>
      </c>
      <c r="Q147" s="9">
        <f t="shared" si="126"/>
        <v>8825.3191513068741</v>
      </c>
      <c r="S147" s="10">
        <f t="shared" si="127"/>
        <v>9</v>
      </c>
      <c r="T147" s="9">
        <f t="shared" si="118"/>
        <v>83601.810176844185</v>
      </c>
      <c r="U147" s="9">
        <f t="shared" si="128"/>
        <v>5067.6129159159764</v>
      </c>
      <c r="V147" s="9">
        <f t="shared" si="129"/>
        <v>0</v>
      </c>
      <c r="W147" s="9">
        <f t="shared" si="130"/>
        <v>0</v>
      </c>
      <c r="X147" s="9">
        <f t="shared" si="131"/>
        <v>0</v>
      </c>
      <c r="Y147" s="9">
        <f t="shared" si="132"/>
        <v>0</v>
      </c>
      <c r="AA147" s="10">
        <f t="shared" si="133"/>
        <v>9</v>
      </c>
      <c r="AB147" s="9">
        <f t="shared" si="119"/>
        <v>18601.803296107228</v>
      </c>
      <c r="AC147" s="9">
        <f t="shared" si="134"/>
        <v>0</v>
      </c>
      <c r="AD147" s="9">
        <f t="shared" si="135"/>
        <v>9250</v>
      </c>
      <c r="AE147" s="9">
        <f t="shared" si="136"/>
        <v>0</v>
      </c>
      <c r="AF147" s="9">
        <f t="shared" si="137"/>
        <v>0</v>
      </c>
      <c r="AG147" s="9">
        <f t="shared" si="138"/>
        <v>9250</v>
      </c>
      <c r="AI147" s="10">
        <f t="shared" si="139"/>
        <v>9</v>
      </c>
      <c r="AJ147" s="9">
        <f t="shared" si="120"/>
        <v>33754.499139607608</v>
      </c>
      <c r="AK147" s="9">
        <f t="shared" si="140"/>
        <v>581.35492256468467</v>
      </c>
      <c r="AL147" s="9">
        <f t="shared" si="141"/>
        <v>6648.2838717657551</v>
      </c>
      <c r="AM147" s="9">
        <f t="shared" si="142"/>
        <v>581.35492256468467</v>
      </c>
      <c r="AN147" s="9">
        <f t="shared" si="143"/>
        <v>445.56014008390792</v>
      </c>
      <c r="AO147" s="9">
        <f t="shared" si="144"/>
        <v>6066.9289492010703</v>
      </c>
    </row>
    <row r="148" spans="11:41" x14ac:dyDescent="0.3">
      <c r="K148" s="10">
        <f t="shared" si="121"/>
        <v>10</v>
      </c>
      <c r="L148" s="9">
        <f t="shared" si="117"/>
        <v>29912.49774077801</v>
      </c>
      <c r="M148" s="9">
        <f t="shared" si="122"/>
        <v>235.57479667002087</v>
      </c>
      <c r="N148" s="9">
        <f t="shared" si="123"/>
        <v>8825.3191513068741</v>
      </c>
      <c r="O148" s="9">
        <f t="shared" si="124"/>
        <v>235.57479667002087</v>
      </c>
      <c r="P148" s="9">
        <f t="shared" si="125"/>
        <v>175.28977270519584</v>
      </c>
      <c r="Q148" s="9">
        <f t="shared" si="126"/>
        <v>8589.744354636854</v>
      </c>
      <c r="S148" s="10">
        <f t="shared" si="127"/>
        <v>10</v>
      </c>
      <c r="T148" s="9">
        <f t="shared" si="118"/>
        <v>85273.846380381074</v>
      </c>
      <c r="U148" s="9">
        <f t="shared" si="128"/>
        <v>5218.0961742342961</v>
      </c>
      <c r="V148" s="9">
        <f t="shared" si="129"/>
        <v>0</v>
      </c>
      <c r="W148" s="9">
        <f t="shared" si="130"/>
        <v>0</v>
      </c>
      <c r="X148" s="9">
        <f t="shared" si="131"/>
        <v>0</v>
      </c>
      <c r="Y148" s="9">
        <f t="shared" si="132"/>
        <v>0</v>
      </c>
      <c r="AA148" s="10">
        <f t="shared" si="133"/>
        <v>10</v>
      </c>
      <c r="AB148" s="9">
        <f t="shared" si="119"/>
        <v>18973.839362029372</v>
      </c>
      <c r="AC148" s="9">
        <f t="shared" si="134"/>
        <v>0</v>
      </c>
      <c r="AD148" s="9">
        <f t="shared" si="135"/>
        <v>9250</v>
      </c>
      <c r="AE148" s="9">
        <f t="shared" si="136"/>
        <v>0</v>
      </c>
      <c r="AF148" s="9">
        <f t="shared" si="137"/>
        <v>0</v>
      </c>
      <c r="AG148" s="9">
        <f t="shared" si="138"/>
        <v>9250</v>
      </c>
      <c r="AI148" s="10">
        <f t="shared" si="139"/>
        <v>10</v>
      </c>
      <c r="AJ148" s="9">
        <f t="shared" si="120"/>
        <v>34429.589122399761</v>
      </c>
      <c r="AK148" s="9">
        <f t="shared" si="140"/>
        <v>642.11302101597846</v>
      </c>
      <c r="AL148" s="9">
        <f t="shared" si="141"/>
        <v>6066.9289492010703</v>
      </c>
      <c r="AM148" s="9">
        <f t="shared" si="142"/>
        <v>642.11302101597846</v>
      </c>
      <c r="AN148" s="9">
        <f t="shared" si="143"/>
        <v>477.79239161394258</v>
      </c>
      <c r="AO148" s="9">
        <f t="shared" si="144"/>
        <v>5424.8159281850922</v>
      </c>
    </row>
    <row r="149" spans="11:41" x14ac:dyDescent="0.3">
      <c r="K149" s="10">
        <f t="shared" si="121"/>
        <v>11</v>
      </c>
      <c r="L149" s="9">
        <f t="shared" si="117"/>
        <v>30510.747695593571</v>
      </c>
      <c r="M149" s="9">
        <f t="shared" si="122"/>
        <v>289.41729260342134</v>
      </c>
      <c r="N149" s="9">
        <f t="shared" si="123"/>
        <v>8589.744354636854</v>
      </c>
      <c r="O149" s="9">
        <f t="shared" si="124"/>
        <v>289.41729260342134</v>
      </c>
      <c r="P149" s="9">
        <f t="shared" si="125"/>
        <v>209.08120999232116</v>
      </c>
      <c r="Q149" s="9">
        <f t="shared" si="126"/>
        <v>8300.3270620334333</v>
      </c>
      <c r="S149" s="10">
        <f t="shared" si="127"/>
        <v>11</v>
      </c>
      <c r="T149" s="9">
        <f t="shared" si="118"/>
        <v>86979.3233079887</v>
      </c>
      <c r="U149" s="9">
        <f t="shared" si="128"/>
        <v>5371.5890977189829</v>
      </c>
      <c r="V149" s="9">
        <f t="shared" si="129"/>
        <v>0</v>
      </c>
      <c r="W149" s="9">
        <f t="shared" si="130"/>
        <v>0</v>
      </c>
      <c r="X149" s="9">
        <f t="shared" si="131"/>
        <v>0</v>
      </c>
      <c r="Y149" s="9">
        <f t="shared" si="132"/>
        <v>0</v>
      </c>
      <c r="AA149" s="10">
        <f t="shared" si="133"/>
        <v>11</v>
      </c>
      <c r="AB149" s="9">
        <f t="shared" si="119"/>
        <v>19353.316149269962</v>
      </c>
      <c r="AC149" s="9">
        <f t="shared" si="134"/>
        <v>0</v>
      </c>
      <c r="AD149" s="9">
        <f t="shared" si="135"/>
        <v>9250</v>
      </c>
      <c r="AE149" s="9">
        <f t="shared" si="136"/>
        <v>0</v>
      </c>
      <c r="AF149" s="9">
        <f t="shared" si="137"/>
        <v>0</v>
      </c>
      <c r="AG149" s="9">
        <f t="shared" si="138"/>
        <v>9250</v>
      </c>
      <c r="AI149" s="10">
        <f t="shared" si="139"/>
        <v>11</v>
      </c>
      <c r="AJ149" s="9">
        <f t="shared" si="120"/>
        <v>35118.180904847759</v>
      </c>
      <c r="AK149" s="9">
        <f t="shared" si="140"/>
        <v>704.08628143629824</v>
      </c>
      <c r="AL149" s="9">
        <f t="shared" si="141"/>
        <v>5424.8159281850922</v>
      </c>
      <c r="AM149" s="9">
        <f t="shared" si="142"/>
        <v>704.08628143629824</v>
      </c>
      <c r="AN149" s="9">
        <f t="shared" si="143"/>
        <v>508.646910270886</v>
      </c>
      <c r="AO149" s="9">
        <f t="shared" si="144"/>
        <v>4720.729646748794</v>
      </c>
    </row>
    <row r="150" spans="11:41" x14ac:dyDescent="0.3">
      <c r="K150" s="10">
        <f t="shared" si="121"/>
        <v>12</v>
      </c>
      <c r="L150" s="9">
        <f t="shared" si="117"/>
        <v>31120.962649505436</v>
      </c>
      <c r="M150" s="9">
        <f t="shared" si="122"/>
        <v>344.33663845548926</v>
      </c>
      <c r="N150" s="9">
        <f t="shared" si="123"/>
        <v>8300.3270620334333</v>
      </c>
      <c r="O150" s="9">
        <f t="shared" si="124"/>
        <v>344.33663845548926</v>
      </c>
      <c r="P150" s="9">
        <f t="shared" si="125"/>
        <v>241.51079022596218</v>
      </c>
      <c r="Q150" s="9">
        <f t="shared" si="126"/>
        <v>7955.9904235779441</v>
      </c>
      <c r="S150" s="10">
        <f t="shared" si="127"/>
        <v>12</v>
      </c>
      <c r="T150" s="9">
        <f t="shared" si="118"/>
        <v>88718.909774148458</v>
      </c>
      <c r="U150" s="9">
        <f t="shared" si="128"/>
        <v>5528.1518796733608</v>
      </c>
      <c r="V150" s="9">
        <f t="shared" si="129"/>
        <v>0</v>
      </c>
      <c r="W150" s="9">
        <f t="shared" si="130"/>
        <v>0</v>
      </c>
      <c r="X150" s="9">
        <f t="shared" si="131"/>
        <v>0</v>
      </c>
      <c r="Y150" s="9">
        <f t="shared" si="132"/>
        <v>0</v>
      </c>
      <c r="AA150" s="10">
        <f t="shared" si="133"/>
        <v>12</v>
      </c>
      <c r="AB150" s="9">
        <f t="shared" si="119"/>
        <v>19740.382472255355</v>
      </c>
      <c r="AC150" s="9">
        <f t="shared" si="134"/>
        <v>0</v>
      </c>
      <c r="AD150" s="9">
        <f t="shared" si="135"/>
        <v>9250</v>
      </c>
      <c r="AE150" s="9">
        <f t="shared" si="136"/>
        <v>0</v>
      </c>
      <c r="AF150" s="9">
        <f t="shared" si="137"/>
        <v>0</v>
      </c>
      <c r="AG150" s="9">
        <f t="shared" si="138"/>
        <v>9250</v>
      </c>
      <c r="AI150" s="10">
        <f t="shared" si="139"/>
        <v>12</v>
      </c>
      <c r="AJ150" s="9">
        <f t="shared" si="120"/>
        <v>35820.544522944707</v>
      </c>
      <c r="AK150" s="9">
        <f t="shared" si="140"/>
        <v>767.2990070650236</v>
      </c>
      <c r="AL150" s="9">
        <f t="shared" si="141"/>
        <v>4720.729646748794</v>
      </c>
      <c r="AM150" s="9">
        <f t="shared" si="142"/>
        <v>767.2990070650236</v>
      </c>
      <c r="AN150" s="9">
        <f t="shared" si="143"/>
        <v>538.16808564745361</v>
      </c>
      <c r="AO150" s="9">
        <f t="shared" si="144"/>
        <v>3953.4306396837706</v>
      </c>
    </row>
    <row r="151" spans="11:41" x14ac:dyDescent="0.3">
      <c r="K151" s="10">
        <f t="shared" si="121"/>
        <v>13</v>
      </c>
      <c r="L151" s="9">
        <f t="shared" si="117"/>
        <v>31743.381902495552</v>
      </c>
      <c r="M151" s="9">
        <f t="shared" si="122"/>
        <v>400.35437122459967</v>
      </c>
      <c r="N151" s="9">
        <f t="shared" si="123"/>
        <v>7955.9904235779441</v>
      </c>
      <c r="O151" s="9">
        <f t="shared" si="124"/>
        <v>400.35437122459967</v>
      </c>
      <c r="P151" s="9">
        <f t="shared" si="125"/>
        <v>272.62184555751736</v>
      </c>
      <c r="Q151" s="9">
        <f t="shared" si="126"/>
        <v>7555.636052353344</v>
      </c>
      <c r="S151" s="10">
        <f t="shared" si="127"/>
        <v>13</v>
      </c>
      <c r="T151" s="9">
        <f t="shared" si="118"/>
        <v>90493.287969631434</v>
      </c>
      <c r="U151" s="9">
        <f t="shared" si="128"/>
        <v>5687.845917266829</v>
      </c>
      <c r="V151" s="9">
        <f t="shared" si="129"/>
        <v>0</v>
      </c>
      <c r="W151" s="9">
        <f t="shared" si="130"/>
        <v>0</v>
      </c>
      <c r="X151" s="9">
        <f t="shared" si="131"/>
        <v>0</v>
      </c>
      <c r="Y151" s="9">
        <f t="shared" si="132"/>
        <v>0</v>
      </c>
      <c r="AA151" s="10">
        <f t="shared" si="133"/>
        <v>13</v>
      </c>
      <c r="AB151" s="9">
        <f t="shared" si="119"/>
        <v>20135.190121700467</v>
      </c>
      <c r="AC151" s="9">
        <f t="shared" si="134"/>
        <v>0</v>
      </c>
      <c r="AD151" s="9">
        <f t="shared" si="135"/>
        <v>9250</v>
      </c>
      <c r="AE151" s="9">
        <f t="shared" si="136"/>
        <v>0</v>
      </c>
      <c r="AF151" s="9">
        <f t="shared" si="137"/>
        <v>0</v>
      </c>
      <c r="AG151" s="9">
        <f t="shared" si="138"/>
        <v>9250</v>
      </c>
      <c r="AI151" s="10">
        <f t="shared" si="139"/>
        <v>13</v>
      </c>
      <c r="AJ151" s="9">
        <f t="shared" si="120"/>
        <v>36536.955413403608</v>
      </c>
      <c r="AK151" s="9">
        <f t="shared" si="140"/>
        <v>831.77598720632466</v>
      </c>
      <c r="AL151" s="9">
        <f t="shared" si="141"/>
        <v>3953.4306396837706</v>
      </c>
      <c r="AM151" s="9">
        <f t="shared" si="142"/>
        <v>831.77598720632466</v>
      </c>
      <c r="AN151" s="9">
        <f t="shared" si="143"/>
        <v>566.39897306229523</v>
      </c>
      <c r="AO151" s="9">
        <f t="shared" si="144"/>
        <v>3121.6546524774458</v>
      </c>
    </row>
    <row r="152" spans="11:41" x14ac:dyDescent="0.3">
      <c r="K152" s="10">
        <f t="shared" si="121"/>
        <v>14</v>
      </c>
      <c r="L152" s="9">
        <f t="shared" si="117"/>
        <v>32378.249540545461</v>
      </c>
      <c r="M152" s="9">
        <f t="shared" si="122"/>
        <v>457.49245864909147</v>
      </c>
      <c r="N152" s="9">
        <f t="shared" si="123"/>
        <v>7555.636052353344</v>
      </c>
      <c r="O152" s="9">
        <f t="shared" si="124"/>
        <v>457.49245864909147</v>
      </c>
      <c r="P152" s="9">
        <f t="shared" si="125"/>
        <v>302.45641044065275</v>
      </c>
      <c r="Q152" s="9">
        <f t="shared" si="126"/>
        <v>7098.1435937042525</v>
      </c>
      <c r="S152" s="10">
        <f t="shared" si="127"/>
        <v>14</v>
      </c>
      <c r="T152" s="9">
        <f t="shared" si="118"/>
        <v>92303.153729024067</v>
      </c>
      <c r="U152" s="9">
        <f t="shared" si="128"/>
        <v>5850.7338356121654</v>
      </c>
      <c r="V152" s="9">
        <f t="shared" si="129"/>
        <v>0</v>
      </c>
      <c r="W152" s="9">
        <f t="shared" si="130"/>
        <v>0</v>
      </c>
      <c r="X152" s="9">
        <f t="shared" si="131"/>
        <v>0</v>
      </c>
      <c r="Y152" s="9">
        <f t="shared" si="132"/>
        <v>0</v>
      </c>
      <c r="AA152" s="10">
        <f t="shared" si="133"/>
        <v>14</v>
      </c>
      <c r="AB152" s="9">
        <f t="shared" si="119"/>
        <v>20537.893924134474</v>
      </c>
      <c r="AC152" s="9">
        <f t="shared" si="134"/>
        <v>0</v>
      </c>
      <c r="AD152" s="9">
        <f t="shared" si="135"/>
        <v>9250</v>
      </c>
      <c r="AE152" s="9">
        <f t="shared" si="136"/>
        <v>0</v>
      </c>
      <c r="AF152" s="9">
        <f t="shared" si="137"/>
        <v>0</v>
      </c>
      <c r="AG152" s="9">
        <f t="shared" si="138"/>
        <v>9250</v>
      </c>
      <c r="AI152" s="10">
        <f t="shared" si="139"/>
        <v>14</v>
      </c>
      <c r="AJ152" s="9">
        <f t="shared" si="120"/>
        <v>37267.694521671678</v>
      </c>
      <c r="AK152" s="9">
        <f t="shared" si="140"/>
        <v>897.54250695045096</v>
      </c>
      <c r="AL152" s="9">
        <f t="shared" si="141"/>
        <v>3121.6546524774458</v>
      </c>
      <c r="AM152" s="9">
        <f t="shared" si="142"/>
        <v>897.54250695045096</v>
      </c>
      <c r="AN152" s="9">
        <f t="shared" si="143"/>
        <v>593.38133282402498</v>
      </c>
      <c r="AO152" s="9">
        <f t="shared" si="144"/>
        <v>2224.1121455269949</v>
      </c>
    </row>
    <row r="153" spans="11:41" x14ac:dyDescent="0.3">
      <c r="K153" s="10">
        <f t="shared" si="121"/>
        <v>15</v>
      </c>
      <c r="L153" s="9">
        <f t="shared" si="117"/>
        <v>33025.814531356373</v>
      </c>
      <c r="M153" s="9">
        <f t="shared" si="122"/>
        <v>515.77330782207355</v>
      </c>
      <c r="N153" s="9">
        <f t="shared" si="123"/>
        <v>7098.1435937042525</v>
      </c>
      <c r="O153" s="9">
        <f t="shared" si="124"/>
        <v>515.77330782207355</v>
      </c>
      <c r="P153" s="9">
        <f t="shared" si="125"/>
        <v>331.05525977392284</v>
      </c>
      <c r="Q153" s="9">
        <f t="shared" si="126"/>
        <v>6582.3702858821789</v>
      </c>
      <c r="S153" s="10">
        <f t="shared" si="127"/>
        <v>15</v>
      </c>
      <c r="T153" s="9">
        <f t="shared" si="118"/>
        <v>94149.216803604548</v>
      </c>
      <c r="U153" s="9">
        <f t="shared" si="128"/>
        <v>6016.879512324409</v>
      </c>
      <c r="V153" s="9">
        <f t="shared" si="129"/>
        <v>0</v>
      </c>
      <c r="W153" s="9">
        <f t="shared" si="130"/>
        <v>0</v>
      </c>
      <c r="X153" s="9">
        <f t="shared" si="131"/>
        <v>0</v>
      </c>
      <c r="Y153" s="9">
        <f t="shared" si="132"/>
        <v>0</v>
      </c>
      <c r="AA153" s="10">
        <f t="shared" si="133"/>
        <v>15</v>
      </c>
      <c r="AB153" s="9">
        <f t="shared" si="119"/>
        <v>20948.651802617165</v>
      </c>
      <c r="AC153" s="9">
        <f t="shared" si="134"/>
        <v>0</v>
      </c>
      <c r="AD153" s="9">
        <f t="shared" si="135"/>
        <v>9250</v>
      </c>
      <c r="AE153" s="9">
        <f t="shared" si="136"/>
        <v>0</v>
      </c>
      <c r="AF153" s="9">
        <f t="shared" si="137"/>
        <v>0</v>
      </c>
      <c r="AG153" s="9">
        <f t="shared" si="138"/>
        <v>9250</v>
      </c>
      <c r="AI153" s="10">
        <f t="shared" si="139"/>
        <v>15</v>
      </c>
      <c r="AJ153" s="9">
        <f t="shared" si="120"/>
        <v>38013.048412105112</v>
      </c>
      <c r="AK153" s="9">
        <f t="shared" si="140"/>
        <v>964.62435708946009</v>
      </c>
      <c r="AL153" s="9">
        <f t="shared" si="141"/>
        <v>2224.1121455269949</v>
      </c>
      <c r="AM153" s="9">
        <f t="shared" si="142"/>
        <v>964.62435708946009</v>
      </c>
      <c r="AN153" s="9">
        <f t="shared" si="143"/>
        <v>619.15566834774768</v>
      </c>
      <c r="AO153" s="9">
        <f t="shared" si="144"/>
        <v>1259.4877884375348</v>
      </c>
    </row>
    <row r="154" spans="11:41" x14ac:dyDescent="0.3">
      <c r="K154" s="10">
        <f t="shared" si="121"/>
        <v>16</v>
      </c>
      <c r="L154" s="9">
        <f t="shared" si="117"/>
        <v>33686.330821983494</v>
      </c>
      <c r="M154" s="9">
        <f t="shared" si="122"/>
        <v>575.21977397851447</v>
      </c>
      <c r="N154" s="9">
        <f t="shared" si="123"/>
        <v>6582.3702858821789</v>
      </c>
      <c r="O154" s="9">
        <f t="shared" si="124"/>
        <v>575.21977397851447</v>
      </c>
      <c r="P154" s="9">
        <f t="shared" si="125"/>
        <v>358.45794592907686</v>
      </c>
      <c r="Q154" s="9">
        <f t="shared" si="126"/>
        <v>6007.1505119036647</v>
      </c>
      <c r="S154" s="10">
        <f t="shared" si="127"/>
        <v>16</v>
      </c>
      <c r="T154" s="9">
        <f t="shared" si="118"/>
        <v>96032.201139676617</v>
      </c>
      <c r="U154" s="9">
        <f t="shared" si="128"/>
        <v>6186.3481025708952</v>
      </c>
      <c r="V154" s="9">
        <f t="shared" si="129"/>
        <v>0</v>
      </c>
      <c r="W154" s="9">
        <f t="shared" si="130"/>
        <v>0</v>
      </c>
      <c r="X154" s="9">
        <f t="shared" si="131"/>
        <v>0</v>
      </c>
      <c r="Y154" s="9">
        <f t="shared" si="132"/>
        <v>0</v>
      </c>
      <c r="AA154" s="10">
        <f t="shared" si="133"/>
        <v>16</v>
      </c>
      <c r="AB154" s="9">
        <f t="shared" si="119"/>
        <v>21367.624838669504</v>
      </c>
      <c r="AC154" s="9">
        <f t="shared" si="134"/>
        <v>0</v>
      </c>
      <c r="AD154" s="9">
        <f t="shared" si="135"/>
        <v>9250</v>
      </c>
      <c r="AE154" s="9">
        <f t="shared" si="136"/>
        <v>0</v>
      </c>
      <c r="AF154" s="9">
        <f t="shared" si="137"/>
        <v>0</v>
      </c>
      <c r="AG154" s="9">
        <f t="shared" si="138"/>
        <v>9250</v>
      </c>
      <c r="AI154" s="10">
        <f t="shared" si="139"/>
        <v>16</v>
      </c>
      <c r="AJ154" s="9">
        <f t="shared" si="120"/>
        <v>38773.3093803472</v>
      </c>
      <c r="AK154" s="9">
        <f t="shared" si="140"/>
        <v>1033.0478442312481</v>
      </c>
      <c r="AL154" s="9">
        <f t="shared" si="141"/>
        <v>1259.4877884375348</v>
      </c>
      <c r="AM154" s="9">
        <f t="shared" si="142"/>
        <v>1033.0478442312481</v>
      </c>
      <c r="AN154" s="9">
        <f t="shared" si="143"/>
        <v>643.76126315752435</v>
      </c>
      <c r="AO154" s="9">
        <f t="shared" si="144"/>
        <v>226.43994420628678</v>
      </c>
    </row>
    <row r="155" spans="11:41" x14ac:dyDescent="0.3">
      <c r="K155" s="10">
        <f t="shared" si="121"/>
        <v>17</v>
      </c>
      <c r="L155" s="9">
        <f t="shared" si="117"/>
        <v>34360.057438423166</v>
      </c>
      <c r="M155" s="9">
        <f t="shared" si="122"/>
        <v>635.8551694580849</v>
      </c>
      <c r="N155" s="9">
        <f t="shared" si="123"/>
        <v>6007.1505119036647</v>
      </c>
      <c r="O155" s="9">
        <f t="shared" si="124"/>
        <v>635.8551694580849</v>
      </c>
      <c r="P155" s="9">
        <f t="shared" si="125"/>
        <v>384.70283469755526</v>
      </c>
      <c r="Q155" s="9">
        <f t="shared" si="126"/>
        <v>5371.29534244558</v>
      </c>
      <c r="S155" s="10">
        <f t="shared" si="127"/>
        <v>17</v>
      </c>
      <c r="T155" s="9">
        <f t="shared" si="118"/>
        <v>97952.84516247017</v>
      </c>
      <c r="U155" s="9">
        <f t="shared" si="128"/>
        <v>6359.2060646223154</v>
      </c>
      <c r="V155" s="9">
        <f t="shared" si="129"/>
        <v>0</v>
      </c>
      <c r="W155" s="9">
        <f t="shared" si="130"/>
        <v>0</v>
      </c>
      <c r="X155" s="9">
        <f t="shared" si="131"/>
        <v>0</v>
      </c>
      <c r="Y155" s="9">
        <f t="shared" si="132"/>
        <v>0</v>
      </c>
      <c r="AA155" s="10">
        <f t="shared" si="133"/>
        <v>17</v>
      </c>
      <c r="AB155" s="9">
        <f t="shared" si="119"/>
        <v>21794.977335442898</v>
      </c>
      <c r="AC155" s="9">
        <f t="shared" si="134"/>
        <v>0</v>
      </c>
      <c r="AD155" s="9">
        <f t="shared" si="135"/>
        <v>9250</v>
      </c>
      <c r="AE155" s="9">
        <f t="shared" si="136"/>
        <v>0</v>
      </c>
      <c r="AF155" s="9">
        <f t="shared" si="137"/>
        <v>0</v>
      </c>
      <c r="AG155" s="9">
        <f t="shared" si="138"/>
        <v>9250</v>
      </c>
      <c r="AI155" s="10">
        <f t="shared" si="139"/>
        <v>17</v>
      </c>
      <c r="AJ155" s="9">
        <f t="shared" si="120"/>
        <v>39548.775567954151</v>
      </c>
      <c r="AK155" s="9">
        <f t="shared" si="140"/>
        <v>1102.8398011158736</v>
      </c>
      <c r="AL155" s="9">
        <f t="shared" si="141"/>
        <v>226.43994420628678</v>
      </c>
      <c r="AM155" s="9">
        <f t="shared" si="142"/>
        <v>226.43994420628678</v>
      </c>
      <c r="AN155" s="9">
        <f t="shared" si="143"/>
        <v>136.99989024097593</v>
      </c>
      <c r="AO155" s="9">
        <f t="shared" si="144"/>
        <v>0</v>
      </c>
    </row>
    <row r="156" spans="11:41" x14ac:dyDescent="0.3">
      <c r="K156" s="10">
        <f t="shared" si="121"/>
        <v>18</v>
      </c>
      <c r="L156" s="9">
        <f t="shared" si="117"/>
        <v>35047.258587191631</v>
      </c>
      <c r="M156" s="9">
        <f t="shared" si="122"/>
        <v>697.70327284724669</v>
      </c>
      <c r="N156" s="9">
        <f t="shared" si="123"/>
        <v>5371.29534244558</v>
      </c>
      <c r="O156" s="9">
        <f t="shared" si="124"/>
        <v>697.70327284724669</v>
      </c>
      <c r="P156" s="9">
        <f t="shared" si="125"/>
        <v>409.82714018670475</v>
      </c>
      <c r="Q156" s="9">
        <f t="shared" si="126"/>
        <v>4673.5920695983332</v>
      </c>
      <c r="S156" s="10">
        <f t="shared" si="127"/>
        <v>18</v>
      </c>
      <c r="T156" s="9">
        <f t="shared" si="118"/>
        <v>99911.90206571958</v>
      </c>
      <c r="U156" s="9">
        <f t="shared" si="128"/>
        <v>6535.5211859147621</v>
      </c>
      <c r="V156" s="9">
        <f t="shared" si="129"/>
        <v>0</v>
      </c>
      <c r="W156" s="9">
        <f t="shared" si="130"/>
        <v>0</v>
      </c>
      <c r="X156" s="9">
        <f t="shared" si="131"/>
        <v>0</v>
      </c>
      <c r="Y156" s="9">
        <f t="shared" si="132"/>
        <v>0</v>
      </c>
      <c r="AA156" s="10">
        <f t="shared" si="133"/>
        <v>18</v>
      </c>
      <c r="AB156" s="9">
        <f t="shared" si="119"/>
        <v>22230.876882151759</v>
      </c>
      <c r="AC156" s="9">
        <f t="shared" si="134"/>
        <v>0</v>
      </c>
      <c r="AD156" s="9">
        <f t="shared" si="135"/>
        <v>9250</v>
      </c>
      <c r="AE156" s="9">
        <f t="shared" si="136"/>
        <v>0</v>
      </c>
      <c r="AF156" s="9">
        <f t="shared" si="137"/>
        <v>0</v>
      </c>
      <c r="AG156" s="9">
        <f t="shared" si="138"/>
        <v>9250</v>
      </c>
      <c r="AI156" s="10">
        <f t="shared" si="139"/>
        <v>18</v>
      </c>
      <c r="AJ156" s="9">
        <f t="shared" si="120"/>
        <v>40339.751079313239</v>
      </c>
      <c r="AK156" s="9">
        <f t="shared" si="140"/>
        <v>1174.0275971381914</v>
      </c>
      <c r="AL156" s="9">
        <f t="shared" si="141"/>
        <v>0</v>
      </c>
      <c r="AM156" s="9">
        <f t="shared" si="142"/>
        <v>0</v>
      </c>
      <c r="AN156" s="9">
        <f t="shared" si="143"/>
        <v>0</v>
      </c>
      <c r="AO156" s="9">
        <f t="shared" si="144"/>
        <v>0</v>
      </c>
    </row>
    <row r="157" spans="11:41" x14ac:dyDescent="0.3">
      <c r="K157" s="10">
        <f>K156+1</f>
        <v>19</v>
      </c>
      <c r="L157" s="9">
        <f t="shared" si="117"/>
        <v>35748.203758935459</v>
      </c>
      <c r="M157" s="9">
        <f t="shared" si="122"/>
        <v>760.78833830419126</v>
      </c>
      <c r="N157" s="9">
        <f t="shared" si="123"/>
        <v>4673.5920695983332</v>
      </c>
      <c r="O157" s="9">
        <f t="shared" si="124"/>
        <v>760.78833830419126</v>
      </c>
      <c r="P157" s="9">
        <f t="shared" si="125"/>
        <v>433.86695869634389</v>
      </c>
      <c r="Q157" s="9">
        <f t="shared" si="126"/>
        <v>3912.8037312941419</v>
      </c>
      <c r="S157" s="10">
        <f>S156+1</f>
        <v>19</v>
      </c>
      <c r="T157" s="9">
        <f t="shared" si="118"/>
        <v>101910.14010703396</v>
      </c>
      <c r="U157" s="9">
        <f t="shared" si="128"/>
        <v>6715.3626096330563</v>
      </c>
      <c r="V157" s="9">
        <f t="shared" si="129"/>
        <v>0</v>
      </c>
      <c r="W157" s="9">
        <f t="shared" si="130"/>
        <v>0</v>
      </c>
      <c r="X157" s="9">
        <f t="shared" si="131"/>
        <v>0</v>
      </c>
      <c r="Y157" s="9">
        <f t="shared" si="132"/>
        <v>0</v>
      </c>
      <c r="AA157" s="10">
        <f>AA156+1</f>
        <v>19</v>
      </c>
      <c r="AB157" s="9">
        <f t="shared" si="119"/>
        <v>22675.494419794788</v>
      </c>
      <c r="AC157" s="9">
        <f t="shared" si="134"/>
        <v>0</v>
      </c>
      <c r="AD157" s="9">
        <f t="shared" si="135"/>
        <v>9250</v>
      </c>
      <c r="AE157" s="9">
        <f t="shared" si="136"/>
        <v>0</v>
      </c>
      <c r="AF157" s="9">
        <f t="shared" si="137"/>
        <v>0</v>
      </c>
      <c r="AG157" s="9">
        <f t="shared" si="138"/>
        <v>9250</v>
      </c>
      <c r="AI157" s="10">
        <f>AI156+1</f>
        <v>19</v>
      </c>
      <c r="AJ157" s="9">
        <f t="shared" si="120"/>
        <v>41146.546100899497</v>
      </c>
      <c r="AK157" s="9">
        <f t="shared" si="140"/>
        <v>1246.6391490809547</v>
      </c>
      <c r="AL157" s="9">
        <f t="shared" si="141"/>
        <v>0</v>
      </c>
      <c r="AM157" s="9">
        <f t="shared" si="142"/>
        <v>0</v>
      </c>
      <c r="AN157" s="9">
        <f t="shared" si="143"/>
        <v>0</v>
      </c>
      <c r="AO157" s="9">
        <f t="shared" si="144"/>
        <v>0</v>
      </c>
    </row>
    <row r="158" spans="11:41" x14ac:dyDescent="0.3">
      <c r="K158" s="10">
        <f t="shared" ref="K158:K163" si="145">K157+1</f>
        <v>20</v>
      </c>
      <c r="L158" s="9">
        <f t="shared" si="117"/>
        <v>36463.167834114167</v>
      </c>
      <c r="M158" s="9">
        <f t="shared" si="122"/>
        <v>825.13510507027502</v>
      </c>
      <c r="N158" s="9">
        <f t="shared" si="123"/>
        <v>3912.8037312941419</v>
      </c>
      <c r="O158" s="9">
        <f t="shared" si="124"/>
        <v>825.13510507027502</v>
      </c>
      <c r="P158" s="9">
        <f t="shared" si="125"/>
        <v>456.85730160540527</v>
      </c>
      <c r="Q158" s="9">
        <f t="shared" si="126"/>
        <v>3087.6686262238668</v>
      </c>
      <c r="S158" s="10">
        <f t="shared" ref="S158:S163" si="146">S157+1</f>
        <v>20</v>
      </c>
      <c r="T158" s="9">
        <f t="shared" si="118"/>
        <v>103948.34290917464</v>
      </c>
      <c r="U158" s="9">
        <f t="shared" si="128"/>
        <v>6898.8008618257172</v>
      </c>
      <c r="V158" s="9">
        <f t="shared" si="129"/>
        <v>0</v>
      </c>
      <c r="W158" s="9">
        <f t="shared" si="130"/>
        <v>0</v>
      </c>
      <c r="X158" s="9">
        <f t="shared" si="131"/>
        <v>0</v>
      </c>
      <c r="Y158" s="9">
        <f t="shared" si="132"/>
        <v>0</v>
      </c>
      <c r="AA158" s="10">
        <f t="shared" ref="AA158:AA163" si="147">AA157+1</f>
        <v>20</v>
      </c>
      <c r="AB158" s="9">
        <f t="shared" si="119"/>
        <v>23129.004308190684</v>
      </c>
      <c r="AC158" s="9">
        <f t="shared" si="134"/>
        <v>0</v>
      </c>
      <c r="AD158" s="9">
        <f t="shared" si="135"/>
        <v>9250</v>
      </c>
      <c r="AE158" s="9">
        <f t="shared" si="136"/>
        <v>0</v>
      </c>
      <c r="AF158" s="9">
        <f t="shared" si="137"/>
        <v>0</v>
      </c>
      <c r="AG158" s="9">
        <f t="shared" si="138"/>
        <v>9250</v>
      </c>
      <c r="AI158" s="10">
        <f t="shared" ref="AI158:AI163" si="148">AI157+1</f>
        <v>20</v>
      </c>
      <c r="AJ158" s="9">
        <f t="shared" si="120"/>
        <v>41969.47702291749</v>
      </c>
      <c r="AK158" s="9">
        <f t="shared" si="140"/>
        <v>1320.7029320625741</v>
      </c>
      <c r="AL158" s="9">
        <f t="shared" si="141"/>
        <v>0</v>
      </c>
      <c r="AM158" s="9">
        <f t="shared" si="142"/>
        <v>0</v>
      </c>
      <c r="AN158" s="9">
        <f t="shared" si="143"/>
        <v>0</v>
      </c>
      <c r="AO158" s="9">
        <f t="shared" si="144"/>
        <v>0</v>
      </c>
    </row>
    <row r="159" spans="11:41" x14ac:dyDescent="0.3">
      <c r="K159" s="10">
        <f t="shared" si="145"/>
        <v>21</v>
      </c>
      <c r="L159" s="9">
        <f t="shared" si="117"/>
        <v>37192.431190796458</v>
      </c>
      <c r="M159" s="9">
        <f t="shared" si="122"/>
        <v>890.76880717168126</v>
      </c>
      <c r="N159" s="9">
        <f t="shared" si="123"/>
        <v>3087.6686262238668</v>
      </c>
      <c r="O159" s="9">
        <f t="shared" si="124"/>
        <v>890.76880717168126</v>
      </c>
      <c r="P159" s="9">
        <f t="shared" si="125"/>
        <v>478.83212729751716</v>
      </c>
      <c r="Q159" s="9">
        <f t="shared" si="126"/>
        <v>2196.8998190521856</v>
      </c>
      <c r="S159" s="10">
        <f t="shared" si="146"/>
        <v>21</v>
      </c>
      <c r="T159" s="9">
        <f t="shared" si="118"/>
        <v>106027.30976735814</v>
      </c>
      <c r="U159" s="9">
        <f t="shared" si="128"/>
        <v>7085.9078790622316</v>
      </c>
      <c r="V159" s="9">
        <f t="shared" si="129"/>
        <v>0</v>
      </c>
      <c r="W159" s="9">
        <f t="shared" si="130"/>
        <v>0</v>
      </c>
      <c r="X159" s="9">
        <f t="shared" si="131"/>
        <v>0</v>
      </c>
      <c r="Y159" s="9">
        <f t="shared" si="132"/>
        <v>0</v>
      </c>
      <c r="AA159" s="10">
        <f t="shared" si="147"/>
        <v>21</v>
      </c>
      <c r="AB159" s="9">
        <f t="shared" si="119"/>
        <v>23591.584394354501</v>
      </c>
      <c r="AC159" s="9">
        <f t="shared" si="134"/>
        <v>0</v>
      </c>
      <c r="AD159" s="9">
        <f t="shared" si="135"/>
        <v>9250</v>
      </c>
      <c r="AE159" s="9">
        <f t="shared" si="136"/>
        <v>0</v>
      </c>
      <c r="AF159" s="9">
        <f t="shared" si="137"/>
        <v>0</v>
      </c>
      <c r="AG159" s="9">
        <f t="shared" si="138"/>
        <v>9250</v>
      </c>
      <c r="AI159" s="10">
        <f t="shared" si="148"/>
        <v>21</v>
      </c>
      <c r="AJ159" s="9">
        <f t="shared" si="120"/>
        <v>42808.866563375843</v>
      </c>
      <c r="AK159" s="9">
        <f t="shared" si="140"/>
        <v>1396.2479907038257</v>
      </c>
      <c r="AL159" s="9">
        <f t="shared" si="141"/>
        <v>0</v>
      </c>
      <c r="AM159" s="9">
        <f t="shared" si="142"/>
        <v>0</v>
      </c>
      <c r="AN159" s="9">
        <f t="shared" si="143"/>
        <v>0</v>
      </c>
      <c r="AO159" s="9">
        <f t="shared" si="144"/>
        <v>0</v>
      </c>
    </row>
    <row r="160" spans="11:41" x14ac:dyDescent="0.3">
      <c r="K160" s="10">
        <f t="shared" si="145"/>
        <v>22</v>
      </c>
      <c r="L160" s="9">
        <f t="shared" si="117"/>
        <v>37936.279814612382</v>
      </c>
      <c r="M160" s="9">
        <f t="shared" si="122"/>
        <v>957.71518331511436</v>
      </c>
      <c r="N160" s="9">
        <f t="shared" si="123"/>
        <v>2196.8998190521856</v>
      </c>
      <c r="O160" s="9">
        <f t="shared" si="124"/>
        <v>957.71518331511436</v>
      </c>
      <c r="P160" s="9">
        <f t="shared" si="125"/>
        <v>499.82437215354889</v>
      </c>
      <c r="Q160" s="9">
        <f t="shared" si="126"/>
        <v>1239.1846357370714</v>
      </c>
      <c r="S160" s="10">
        <f t="shared" si="146"/>
        <v>22</v>
      </c>
      <c r="T160" s="9">
        <f t="shared" si="118"/>
        <v>108147.85596270529</v>
      </c>
      <c r="U160" s="9">
        <f t="shared" si="128"/>
        <v>7276.7570366434757</v>
      </c>
      <c r="V160" s="9">
        <f t="shared" si="129"/>
        <v>0</v>
      </c>
      <c r="W160" s="9">
        <f t="shared" si="130"/>
        <v>0</v>
      </c>
      <c r="X160" s="9">
        <f t="shared" si="131"/>
        <v>0</v>
      </c>
      <c r="Y160" s="9">
        <f t="shared" si="132"/>
        <v>0</v>
      </c>
      <c r="AA160" s="10">
        <f t="shared" si="147"/>
        <v>22</v>
      </c>
      <c r="AB160" s="9">
        <f t="shared" si="119"/>
        <v>24063.416082241591</v>
      </c>
      <c r="AC160" s="9">
        <f t="shared" si="134"/>
        <v>0</v>
      </c>
      <c r="AD160" s="9">
        <f t="shared" si="135"/>
        <v>9250</v>
      </c>
      <c r="AE160" s="9">
        <f t="shared" si="136"/>
        <v>0</v>
      </c>
      <c r="AF160" s="9">
        <f t="shared" si="137"/>
        <v>0</v>
      </c>
      <c r="AG160" s="9">
        <f t="shared" si="138"/>
        <v>9250</v>
      </c>
      <c r="AI160" s="10">
        <f t="shared" si="148"/>
        <v>22</v>
      </c>
      <c r="AJ160" s="9">
        <f t="shared" si="120"/>
        <v>43665.043894643357</v>
      </c>
      <c r="AK160" s="9">
        <f t="shared" si="140"/>
        <v>1473.303950517902</v>
      </c>
      <c r="AL160" s="9">
        <f t="shared" si="141"/>
        <v>0</v>
      </c>
      <c r="AM160" s="9">
        <f t="shared" si="142"/>
        <v>0</v>
      </c>
      <c r="AN160" s="9">
        <f t="shared" si="143"/>
        <v>0</v>
      </c>
      <c r="AO160" s="9">
        <f t="shared" si="144"/>
        <v>0</v>
      </c>
    </row>
    <row r="161" spans="11:41" x14ac:dyDescent="0.3">
      <c r="K161" s="10">
        <f t="shared" si="145"/>
        <v>23</v>
      </c>
      <c r="L161" s="9">
        <f t="shared" si="117"/>
        <v>38695.005410904632</v>
      </c>
      <c r="M161" s="9">
        <f t="shared" si="122"/>
        <v>1026.0004869814168</v>
      </c>
      <c r="N161" s="9">
        <f t="shared" si="123"/>
        <v>1239.1846357370714</v>
      </c>
      <c r="O161" s="9">
        <f t="shared" si="124"/>
        <v>1026.0004869814168</v>
      </c>
      <c r="P161" s="9">
        <f t="shared" si="125"/>
        <v>519.86598063833219</v>
      </c>
      <c r="Q161" s="9">
        <f t="shared" si="126"/>
        <v>213.18414875565463</v>
      </c>
      <c r="S161" s="10">
        <f t="shared" si="146"/>
        <v>23</v>
      </c>
      <c r="T161" s="9">
        <f t="shared" si="118"/>
        <v>110310.81308195941</v>
      </c>
      <c r="U161" s="9">
        <f t="shared" si="128"/>
        <v>7471.4231773763468</v>
      </c>
      <c r="V161" s="9">
        <f t="shared" si="129"/>
        <v>0</v>
      </c>
      <c r="W161" s="9">
        <f t="shared" si="130"/>
        <v>0</v>
      </c>
      <c r="X161" s="9">
        <f t="shared" si="131"/>
        <v>0</v>
      </c>
      <c r="Y161" s="9">
        <f t="shared" si="132"/>
        <v>0</v>
      </c>
      <c r="AA161" s="10">
        <f t="shared" si="147"/>
        <v>23</v>
      </c>
      <c r="AB161" s="9">
        <f t="shared" si="119"/>
        <v>24544.684403886422</v>
      </c>
      <c r="AC161" s="9">
        <f t="shared" si="134"/>
        <v>0</v>
      </c>
      <c r="AD161" s="9">
        <f t="shared" si="135"/>
        <v>9250</v>
      </c>
      <c r="AE161" s="9">
        <f t="shared" si="136"/>
        <v>0</v>
      </c>
      <c r="AF161" s="9">
        <f t="shared" si="137"/>
        <v>0</v>
      </c>
      <c r="AG161" s="9">
        <f t="shared" si="138"/>
        <v>9250</v>
      </c>
      <c r="AI161" s="10">
        <f t="shared" si="148"/>
        <v>23</v>
      </c>
      <c r="AJ161" s="9">
        <f t="shared" si="120"/>
        <v>44538.344772536228</v>
      </c>
      <c r="AK161" s="9">
        <f t="shared" si="140"/>
        <v>1551.9010295282603</v>
      </c>
      <c r="AL161" s="9">
        <f t="shared" si="141"/>
        <v>0</v>
      </c>
      <c r="AM161" s="9">
        <f t="shared" si="142"/>
        <v>0</v>
      </c>
      <c r="AN161" s="9">
        <f t="shared" si="143"/>
        <v>0</v>
      </c>
      <c r="AO161" s="9">
        <f t="shared" si="144"/>
        <v>0</v>
      </c>
    </row>
    <row r="162" spans="11:41" x14ac:dyDescent="0.3">
      <c r="K162" s="10">
        <f t="shared" si="145"/>
        <v>24</v>
      </c>
      <c r="L162" s="9">
        <f t="shared" si="117"/>
        <v>39468.905519122716</v>
      </c>
      <c r="M162" s="9">
        <f t="shared" si="122"/>
        <v>1095.6514967210444</v>
      </c>
      <c r="N162" s="9">
        <f t="shared" si="123"/>
        <v>213.18414875565463</v>
      </c>
      <c r="O162" s="9">
        <f t="shared" si="124"/>
        <v>213.18414875565463</v>
      </c>
      <c r="P162" s="9">
        <f t="shared" si="125"/>
        <v>104.87247482572697</v>
      </c>
      <c r="Q162" s="9">
        <f t="shared" si="126"/>
        <v>0</v>
      </c>
      <c r="S162" s="10">
        <f t="shared" si="146"/>
        <v>24</v>
      </c>
      <c r="T162" s="9">
        <f t="shared" si="118"/>
        <v>112517.02934359857</v>
      </c>
      <c r="U162" s="9">
        <f t="shared" si="128"/>
        <v>7669.9826409238703</v>
      </c>
      <c r="V162" s="9">
        <f t="shared" si="129"/>
        <v>0</v>
      </c>
      <c r="W162" s="9">
        <f t="shared" si="130"/>
        <v>0</v>
      </c>
      <c r="X162" s="9">
        <f t="shared" si="131"/>
        <v>0</v>
      </c>
      <c r="Y162" s="9">
        <f t="shared" si="132"/>
        <v>0</v>
      </c>
      <c r="AA162" s="10">
        <f t="shared" si="147"/>
        <v>24</v>
      </c>
      <c r="AB162" s="9">
        <f t="shared" si="119"/>
        <v>25035.578091964147</v>
      </c>
      <c r="AC162" s="9">
        <f t="shared" si="134"/>
        <v>0</v>
      </c>
      <c r="AD162" s="9">
        <f t="shared" si="135"/>
        <v>9250</v>
      </c>
      <c r="AE162" s="9">
        <f t="shared" si="136"/>
        <v>0</v>
      </c>
      <c r="AF162" s="9">
        <f t="shared" si="137"/>
        <v>0</v>
      </c>
      <c r="AG162" s="9">
        <f t="shared" si="138"/>
        <v>9250</v>
      </c>
      <c r="AI162" s="10">
        <f t="shared" si="148"/>
        <v>24</v>
      </c>
      <c r="AJ162" s="9">
        <f t="shared" si="120"/>
        <v>45429.111667986945</v>
      </c>
      <c r="AK162" s="9">
        <f t="shared" si="140"/>
        <v>1632.0700501188251</v>
      </c>
      <c r="AL162" s="9">
        <f t="shared" si="141"/>
        <v>0</v>
      </c>
      <c r="AM162" s="9">
        <f t="shared" si="142"/>
        <v>0</v>
      </c>
      <c r="AN162" s="9">
        <f t="shared" si="143"/>
        <v>0</v>
      </c>
      <c r="AO162" s="9">
        <f t="shared" si="144"/>
        <v>0</v>
      </c>
    </row>
    <row r="163" spans="11:41" x14ac:dyDescent="0.3">
      <c r="K163" s="10">
        <f t="shared" si="145"/>
        <v>25</v>
      </c>
      <c r="L163" s="9">
        <f t="shared" si="117"/>
        <v>40258.283629505175</v>
      </c>
      <c r="M163" s="9">
        <f t="shared" si="122"/>
        <v>1166.6955266554658</v>
      </c>
      <c r="N163" s="9">
        <f t="shared" si="123"/>
        <v>0</v>
      </c>
      <c r="O163" s="9">
        <f t="shared" si="124"/>
        <v>0</v>
      </c>
      <c r="P163" s="9">
        <f t="shared" si="125"/>
        <v>0</v>
      </c>
      <c r="Q163" s="9">
        <f t="shared" si="126"/>
        <v>0</v>
      </c>
      <c r="S163" s="10">
        <f t="shared" si="146"/>
        <v>25</v>
      </c>
      <c r="T163" s="9">
        <f t="shared" si="118"/>
        <v>114767.36993047055</v>
      </c>
      <c r="U163" s="9">
        <f t="shared" si="128"/>
        <v>7872.5132937423496</v>
      </c>
      <c r="V163" s="9">
        <f t="shared" si="129"/>
        <v>0</v>
      </c>
      <c r="W163" s="9">
        <f t="shared" si="130"/>
        <v>0</v>
      </c>
      <c r="X163" s="9">
        <f t="shared" si="131"/>
        <v>0</v>
      </c>
      <c r="Y163" s="9">
        <f t="shared" si="132"/>
        <v>0</v>
      </c>
      <c r="AA163" s="10">
        <f t="shared" si="147"/>
        <v>25</v>
      </c>
      <c r="AB163" s="9">
        <f t="shared" si="119"/>
        <v>25536.289653803429</v>
      </c>
      <c r="AC163" s="9">
        <f t="shared" si="134"/>
        <v>0</v>
      </c>
      <c r="AD163" s="9">
        <f t="shared" si="135"/>
        <v>9250</v>
      </c>
      <c r="AE163" s="9">
        <f t="shared" si="136"/>
        <v>0</v>
      </c>
      <c r="AF163" s="9">
        <f t="shared" si="137"/>
        <v>0</v>
      </c>
      <c r="AG163" s="9">
        <f t="shared" si="138"/>
        <v>9250</v>
      </c>
      <c r="AI163" s="10">
        <f t="shared" si="148"/>
        <v>25</v>
      </c>
      <c r="AJ163" s="9">
        <f t="shared" si="120"/>
        <v>46337.693901346684</v>
      </c>
      <c r="AK163" s="9">
        <f t="shared" si="140"/>
        <v>1713.8424511212015</v>
      </c>
      <c r="AL163" s="9">
        <f t="shared" si="141"/>
        <v>0</v>
      </c>
      <c r="AM163" s="9">
        <f t="shared" si="142"/>
        <v>0</v>
      </c>
      <c r="AN163" s="9">
        <f t="shared" si="143"/>
        <v>0</v>
      </c>
      <c r="AO163" s="9">
        <f t="shared" si="144"/>
        <v>0</v>
      </c>
    </row>
    <row r="164" spans="11:41" x14ac:dyDescent="0.3">
      <c r="K164" s="10">
        <f>K163+1</f>
        <v>26</v>
      </c>
      <c r="L164" s="9">
        <f t="shared" si="117"/>
        <v>41063.44930209528</v>
      </c>
      <c r="M164" s="9">
        <f t="shared" si="122"/>
        <v>1239.1604371885751</v>
      </c>
      <c r="N164" s="9">
        <f t="shared" si="123"/>
        <v>0</v>
      </c>
      <c r="O164" s="9">
        <f t="shared" si="124"/>
        <v>0</v>
      </c>
      <c r="P164" s="9">
        <f t="shared" si="125"/>
        <v>0</v>
      </c>
      <c r="Q164" s="9">
        <f t="shared" si="126"/>
        <v>0</v>
      </c>
      <c r="S164" s="10">
        <f>S163+1</f>
        <v>26</v>
      </c>
      <c r="T164" s="9">
        <f t="shared" si="118"/>
        <v>117062.71732907995</v>
      </c>
      <c r="U164" s="9">
        <f t="shared" si="128"/>
        <v>8079.094559617196</v>
      </c>
      <c r="V164" s="9">
        <f t="shared" si="129"/>
        <v>0</v>
      </c>
      <c r="W164" s="9">
        <f t="shared" si="130"/>
        <v>0</v>
      </c>
      <c r="X164" s="9">
        <f t="shared" si="131"/>
        <v>0</v>
      </c>
      <c r="Y164" s="9">
        <f t="shared" si="132"/>
        <v>0</v>
      </c>
      <c r="AA164" s="10">
        <f>AA163+1</f>
        <v>26</v>
      </c>
      <c r="AB164" s="9">
        <f t="shared" si="119"/>
        <v>26047.015446879497</v>
      </c>
      <c r="AC164" s="9">
        <f t="shared" si="134"/>
        <v>0</v>
      </c>
      <c r="AD164" s="9">
        <f t="shared" si="135"/>
        <v>9250</v>
      </c>
      <c r="AE164" s="9">
        <f t="shared" si="136"/>
        <v>0</v>
      </c>
      <c r="AF164" s="9">
        <f t="shared" si="137"/>
        <v>0</v>
      </c>
      <c r="AG164" s="9">
        <f t="shared" si="138"/>
        <v>9250</v>
      </c>
      <c r="AI164" s="10">
        <f>AI163+1</f>
        <v>26</v>
      </c>
      <c r="AJ164" s="9">
        <f t="shared" si="120"/>
        <v>47264.447779373615</v>
      </c>
      <c r="AK164" s="9">
        <f t="shared" si="140"/>
        <v>1797.2503001436253</v>
      </c>
      <c r="AL164" s="9">
        <f t="shared" si="141"/>
        <v>0</v>
      </c>
      <c r="AM164" s="9">
        <f t="shared" si="142"/>
        <v>0</v>
      </c>
      <c r="AN164" s="9">
        <f t="shared" si="143"/>
        <v>0</v>
      </c>
      <c r="AO164" s="9">
        <f t="shared" si="144"/>
        <v>0</v>
      </c>
    </row>
    <row r="165" spans="11:41" x14ac:dyDescent="0.3">
      <c r="K165" s="10">
        <f t="shared" ref="K165:K168" si="149">K164+1</f>
        <v>27</v>
      </c>
      <c r="L165" s="9">
        <f t="shared" si="117"/>
        <v>41884.718288137192</v>
      </c>
      <c r="M165" s="9">
        <f t="shared" si="122"/>
        <v>1313.0746459323473</v>
      </c>
      <c r="N165" s="9">
        <f t="shared" si="123"/>
        <v>0</v>
      </c>
      <c r="O165" s="9">
        <f t="shared" si="124"/>
        <v>0</v>
      </c>
      <c r="P165" s="9">
        <f t="shared" si="125"/>
        <v>0</v>
      </c>
      <c r="Q165" s="9">
        <f t="shared" si="126"/>
        <v>0</v>
      </c>
      <c r="S165" s="10">
        <f t="shared" ref="S165:S168" si="150">S164+1</f>
        <v>27</v>
      </c>
      <c r="T165" s="9">
        <f t="shared" si="118"/>
        <v>119403.97167566157</v>
      </c>
      <c r="U165" s="9">
        <f t="shared" si="128"/>
        <v>8289.8074508095415</v>
      </c>
      <c r="V165" s="9">
        <f t="shared" si="129"/>
        <v>0</v>
      </c>
      <c r="W165" s="9">
        <f t="shared" si="130"/>
        <v>0</v>
      </c>
      <c r="X165" s="9">
        <f t="shared" si="131"/>
        <v>0</v>
      </c>
      <c r="Y165" s="9">
        <f t="shared" si="132"/>
        <v>0</v>
      </c>
      <c r="AA165" s="10">
        <f t="shared" ref="AA165:AA168" si="151">AA164+1</f>
        <v>27</v>
      </c>
      <c r="AB165" s="9">
        <f t="shared" si="119"/>
        <v>26567.955755817093</v>
      </c>
      <c r="AC165" s="9">
        <f t="shared" si="134"/>
        <v>0</v>
      </c>
      <c r="AD165" s="9">
        <f t="shared" si="135"/>
        <v>9250</v>
      </c>
      <c r="AE165" s="9">
        <f t="shared" si="136"/>
        <v>0</v>
      </c>
      <c r="AF165" s="9">
        <f t="shared" si="137"/>
        <v>0</v>
      </c>
      <c r="AG165" s="9">
        <f t="shared" si="138"/>
        <v>9250</v>
      </c>
      <c r="AI165" s="10">
        <f t="shared" ref="AI165:AI168" si="152">AI164+1</f>
        <v>27</v>
      </c>
      <c r="AJ165" s="9">
        <f t="shared" si="120"/>
        <v>48209.736734961094</v>
      </c>
      <c r="AK165" s="9">
        <f t="shared" si="140"/>
        <v>1882.3263061464984</v>
      </c>
      <c r="AL165" s="9">
        <f t="shared" si="141"/>
        <v>0</v>
      </c>
      <c r="AM165" s="9">
        <f t="shared" si="142"/>
        <v>0</v>
      </c>
      <c r="AN165" s="9">
        <f t="shared" si="143"/>
        <v>0</v>
      </c>
      <c r="AO165" s="9">
        <f t="shared" si="144"/>
        <v>0</v>
      </c>
    </row>
    <row r="166" spans="11:41" x14ac:dyDescent="0.3">
      <c r="K166" s="10">
        <f t="shared" si="149"/>
        <v>28</v>
      </c>
      <c r="L166" s="9">
        <f t="shared" si="117"/>
        <v>42722.412653899926</v>
      </c>
      <c r="M166" s="9">
        <f t="shared" si="122"/>
        <v>1388.4671388509933</v>
      </c>
      <c r="N166" s="9">
        <f t="shared" si="123"/>
        <v>0</v>
      </c>
      <c r="O166" s="9">
        <f t="shared" si="124"/>
        <v>0</v>
      </c>
      <c r="P166" s="9">
        <f t="shared" si="125"/>
        <v>0</v>
      </c>
      <c r="Q166" s="9">
        <f t="shared" si="126"/>
        <v>0</v>
      </c>
      <c r="S166" s="10">
        <f t="shared" si="150"/>
        <v>28</v>
      </c>
      <c r="T166" s="9">
        <f t="shared" si="118"/>
        <v>121792.05110917478</v>
      </c>
      <c r="U166" s="9">
        <f t="shared" si="128"/>
        <v>8504.7345998257297</v>
      </c>
      <c r="V166" s="9">
        <f t="shared" si="129"/>
        <v>0</v>
      </c>
      <c r="W166" s="9">
        <f t="shared" si="130"/>
        <v>0</v>
      </c>
      <c r="X166" s="9">
        <f t="shared" si="131"/>
        <v>0</v>
      </c>
      <c r="Y166" s="9">
        <f t="shared" si="132"/>
        <v>0</v>
      </c>
      <c r="AA166" s="10">
        <f t="shared" si="151"/>
        <v>28</v>
      </c>
      <c r="AB166" s="9">
        <f t="shared" si="119"/>
        <v>27099.314870933427</v>
      </c>
      <c r="AC166" s="9">
        <f t="shared" si="134"/>
        <v>0</v>
      </c>
      <c r="AD166" s="9">
        <f t="shared" si="135"/>
        <v>9250</v>
      </c>
      <c r="AE166" s="9">
        <f t="shared" si="136"/>
        <v>0</v>
      </c>
      <c r="AF166" s="9">
        <f t="shared" si="137"/>
        <v>0</v>
      </c>
      <c r="AG166" s="9">
        <f t="shared" si="138"/>
        <v>9250</v>
      </c>
      <c r="AI166" s="10">
        <f t="shared" si="152"/>
        <v>28</v>
      </c>
      <c r="AJ166" s="9">
        <f t="shared" si="120"/>
        <v>49173.931469660311</v>
      </c>
      <c r="AK166" s="9">
        <f t="shared" si="140"/>
        <v>1969.1038322694278</v>
      </c>
      <c r="AL166" s="9">
        <f t="shared" si="141"/>
        <v>0</v>
      </c>
      <c r="AM166" s="9">
        <f t="shared" si="142"/>
        <v>0</v>
      </c>
      <c r="AN166" s="9">
        <f t="shared" si="143"/>
        <v>0</v>
      </c>
      <c r="AO166" s="9">
        <f t="shared" si="144"/>
        <v>0</v>
      </c>
    </row>
    <row r="167" spans="11:41" x14ac:dyDescent="0.3">
      <c r="K167" s="10">
        <f t="shared" si="149"/>
        <v>29</v>
      </c>
      <c r="L167" s="9">
        <f t="shared" si="117"/>
        <v>43576.860906977934</v>
      </c>
      <c r="M167" s="9">
        <f t="shared" si="122"/>
        <v>1465.367481628014</v>
      </c>
      <c r="N167" s="9">
        <f t="shared" si="123"/>
        <v>0</v>
      </c>
      <c r="O167" s="9">
        <f t="shared" si="124"/>
        <v>0</v>
      </c>
      <c r="P167" s="9">
        <f t="shared" si="125"/>
        <v>0</v>
      </c>
      <c r="Q167" s="9">
        <f t="shared" si="126"/>
        <v>0</v>
      </c>
      <c r="S167" s="10">
        <f t="shared" si="150"/>
        <v>29</v>
      </c>
      <c r="T167" s="9">
        <f t="shared" si="118"/>
        <v>124227.8921313583</v>
      </c>
      <c r="U167" s="9">
        <f t="shared" si="128"/>
        <v>8723.9602918222463</v>
      </c>
      <c r="V167" s="9">
        <f t="shared" si="129"/>
        <v>0</v>
      </c>
      <c r="W167" s="9">
        <f t="shared" si="130"/>
        <v>0</v>
      </c>
      <c r="X167" s="9">
        <f t="shared" si="131"/>
        <v>0</v>
      </c>
      <c r="Y167" s="9">
        <f t="shared" si="132"/>
        <v>0</v>
      </c>
      <c r="AA167" s="10">
        <f t="shared" si="151"/>
        <v>29</v>
      </c>
      <c r="AB167" s="9">
        <f t="shared" si="119"/>
        <v>27641.301168352104</v>
      </c>
      <c r="AC167" s="9">
        <f t="shared" si="134"/>
        <v>31.16710515168932</v>
      </c>
      <c r="AD167" s="9">
        <f t="shared" si="135"/>
        <v>9250</v>
      </c>
      <c r="AE167" s="9">
        <f t="shared" si="136"/>
        <v>31.16710515168932</v>
      </c>
      <c r="AF167" s="9">
        <f t="shared" si="137"/>
        <v>13.225647694584092</v>
      </c>
      <c r="AG167" s="9">
        <f t="shared" si="138"/>
        <v>9218.8328948483104</v>
      </c>
      <c r="AI167" s="10">
        <f t="shared" si="152"/>
        <v>29</v>
      </c>
      <c r="AJ167" s="9">
        <f t="shared" si="120"/>
        <v>50157.410099053523</v>
      </c>
      <c r="AK167" s="9">
        <f t="shared" si="140"/>
        <v>2057.616908914817</v>
      </c>
      <c r="AL167" s="9">
        <f t="shared" si="141"/>
        <v>0</v>
      </c>
      <c r="AM167" s="9">
        <f t="shared" si="142"/>
        <v>0</v>
      </c>
      <c r="AN167" s="9">
        <f t="shared" si="143"/>
        <v>0</v>
      </c>
      <c r="AO167" s="9">
        <f t="shared" si="144"/>
        <v>0</v>
      </c>
    </row>
    <row r="168" spans="11:41" x14ac:dyDescent="0.3">
      <c r="K168" s="10">
        <f t="shared" si="149"/>
        <v>30</v>
      </c>
      <c r="L168" s="9">
        <f t="shared" si="117"/>
        <v>44448.398125117485</v>
      </c>
      <c r="M168" s="9">
        <f t="shared" si="122"/>
        <v>1543.8058312605735</v>
      </c>
      <c r="N168" s="9">
        <f t="shared" si="123"/>
        <v>0</v>
      </c>
      <c r="O168" s="9">
        <f t="shared" si="124"/>
        <v>0</v>
      </c>
      <c r="P168" s="9">
        <f t="shared" si="125"/>
        <v>0</v>
      </c>
      <c r="Q168" s="9">
        <f t="shared" si="126"/>
        <v>0</v>
      </c>
      <c r="S168" s="10">
        <f t="shared" si="150"/>
        <v>30</v>
      </c>
      <c r="T168" s="9">
        <f t="shared" ref="T168" si="153">$F$9*(1+$B$7)^(S168-1)</f>
        <v>27419.823389855668</v>
      </c>
      <c r="U168" s="9">
        <f t="shared" si="128"/>
        <v>11.234105087010139</v>
      </c>
      <c r="V168" s="9">
        <f t="shared" si="129"/>
        <v>0</v>
      </c>
      <c r="W168" s="9">
        <f t="shared" si="130"/>
        <v>0</v>
      </c>
      <c r="X168" s="9">
        <f t="shared" si="131"/>
        <v>0</v>
      </c>
      <c r="Y168" s="9">
        <f t="shared" si="132"/>
        <v>0</v>
      </c>
      <c r="AA168" s="10">
        <f t="shared" si="151"/>
        <v>30</v>
      </c>
      <c r="AB168" s="9">
        <f t="shared" si="119"/>
        <v>28194.127191719141</v>
      </c>
      <c r="AC168" s="9">
        <f t="shared" si="134"/>
        <v>80.921447254722665</v>
      </c>
      <c r="AD168" s="9">
        <f t="shared" si="135"/>
        <v>9218.8328948483104</v>
      </c>
      <c r="AE168" s="9">
        <f t="shared" si="136"/>
        <v>80.921447254722665</v>
      </c>
      <c r="AF168" s="9">
        <f t="shared" si="137"/>
        <v>33.338564829810572</v>
      </c>
      <c r="AG168" s="9">
        <f t="shared" si="138"/>
        <v>9137.9114475935876</v>
      </c>
      <c r="AI168" s="10">
        <f t="shared" si="152"/>
        <v>30</v>
      </c>
      <c r="AJ168" s="9">
        <f t="shared" si="120"/>
        <v>51160.558301034587</v>
      </c>
      <c r="AK168" s="9">
        <f t="shared" si="140"/>
        <v>2147.9002470931127</v>
      </c>
      <c r="AL168" s="9">
        <f t="shared" si="141"/>
        <v>0</v>
      </c>
      <c r="AM168" s="9">
        <f t="shared" si="142"/>
        <v>0</v>
      </c>
      <c r="AN168" s="9">
        <f t="shared" si="143"/>
        <v>0</v>
      </c>
      <c r="AO168" s="9">
        <f t="shared" si="144"/>
        <v>0</v>
      </c>
    </row>
    <row r="169" spans="11:41" x14ac:dyDescent="0.3">
      <c r="K169" s="9"/>
      <c r="L169" s="9"/>
      <c r="M169" s="9"/>
      <c r="N169" s="9"/>
      <c r="O169" s="9"/>
      <c r="P169" s="9"/>
      <c r="Q169" s="9"/>
      <c r="S169" s="9"/>
      <c r="T169" s="9"/>
      <c r="U169" s="9"/>
      <c r="V169" s="9"/>
      <c r="W169" s="9"/>
      <c r="X169" s="9"/>
      <c r="Y169" s="9"/>
      <c r="AA169" s="9"/>
      <c r="AB169" s="9"/>
      <c r="AC169" s="9"/>
      <c r="AD169" s="9"/>
      <c r="AE169" s="9"/>
      <c r="AF169" s="9"/>
      <c r="AG169" s="9"/>
      <c r="AI169" s="9"/>
      <c r="AJ169" s="9"/>
      <c r="AK169" s="9"/>
      <c r="AL169" s="9"/>
      <c r="AM169" s="9"/>
      <c r="AN169" s="9"/>
      <c r="AO169" s="9"/>
    </row>
    <row r="171" spans="11:41" x14ac:dyDescent="0.3">
      <c r="K171" s="71"/>
      <c r="L171" s="72"/>
      <c r="M171" s="72"/>
      <c r="N171" s="72"/>
      <c r="O171" s="72"/>
      <c r="P171" s="72"/>
      <c r="Q171" s="73"/>
      <c r="S171" s="71"/>
      <c r="T171" s="72"/>
      <c r="U171" s="72"/>
      <c r="V171" s="72"/>
      <c r="W171" s="72"/>
      <c r="X171" s="72"/>
      <c r="Y171" s="73"/>
      <c r="AA171" s="71"/>
      <c r="AB171" s="72"/>
      <c r="AC171" s="72"/>
      <c r="AD171" s="72"/>
      <c r="AE171" s="72"/>
      <c r="AF171" s="72"/>
      <c r="AG171" s="73"/>
      <c r="AI171" s="71"/>
      <c r="AJ171" s="72"/>
      <c r="AK171" s="72"/>
      <c r="AL171" s="72"/>
      <c r="AM171" s="72"/>
      <c r="AN171" s="72"/>
      <c r="AO171" s="73"/>
    </row>
    <row r="172" spans="11:41" ht="43.2" x14ac:dyDescent="0.3">
      <c r="K172" s="14" t="s">
        <v>13</v>
      </c>
      <c r="L172" s="14" t="s">
        <v>14</v>
      </c>
      <c r="M172" s="14" t="s">
        <v>15</v>
      </c>
      <c r="N172" s="14" t="s">
        <v>16</v>
      </c>
      <c r="O172" s="14" t="s">
        <v>17</v>
      </c>
      <c r="P172" s="14" t="s">
        <v>18</v>
      </c>
      <c r="Q172" s="14" t="s">
        <v>19</v>
      </c>
      <c r="S172" s="14" t="s">
        <v>13</v>
      </c>
      <c r="T172" s="14" t="s">
        <v>14</v>
      </c>
      <c r="U172" s="14" t="s">
        <v>15</v>
      </c>
      <c r="V172" s="14" t="s">
        <v>16</v>
      </c>
      <c r="W172" s="14" t="s">
        <v>17</v>
      </c>
      <c r="X172" s="14" t="s">
        <v>18</v>
      </c>
      <c r="Y172" s="14" t="s">
        <v>19</v>
      </c>
      <c r="AA172" s="14" t="s">
        <v>13</v>
      </c>
      <c r="AB172" s="14" t="s">
        <v>14</v>
      </c>
      <c r="AC172" s="14" t="s">
        <v>15</v>
      </c>
      <c r="AD172" s="14" t="s">
        <v>16</v>
      </c>
      <c r="AE172" s="14" t="s">
        <v>17</v>
      </c>
      <c r="AF172" s="14" t="s">
        <v>18</v>
      </c>
      <c r="AG172" s="14" t="s">
        <v>19</v>
      </c>
      <c r="AI172" s="14" t="s">
        <v>13</v>
      </c>
      <c r="AJ172" s="14" t="s">
        <v>14</v>
      </c>
      <c r="AK172" s="14" t="s">
        <v>15</v>
      </c>
      <c r="AL172" s="14" t="s">
        <v>16</v>
      </c>
      <c r="AM172" s="14" t="s">
        <v>17</v>
      </c>
      <c r="AN172" s="14" t="s">
        <v>18</v>
      </c>
      <c r="AO172" s="14" t="s">
        <v>19</v>
      </c>
    </row>
    <row r="173" spans="11:41" x14ac:dyDescent="0.3">
      <c r="K173" s="10">
        <v>1</v>
      </c>
      <c r="L173" s="9">
        <f>$F$20*(1+$B$7)^(K173-1)</f>
        <v>50396</v>
      </c>
      <c r="M173" s="9">
        <f>$B$5*MAX(0,L173-$B$6)</f>
        <v>2079.09</v>
      </c>
      <c r="N173" s="9">
        <f>$B$2</f>
        <v>9250</v>
      </c>
      <c r="O173" s="9">
        <f>MIN(M173,N173)</f>
        <v>2079.09</v>
      </c>
      <c r="P173" s="9">
        <f>O173/(1+$B$8)^K173</f>
        <v>2018.5339805825245</v>
      </c>
      <c r="Q173" s="9">
        <f>N173-O173</f>
        <v>7170.91</v>
      </c>
      <c r="S173" s="10">
        <v>1</v>
      </c>
      <c r="T173" s="9">
        <f>$F$21*(1+$B$7)^(S173-1)</f>
        <v>18271.560000000001</v>
      </c>
      <c r="U173" s="9">
        <f>$B$5*MAX(0,T173-$B$6)</f>
        <v>0</v>
      </c>
      <c r="V173" s="9">
        <f>$B$2</f>
        <v>9250</v>
      </c>
      <c r="W173" s="9">
        <f>MIN(U173,V173)</f>
        <v>0</v>
      </c>
      <c r="X173" s="9">
        <f>W173/(1+$B$8)^S173</f>
        <v>0</v>
      </c>
      <c r="Y173" s="9">
        <f>V173-W173</f>
        <v>9250</v>
      </c>
      <c r="AA173" s="10">
        <v>1</v>
      </c>
      <c r="AB173" s="9">
        <f>$F$22*(1+$B$7)^(AA173-1)</f>
        <v>21343.48</v>
      </c>
      <c r="AC173" s="9">
        <f>$B$5*MAX(0,AB173-$B$6)</f>
        <v>0</v>
      </c>
      <c r="AD173" s="9">
        <f>$B$2</f>
        <v>9250</v>
      </c>
      <c r="AE173" s="9">
        <f>MIN(AC173,AD173)</f>
        <v>0</v>
      </c>
      <c r="AF173" s="9">
        <f>AE173/(1+$B$8)^AA173</f>
        <v>0</v>
      </c>
      <c r="AG173" s="9">
        <f>AD173-AE173</f>
        <v>9250</v>
      </c>
      <c r="AI173" s="10">
        <v>1</v>
      </c>
      <c r="AJ173" s="9">
        <f>$F$23*(1+$B$7)^(AI173-1)</f>
        <v>18152.88</v>
      </c>
      <c r="AK173" s="9">
        <f>$B$5*MAX(0,AJ173-$B$6)</f>
        <v>0</v>
      </c>
      <c r="AL173" s="9">
        <f>$B$2</f>
        <v>9250</v>
      </c>
      <c r="AM173" s="9">
        <f>MIN(AK173,AL173)</f>
        <v>0</v>
      </c>
      <c r="AN173" s="9">
        <f>AM173/(1+$B$8)^AI173</f>
        <v>0</v>
      </c>
      <c r="AO173" s="9">
        <f>AL173-AM173</f>
        <v>9250</v>
      </c>
    </row>
    <row r="174" spans="11:41" x14ac:dyDescent="0.3">
      <c r="K174" s="10">
        <f>K173+1</f>
        <v>2</v>
      </c>
      <c r="L174" s="9">
        <f t="shared" ref="L174:L202" si="154">$F$20*(1+$B$7)^(K174-1)</f>
        <v>51403.92</v>
      </c>
      <c r="M174" s="9">
        <f>$B$5*MAX(0,L174-$B$6)</f>
        <v>2169.8027999999999</v>
      </c>
      <c r="N174" s="9">
        <f>Q173</f>
        <v>7170.91</v>
      </c>
      <c r="O174" s="9">
        <f>IF(N174&lt;=0,0,MIN(M174,N174))</f>
        <v>2169.8027999999999</v>
      </c>
      <c r="P174" s="9">
        <f>O174/(1+$B$8)^K174</f>
        <v>2045.2472429069658</v>
      </c>
      <c r="Q174" s="9">
        <f>MAX(0,N174-O174)</f>
        <v>5001.1072000000004</v>
      </c>
      <c r="S174" s="10">
        <f>S173+1</f>
        <v>2</v>
      </c>
      <c r="T174" s="9">
        <f t="shared" ref="T174:T202" si="155">$F$21*(1+$B$7)^(S174-1)</f>
        <v>18636.9912</v>
      </c>
      <c r="U174" s="9">
        <f>$B$5*MAX(0,T174-$B$6)</f>
        <v>0</v>
      </c>
      <c r="V174" s="9">
        <f>Y173</f>
        <v>9250</v>
      </c>
      <c r="W174" s="9">
        <f>IF(V174&lt;=0,0,MIN(U174,V174))</f>
        <v>0</v>
      </c>
      <c r="X174" s="9">
        <f>W174/(1+$B$8)^S174</f>
        <v>0</v>
      </c>
      <c r="Y174" s="9">
        <f>MAX(0,V174-W174)</f>
        <v>9250</v>
      </c>
      <c r="AA174" s="10">
        <f>AA173+1</f>
        <v>2</v>
      </c>
      <c r="AB174" s="9">
        <f t="shared" ref="AB174:AB202" si="156">$F$22*(1+$B$7)^(AA174-1)</f>
        <v>21770.349600000001</v>
      </c>
      <c r="AC174" s="9">
        <f>$B$5*MAX(0,AB174-$B$6)</f>
        <v>0</v>
      </c>
      <c r="AD174" s="9">
        <f>AG173</f>
        <v>9250</v>
      </c>
      <c r="AE174" s="9">
        <f>IF(AD174&lt;=0,0,MIN(AC174,AD174))</f>
        <v>0</v>
      </c>
      <c r="AF174" s="9">
        <f>AE174/(1+$B$8)^AA174</f>
        <v>0</v>
      </c>
      <c r="AG174" s="9">
        <f>MAX(0,AD174-AE174)</f>
        <v>9250</v>
      </c>
      <c r="AI174" s="10">
        <f>AI173+1</f>
        <v>2</v>
      </c>
      <c r="AJ174" s="9">
        <f t="shared" ref="AJ174:AJ202" si="157">$F$23*(1+$B$7)^(AI174-1)</f>
        <v>18515.937600000001</v>
      </c>
      <c r="AK174" s="9">
        <f>$B$5*MAX(0,AJ174-$B$6)</f>
        <v>0</v>
      </c>
      <c r="AL174" s="9">
        <f>AO173</f>
        <v>9250</v>
      </c>
      <c r="AM174" s="9">
        <f>IF(AL174&lt;=0,0,MIN(AK174,AL174))</f>
        <v>0</v>
      </c>
      <c r="AN174" s="9">
        <f>AM174/(1+$B$8)^AI174</f>
        <v>0</v>
      </c>
      <c r="AO174" s="9">
        <f>MAX(0,AL174-AM174)</f>
        <v>9250</v>
      </c>
    </row>
    <row r="175" spans="11:41" x14ac:dyDescent="0.3">
      <c r="K175" s="10">
        <f t="shared" ref="K175:K190" si="158">K174+1</f>
        <v>3</v>
      </c>
      <c r="L175" s="9">
        <f t="shared" si="154"/>
        <v>52431.998399999997</v>
      </c>
      <c r="M175" s="9">
        <f t="shared" ref="M175:M202" si="159">$B$5*MAX(0,L175-$B$6)</f>
        <v>2262.3298559999998</v>
      </c>
      <c r="N175" s="9">
        <f t="shared" ref="N175:N202" si="160">Q174</f>
        <v>5001.1072000000004</v>
      </c>
      <c r="O175" s="9">
        <f t="shared" ref="O175:O202" si="161">IF(N175&lt;=0,0,MIN(M175,N175))</f>
        <v>2262.3298559999998</v>
      </c>
      <c r="P175" s="9">
        <f t="shared" ref="P175:P202" si="162">O175/(1+$B$8)^K175</f>
        <v>2070.3522984240344</v>
      </c>
      <c r="Q175" s="9">
        <f t="shared" ref="Q175:Q202" si="163">MAX(0,N175-O175)</f>
        <v>2738.7773440000005</v>
      </c>
      <c r="S175" s="10">
        <f t="shared" ref="S175:S190" si="164">S174+1</f>
        <v>3</v>
      </c>
      <c r="T175" s="9">
        <f t="shared" si="155"/>
        <v>19009.731024000001</v>
      </c>
      <c r="U175" s="9">
        <f t="shared" ref="U175:U202" si="165">$B$5*MAX(0,T175-$B$6)</f>
        <v>0</v>
      </c>
      <c r="V175" s="9">
        <f t="shared" ref="V175:V202" si="166">Y174</f>
        <v>9250</v>
      </c>
      <c r="W175" s="9">
        <f t="shared" ref="W175:W202" si="167">IF(V175&lt;=0,0,MIN(U175,V175))</f>
        <v>0</v>
      </c>
      <c r="X175" s="9">
        <f t="shared" ref="X175:X202" si="168">W175/(1+$B$8)^S175</f>
        <v>0</v>
      </c>
      <c r="Y175" s="9">
        <f t="shared" ref="Y175:Y202" si="169">MAX(0,V175-W175)</f>
        <v>9250</v>
      </c>
      <c r="AA175" s="10">
        <f t="shared" ref="AA175:AA190" si="170">AA174+1</f>
        <v>3</v>
      </c>
      <c r="AB175" s="9">
        <f t="shared" si="156"/>
        <v>22205.756591999998</v>
      </c>
      <c r="AC175" s="9">
        <f t="shared" ref="AC175:AC202" si="171">$B$5*MAX(0,AB175-$B$6)</f>
        <v>0</v>
      </c>
      <c r="AD175" s="9">
        <f t="shared" ref="AD175:AD202" si="172">AG174</f>
        <v>9250</v>
      </c>
      <c r="AE175" s="9">
        <f t="shared" ref="AE175:AE202" si="173">IF(AD175&lt;=0,0,MIN(AC175,AD175))</f>
        <v>0</v>
      </c>
      <c r="AF175" s="9">
        <f t="shared" ref="AF175:AF202" si="174">AE175/(1+$B$8)^AA175</f>
        <v>0</v>
      </c>
      <c r="AG175" s="9">
        <f t="shared" ref="AG175:AG202" si="175">MAX(0,AD175-AE175)</f>
        <v>9250</v>
      </c>
      <c r="AI175" s="10">
        <f t="shared" ref="AI175:AI190" si="176">AI174+1</f>
        <v>3</v>
      </c>
      <c r="AJ175" s="9">
        <f t="shared" si="157"/>
        <v>18886.256352</v>
      </c>
      <c r="AK175" s="9">
        <f t="shared" ref="AK175:AK202" si="177">$B$5*MAX(0,AJ175-$B$6)</f>
        <v>0</v>
      </c>
      <c r="AL175" s="9">
        <f t="shared" ref="AL175:AL202" si="178">AO174</f>
        <v>9250</v>
      </c>
      <c r="AM175" s="9">
        <f t="shared" ref="AM175:AM202" si="179">IF(AL175&lt;=0,0,MIN(AK175,AL175))</f>
        <v>0</v>
      </c>
      <c r="AN175" s="9">
        <f t="shared" ref="AN175:AN202" si="180">AM175/(1+$B$8)^AI175</f>
        <v>0</v>
      </c>
      <c r="AO175" s="9">
        <f t="shared" ref="AO175:AO202" si="181">MAX(0,AL175-AM175)</f>
        <v>9250</v>
      </c>
    </row>
    <row r="176" spans="11:41" x14ac:dyDescent="0.3">
      <c r="K176" s="10">
        <f t="shared" si="158"/>
        <v>4</v>
      </c>
      <c r="L176" s="9">
        <f t="shared" si="154"/>
        <v>53480.638368</v>
      </c>
      <c r="M176" s="9">
        <f t="shared" si="159"/>
        <v>2356.7074531200001</v>
      </c>
      <c r="N176" s="9">
        <f t="shared" si="160"/>
        <v>2738.7773440000005</v>
      </c>
      <c r="O176" s="9">
        <f t="shared" si="161"/>
        <v>2356.7074531200001</v>
      </c>
      <c r="P176" s="9">
        <f t="shared" si="162"/>
        <v>2093.9040478234911</v>
      </c>
      <c r="Q176" s="9">
        <f t="shared" si="163"/>
        <v>382.06989088000046</v>
      </c>
      <c r="S176" s="10">
        <f t="shared" si="164"/>
        <v>4</v>
      </c>
      <c r="T176" s="9">
        <f t="shared" si="155"/>
        <v>19389.925644480001</v>
      </c>
      <c r="U176" s="9">
        <f t="shared" si="165"/>
        <v>0</v>
      </c>
      <c r="V176" s="9">
        <f t="shared" si="166"/>
        <v>9250</v>
      </c>
      <c r="W176" s="9">
        <f t="shared" si="167"/>
        <v>0</v>
      </c>
      <c r="X176" s="9">
        <f t="shared" si="168"/>
        <v>0</v>
      </c>
      <c r="Y176" s="9">
        <f t="shared" si="169"/>
        <v>9250</v>
      </c>
      <c r="AA176" s="10">
        <f t="shared" si="170"/>
        <v>4</v>
      </c>
      <c r="AB176" s="9">
        <f t="shared" si="156"/>
        <v>22649.871723839999</v>
      </c>
      <c r="AC176" s="9">
        <f t="shared" si="171"/>
        <v>0</v>
      </c>
      <c r="AD176" s="9">
        <f t="shared" si="172"/>
        <v>9250</v>
      </c>
      <c r="AE176" s="9">
        <f t="shared" si="173"/>
        <v>0</v>
      </c>
      <c r="AF176" s="9">
        <f t="shared" si="174"/>
        <v>0</v>
      </c>
      <c r="AG176" s="9">
        <f t="shared" si="175"/>
        <v>9250</v>
      </c>
      <c r="AI176" s="10">
        <f t="shared" si="176"/>
        <v>4</v>
      </c>
      <c r="AJ176" s="9">
        <f t="shared" si="157"/>
        <v>19263.981479040001</v>
      </c>
      <c r="AK176" s="9">
        <f t="shared" si="177"/>
        <v>0</v>
      </c>
      <c r="AL176" s="9">
        <f t="shared" si="178"/>
        <v>9250</v>
      </c>
      <c r="AM176" s="9">
        <f t="shared" si="179"/>
        <v>0</v>
      </c>
      <c r="AN176" s="9">
        <f t="shared" si="180"/>
        <v>0</v>
      </c>
      <c r="AO176" s="9">
        <f t="shared" si="181"/>
        <v>9250</v>
      </c>
    </row>
    <row r="177" spans="11:41" x14ac:dyDescent="0.3">
      <c r="K177" s="10">
        <f t="shared" si="158"/>
        <v>5</v>
      </c>
      <c r="L177" s="9">
        <f t="shared" si="154"/>
        <v>54550.251135359998</v>
      </c>
      <c r="M177" s="9">
        <f t="shared" si="159"/>
        <v>2452.9726021823999</v>
      </c>
      <c r="N177" s="9">
        <f t="shared" si="160"/>
        <v>382.06989088000046</v>
      </c>
      <c r="O177" s="9">
        <f t="shared" si="161"/>
        <v>382.06989088000046</v>
      </c>
      <c r="P177" s="9">
        <f t="shared" si="162"/>
        <v>329.57684412178742</v>
      </c>
      <c r="Q177" s="9">
        <f t="shared" si="163"/>
        <v>0</v>
      </c>
      <c r="S177" s="10">
        <f t="shared" si="164"/>
        <v>5</v>
      </c>
      <c r="T177" s="9">
        <f t="shared" si="155"/>
        <v>19777.724157369601</v>
      </c>
      <c r="U177" s="9">
        <f t="shared" si="165"/>
        <v>0</v>
      </c>
      <c r="V177" s="9">
        <f t="shared" si="166"/>
        <v>9250</v>
      </c>
      <c r="W177" s="9">
        <f t="shared" si="167"/>
        <v>0</v>
      </c>
      <c r="X177" s="9">
        <f t="shared" si="168"/>
        <v>0</v>
      </c>
      <c r="Y177" s="9">
        <f t="shared" si="169"/>
        <v>9250</v>
      </c>
      <c r="AA177" s="10">
        <f t="shared" si="170"/>
        <v>5</v>
      </c>
      <c r="AB177" s="9">
        <f t="shared" si="156"/>
        <v>23102.8691583168</v>
      </c>
      <c r="AC177" s="9">
        <f t="shared" si="171"/>
        <v>0</v>
      </c>
      <c r="AD177" s="9">
        <f t="shared" si="172"/>
        <v>9250</v>
      </c>
      <c r="AE177" s="9">
        <f t="shared" si="173"/>
        <v>0</v>
      </c>
      <c r="AF177" s="9">
        <f t="shared" si="174"/>
        <v>0</v>
      </c>
      <c r="AG177" s="9">
        <f t="shared" si="175"/>
        <v>9250</v>
      </c>
      <c r="AI177" s="10">
        <f t="shared" si="176"/>
        <v>5</v>
      </c>
      <c r="AJ177" s="9">
        <f t="shared" si="157"/>
        <v>19649.261108620802</v>
      </c>
      <c r="AK177" s="9">
        <f t="shared" si="177"/>
        <v>0</v>
      </c>
      <c r="AL177" s="9">
        <f t="shared" si="178"/>
        <v>9250</v>
      </c>
      <c r="AM177" s="9">
        <f t="shared" si="179"/>
        <v>0</v>
      </c>
      <c r="AN177" s="9">
        <f t="shared" si="180"/>
        <v>0</v>
      </c>
      <c r="AO177" s="9">
        <f t="shared" si="181"/>
        <v>9250</v>
      </c>
    </row>
    <row r="178" spans="11:41" x14ac:dyDescent="0.3">
      <c r="K178" s="10">
        <f t="shared" si="158"/>
        <v>6</v>
      </c>
      <c r="L178" s="9">
        <f t="shared" si="154"/>
        <v>55641.256158067197</v>
      </c>
      <c r="M178" s="9">
        <f t="shared" si="159"/>
        <v>2551.1630542260477</v>
      </c>
      <c r="N178" s="9">
        <f t="shared" si="160"/>
        <v>0</v>
      </c>
      <c r="O178" s="9">
        <f t="shared" si="161"/>
        <v>0</v>
      </c>
      <c r="P178" s="9">
        <f t="shared" si="162"/>
        <v>0</v>
      </c>
      <c r="Q178" s="9">
        <f t="shared" si="163"/>
        <v>0</v>
      </c>
      <c r="S178" s="10">
        <f t="shared" si="164"/>
        <v>6</v>
      </c>
      <c r="T178" s="9">
        <f t="shared" si="155"/>
        <v>20173.278640516994</v>
      </c>
      <c r="U178" s="9">
        <f t="shared" si="165"/>
        <v>0</v>
      </c>
      <c r="V178" s="9">
        <f t="shared" si="166"/>
        <v>9250</v>
      </c>
      <c r="W178" s="9">
        <f t="shared" si="167"/>
        <v>0</v>
      </c>
      <c r="X178" s="9">
        <f t="shared" si="168"/>
        <v>0</v>
      </c>
      <c r="Y178" s="9">
        <f t="shared" si="169"/>
        <v>9250</v>
      </c>
      <c r="AA178" s="10">
        <f t="shared" si="170"/>
        <v>6</v>
      </c>
      <c r="AB178" s="9">
        <f t="shared" si="156"/>
        <v>23564.926541483135</v>
      </c>
      <c r="AC178" s="9">
        <f t="shared" si="171"/>
        <v>0</v>
      </c>
      <c r="AD178" s="9">
        <f t="shared" si="172"/>
        <v>9250</v>
      </c>
      <c r="AE178" s="9">
        <f t="shared" si="173"/>
        <v>0</v>
      </c>
      <c r="AF178" s="9">
        <f t="shared" si="174"/>
        <v>0</v>
      </c>
      <c r="AG178" s="9">
        <f t="shared" si="175"/>
        <v>9250</v>
      </c>
      <c r="AI178" s="10">
        <f t="shared" si="176"/>
        <v>6</v>
      </c>
      <c r="AJ178" s="9">
        <f t="shared" si="157"/>
        <v>20042.246330793216</v>
      </c>
      <c r="AK178" s="9">
        <f t="shared" si="177"/>
        <v>0</v>
      </c>
      <c r="AL178" s="9">
        <f t="shared" si="178"/>
        <v>9250</v>
      </c>
      <c r="AM178" s="9">
        <f t="shared" si="179"/>
        <v>0</v>
      </c>
      <c r="AN178" s="9">
        <f t="shared" si="180"/>
        <v>0</v>
      </c>
      <c r="AO178" s="9">
        <f t="shared" si="181"/>
        <v>9250</v>
      </c>
    </row>
    <row r="179" spans="11:41" x14ac:dyDescent="0.3">
      <c r="K179" s="10">
        <f t="shared" si="158"/>
        <v>7</v>
      </c>
      <c r="L179" s="9">
        <f t="shared" si="154"/>
        <v>56754.081281228544</v>
      </c>
      <c r="M179" s="9">
        <f t="shared" si="159"/>
        <v>2651.317315310569</v>
      </c>
      <c r="N179" s="9">
        <f t="shared" si="160"/>
        <v>0</v>
      </c>
      <c r="O179" s="9">
        <f t="shared" si="161"/>
        <v>0</v>
      </c>
      <c r="P179" s="9">
        <f t="shared" si="162"/>
        <v>0</v>
      </c>
      <c r="Q179" s="9">
        <f t="shared" si="163"/>
        <v>0</v>
      </c>
      <c r="S179" s="10">
        <f t="shared" si="164"/>
        <v>7</v>
      </c>
      <c r="T179" s="9">
        <f t="shared" si="155"/>
        <v>20576.744213327336</v>
      </c>
      <c r="U179" s="9">
        <f t="shared" si="165"/>
        <v>0</v>
      </c>
      <c r="V179" s="9">
        <f t="shared" si="166"/>
        <v>9250</v>
      </c>
      <c r="W179" s="9">
        <f t="shared" si="167"/>
        <v>0</v>
      </c>
      <c r="X179" s="9">
        <f t="shared" si="168"/>
        <v>0</v>
      </c>
      <c r="Y179" s="9">
        <f t="shared" si="169"/>
        <v>9250</v>
      </c>
      <c r="AA179" s="10">
        <f t="shared" si="170"/>
        <v>7</v>
      </c>
      <c r="AB179" s="9">
        <f t="shared" si="156"/>
        <v>24036.225072312798</v>
      </c>
      <c r="AC179" s="9">
        <f t="shared" si="171"/>
        <v>0</v>
      </c>
      <c r="AD179" s="9">
        <f t="shared" si="172"/>
        <v>9250</v>
      </c>
      <c r="AE179" s="9">
        <f t="shared" si="173"/>
        <v>0</v>
      </c>
      <c r="AF179" s="9">
        <f t="shared" si="174"/>
        <v>0</v>
      </c>
      <c r="AG179" s="9">
        <f t="shared" si="175"/>
        <v>9250</v>
      </c>
      <c r="AI179" s="10">
        <f t="shared" si="176"/>
        <v>7</v>
      </c>
      <c r="AJ179" s="9">
        <f t="shared" si="157"/>
        <v>20443.091257409083</v>
      </c>
      <c r="AK179" s="9">
        <f t="shared" si="177"/>
        <v>0</v>
      </c>
      <c r="AL179" s="9">
        <f t="shared" si="178"/>
        <v>9250</v>
      </c>
      <c r="AM179" s="9">
        <f t="shared" si="179"/>
        <v>0</v>
      </c>
      <c r="AN179" s="9">
        <f t="shared" si="180"/>
        <v>0</v>
      </c>
      <c r="AO179" s="9">
        <f t="shared" si="181"/>
        <v>9250</v>
      </c>
    </row>
    <row r="180" spans="11:41" x14ac:dyDescent="0.3">
      <c r="K180" s="10">
        <f t="shared" si="158"/>
        <v>8</v>
      </c>
      <c r="L180" s="9">
        <f t="shared" si="154"/>
        <v>57889.162906853104</v>
      </c>
      <c r="M180" s="9">
        <f t="shared" si="159"/>
        <v>2753.474661616779</v>
      </c>
      <c r="N180" s="9">
        <f t="shared" si="160"/>
        <v>0</v>
      </c>
      <c r="O180" s="9">
        <f t="shared" si="161"/>
        <v>0</v>
      </c>
      <c r="P180" s="9">
        <f t="shared" si="162"/>
        <v>0</v>
      </c>
      <c r="Q180" s="9">
        <f t="shared" si="163"/>
        <v>0</v>
      </c>
      <c r="S180" s="10">
        <f t="shared" si="164"/>
        <v>8</v>
      </c>
      <c r="T180" s="9">
        <f t="shared" si="155"/>
        <v>20988.279097593877</v>
      </c>
      <c r="U180" s="9">
        <f t="shared" si="165"/>
        <v>0</v>
      </c>
      <c r="V180" s="9">
        <f t="shared" si="166"/>
        <v>9250</v>
      </c>
      <c r="W180" s="9">
        <f t="shared" si="167"/>
        <v>0</v>
      </c>
      <c r="X180" s="9">
        <f t="shared" si="168"/>
        <v>0</v>
      </c>
      <c r="Y180" s="9">
        <f t="shared" si="169"/>
        <v>9250</v>
      </c>
      <c r="AA180" s="10">
        <f t="shared" si="170"/>
        <v>8</v>
      </c>
      <c r="AB180" s="9">
        <f t="shared" si="156"/>
        <v>24516.949573759051</v>
      </c>
      <c r="AC180" s="9">
        <f t="shared" si="171"/>
        <v>0</v>
      </c>
      <c r="AD180" s="9">
        <f t="shared" si="172"/>
        <v>9250</v>
      </c>
      <c r="AE180" s="9">
        <f t="shared" si="173"/>
        <v>0</v>
      </c>
      <c r="AF180" s="9">
        <f t="shared" si="174"/>
        <v>0</v>
      </c>
      <c r="AG180" s="9">
        <f t="shared" si="175"/>
        <v>9250</v>
      </c>
      <c r="AI180" s="10">
        <f t="shared" si="176"/>
        <v>8</v>
      </c>
      <c r="AJ180" s="9">
        <f t="shared" si="157"/>
        <v>20851.953082557258</v>
      </c>
      <c r="AK180" s="9">
        <f t="shared" si="177"/>
        <v>0</v>
      </c>
      <c r="AL180" s="9">
        <f t="shared" si="178"/>
        <v>9250</v>
      </c>
      <c r="AM180" s="9">
        <f t="shared" si="179"/>
        <v>0</v>
      </c>
      <c r="AN180" s="9">
        <f t="shared" si="180"/>
        <v>0</v>
      </c>
      <c r="AO180" s="9">
        <f t="shared" si="181"/>
        <v>9250</v>
      </c>
    </row>
    <row r="181" spans="11:41" x14ac:dyDescent="0.3">
      <c r="K181" s="10">
        <f t="shared" si="158"/>
        <v>9</v>
      </c>
      <c r="L181" s="9">
        <f t="shared" si="154"/>
        <v>59046.946164990171</v>
      </c>
      <c r="M181" s="9">
        <f t="shared" si="159"/>
        <v>2857.6751548491152</v>
      </c>
      <c r="N181" s="9">
        <f t="shared" si="160"/>
        <v>0</v>
      </c>
      <c r="O181" s="9">
        <f t="shared" si="161"/>
        <v>0</v>
      </c>
      <c r="P181" s="9">
        <f t="shared" si="162"/>
        <v>0</v>
      </c>
      <c r="Q181" s="9">
        <f t="shared" si="163"/>
        <v>0</v>
      </c>
      <c r="S181" s="10">
        <f t="shared" si="164"/>
        <v>9</v>
      </c>
      <c r="T181" s="9">
        <f t="shared" si="155"/>
        <v>21408.044679545757</v>
      </c>
      <c r="U181" s="9">
        <f t="shared" si="165"/>
        <v>0</v>
      </c>
      <c r="V181" s="9">
        <f t="shared" si="166"/>
        <v>9250</v>
      </c>
      <c r="W181" s="9">
        <f t="shared" si="167"/>
        <v>0</v>
      </c>
      <c r="X181" s="9">
        <f t="shared" si="168"/>
        <v>0</v>
      </c>
      <c r="Y181" s="9">
        <f t="shared" si="169"/>
        <v>9250</v>
      </c>
      <c r="AA181" s="10">
        <f t="shared" si="170"/>
        <v>9</v>
      </c>
      <c r="AB181" s="9">
        <f t="shared" si="156"/>
        <v>25007.288565234234</v>
      </c>
      <c r="AC181" s="9">
        <f t="shared" si="171"/>
        <v>0</v>
      </c>
      <c r="AD181" s="9">
        <f t="shared" si="172"/>
        <v>9250</v>
      </c>
      <c r="AE181" s="9">
        <f t="shared" si="173"/>
        <v>0</v>
      </c>
      <c r="AF181" s="9">
        <f t="shared" si="174"/>
        <v>0</v>
      </c>
      <c r="AG181" s="9">
        <f t="shared" si="175"/>
        <v>9250</v>
      </c>
      <c r="AI181" s="10">
        <f t="shared" si="176"/>
        <v>9</v>
      </c>
      <c r="AJ181" s="9">
        <f t="shared" si="157"/>
        <v>21268.992144208409</v>
      </c>
      <c r="AK181" s="9">
        <f t="shared" si="177"/>
        <v>0</v>
      </c>
      <c r="AL181" s="9">
        <f t="shared" si="178"/>
        <v>9250</v>
      </c>
      <c r="AM181" s="9">
        <f t="shared" si="179"/>
        <v>0</v>
      </c>
      <c r="AN181" s="9">
        <f t="shared" si="180"/>
        <v>0</v>
      </c>
      <c r="AO181" s="9">
        <f t="shared" si="181"/>
        <v>9250</v>
      </c>
    </row>
    <row r="182" spans="11:41" x14ac:dyDescent="0.3">
      <c r="K182" s="10">
        <f t="shared" si="158"/>
        <v>10</v>
      </c>
      <c r="L182" s="9">
        <f t="shared" si="154"/>
        <v>60227.885088289979</v>
      </c>
      <c r="M182" s="9">
        <f t="shared" si="159"/>
        <v>2963.9596579460981</v>
      </c>
      <c r="N182" s="9">
        <f t="shared" si="160"/>
        <v>0</v>
      </c>
      <c r="O182" s="9">
        <f t="shared" si="161"/>
        <v>0</v>
      </c>
      <c r="P182" s="9">
        <f t="shared" si="162"/>
        <v>0</v>
      </c>
      <c r="Q182" s="9">
        <f t="shared" si="163"/>
        <v>0</v>
      </c>
      <c r="S182" s="10">
        <f t="shared" si="164"/>
        <v>10</v>
      </c>
      <c r="T182" s="9">
        <f t="shared" si="155"/>
        <v>21836.205573136671</v>
      </c>
      <c r="U182" s="9">
        <f t="shared" si="165"/>
        <v>0</v>
      </c>
      <c r="V182" s="9">
        <f t="shared" si="166"/>
        <v>9250</v>
      </c>
      <c r="W182" s="9">
        <f t="shared" si="167"/>
        <v>0</v>
      </c>
      <c r="X182" s="9">
        <f t="shared" si="168"/>
        <v>0</v>
      </c>
      <c r="Y182" s="9">
        <f t="shared" si="169"/>
        <v>9250</v>
      </c>
      <c r="AA182" s="10">
        <f t="shared" si="170"/>
        <v>10</v>
      </c>
      <c r="AB182" s="9">
        <f t="shared" si="156"/>
        <v>25507.434336538918</v>
      </c>
      <c r="AC182" s="9">
        <f t="shared" si="171"/>
        <v>0</v>
      </c>
      <c r="AD182" s="9">
        <f t="shared" si="172"/>
        <v>9250</v>
      </c>
      <c r="AE182" s="9">
        <f t="shared" si="173"/>
        <v>0</v>
      </c>
      <c r="AF182" s="9">
        <f t="shared" si="174"/>
        <v>0</v>
      </c>
      <c r="AG182" s="9">
        <f t="shared" si="175"/>
        <v>9250</v>
      </c>
      <c r="AI182" s="10">
        <f t="shared" si="176"/>
        <v>10</v>
      </c>
      <c r="AJ182" s="9">
        <f t="shared" si="157"/>
        <v>21694.371987092574</v>
      </c>
      <c r="AK182" s="9">
        <f t="shared" si="177"/>
        <v>0</v>
      </c>
      <c r="AL182" s="9">
        <f t="shared" si="178"/>
        <v>9250</v>
      </c>
      <c r="AM182" s="9">
        <f t="shared" si="179"/>
        <v>0</v>
      </c>
      <c r="AN182" s="9">
        <f t="shared" si="180"/>
        <v>0</v>
      </c>
      <c r="AO182" s="9">
        <f t="shared" si="181"/>
        <v>9250</v>
      </c>
    </row>
    <row r="183" spans="11:41" x14ac:dyDescent="0.3">
      <c r="K183" s="10">
        <f t="shared" si="158"/>
        <v>11</v>
      </c>
      <c r="L183" s="9">
        <f t="shared" si="154"/>
        <v>61432.442790055778</v>
      </c>
      <c r="M183" s="9">
        <f t="shared" si="159"/>
        <v>3072.3698511050197</v>
      </c>
      <c r="N183" s="9">
        <f t="shared" si="160"/>
        <v>0</v>
      </c>
      <c r="O183" s="9">
        <f t="shared" si="161"/>
        <v>0</v>
      </c>
      <c r="P183" s="9">
        <f t="shared" si="162"/>
        <v>0</v>
      </c>
      <c r="Q183" s="9">
        <f t="shared" si="163"/>
        <v>0</v>
      </c>
      <c r="S183" s="10">
        <f t="shared" si="164"/>
        <v>11</v>
      </c>
      <c r="T183" s="9">
        <f t="shared" si="155"/>
        <v>22272.929684599407</v>
      </c>
      <c r="U183" s="9">
        <f t="shared" si="165"/>
        <v>0</v>
      </c>
      <c r="V183" s="9">
        <f t="shared" si="166"/>
        <v>9250</v>
      </c>
      <c r="W183" s="9">
        <f t="shared" si="167"/>
        <v>0</v>
      </c>
      <c r="X183" s="9">
        <f t="shared" si="168"/>
        <v>0</v>
      </c>
      <c r="Y183" s="9">
        <f t="shared" si="169"/>
        <v>9250</v>
      </c>
      <c r="AA183" s="10">
        <f t="shared" si="170"/>
        <v>11</v>
      </c>
      <c r="AB183" s="9">
        <f t="shared" si="156"/>
        <v>26017.583023269697</v>
      </c>
      <c r="AC183" s="9">
        <f t="shared" si="171"/>
        <v>0</v>
      </c>
      <c r="AD183" s="9">
        <f t="shared" si="172"/>
        <v>9250</v>
      </c>
      <c r="AE183" s="9">
        <f t="shared" si="173"/>
        <v>0</v>
      </c>
      <c r="AF183" s="9">
        <f t="shared" si="174"/>
        <v>0</v>
      </c>
      <c r="AG183" s="9">
        <f t="shared" si="175"/>
        <v>9250</v>
      </c>
      <c r="AI183" s="10">
        <f t="shared" si="176"/>
        <v>11</v>
      </c>
      <c r="AJ183" s="9">
        <f t="shared" si="157"/>
        <v>22128.259426834429</v>
      </c>
      <c r="AK183" s="9">
        <f t="shared" si="177"/>
        <v>0</v>
      </c>
      <c r="AL183" s="9">
        <f t="shared" si="178"/>
        <v>9250</v>
      </c>
      <c r="AM183" s="9">
        <f t="shared" si="179"/>
        <v>0</v>
      </c>
      <c r="AN183" s="9">
        <f t="shared" si="180"/>
        <v>0</v>
      </c>
      <c r="AO183" s="9">
        <f t="shared" si="181"/>
        <v>9250</v>
      </c>
    </row>
    <row r="184" spans="11:41" x14ac:dyDescent="0.3">
      <c r="K184" s="10">
        <f t="shared" si="158"/>
        <v>12</v>
      </c>
      <c r="L184" s="9">
        <f t="shared" si="154"/>
        <v>62661.091645856883</v>
      </c>
      <c r="M184" s="9">
        <f t="shared" si="159"/>
        <v>3182.9482481271193</v>
      </c>
      <c r="N184" s="9">
        <f t="shared" si="160"/>
        <v>0</v>
      </c>
      <c r="O184" s="9">
        <f t="shared" si="161"/>
        <v>0</v>
      </c>
      <c r="P184" s="9">
        <f t="shared" si="162"/>
        <v>0</v>
      </c>
      <c r="Q184" s="9">
        <f t="shared" si="163"/>
        <v>0</v>
      </c>
      <c r="S184" s="10">
        <f t="shared" si="164"/>
        <v>12</v>
      </c>
      <c r="T184" s="9">
        <f t="shared" si="155"/>
        <v>22718.38827829139</v>
      </c>
      <c r="U184" s="9">
        <f t="shared" si="165"/>
        <v>0</v>
      </c>
      <c r="V184" s="9">
        <f t="shared" si="166"/>
        <v>9250</v>
      </c>
      <c r="W184" s="9">
        <f t="shared" si="167"/>
        <v>0</v>
      </c>
      <c r="X184" s="9">
        <f t="shared" si="168"/>
        <v>0</v>
      </c>
      <c r="Y184" s="9">
        <f t="shared" si="169"/>
        <v>9250</v>
      </c>
      <c r="AA184" s="10">
        <f t="shared" si="170"/>
        <v>12</v>
      </c>
      <c r="AB184" s="9">
        <f t="shared" si="156"/>
        <v>26537.934683735086</v>
      </c>
      <c r="AC184" s="9">
        <f t="shared" si="171"/>
        <v>0</v>
      </c>
      <c r="AD184" s="9">
        <f t="shared" si="172"/>
        <v>9250</v>
      </c>
      <c r="AE184" s="9">
        <f t="shared" si="173"/>
        <v>0</v>
      </c>
      <c r="AF184" s="9">
        <f t="shared" si="174"/>
        <v>0</v>
      </c>
      <c r="AG184" s="9">
        <f t="shared" si="175"/>
        <v>9250</v>
      </c>
      <c r="AI184" s="10">
        <f t="shared" si="176"/>
        <v>12</v>
      </c>
      <c r="AJ184" s="9">
        <f t="shared" si="157"/>
        <v>22570.824615371112</v>
      </c>
      <c r="AK184" s="9">
        <f t="shared" si="177"/>
        <v>0</v>
      </c>
      <c r="AL184" s="9">
        <f t="shared" si="178"/>
        <v>9250</v>
      </c>
      <c r="AM184" s="9">
        <f t="shared" si="179"/>
        <v>0</v>
      </c>
      <c r="AN184" s="9">
        <f t="shared" si="180"/>
        <v>0</v>
      </c>
      <c r="AO184" s="9">
        <f t="shared" si="181"/>
        <v>9250</v>
      </c>
    </row>
    <row r="185" spans="11:41" x14ac:dyDescent="0.3">
      <c r="K185" s="10">
        <f t="shared" si="158"/>
        <v>13</v>
      </c>
      <c r="L185" s="9">
        <f t="shared" si="154"/>
        <v>63914.313478774035</v>
      </c>
      <c r="M185" s="9">
        <f t="shared" si="159"/>
        <v>3295.7382130896631</v>
      </c>
      <c r="N185" s="9">
        <f t="shared" si="160"/>
        <v>0</v>
      </c>
      <c r="O185" s="9">
        <f t="shared" si="161"/>
        <v>0</v>
      </c>
      <c r="P185" s="9">
        <f t="shared" si="162"/>
        <v>0</v>
      </c>
      <c r="Q185" s="9">
        <f t="shared" si="163"/>
        <v>0</v>
      </c>
      <c r="S185" s="10">
        <f t="shared" si="164"/>
        <v>13</v>
      </c>
      <c r="T185" s="9">
        <f t="shared" si="155"/>
        <v>23172.756043857222</v>
      </c>
      <c r="U185" s="9">
        <f t="shared" si="165"/>
        <v>0</v>
      </c>
      <c r="V185" s="9">
        <f t="shared" si="166"/>
        <v>9250</v>
      </c>
      <c r="W185" s="9">
        <f t="shared" si="167"/>
        <v>0</v>
      </c>
      <c r="X185" s="9">
        <f t="shared" si="168"/>
        <v>0</v>
      </c>
      <c r="Y185" s="9">
        <f t="shared" si="169"/>
        <v>9250</v>
      </c>
      <c r="AA185" s="10">
        <f t="shared" si="170"/>
        <v>13</v>
      </c>
      <c r="AB185" s="9">
        <f t="shared" si="156"/>
        <v>27068.693377409792</v>
      </c>
      <c r="AC185" s="9">
        <f t="shared" si="171"/>
        <v>0</v>
      </c>
      <c r="AD185" s="9">
        <f t="shared" si="172"/>
        <v>9250</v>
      </c>
      <c r="AE185" s="9">
        <f t="shared" si="173"/>
        <v>0</v>
      </c>
      <c r="AF185" s="9">
        <f t="shared" si="174"/>
        <v>0</v>
      </c>
      <c r="AG185" s="9">
        <f t="shared" si="175"/>
        <v>9250</v>
      </c>
      <c r="AI185" s="10">
        <f t="shared" si="176"/>
        <v>13</v>
      </c>
      <c r="AJ185" s="9">
        <f t="shared" si="157"/>
        <v>23022.241107678539</v>
      </c>
      <c r="AK185" s="9">
        <f t="shared" si="177"/>
        <v>0</v>
      </c>
      <c r="AL185" s="9">
        <f t="shared" si="178"/>
        <v>9250</v>
      </c>
      <c r="AM185" s="9">
        <f t="shared" si="179"/>
        <v>0</v>
      </c>
      <c r="AN185" s="9">
        <f t="shared" si="180"/>
        <v>0</v>
      </c>
      <c r="AO185" s="9">
        <f t="shared" si="181"/>
        <v>9250</v>
      </c>
    </row>
    <row r="186" spans="11:41" x14ac:dyDescent="0.3">
      <c r="K186" s="10">
        <f t="shared" si="158"/>
        <v>14</v>
      </c>
      <c r="L186" s="9">
        <f t="shared" si="154"/>
        <v>65192.599748349508</v>
      </c>
      <c r="M186" s="9">
        <f t="shared" si="159"/>
        <v>3410.7839773514556</v>
      </c>
      <c r="N186" s="9">
        <f t="shared" si="160"/>
        <v>0</v>
      </c>
      <c r="O186" s="9">
        <f t="shared" si="161"/>
        <v>0</v>
      </c>
      <c r="P186" s="9">
        <f t="shared" si="162"/>
        <v>0</v>
      </c>
      <c r="Q186" s="9">
        <f t="shared" si="163"/>
        <v>0</v>
      </c>
      <c r="S186" s="10">
        <f t="shared" si="164"/>
        <v>14</v>
      </c>
      <c r="T186" s="9">
        <f t="shared" si="155"/>
        <v>23636.211164734363</v>
      </c>
      <c r="U186" s="9">
        <f t="shared" si="165"/>
        <v>0</v>
      </c>
      <c r="V186" s="9">
        <f t="shared" si="166"/>
        <v>9250</v>
      </c>
      <c r="W186" s="9">
        <f t="shared" si="167"/>
        <v>0</v>
      </c>
      <c r="X186" s="9">
        <f t="shared" si="168"/>
        <v>0</v>
      </c>
      <c r="Y186" s="9">
        <f t="shared" si="169"/>
        <v>9250</v>
      </c>
      <c r="AA186" s="10">
        <f t="shared" si="170"/>
        <v>14</v>
      </c>
      <c r="AB186" s="9">
        <f t="shared" si="156"/>
        <v>27610.067244957987</v>
      </c>
      <c r="AC186" s="9">
        <f t="shared" si="171"/>
        <v>28.356052046218828</v>
      </c>
      <c r="AD186" s="9">
        <f t="shared" si="172"/>
        <v>9250</v>
      </c>
      <c r="AE186" s="9">
        <f t="shared" si="173"/>
        <v>28.356052046218828</v>
      </c>
      <c r="AF186" s="9">
        <f t="shared" si="174"/>
        <v>18.746690910474761</v>
      </c>
      <c r="AG186" s="9">
        <f t="shared" si="175"/>
        <v>9221.6439479537803</v>
      </c>
      <c r="AI186" s="10">
        <f t="shared" si="176"/>
        <v>14</v>
      </c>
      <c r="AJ186" s="9">
        <f t="shared" si="157"/>
        <v>23482.685929832107</v>
      </c>
      <c r="AK186" s="9">
        <f t="shared" si="177"/>
        <v>0</v>
      </c>
      <c r="AL186" s="9">
        <f t="shared" si="178"/>
        <v>9250</v>
      </c>
      <c r="AM186" s="9">
        <f t="shared" si="179"/>
        <v>0</v>
      </c>
      <c r="AN186" s="9">
        <f t="shared" si="180"/>
        <v>0</v>
      </c>
      <c r="AO186" s="9">
        <f t="shared" si="181"/>
        <v>9250</v>
      </c>
    </row>
    <row r="187" spans="11:41" x14ac:dyDescent="0.3">
      <c r="K187" s="10">
        <f t="shared" si="158"/>
        <v>15</v>
      </c>
      <c r="L187" s="9">
        <f t="shared" si="154"/>
        <v>66496.451743316502</v>
      </c>
      <c r="M187" s="9">
        <f t="shared" si="159"/>
        <v>3528.1306568984851</v>
      </c>
      <c r="N187" s="9">
        <f t="shared" si="160"/>
        <v>0</v>
      </c>
      <c r="O187" s="9">
        <f t="shared" si="161"/>
        <v>0</v>
      </c>
      <c r="P187" s="9">
        <f t="shared" si="162"/>
        <v>0</v>
      </c>
      <c r="Q187" s="9">
        <f t="shared" si="163"/>
        <v>0</v>
      </c>
      <c r="S187" s="10">
        <f t="shared" si="164"/>
        <v>15</v>
      </c>
      <c r="T187" s="9">
        <f t="shared" si="155"/>
        <v>24108.935388029055</v>
      </c>
      <c r="U187" s="9">
        <f t="shared" si="165"/>
        <v>0</v>
      </c>
      <c r="V187" s="9">
        <f t="shared" si="166"/>
        <v>9250</v>
      </c>
      <c r="W187" s="9">
        <f t="shared" si="167"/>
        <v>0</v>
      </c>
      <c r="X187" s="9">
        <f t="shared" si="168"/>
        <v>0</v>
      </c>
      <c r="Y187" s="9">
        <f t="shared" si="169"/>
        <v>9250</v>
      </c>
      <c r="AA187" s="10">
        <f t="shared" si="170"/>
        <v>15</v>
      </c>
      <c r="AB187" s="9">
        <f t="shared" si="156"/>
        <v>28162.268589857151</v>
      </c>
      <c r="AC187" s="9">
        <f t="shared" si="171"/>
        <v>78.054173087143567</v>
      </c>
      <c r="AD187" s="9">
        <f t="shared" si="172"/>
        <v>9221.6439479537803</v>
      </c>
      <c r="AE187" s="9">
        <f t="shared" si="173"/>
        <v>78.054173087143567</v>
      </c>
      <c r="AF187" s="9">
        <f t="shared" si="174"/>
        <v>50.100003540154439</v>
      </c>
      <c r="AG187" s="9">
        <f t="shared" si="175"/>
        <v>9143.5897748666375</v>
      </c>
      <c r="AI187" s="10">
        <f t="shared" si="176"/>
        <v>15</v>
      </c>
      <c r="AJ187" s="9">
        <f t="shared" si="157"/>
        <v>23952.339648428751</v>
      </c>
      <c r="AK187" s="9">
        <f t="shared" si="177"/>
        <v>0</v>
      </c>
      <c r="AL187" s="9">
        <f t="shared" si="178"/>
        <v>9250</v>
      </c>
      <c r="AM187" s="9">
        <f t="shared" si="179"/>
        <v>0</v>
      </c>
      <c r="AN187" s="9">
        <f t="shared" si="180"/>
        <v>0</v>
      </c>
      <c r="AO187" s="9">
        <f t="shared" si="181"/>
        <v>9250</v>
      </c>
    </row>
    <row r="188" spans="11:41" x14ac:dyDescent="0.3">
      <c r="K188" s="10">
        <f t="shared" si="158"/>
        <v>16</v>
      </c>
      <c r="L188" s="9">
        <f t="shared" si="154"/>
        <v>67826.380778182822</v>
      </c>
      <c r="M188" s="9">
        <f t="shared" si="159"/>
        <v>3647.824270036454</v>
      </c>
      <c r="N188" s="9">
        <f t="shared" si="160"/>
        <v>0</v>
      </c>
      <c r="O188" s="9">
        <f t="shared" si="161"/>
        <v>0</v>
      </c>
      <c r="P188" s="9">
        <f t="shared" si="162"/>
        <v>0</v>
      </c>
      <c r="Q188" s="9">
        <f t="shared" si="163"/>
        <v>0</v>
      </c>
      <c r="S188" s="10">
        <f t="shared" si="164"/>
        <v>16</v>
      </c>
      <c r="T188" s="9">
        <f t="shared" si="155"/>
        <v>24591.114095789628</v>
      </c>
      <c r="U188" s="9">
        <f t="shared" si="165"/>
        <v>0</v>
      </c>
      <c r="V188" s="9">
        <f t="shared" si="166"/>
        <v>9250</v>
      </c>
      <c r="W188" s="9">
        <f t="shared" si="167"/>
        <v>0</v>
      </c>
      <c r="X188" s="9">
        <f t="shared" si="168"/>
        <v>0</v>
      </c>
      <c r="Y188" s="9">
        <f t="shared" si="169"/>
        <v>9250</v>
      </c>
      <c r="AA188" s="10">
        <f t="shared" si="170"/>
        <v>16</v>
      </c>
      <c r="AB188" s="9">
        <f t="shared" si="156"/>
        <v>28725.513961654284</v>
      </c>
      <c r="AC188" s="9">
        <f t="shared" si="171"/>
        <v>128.74625654888553</v>
      </c>
      <c r="AD188" s="9">
        <f t="shared" si="172"/>
        <v>9143.5897748666375</v>
      </c>
      <c r="AE188" s="9">
        <f t="shared" si="173"/>
        <v>128.74625654888553</v>
      </c>
      <c r="AF188" s="9">
        <f t="shared" si="174"/>
        <v>80.2304106296166</v>
      </c>
      <c r="AG188" s="9">
        <f t="shared" si="175"/>
        <v>9014.8435183177517</v>
      </c>
      <c r="AI188" s="10">
        <f t="shared" si="176"/>
        <v>16</v>
      </c>
      <c r="AJ188" s="9">
        <f t="shared" si="157"/>
        <v>24431.386441397321</v>
      </c>
      <c r="AK188" s="9">
        <f t="shared" si="177"/>
        <v>0</v>
      </c>
      <c r="AL188" s="9">
        <f t="shared" si="178"/>
        <v>9250</v>
      </c>
      <c r="AM188" s="9">
        <f t="shared" si="179"/>
        <v>0</v>
      </c>
      <c r="AN188" s="9">
        <f t="shared" si="180"/>
        <v>0</v>
      </c>
      <c r="AO188" s="9">
        <f t="shared" si="181"/>
        <v>9250</v>
      </c>
    </row>
    <row r="189" spans="11:41" x14ac:dyDescent="0.3">
      <c r="K189" s="10">
        <f t="shared" si="158"/>
        <v>17</v>
      </c>
      <c r="L189" s="9">
        <f t="shared" si="154"/>
        <v>69182.908393746489</v>
      </c>
      <c r="M189" s="9">
        <f t="shared" si="159"/>
        <v>3769.9117554371837</v>
      </c>
      <c r="N189" s="9">
        <f t="shared" si="160"/>
        <v>0</v>
      </c>
      <c r="O189" s="9">
        <f t="shared" si="161"/>
        <v>0</v>
      </c>
      <c r="P189" s="9">
        <f t="shared" si="162"/>
        <v>0</v>
      </c>
      <c r="Q189" s="9">
        <f t="shared" si="163"/>
        <v>0</v>
      </c>
      <c r="S189" s="10">
        <f t="shared" si="164"/>
        <v>17</v>
      </c>
      <c r="T189" s="9">
        <f t="shared" si="155"/>
        <v>25082.936377705424</v>
      </c>
      <c r="U189" s="9">
        <f t="shared" si="165"/>
        <v>0</v>
      </c>
      <c r="V189" s="9">
        <f t="shared" si="166"/>
        <v>9250</v>
      </c>
      <c r="W189" s="9">
        <f t="shared" si="167"/>
        <v>0</v>
      </c>
      <c r="X189" s="9">
        <f t="shared" si="168"/>
        <v>0</v>
      </c>
      <c r="Y189" s="9">
        <f t="shared" si="169"/>
        <v>9250</v>
      </c>
      <c r="AA189" s="10">
        <f t="shared" si="170"/>
        <v>17</v>
      </c>
      <c r="AB189" s="9">
        <f t="shared" si="156"/>
        <v>29300.024240887375</v>
      </c>
      <c r="AC189" s="9">
        <f t="shared" si="171"/>
        <v>180.45218167986371</v>
      </c>
      <c r="AD189" s="9">
        <f t="shared" si="172"/>
        <v>9014.8435183177517</v>
      </c>
      <c r="AE189" s="9">
        <f t="shared" si="173"/>
        <v>180.45218167986371</v>
      </c>
      <c r="AF189" s="9">
        <f t="shared" si="174"/>
        <v>109.17653760488608</v>
      </c>
      <c r="AG189" s="9">
        <f t="shared" si="175"/>
        <v>8834.3913366378874</v>
      </c>
      <c r="AI189" s="10">
        <f t="shared" si="176"/>
        <v>17</v>
      </c>
      <c r="AJ189" s="9">
        <f t="shared" si="157"/>
        <v>24920.014170225269</v>
      </c>
      <c r="AK189" s="9">
        <f t="shared" si="177"/>
        <v>0</v>
      </c>
      <c r="AL189" s="9">
        <f t="shared" si="178"/>
        <v>9250</v>
      </c>
      <c r="AM189" s="9">
        <f t="shared" si="179"/>
        <v>0</v>
      </c>
      <c r="AN189" s="9">
        <f t="shared" si="180"/>
        <v>0</v>
      </c>
      <c r="AO189" s="9">
        <f t="shared" si="181"/>
        <v>9250</v>
      </c>
    </row>
    <row r="190" spans="11:41" x14ac:dyDescent="0.3">
      <c r="K190" s="10">
        <f t="shared" si="158"/>
        <v>18</v>
      </c>
      <c r="L190" s="9">
        <f t="shared" si="154"/>
        <v>70566.566561621425</v>
      </c>
      <c r="M190" s="9">
        <f t="shared" si="159"/>
        <v>3894.4409905459279</v>
      </c>
      <c r="N190" s="9">
        <f t="shared" si="160"/>
        <v>0</v>
      </c>
      <c r="O190" s="9">
        <f t="shared" si="161"/>
        <v>0</v>
      </c>
      <c r="P190" s="9">
        <f t="shared" si="162"/>
        <v>0</v>
      </c>
      <c r="Q190" s="9">
        <f t="shared" si="163"/>
        <v>0</v>
      </c>
      <c r="S190" s="10">
        <f t="shared" si="164"/>
        <v>18</v>
      </c>
      <c r="T190" s="9">
        <f t="shared" si="155"/>
        <v>25584.595105259537</v>
      </c>
      <c r="U190" s="9">
        <f t="shared" si="165"/>
        <v>0</v>
      </c>
      <c r="V190" s="9">
        <f t="shared" si="166"/>
        <v>9250</v>
      </c>
      <c r="W190" s="9">
        <f t="shared" si="167"/>
        <v>0</v>
      </c>
      <c r="X190" s="9">
        <f t="shared" si="168"/>
        <v>0</v>
      </c>
      <c r="Y190" s="9">
        <f t="shared" si="169"/>
        <v>9250</v>
      </c>
      <c r="AA190" s="10">
        <f t="shared" si="170"/>
        <v>18</v>
      </c>
      <c r="AB190" s="9">
        <f t="shared" si="156"/>
        <v>29886.024725705127</v>
      </c>
      <c r="AC190" s="9">
        <f t="shared" si="171"/>
        <v>233.19222531346142</v>
      </c>
      <c r="AD190" s="9">
        <f t="shared" si="172"/>
        <v>8834.3913366378874</v>
      </c>
      <c r="AE190" s="9">
        <f t="shared" si="173"/>
        <v>233.19222531346142</v>
      </c>
      <c r="AF190" s="9">
        <f t="shared" si="174"/>
        <v>136.97585568716846</v>
      </c>
      <c r="AG190" s="9">
        <f t="shared" si="175"/>
        <v>8601.1991113244258</v>
      </c>
      <c r="AI190" s="10">
        <f t="shared" si="176"/>
        <v>18</v>
      </c>
      <c r="AJ190" s="9">
        <f t="shared" si="157"/>
        <v>25418.414453629779</v>
      </c>
      <c r="AK190" s="9">
        <f t="shared" si="177"/>
        <v>0</v>
      </c>
      <c r="AL190" s="9">
        <f t="shared" si="178"/>
        <v>9250</v>
      </c>
      <c r="AM190" s="9">
        <f t="shared" si="179"/>
        <v>0</v>
      </c>
      <c r="AN190" s="9">
        <f t="shared" si="180"/>
        <v>0</v>
      </c>
      <c r="AO190" s="9">
        <f t="shared" si="181"/>
        <v>9250</v>
      </c>
    </row>
    <row r="191" spans="11:41" x14ac:dyDescent="0.3">
      <c r="K191" s="10">
        <f>K190+1</f>
        <v>19</v>
      </c>
      <c r="L191" s="9">
        <f t="shared" si="154"/>
        <v>71977.897892853842</v>
      </c>
      <c r="M191" s="9">
        <f t="shared" si="159"/>
        <v>4021.4608103568457</v>
      </c>
      <c r="N191" s="9">
        <f t="shared" si="160"/>
        <v>0</v>
      </c>
      <c r="O191" s="9">
        <f t="shared" si="161"/>
        <v>0</v>
      </c>
      <c r="P191" s="9">
        <f t="shared" si="162"/>
        <v>0</v>
      </c>
      <c r="Q191" s="9">
        <f t="shared" si="163"/>
        <v>0</v>
      </c>
      <c r="S191" s="10">
        <f>S190+1</f>
        <v>19</v>
      </c>
      <c r="T191" s="9">
        <f t="shared" si="155"/>
        <v>26096.287007364725</v>
      </c>
      <c r="U191" s="9">
        <f t="shared" si="165"/>
        <v>0</v>
      </c>
      <c r="V191" s="9">
        <f t="shared" si="166"/>
        <v>9250</v>
      </c>
      <c r="W191" s="9">
        <f t="shared" si="167"/>
        <v>0</v>
      </c>
      <c r="X191" s="9">
        <f t="shared" si="168"/>
        <v>0</v>
      </c>
      <c r="Y191" s="9">
        <f t="shared" si="169"/>
        <v>9250</v>
      </c>
      <c r="AA191" s="10">
        <f>AA190+1</f>
        <v>19</v>
      </c>
      <c r="AB191" s="9">
        <f t="shared" si="156"/>
        <v>30483.745220219225</v>
      </c>
      <c r="AC191" s="9">
        <f t="shared" si="171"/>
        <v>286.98706981973027</v>
      </c>
      <c r="AD191" s="9">
        <f t="shared" si="172"/>
        <v>8601.1991113244258</v>
      </c>
      <c r="AE191" s="9">
        <f t="shared" si="173"/>
        <v>286.98706981973027</v>
      </c>
      <c r="AF191" s="9">
        <f t="shared" si="174"/>
        <v>163.66471579389048</v>
      </c>
      <c r="AG191" s="9">
        <f t="shared" si="175"/>
        <v>8314.2120415046957</v>
      </c>
      <c r="AI191" s="10">
        <f>AI190+1</f>
        <v>19</v>
      </c>
      <c r="AJ191" s="9">
        <f t="shared" si="157"/>
        <v>25926.782742702369</v>
      </c>
      <c r="AK191" s="9">
        <f t="shared" si="177"/>
        <v>0</v>
      </c>
      <c r="AL191" s="9">
        <f t="shared" si="178"/>
        <v>9250</v>
      </c>
      <c r="AM191" s="9">
        <f t="shared" si="179"/>
        <v>0</v>
      </c>
      <c r="AN191" s="9">
        <f t="shared" si="180"/>
        <v>0</v>
      </c>
      <c r="AO191" s="9">
        <f t="shared" si="181"/>
        <v>9250</v>
      </c>
    </row>
    <row r="192" spans="11:41" x14ac:dyDescent="0.3">
      <c r="K192" s="10">
        <f t="shared" ref="K192:K197" si="182">K191+1</f>
        <v>20</v>
      </c>
      <c r="L192" s="9">
        <f t="shared" si="154"/>
        <v>73417.455850710918</v>
      </c>
      <c r="M192" s="9">
        <f t="shared" si="159"/>
        <v>4151.0210265639826</v>
      </c>
      <c r="N192" s="9">
        <f t="shared" si="160"/>
        <v>0</v>
      </c>
      <c r="O192" s="9">
        <f t="shared" si="161"/>
        <v>0</v>
      </c>
      <c r="P192" s="9">
        <f t="shared" si="162"/>
        <v>0</v>
      </c>
      <c r="Q192" s="9">
        <f t="shared" si="163"/>
        <v>0</v>
      </c>
      <c r="S192" s="10">
        <f t="shared" ref="S192:S197" si="183">S191+1</f>
        <v>20</v>
      </c>
      <c r="T192" s="9">
        <f t="shared" si="155"/>
        <v>26618.212747512018</v>
      </c>
      <c r="U192" s="9">
        <f t="shared" si="165"/>
        <v>0</v>
      </c>
      <c r="V192" s="9">
        <f t="shared" si="166"/>
        <v>9250</v>
      </c>
      <c r="W192" s="9">
        <f t="shared" si="167"/>
        <v>0</v>
      </c>
      <c r="X192" s="9">
        <f t="shared" si="168"/>
        <v>0</v>
      </c>
      <c r="Y192" s="9">
        <f t="shared" si="169"/>
        <v>9250</v>
      </c>
      <c r="AA192" s="10">
        <f t="shared" ref="AA192:AA197" si="184">AA191+1</f>
        <v>20</v>
      </c>
      <c r="AB192" s="9">
        <f t="shared" si="156"/>
        <v>31093.420124623608</v>
      </c>
      <c r="AC192" s="9">
        <f t="shared" si="171"/>
        <v>341.85781121612473</v>
      </c>
      <c r="AD192" s="9">
        <f t="shared" si="172"/>
        <v>8314.2120415046957</v>
      </c>
      <c r="AE192" s="9">
        <f t="shared" si="173"/>
        <v>341.85781121612473</v>
      </c>
      <c r="AF192" s="9">
        <f t="shared" si="174"/>
        <v>189.27838144957758</v>
      </c>
      <c r="AG192" s="9">
        <f t="shared" si="175"/>
        <v>7972.3542302885708</v>
      </c>
      <c r="AI192" s="10">
        <f t="shared" ref="AI192:AI197" si="185">AI191+1</f>
        <v>20</v>
      </c>
      <c r="AJ192" s="9">
        <f t="shared" si="157"/>
        <v>26445.318397556417</v>
      </c>
      <c r="AK192" s="9">
        <f t="shared" si="177"/>
        <v>0</v>
      </c>
      <c r="AL192" s="9">
        <f t="shared" si="178"/>
        <v>9250</v>
      </c>
      <c r="AM192" s="9">
        <f t="shared" si="179"/>
        <v>0</v>
      </c>
      <c r="AN192" s="9">
        <f t="shared" si="180"/>
        <v>0</v>
      </c>
      <c r="AO192" s="9">
        <f t="shared" si="181"/>
        <v>9250</v>
      </c>
    </row>
    <row r="193" spans="11:41" x14ac:dyDescent="0.3">
      <c r="K193" s="10">
        <f t="shared" si="182"/>
        <v>21</v>
      </c>
      <c r="L193" s="9">
        <f t="shared" si="154"/>
        <v>74885.80496772514</v>
      </c>
      <c r="M193" s="9">
        <f t="shared" si="159"/>
        <v>4283.1724470952622</v>
      </c>
      <c r="N193" s="9">
        <f t="shared" si="160"/>
        <v>0</v>
      </c>
      <c r="O193" s="9">
        <f t="shared" si="161"/>
        <v>0</v>
      </c>
      <c r="P193" s="9">
        <f t="shared" si="162"/>
        <v>0</v>
      </c>
      <c r="Q193" s="9">
        <f t="shared" si="163"/>
        <v>0</v>
      </c>
      <c r="S193" s="10">
        <f t="shared" si="183"/>
        <v>21</v>
      </c>
      <c r="T193" s="9">
        <f t="shared" si="155"/>
        <v>27150.577002462262</v>
      </c>
      <c r="U193" s="9">
        <f t="shared" si="165"/>
        <v>0</v>
      </c>
      <c r="V193" s="9">
        <f t="shared" si="166"/>
        <v>9250</v>
      </c>
      <c r="W193" s="9">
        <f t="shared" si="167"/>
        <v>0</v>
      </c>
      <c r="X193" s="9">
        <f t="shared" si="168"/>
        <v>0</v>
      </c>
      <c r="Y193" s="9">
        <f t="shared" si="169"/>
        <v>9250</v>
      </c>
      <c r="AA193" s="10">
        <f t="shared" si="184"/>
        <v>21</v>
      </c>
      <c r="AB193" s="9">
        <f t="shared" si="156"/>
        <v>31715.288527116085</v>
      </c>
      <c r="AC193" s="9">
        <f t="shared" si="171"/>
        <v>397.82596744044764</v>
      </c>
      <c r="AD193" s="9">
        <f t="shared" si="172"/>
        <v>7972.3542302885708</v>
      </c>
      <c r="AE193" s="9">
        <f t="shared" si="173"/>
        <v>397.82596744044764</v>
      </c>
      <c r="AF193" s="9">
        <f t="shared" si="174"/>
        <v>213.85106073543517</v>
      </c>
      <c r="AG193" s="9">
        <f t="shared" si="175"/>
        <v>7574.5282628481227</v>
      </c>
      <c r="AI193" s="10">
        <f t="shared" si="185"/>
        <v>21</v>
      </c>
      <c r="AJ193" s="9">
        <f t="shared" si="157"/>
        <v>26974.224765507548</v>
      </c>
      <c r="AK193" s="9">
        <f t="shared" si="177"/>
        <v>0</v>
      </c>
      <c r="AL193" s="9">
        <f t="shared" si="178"/>
        <v>9250</v>
      </c>
      <c r="AM193" s="9">
        <f t="shared" si="179"/>
        <v>0</v>
      </c>
      <c r="AN193" s="9">
        <f t="shared" si="180"/>
        <v>0</v>
      </c>
      <c r="AO193" s="9">
        <f t="shared" si="181"/>
        <v>9250</v>
      </c>
    </row>
    <row r="194" spans="11:41" x14ac:dyDescent="0.3">
      <c r="K194" s="10">
        <f t="shared" si="182"/>
        <v>22</v>
      </c>
      <c r="L194" s="9">
        <f t="shared" si="154"/>
        <v>76383.521067079637</v>
      </c>
      <c r="M194" s="9">
        <f t="shared" si="159"/>
        <v>4417.9668960371673</v>
      </c>
      <c r="N194" s="9">
        <f t="shared" si="160"/>
        <v>0</v>
      </c>
      <c r="O194" s="9">
        <f t="shared" si="161"/>
        <v>0</v>
      </c>
      <c r="P194" s="9">
        <f t="shared" si="162"/>
        <v>0</v>
      </c>
      <c r="Q194" s="9">
        <f t="shared" si="163"/>
        <v>0</v>
      </c>
      <c r="S194" s="10">
        <f t="shared" si="183"/>
        <v>22</v>
      </c>
      <c r="T194" s="9">
        <f t="shared" si="155"/>
        <v>27693.588542511505</v>
      </c>
      <c r="U194" s="9">
        <f t="shared" si="165"/>
        <v>35.872968826035432</v>
      </c>
      <c r="V194" s="9">
        <f t="shared" si="166"/>
        <v>9250</v>
      </c>
      <c r="W194" s="9">
        <f t="shared" si="167"/>
        <v>35.872968826035432</v>
      </c>
      <c r="X194" s="9">
        <f t="shared" si="168"/>
        <v>18.721833414702658</v>
      </c>
      <c r="Y194" s="9">
        <f t="shared" si="169"/>
        <v>9214.1270311739645</v>
      </c>
      <c r="AA194" s="10">
        <f t="shared" si="184"/>
        <v>22</v>
      </c>
      <c r="AB194" s="9">
        <f t="shared" si="156"/>
        <v>32349.594297658401</v>
      </c>
      <c r="AC194" s="9">
        <f t="shared" si="171"/>
        <v>454.91348678925607</v>
      </c>
      <c r="AD194" s="9">
        <f t="shared" si="172"/>
        <v>7574.5282628481227</v>
      </c>
      <c r="AE194" s="9">
        <f t="shared" si="173"/>
        <v>454.91348678925607</v>
      </c>
      <c r="AF194" s="9">
        <f t="shared" si="174"/>
        <v>237.41593730566188</v>
      </c>
      <c r="AG194" s="9">
        <f t="shared" si="175"/>
        <v>7119.6147760588665</v>
      </c>
      <c r="AI194" s="10">
        <f t="shared" si="185"/>
        <v>22</v>
      </c>
      <c r="AJ194" s="9">
        <f t="shared" si="157"/>
        <v>27513.709260817697</v>
      </c>
      <c r="AK194" s="9">
        <f t="shared" si="177"/>
        <v>19.683833473592749</v>
      </c>
      <c r="AL194" s="9">
        <f t="shared" si="178"/>
        <v>9250</v>
      </c>
      <c r="AM194" s="9">
        <f t="shared" si="179"/>
        <v>19.683833473592749</v>
      </c>
      <c r="AN194" s="9">
        <f t="shared" si="180"/>
        <v>10.27284507848967</v>
      </c>
      <c r="AO194" s="9">
        <f t="shared" si="181"/>
        <v>9230.316166526407</v>
      </c>
    </row>
    <row r="195" spans="11:41" x14ac:dyDescent="0.3">
      <c r="K195" s="10">
        <f t="shared" si="182"/>
        <v>23</v>
      </c>
      <c r="L195" s="9">
        <f t="shared" si="154"/>
        <v>77911.191488421231</v>
      </c>
      <c r="M195" s="9">
        <f t="shared" si="159"/>
        <v>4555.4572339579108</v>
      </c>
      <c r="N195" s="9">
        <f t="shared" si="160"/>
        <v>0</v>
      </c>
      <c r="O195" s="9">
        <f t="shared" si="161"/>
        <v>0</v>
      </c>
      <c r="P195" s="9">
        <f t="shared" si="162"/>
        <v>0</v>
      </c>
      <c r="Q195" s="9">
        <f t="shared" si="163"/>
        <v>0</v>
      </c>
      <c r="S195" s="10">
        <f t="shared" si="183"/>
        <v>23</v>
      </c>
      <c r="T195" s="9">
        <f t="shared" si="155"/>
        <v>28247.460313361735</v>
      </c>
      <c r="U195" s="9">
        <f t="shared" si="165"/>
        <v>85.721428202556126</v>
      </c>
      <c r="V195" s="9">
        <f t="shared" si="166"/>
        <v>9214.1270311739645</v>
      </c>
      <c r="W195" s="9">
        <f t="shared" si="167"/>
        <v>85.721428202556126</v>
      </c>
      <c r="X195" s="9">
        <f t="shared" si="168"/>
        <v>43.4343403338437</v>
      </c>
      <c r="Y195" s="9">
        <f t="shared" si="169"/>
        <v>9128.4056029714084</v>
      </c>
      <c r="AA195" s="10">
        <f t="shared" si="184"/>
        <v>23</v>
      </c>
      <c r="AB195" s="9">
        <f t="shared" si="156"/>
        <v>32996.586183611573</v>
      </c>
      <c r="AC195" s="9">
        <f t="shared" si="171"/>
        <v>513.14275652504148</v>
      </c>
      <c r="AD195" s="9">
        <f t="shared" si="172"/>
        <v>7119.6147760588665</v>
      </c>
      <c r="AE195" s="9">
        <f t="shared" si="173"/>
        <v>513.14275652504148</v>
      </c>
      <c r="AF195" s="9">
        <f t="shared" si="174"/>
        <v>260.00520049770637</v>
      </c>
      <c r="AG195" s="9">
        <f t="shared" si="175"/>
        <v>6606.472019533825</v>
      </c>
      <c r="AI195" s="10">
        <f t="shared" si="185"/>
        <v>23</v>
      </c>
      <c r="AJ195" s="9">
        <f t="shared" si="157"/>
        <v>28063.983446034053</v>
      </c>
      <c r="AK195" s="9">
        <f t="shared" si="177"/>
        <v>69.208510143064814</v>
      </c>
      <c r="AL195" s="9">
        <f t="shared" si="178"/>
        <v>9230.316166526407</v>
      </c>
      <c r="AM195" s="9">
        <f t="shared" si="179"/>
        <v>69.208510143064814</v>
      </c>
      <c r="AN195" s="9">
        <f t="shared" si="180"/>
        <v>35.067381010603768</v>
      </c>
      <c r="AO195" s="9">
        <f t="shared" si="181"/>
        <v>9161.1076563833412</v>
      </c>
    </row>
    <row r="196" spans="11:41" x14ac:dyDescent="0.3">
      <c r="K196" s="10">
        <f t="shared" si="182"/>
        <v>24</v>
      </c>
      <c r="L196" s="9">
        <f t="shared" si="154"/>
        <v>79469.41531818964</v>
      </c>
      <c r="M196" s="9">
        <f t="shared" si="159"/>
        <v>4695.6973786370672</v>
      </c>
      <c r="N196" s="9">
        <f t="shared" si="160"/>
        <v>0</v>
      </c>
      <c r="O196" s="9">
        <f t="shared" si="161"/>
        <v>0</v>
      </c>
      <c r="P196" s="9">
        <f t="shared" si="162"/>
        <v>0</v>
      </c>
      <c r="Q196" s="9">
        <f t="shared" si="163"/>
        <v>0</v>
      </c>
      <c r="S196" s="10">
        <f t="shared" si="183"/>
        <v>24</v>
      </c>
      <c r="T196" s="9">
        <f t="shared" si="155"/>
        <v>28812.409519628964</v>
      </c>
      <c r="U196" s="9">
        <f t="shared" si="165"/>
        <v>136.56685676660672</v>
      </c>
      <c r="V196" s="9">
        <f t="shared" si="166"/>
        <v>9128.4056029714084</v>
      </c>
      <c r="W196" s="9">
        <f t="shared" si="167"/>
        <v>136.56685676660672</v>
      </c>
      <c r="X196" s="9">
        <f t="shared" si="168"/>
        <v>67.181844109339465</v>
      </c>
      <c r="Y196" s="9">
        <f t="shared" si="169"/>
        <v>8991.8387462048013</v>
      </c>
      <c r="AA196" s="10">
        <f t="shared" si="184"/>
        <v>24</v>
      </c>
      <c r="AB196" s="9">
        <f t="shared" si="156"/>
        <v>33656.5179072838</v>
      </c>
      <c r="AC196" s="9">
        <f t="shared" si="171"/>
        <v>572.53661165554195</v>
      </c>
      <c r="AD196" s="9">
        <f t="shared" si="172"/>
        <v>6606.472019533825</v>
      </c>
      <c r="AE196" s="9">
        <f t="shared" si="173"/>
        <v>572.53661165554195</v>
      </c>
      <c r="AF196" s="9">
        <f t="shared" si="174"/>
        <v>281.6500745628735</v>
      </c>
      <c r="AG196" s="9">
        <f t="shared" si="175"/>
        <v>6033.9354078782835</v>
      </c>
      <c r="AI196" s="10">
        <f t="shared" si="185"/>
        <v>24</v>
      </c>
      <c r="AJ196" s="9">
        <f t="shared" si="157"/>
        <v>28625.263114954731</v>
      </c>
      <c r="AK196" s="9">
        <f t="shared" si="177"/>
        <v>119.72368034592574</v>
      </c>
      <c r="AL196" s="9">
        <f t="shared" si="178"/>
        <v>9161.1076563833412</v>
      </c>
      <c r="AM196" s="9">
        <f t="shared" si="179"/>
        <v>119.72368034592574</v>
      </c>
      <c r="AN196" s="9">
        <f t="shared" si="180"/>
        <v>58.896117400888343</v>
      </c>
      <c r="AO196" s="9">
        <f t="shared" si="181"/>
        <v>9041.3839760374158</v>
      </c>
    </row>
    <row r="197" spans="11:41" x14ac:dyDescent="0.3">
      <c r="K197" s="10">
        <f t="shared" si="182"/>
        <v>25</v>
      </c>
      <c r="L197" s="9">
        <f t="shared" si="154"/>
        <v>81058.803624553446</v>
      </c>
      <c r="M197" s="9">
        <f t="shared" si="159"/>
        <v>4838.74232620981</v>
      </c>
      <c r="N197" s="9">
        <f t="shared" si="160"/>
        <v>0</v>
      </c>
      <c r="O197" s="9">
        <f t="shared" si="161"/>
        <v>0</v>
      </c>
      <c r="P197" s="9">
        <f t="shared" si="162"/>
        <v>0</v>
      </c>
      <c r="Q197" s="9">
        <f t="shared" si="163"/>
        <v>0</v>
      </c>
      <c r="S197" s="10">
        <f t="shared" si="183"/>
        <v>25</v>
      </c>
      <c r="T197" s="9">
        <f t="shared" si="155"/>
        <v>29388.657710021544</v>
      </c>
      <c r="U197" s="9">
        <f t="shared" si="165"/>
        <v>188.42919390193893</v>
      </c>
      <c r="V197" s="9">
        <f t="shared" si="166"/>
        <v>8991.8387462048013</v>
      </c>
      <c r="W197" s="9">
        <f t="shared" si="167"/>
        <v>188.42919390193893</v>
      </c>
      <c r="X197" s="9">
        <f t="shared" si="168"/>
        <v>89.994832419051193</v>
      </c>
      <c r="Y197" s="9">
        <f t="shared" si="169"/>
        <v>8803.4095523028627</v>
      </c>
      <c r="AA197" s="10">
        <f t="shared" si="184"/>
        <v>25</v>
      </c>
      <c r="AB197" s="9">
        <f t="shared" si="156"/>
        <v>34329.648265429474</v>
      </c>
      <c r="AC197" s="9">
        <f t="shared" si="171"/>
        <v>633.1183438886527</v>
      </c>
      <c r="AD197" s="9">
        <f t="shared" si="172"/>
        <v>6033.9354078782835</v>
      </c>
      <c r="AE197" s="9">
        <f t="shared" si="173"/>
        <v>633.1183438886527</v>
      </c>
      <c r="AF197" s="9">
        <f t="shared" si="174"/>
        <v>302.38084704293919</v>
      </c>
      <c r="AG197" s="9">
        <f t="shared" si="175"/>
        <v>5400.8170639896307</v>
      </c>
      <c r="AI197" s="10">
        <f t="shared" si="185"/>
        <v>25</v>
      </c>
      <c r="AJ197" s="9">
        <f t="shared" si="157"/>
        <v>29197.768377253826</v>
      </c>
      <c r="AK197" s="9">
        <f t="shared" si="177"/>
        <v>171.24915395284432</v>
      </c>
      <c r="AL197" s="9">
        <f t="shared" si="178"/>
        <v>9041.3839760374158</v>
      </c>
      <c r="AM197" s="9">
        <f t="shared" si="179"/>
        <v>171.24915395284432</v>
      </c>
      <c r="AN197" s="9">
        <f t="shared" si="180"/>
        <v>81.789549659225813</v>
      </c>
      <c r="AO197" s="9">
        <f t="shared" si="181"/>
        <v>8870.1348220845721</v>
      </c>
    </row>
    <row r="198" spans="11:41" x14ac:dyDescent="0.3">
      <c r="K198" s="10">
        <f>K197+1</f>
        <v>26</v>
      </c>
      <c r="L198" s="9">
        <f t="shared" si="154"/>
        <v>82679.979697044517</v>
      </c>
      <c r="M198" s="9">
        <f t="shared" si="159"/>
        <v>4984.648172734006</v>
      </c>
      <c r="N198" s="9">
        <f t="shared" si="160"/>
        <v>0</v>
      </c>
      <c r="O198" s="9">
        <f t="shared" si="161"/>
        <v>0</v>
      </c>
      <c r="P198" s="9">
        <f t="shared" si="162"/>
        <v>0</v>
      </c>
      <c r="Q198" s="9">
        <f t="shared" si="163"/>
        <v>0</v>
      </c>
      <c r="S198" s="10">
        <f>S197+1</f>
        <v>26</v>
      </c>
      <c r="T198" s="9">
        <f t="shared" si="155"/>
        <v>29976.430864221977</v>
      </c>
      <c r="U198" s="9">
        <f t="shared" si="165"/>
        <v>241.32877777997788</v>
      </c>
      <c r="V198" s="9">
        <f t="shared" si="166"/>
        <v>8803.4095523028627</v>
      </c>
      <c r="W198" s="9">
        <f t="shared" si="167"/>
        <v>241.32877777997788</v>
      </c>
      <c r="X198" s="9">
        <f t="shared" si="168"/>
        <v>111.90288183575426</v>
      </c>
      <c r="Y198" s="9">
        <f t="shared" si="169"/>
        <v>8562.0807745228849</v>
      </c>
      <c r="AA198" s="10">
        <f>AA197+1</f>
        <v>26</v>
      </c>
      <c r="AB198" s="9">
        <f t="shared" si="156"/>
        <v>35016.241230738065</v>
      </c>
      <c r="AC198" s="9">
        <f t="shared" si="171"/>
        <v>694.91171076642581</v>
      </c>
      <c r="AD198" s="9">
        <f t="shared" si="172"/>
        <v>5400.8170639896307</v>
      </c>
      <c r="AE198" s="9">
        <f t="shared" si="173"/>
        <v>694.91171076642581</v>
      </c>
      <c r="AF198" s="9">
        <f t="shared" si="174"/>
        <v>322.22689631766264</v>
      </c>
      <c r="AG198" s="9">
        <f t="shared" si="175"/>
        <v>4705.9053532232047</v>
      </c>
      <c r="AI198" s="10">
        <f>AI197+1</f>
        <v>26</v>
      </c>
      <c r="AJ198" s="9">
        <f t="shared" si="157"/>
        <v>29781.723744798903</v>
      </c>
      <c r="AK198" s="9">
        <f t="shared" si="177"/>
        <v>223.80513703190124</v>
      </c>
      <c r="AL198" s="9">
        <f t="shared" si="178"/>
        <v>8870.1348220845721</v>
      </c>
      <c r="AM198" s="9">
        <f t="shared" si="179"/>
        <v>223.80513703190124</v>
      </c>
      <c r="AN198" s="9">
        <f t="shared" si="180"/>
        <v>103.77726201534459</v>
      </c>
      <c r="AO198" s="9">
        <f t="shared" si="181"/>
        <v>8646.3296850526713</v>
      </c>
    </row>
    <row r="199" spans="11:41" x14ac:dyDescent="0.3">
      <c r="K199" s="10">
        <f t="shared" ref="K199:K202" si="186">K198+1</f>
        <v>27</v>
      </c>
      <c r="L199" s="9">
        <f t="shared" si="154"/>
        <v>84333.579290985406</v>
      </c>
      <c r="M199" s="9">
        <f t="shared" si="159"/>
        <v>5133.4721361886868</v>
      </c>
      <c r="N199" s="9">
        <f t="shared" si="160"/>
        <v>0</v>
      </c>
      <c r="O199" s="9">
        <f t="shared" si="161"/>
        <v>0</v>
      </c>
      <c r="P199" s="9">
        <f t="shared" si="162"/>
        <v>0</v>
      </c>
      <c r="Q199" s="9">
        <f t="shared" si="163"/>
        <v>0</v>
      </c>
      <c r="S199" s="10">
        <f t="shared" ref="S199:S202" si="187">S198+1</f>
        <v>27</v>
      </c>
      <c r="T199" s="9">
        <f t="shared" si="155"/>
        <v>30575.959481506419</v>
      </c>
      <c r="U199" s="9">
        <f t="shared" si="165"/>
        <v>295.2863533355777</v>
      </c>
      <c r="V199" s="9">
        <f t="shared" si="166"/>
        <v>8562.0807745228849</v>
      </c>
      <c r="W199" s="9">
        <f t="shared" si="167"/>
        <v>295.2863533355777</v>
      </c>
      <c r="X199" s="9">
        <f t="shared" si="168"/>
        <v>132.93468458859286</v>
      </c>
      <c r="Y199" s="9">
        <f t="shared" si="169"/>
        <v>8266.7944211873073</v>
      </c>
      <c r="AA199" s="10">
        <f t="shared" ref="AA199:AA202" si="188">AA198+1</f>
        <v>27</v>
      </c>
      <c r="AB199" s="9">
        <f t="shared" si="156"/>
        <v>35716.566055352829</v>
      </c>
      <c r="AC199" s="9">
        <f t="shared" si="171"/>
        <v>757.94094498175457</v>
      </c>
      <c r="AD199" s="9">
        <f t="shared" si="172"/>
        <v>4705.9053532232047</v>
      </c>
      <c r="AE199" s="9">
        <f t="shared" si="173"/>
        <v>757.94094498175457</v>
      </c>
      <c r="AF199" s="9">
        <f t="shared" si="174"/>
        <v>341.21671834737595</v>
      </c>
      <c r="AG199" s="9">
        <f t="shared" si="175"/>
        <v>3947.9644082414502</v>
      </c>
      <c r="AI199" s="10">
        <f t="shared" ref="AI199:AI202" si="189">AI198+1</f>
        <v>27</v>
      </c>
      <c r="AJ199" s="9">
        <f t="shared" si="157"/>
        <v>30377.358219694881</v>
      </c>
      <c r="AK199" s="9">
        <f t="shared" si="177"/>
        <v>277.41223977253929</v>
      </c>
      <c r="AL199" s="9">
        <f t="shared" si="178"/>
        <v>8646.3296850526713</v>
      </c>
      <c r="AM199" s="9">
        <f t="shared" si="179"/>
        <v>277.41223977253929</v>
      </c>
      <c r="AN199" s="9">
        <f t="shared" si="180"/>
        <v>124.88795428100259</v>
      </c>
      <c r="AO199" s="9">
        <f t="shared" si="181"/>
        <v>8368.9174452801326</v>
      </c>
    </row>
    <row r="200" spans="11:41" x14ac:dyDescent="0.3">
      <c r="K200" s="10">
        <f t="shared" si="186"/>
        <v>28</v>
      </c>
      <c r="L200" s="9">
        <f t="shared" si="154"/>
        <v>86020.250876805105</v>
      </c>
      <c r="M200" s="9">
        <f t="shared" si="159"/>
        <v>5285.2725789124588</v>
      </c>
      <c r="N200" s="9">
        <f t="shared" si="160"/>
        <v>0</v>
      </c>
      <c r="O200" s="9">
        <f t="shared" si="161"/>
        <v>0</v>
      </c>
      <c r="P200" s="9">
        <f t="shared" si="162"/>
        <v>0</v>
      </c>
      <c r="Q200" s="9">
        <f t="shared" si="163"/>
        <v>0</v>
      </c>
      <c r="S200" s="10">
        <f t="shared" si="187"/>
        <v>28</v>
      </c>
      <c r="T200" s="9">
        <f t="shared" si="155"/>
        <v>31187.478671136541</v>
      </c>
      <c r="U200" s="9">
        <f t="shared" si="165"/>
        <v>350.32308040228872</v>
      </c>
      <c r="V200" s="9">
        <f t="shared" si="166"/>
        <v>8266.7944211873073</v>
      </c>
      <c r="W200" s="9">
        <f t="shared" si="167"/>
        <v>350.32308040228872</v>
      </c>
      <c r="X200" s="9">
        <f t="shared" si="168"/>
        <v>153.11807454289431</v>
      </c>
      <c r="Y200" s="9">
        <f t="shared" si="169"/>
        <v>7916.4713407850186</v>
      </c>
      <c r="AA200" s="10">
        <f t="shared" si="188"/>
        <v>28</v>
      </c>
      <c r="AB200" s="9">
        <f t="shared" si="156"/>
        <v>36430.897376459878</v>
      </c>
      <c r="AC200" s="9">
        <f t="shared" si="171"/>
        <v>822.23076388138895</v>
      </c>
      <c r="AD200" s="9">
        <f t="shared" si="172"/>
        <v>3947.9644082414502</v>
      </c>
      <c r="AE200" s="9">
        <f t="shared" si="173"/>
        <v>822.23076388138895</v>
      </c>
      <c r="AF200" s="9">
        <f t="shared" si="174"/>
        <v>359.37795263411635</v>
      </c>
      <c r="AG200" s="9">
        <f t="shared" si="175"/>
        <v>3125.7336443600611</v>
      </c>
      <c r="AI200" s="10">
        <f t="shared" si="189"/>
        <v>28</v>
      </c>
      <c r="AJ200" s="9">
        <f t="shared" si="157"/>
        <v>30984.905384088775</v>
      </c>
      <c r="AK200" s="9">
        <f t="shared" si="177"/>
        <v>332.09148456798977</v>
      </c>
      <c r="AL200" s="9">
        <f t="shared" si="178"/>
        <v>8368.9174452801326</v>
      </c>
      <c r="AM200" s="9">
        <f t="shared" si="179"/>
        <v>332.09148456798977</v>
      </c>
      <c r="AN200" s="9">
        <f t="shared" si="180"/>
        <v>145.14946783052346</v>
      </c>
      <c r="AO200" s="9">
        <f t="shared" si="181"/>
        <v>8036.8259607121427</v>
      </c>
    </row>
    <row r="201" spans="11:41" x14ac:dyDescent="0.3">
      <c r="K201" s="10">
        <f t="shared" si="186"/>
        <v>29</v>
      </c>
      <c r="L201" s="9">
        <f t="shared" si="154"/>
        <v>87740.655894341224</v>
      </c>
      <c r="M201" s="9">
        <f t="shared" si="159"/>
        <v>5440.1090304907102</v>
      </c>
      <c r="N201" s="9">
        <f t="shared" si="160"/>
        <v>0</v>
      </c>
      <c r="O201" s="9">
        <f t="shared" si="161"/>
        <v>0</v>
      </c>
      <c r="P201" s="9">
        <f t="shared" si="162"/>
        <v>0</v>
      </c>
      <c r="Q201" s="9">
        <f t="shared" si="163"/>
        <v>0</v>
      </c>
      <c r="S201" s="10">
        <f t="shared" si="187"/>
        <v>29</v>
      </c>
      <c r="T201" s="9">
        <f t="shared" si="155"/>
        <v>31811.228244559279</v>
      </c>
      <c r="U201" s="9">
        <f t="shared" si="165"/>
        <v>406.46054201033513</v>
      </c>
      <c r="V201" s="9">
        <f t="shared" si="166"/>
        <v>7916.4713407850186</v>
      </c>
      <c r="W201" s="9">
        <f t="shared" si="167"/>
        <v>406.46054201033513</v>
      </c>
      <c r="X201" s="9">
        <f t="shared" si="168"/>
        <v>172.48005242113464</v>
      </c>
      <c r="Y201" s="9">
        <f t="shared" si="169"/>
        <v>7510.0107987746833</v>
      </c>
      <c r="AA201" s="10">
        <f t="shared" si="188"/>
        <v>29</v>
      </c>
      <c r="AB201" s="9">
        <f t="shared" si="156"/>
        <v>37159.515323989086</v>
      </c>
      <c r="AC201" s="9">
        <f t="shared" si="171"/>
        <v>887.80637915901775</v>
      </c>
      <c r="AD201" s="9">
        <f t="shared" si="172"/>
        <v>3125.7336443600611</v>
      </c>
      <c r="AE201" s="9">
        <f t="shared" si="173"/>
        <v>887.80637915901775</v>
      </c>
      <c r="AF201" s="9">
        <f t="shared" si="174"/>
        <v>376.73740742409257</v>
      </c>
      <c r="AG201" s="9">
        <f t="shared" si="175"/>
        <v>2237.9272652010432</v>
      </c>
      <c r="AI201" s="10">
        <f t="shared" si="189"/>
        <v>29</v>
      </c>
      <c r="AJ201" s="9">
        <f t="shared" si="157"/>
        <v>31604.603491770558</v>
      </c>
      <c r="AK201" s="9">
        <f t="shared" si="177"/>
        <v>387.86431425935024</v>
      </c>
      <c r="AL201" s="9">
        <f t="shared" si="178"/>
        <v>8036.8259607121427</v>
      </c>
      <c r="AM201" s="9">
        <f t="shared" si="179"/>
        <v>387.86431425935024</v>
      </c>
      <c r="AN201" s="9">
        <f t="shared" si="180"/>
        <v>164.58881082247615</v>
      </c>
      <c r="AO201" s="9">
        <f t="shared" si="181"/>
        <v>7648.9616464527926</v>
      </c>
    </row>
    <row r="202" spans="11:41" x14ac:dyDescent="0.3">
      <c r="K202" s="10">
        <f t="shared" si="186"/>
        <v>30</v>
      </c>
      <c r="L202" s="9">
        <f t="shared" si="154"/>
        <v>89495.46901222803</v>
      </c>
      <c r="M202" s="9">
        <f t="shared" si="159"/>
        <v>5598.0422111005228</v>
      </c>
      <c r="N202" s="9">
        <f t="shared" si="160"/>
        <v>0</v>
      </c>
      <c r="O202" s="9">
        <f t="shared" si="161"/>
        <v>0</v>
      </c>
      <c r="P202" s="9">
        <f t="shared" si="162"/>
        <v>0</v>
      </c>
      <c r="Q202" s="9">
        <f t="shared" si="163"/>
        <v>0</v>
      </c>
      <c r="S202" s="10">
        <f t="shared" si="187"/>
        <v>30</v>
      </c>
      <c r="T202" s="9">
        <f t="shared" si="155"/>
        <v>32447.45280945046</v>
      </c>
      <c r="U202" s="9">
        <f t="shared" si="165"/>
        <v>463.72075285054143</v>
      </c>
      <c r="V202" s="9">
        <f t="shared" si="166"/>
        <v>7510.0107987746833</v>
      </c>
      <c r="W202" s="9">
        <f t="shared" si="167"/>
        <v>463.72075285054143</v>
      </c>
      <c r="X202" s="9">
        <f t="shared" si="168"/>
        <v>191.04681028717133</v>
      </c>
      <c r="Y202" s="9">
        <f t="shared" si="169"/>
        <v>7046.2900459241419</v>
      </c>
      <c r="AA202" s="10">
        <f t="shared" si="188"/>
        <v>30</v>
      </c>
      <c r="AB202" s="9">
        <f t="shared" si="156"/>
        <v>37902.705630468859</v>
      </c>
      <c r="AC202" s="9">
        <f t="shared" si="171"/>
        <v>954.69350674219731</v>
      </c>
      <c r="AD202" s="9">
        <f t="shared" si="172"/>
        <v>2237.9272652010432</v>
      </c>
      <c r="AE202" s="9">
        <f t="shared" si="173"/>
        <v>954.69350674219731</v>
      </c>
      <c r="AF202" s="9">
        <f t="shared" si="174"/>
        <v>393.32108417359547</v>
      </c>
      <c r="AG202" s="9">
        <f t="shared" si="175"/>
        <v>1283.2337584588458</v>
      </c>
      <c r="AI202" s="10">
        <f t="shared" si="189"/>
        <v>30</v>
      </c>
      <c r="AJ202" s="9">
        <f t="shared" si="157"/>
        <v>32236.695561605964</v>
      </c>
      <c r="AK202" s="9">
        <f t="shared" si="177"/>
        <v>444.75260054453673</v>
      </c>
      <c r="AL202" s="9">
        <f t="shared" si="178"/>
        <v>7648.9616464527926</v>
      </c>
      <c r="AM202" s="9">
        <f t="shared" si="179"/>
        <v>444.75260054453673</v>
      </c>
      <c r="AN202" s="9">
        <f t="shared" si="180"/>
        <v>183.23218268461628</v>
      </c>
      <c r="AO202" s="9">
        <f t="shared" si="181"/>
        <v>7204.2090459082556</v>
      </c>
    </row>
    <row r="203" spans="11:41" x14ac:dyDescent="0.3">
      <c r="K203" s="9"/>
      <c r="L203" s="9"/>
      <c r="M203" s="9"/>
      <c r="N203" s="9"/>
      <c r="O203" s="9"/>
      <c r="P203" s="9"/>
      <c r="Q203" s="9"/>
      <c r="S203" s="9"/>
      <c r="T203" s="9"/>
      <c r="U203" s="9"/>
      <c r="V203" s="9"/>
      <c r="W203" s="9"/>
      <c r="X203" s="9"/>
      <c r="Y203" s="9"/>
      <c r="AA203" s="9"/>
      <c r="AB203" s="9"/>
      <c r="AC203" s="9"/>
      <c r="AD203" s="9"/>
      <c r="AE203" s="9"/>
      <c r="AF203" s="9"/>
      <c r="AG203" s="9"/>
      <c r="AI203" s="9"/>
      <c r="AJ203" s="9"/>
      <c r="AK203" s="9"/>
      <c r="AL203" s="9"/>
      <c r="AM203" s="9"/>
      <c r="AN203" s="9"/>
      <c r="AO203" s="9"/>
    </row>
    <row r="205" spans="11:41" x14ac:dyDescent="0.3">
      <c r="K205" s="71"/>
      <c r="L205" s="72"/>
      <c r="M205" s="72"/>
      <c r="N205" s="72"/>
      <c r="O205" s="72"/>
      <c r="P205" s="72"/>
      <c r="Q205" s="73"/>
      <c r="S205" s="71"/>
      <c r="T205" s="72"/>
      <c r="U205" s="72"/>
      <c r="V205" s="72"/>
      <c r="W205" s="72"/>
      <c r="X205" s="72"/>
      <c r="Y205" s="73"/>
      <c r="AA205" s="71"/>
      <c r="AB205" s="72"/>
      <c r="AC205" s="72"/>
      <c r="AD205" s="72"/>
      <c r="AE205" s="72"/>
      <c r="AF205" s="72"/>
      <c r="AG205" s="73"/>
      <c r="AI205" s="71"/>
      <c r="AJ205" s="72"/>
      <c r="AK205" s="72"/>
      <c r="AL205" s="72"/>
      <c r="AM205" s="72"/>
      <c r="AN205" s="72"/>
      <c r="AO205" s="73"/>
    </row>
    <row r="206" spans="11:41" ht="43.2" x14ac:dyDescent="0.3">
      <c r="K206" s="14" t="s">
        <v>13</v>
      </c>
      <c r="L206" s="14" t="s">
        <v>14</v>
      </c>
      <c r="M206" s="14" t="s">
        <v>15</v>
      </c>
      <c r="N206" s="14" t="s">
        <v>16</v>
      </c>
      <c r="O206" s="14" t="s">
        <v>17</v>
      </c>
      <c r="P206" s="14" t="s">
        <v>18</v>
      </c>
      <c r="Q206" s="14" t="s">
        <v>19</v>
      </c>
      <c r="S206" s="14" t="s">
        <v>13</v>
      </c>
      <c r="T206" s="14" t="s">
        <v>14</v>
      </c>
      <c r="U206" s="14" t="s">
        <v>15</v>
      </c>
      <c r="V206" s="14" t="s">
        <v>16</v>
      </c>
      <c r="W206" s="14" t="s">
        <v>17</v>
      </c>
      <c r="X206" s="14" t="s">
        <v>18</v>
      </c>
      <c r="Y206" s="14" t="s">
        <v>19</v>
      </c>
      <c r="AA206" s="14" t="s">
        <v>13</v>
      </c>
      <c r="AB206" s="14" t="s">
        <v>14</v>
      </c>
      <c r="AC206" s="14" t="s">
        <v>15</v>
      </c>
      <c r="AD206" s="14" t="s">
        <v>16</v>
      </c>
      <c r="AE206" s="14" t="s">
        <v>17</v>
      </c>
      <c r="AF206" s="14" t="s">
        <v>18</v>
      </c>
      <c r="AG206" s="14" t="s">
        <v>19</v>
      </c>
      <c r="AI206" s="14" t="s">
        <v>13</v>
      </c>
      <c r="AJ206" s="14" t="s">
        <v>14</v>
      </c>
      <c r="AK206" s="14" t="s">
        <v>15</v>
      </c>
      <c r="AL206" s="14" t="s">
        <v>16</v>
      </c>
      <c r="AM206" s="14" t="s">
        <v>17</v>
      </c>
      <c r="AN206" s="14" t="s">
        <v>18</v>
      </c>
      <c r="AO206" s="14" t="s">
        <v>19</v>
      </c>
    </row>
    <row r="207" spans="11:41" x14ac:dyDescent="0.3">
      <c r="K207" s="10">
        <v>1</v>
      </c>
      <c r="L207" s="9">
        <f>$F$24*(1+$B$7)^(K207-1)</f>
        <v>30214.38</v>
      </c>
      <c r="M207" s="9">
        <f>$B$5*MAX(0,L207-$B$6)</f>
        <v>262.74420000000009</v>
      </c>
      <c r="N207" s="9">
        <f>$B$2</f>
        <v>9250</v>
      </c>
      <c r="O207" s="9">
        <f>MIN(M207,N207)</f>
        <v>262.74420000000009</v>
      </c>
      <c r="P207" s="9">
        <f>O207/(1+$B$8)^K207</f>
        <v>255.09145631067969</v>
      </c>
      <c r="Q207" s="9">
        <f>N207-O207</f>
        <v>8987.255799999999</v>
      </c>
      <c r="S207" s="10">
        <v>1</v>
      </c>
      <c r="T207" s="9">
        <f>$F$25*(1+$B$7)^(S207-1)</f>
        <v>17446.82</v>
      </c>
      <c r="U207" s="9">
        <f>$B$5*MAX(0,T207-$B$6)</f>
        <v>0</v>
      </c>
      <c r="V207" s="9">
        <f>$B$2</f>
        <v>9250</v>
      </c>
      <c r="W207" s="9">
        <f>MIN(U207,V207)</f>
        <v>0</v>
      </c>
      <c r="X207" s="9">
        <f>W207/(1+$B$8)^S207</f>
        <v>0</v>
      </c>
      <c r="Y207" s="9">
        <f>V207-W207</f>
        <v>9250</v>
      </c>
      <c r="AA207" s="10">
        <v>1</v>
      </c>
      <c r="AB207" s="9">
        <f>$F$26*(1+$B$7)^(AA207-1)</f>
        <v>42508.08</v>
      </c>
      <c r="AC207" s="9">
        <f>$B$5*MAX(0,AB207-$B$6)</f>
        <v>1369.1772000000001</v>
      </c>
      <c r="AD207" s="9">
        <f>$B$2</f>
        <v>9250</v>
      </c>
      <c r="AE207" s="9">
        <f>MIN(AC207,AD207)</f>
        <v>1369.1772000000001</v>
      </c>
      <c r="AF207" s="9">
        <f>AE207/(1+$B$8)^AA207</f>
        <v>1329.2982524271845</v>
      </c>
      <c r="AG207" s="9">
        <f>AD207-AE207</f>
        <v>7880.8227999999999</v>
      </c>
      <c r="AI207" s="10">
        <v>1</v>
      </c>
      <c r="AJ207" s="9">
        <f>$F$27*(1+$B$7)^(AI207-1)</f>
        <v>40011.5</v>
      </c>
      <c r="AK207" s="9">
        <f>$B$5*MAX(0,AJ207-$B$6)</f>
        <v>1144.4849999999999</v>
      </c>
      <c r="AL207" s="9">
        <f>$B$2</f>
        <v>9250</v>
      </c>
      <c r="AM207" s="9">
        <f>MIN(AK207,AL207)</f>
        <v>1144.4849999999999</v>
      </c>
      <c r="AN207" s="9">
        <f>AM207/(1+$B$8)^AI207</f>
        <v>1111.1504854368932</v>
      </c>
      <c r="AO207" s="9">
        <f>AL207-AM207</f>
        <v>8105.5150000000003</v>
      </c>
    </row>
    <row r="208" spans="11:41" x14ac:dyDescent="0.3">
      <c r="K208" s="10">
        <f>K207+1</f>
        <v>2</v>
      </c>
      <c r="L208" s="9">
        <f t="shared" ref="L208:L236" si="190">$F$24*(1+$B$7)^(K208-1)</f>
        <v>30818.667600000001</v>
      </c>
      <c r="M208" s="9">
        <f>$B$5*MAX(0,L208-$B$6)</f>
        <v>317.13008400000007</v>
      </c>
      <c r="N208" s="9">
        <f>Q207</f>
        <v>8987.255799999999</v>
      </c>
      <c r="O208" s="9">
        <f>IF(N208&lt;=0,0,MIN(M208,N208))</f>
        <v>317.13008400000007</v>
      </c>
      <c r="P208" s="9">
        <f>O208/(1+$B$8)^K208</f>
        <v>298.92551984164396</v>
      </c>
      <c r="Q208" s="9">
        <f>MAX(0,N208-O208)</f>
        <v>8670.1257159999986</v>
      </c>
      <c r="S208" s="10">
        <f>S207+1</f>
        <v>2</v>
      </c>
      <c r="T208" s="9">
        <f t="shared" ref="T208:T236" si="191">$F$25*(1+$B$7)^(S208-1)</f>
        <v>17795.756399999998</v>
      </c>
      <c r="U208" s="9">
        <f>$B$5*MAX(0,T208-$B$6)</f>
        <v>0</v>
      </c>
      <c r="V208" s="9">
        <f>Y207</f>
        <v>9250</v>
      </c>
      <c r="W208" s="9">
        <f>IF(V208&lt;=0,0,MIN(U208,V208))</f>
        <v>0</v>
      </c>
      <c r="X208" s="9">
        <f>W208/(1+$B$8)^S208</f>
        <v>0</v>
      </c>
      <c r="Y208" s="9">
        <f>MAX(0,V208-W208)</f>
        <v>9250</v>
      </c>
      <c r="AA208" s="10">
        <f>AA207+1</f>
        <v>2</v>
      </c>
      <c r="AB208" s="9">
        <f t="shared" ref="AB208:AB236" si="192">$F$26*(1+$B$7)^(AA208-1)</f>
        <v>43358.241600000001</v>
      </c>
      <c r="AC208" s="9">
        <f>$B$5*MAX(0,AB208-$B$6)</f>
        <v>1445.691744</v>
      </c>
      <c r="AD208" s="9">
        <f>AG207</f>
        <v>7880.8227999999999</v>
      </c>
      <c r="AE208" s="9">
        <f>IF(AD208&lt;=0,0,MIN(AC208,AD208))</f>
        <v>1445.691744</v>
      </c>
      <c r="AF208" s="9">
        <f>AE208/(1+$B$8)^AA208</f>
        <v>1362.703123762843</v>
      </c>
      <c r="AG208" s="9">
        <f>MAX(0,AD208-AE208)</f>
        <v>6435.1310560000002</v>
      </c>
      <c r="AI208" s="10">
        <f>AI207+1</f>
        <v>2</v>
      </c>
      <c r="AJ208" s="9">
        <f t="shared" ref="AJ208:AJ236" si="193">$F$27*(1+$B$7)^(AI208-1)</f>
        <v>40811.730000000003</v>
      </c>
      <c r="AK208" s="9">
        <f>$B$5*MAX(0,AJ208-$B$6)</f>
        <v>1216.5057000000002</v>
      </c>
      <c r="AL208" s="9">
        <f>AO207</f>
        <v>8105.5150000000003</v>
      </c>
      <c r="AM208" s="9">
        <f>IF(AL208&lt;=0,0,MIN(AK208,AL208))</f>
        <v>1216.5057000000002</v>
      </c>
      <c r="AN208" s="9">
        <f>AM208/(1+$B$8)^AI208</f>
        <v>1146.6732962578944</v>
      </c>
      <c r="AO208" s="9">
        <f>MAX(0,AL208-AM208)</f>
        <v>6889.0092999999997</v>
      </c>
    </row>
    <row r="209" spans="11:41" x14ac:dyDescent="0.3">
      <c r="K209" s="10">
        <f t="shared" ref="K209:K224" si="194">K208+1</f>
        <v>3</v>
      </c>
      <c r="L209" s="9">
        <f t="shared" si="190"/>
        <v>31435.040951999999</v>
      </c>
      <c r="M209" s="9">
        <f t="shared" ref="M209:M236" si="195">$B$5*MAX(0,L209-$B$6)</f>
        <v>372.60368567999996</v>
      </c>
      <c r="N209" s="9">
        <f t="shared" ref="N209:N236" si="196">Q208</f>
        <v>8670.1257159999986</v>
      </c>
      <c r="O209" s="9">
        <f t="shared" ref="O209:O236" si="197">IF(N209&lt;=0,0,MIN(M209,N209))</f>
        <v>372.60368567999996</v>
      </c>
      <c r="P209" s="9">
        <f t="shared" ref="P209:P236" si="198">O209/(1+$B$8)^K209</f>
        <v>340.98515519429827</v>
      </c>
      <c r="Q209" s="9">
        <f t="shared" ref="Q209:Q236" si="199">MAX(0,N209-O209)</f>
        <v>8297.5220303199985</v>
      </c>
      <c r="S209" s="10">
        <f t="shared" ref="S209:S224" si="200">S208+1</f>
        <v>3</v>
      </c>
      <c r="T209" s="9">
        <f t="shared" si="191"/>
        <v>18151.671527999999</v>
      </c>
      <c r="U209" s="9">
        <f t="shared" ref="U209:U236" si="201">$B$5*MAX(0,T209-$B$6)</f>
        <v>0</v>
      </c>
      <c r="V209" s="9">
        <f t="shared" ref="V209:V236" si="202">Y208</f>
        <v>9250</v>
      </c>
      <c r="W209" s="9">
        <f t="shared" ref="W209:W236" si="203">IF(V209&lt;=0,0,MIN(U209,V209))</f>
        <v>0</v>
      </c>
      <c r="X209" s="9">
        <f t="shared" ref="X209:X236" si="204">W209/(1+$B$8)^S209</f>
        <v>0</v>
      </c>
      <c r="Y209" s="9">
        <f t="shared" ref="Y209:Y236" si="205">MAX(0,V209-W209)</f>
        <v>9250</v>
      </c>
      <c r="AA209" s="10">
        <f t="shared" ref="AA209:AA224" si="206">AA208+1</f>
        <v>3</v>
      </c>
      <c r="AB209" s="9">
        <f t="shared" si="192"/>
        <v>44225.406432000003</v>
      </c>
      <c r="AC209" s="9">
        <f t="shared" ref="AC209:AC236" si="207">$B$5*MAX(0,AB209-$B$6)</f>
        <v>1523.7365788800003</v>
      </c>
      <c r="AD209" s="9">
        <f t="shared" ref="AD209:AD236" si="208">AG208</f>
        <v>6435.1310560000002</v>
      </c>
      <c r="AE209" s="9">
        <f t="shared" ref="AE209:AE236" si="209">IF(AD209&lt;=0,0,MIN(AC209,AD209))</f>
        <v>1523.7365788800003</v>
      </c>
      <c r="AF209" s="9">
        <f t="shared" ref="AF209:AF236" si="210">AE209/(1+$B$8)^AA209</f>
        <v>1394.43482121335</v>
      </c>
      <c r="AG209" s="9">
        <f t="shared" ref="AG209:AG236" si="211">MAX(0,AD209-AE209)</f>
        <v>4911.3944771200004</v>
      </c>
      <c r="AI209" s="10">
        <f t="shared" ref="AI209:AI224" si="212">AI208+1</f>
        <v>3</v>
      </c>
      <c r="AJ209" s="9">
        <f t="shared" si="193"/>
        <v>41627.964599999999</v>
      </c>
      <c r="AK209" s="9">
        <f t="shared" ref="AK209:AK236" si="213">$B$5*MAX(0,AJ209-$B$6)</f>
        <v>1289.9668139999999</v>
      </c>
      <c r="AL209" s="9">
        <f t="shared" ref="AL209:AL236" si="214">AO208</f>
        <v>6889.0092999999997</v>
      </c>
      <c r="AM209" s="9">
        <f t="shared" ref="AM209:AM236" si="215">IF(AL209&lt;=0,0,MIN(AK209,AL209))</f>
        <v>1289.9668139999999</v>
      </c>
      <c r="AN209" s="9">
        <f t="shared" ref="AN209:AN236" si="216">AM209/(1+$B$8)^AI209</f>
        <v>1180.5023706744685</v>
      </c>
      <c r="AO209" s="9">
        <f t="shared" ref="AO209:AO236" si="217">MAX(0,AL209-AM209)</f>
        <v>5599.0424860000003</v>
      </c>
    </row>
    <row r="210" spans="11:41" x14ac:dyDescent="0.3">
      <c r="K210" s="10">
        <f t="shared" si="194"/>
        <v>4</v>
      </c>
      <c r="L210" s="9">
        <f t="shared" si="190"/>
        <v>32063.74177104</v>
      </c>
      <c r="M210" s="9">
        <f t="shared" si="195"/>
        <v>429.18675939360003</v>
      </c>
      <c r="N210" s="9">
        <f t="shared" si="196"/>
        <v>8297.5220303199985</v>
      </c>
      <c r="O210" s="9">
        <f t="shared" si="197"/>
        <v>429.18675939360003</v>
      </c>
      <c r="P210" s="9">
        <f t="shared" si="198"/>
        <v>381.32687685812078</v>
      </c>
      <c r="Q210" s="9">
        <f t="shared" si="199"/>
        <v>7868.3352709263982</v>
      </c>
      <c r="S210" s="10">
        <f t="shared" si="200"/>
        <v>4</v>
      </c>
      <c r="T210" s="9">
        <f t="shared" si="191"/>
        <v>18514.70495856</v>
      </c>
      <c r="U210" s="9">
        <f t="shared" si="201"/>
        <v>0</v>
      </c>
      <c r="V210" s="9">
        <f t="shared" si="202"/>
        <v>9250</v>
      </c>
      <c r="W210" s="9">
        <f t="shared" si="203"/>
        <v>0</v>
      </c>
      <c r="X210" s="9">
        <f t="shared" si="204"/>
        <v>0</v>
      </c>
      <c r="Y210" s="9">
        <f t="shared" si="205"/>
        <v>9250</v>
      </c>
      <c r="AA210" s="10">
        <f t="shared" si="206"/>
        <v>4</v>
      </c>
      <c r="AB210" s="9">
        <f t="shared" si="192"/>
        <v>45109.914560639998</v>
      </c>
      <c r="AC210" s="9">
        <f t="shared" si="207"/>
        <v>1603.3423104575998</v>
      </c>
      <c r="AD210" s="9">
        <f t="shared" si="208"/>
        <v>4911.3944771200004</v>
      </c>
      <c r="AE210" s="9">
        <f t="shared" si="209"/>
        <v>1603.3423104575998</v>
      </c>
      <c r="AF210" s="9">
        <f t="shared" si="210"/>
        <v>1424.5488762167929</v>
      </c>
      <c r="AG210" s="9">
        <f t="shared" si="211"/>
        <v>3308.0521666624009</v>
      </c>
      <c r="AI210" s="10">
        <f t="shared" si="212"/>
        <v>4</v>
      </c>
      <c r="AJ210" s="9">
        <f t="shared" si="193"/>
        <v>42460.523891999997</v>
      </c>
      <c r="AK210" s="9">
        <f t="shared" si="213"/>
        <v>1364.8971502799998</v>
      </c>
      <c r="AL210" s="9">
        <f t="shared" si="214"/>
        <v>5599.0424860000003</v>
      </c>
      <c r="AM210" s="9">
        <f t="shared" si="215"/>
        <v>1364.8971502799998</v>
      </c>
      <c r="AN210" s="9">
        <f t="shared" si="216"/>
        <v>1212.6934397608136</v>
      </c>
      <c r="AO210" s="9">
        <f t="shared" si="217"/>
        <v>4234.1453357200007</v>
      </c>
    </row>
    <row r="211" spans="11:41" x14ac:dyDescent="0.3">
      <c r="K211" s="10">
        <f t="shared" si="194"/>
        <v>5</v>
      </c>
      <c r="L211" s="9">
        <f t="shared" si="190"/>
        <v>32705.016606460802</v>
      </c>
      <c r="M211" s="9">
        <f t="shared" si="195"/>
        <v>486.90149458147215</v>
      </c>
      <c r="N211" s="9">
        <f t="shared" si="196"/>
        <v>7868.3352709263982</v>
      </c>
      <c r="O211" s="9">
        <f t="shared" si="197"/>
        <v>486.90149458147215</v>
      </c>
      <c r="P211" s="9">
        <f t="shared" si="198"/>
        <v>420.00550635575638</v>
      </c>
      <c r="Q211" s="9">
        <f t="shared" si="199"/>
        <v>7381.4337763449257</v>
      </c>
      <c r="S211" s="10">
        <f t="shared" si="200"/>
        <v>5</v>
      </c>
      <c r="T211" s="9">
        <f t="shared" si="191"/>
        <v>18884.999057731198</v>
      </c>
      <c r="U211" s="9">
        <f t="shared" si="201"/>
        <v>0</v>
      </c>
      <c r="V211" s="9">
        <f t="shared" si="202"/>
        <v>9250</v>
      </c>
      <c r="W211" s="9">
        <f t="shared" si="203"/>
        <v>0</v>
      </c>
      <c r="X211" s="9">
        <f t="shared" si="204"/>
        <v>0</v>
      </c>
      <c r="Y211" s="9">
        <f t="shared" si="205"/>
        <v>9250</v>
      </c>
      <c r="AA211" s="10">
        <f t="shared" si="206"/>
        <v>5</v>
      </c>
      <c r="AB211" s="9">
        <f t="shared" si="192"/>
        <v>46012.112851852798</v>
      </c>
      <c r="AC211" s="9">
        <f t="shared" si="207"/>
        <v>1684.5401566667517</v>
      </c>
      <c r="AD211" s="9">
        <f t="shared" si="208"/>
        <v>3308.0521666624009</v>
      </c>
      <c r="AE211" s="9">
        <f t="shared" si="209"/>
        <v>1684.5401566667517</v>
      </c>
      <c r="AF211" s="9">
        <f t="shared" si="210"/>
        <v>1453.0991367886161</v>
      </c>
      <c r="AG211" s="9">
        <f t="shared" si="211"/>
        <v>1623.5120099956491</v>
      </c>
      <c r="AI211" s="10">
        <f t="shared" si="212"/>
        <v>5</v>
      </c>
      <c r="AJ211" s="9">
        <f t="shared" si="193"/>
        <v>43309.73436984</v>
      </c>
      <c r="AK211" s="9">
        <f t="shared" si="213"/>
        <v>1441.3260932855999</v>
      </c>
      <c r="AL211" s="9">
        <f t="shared" si="214"/>
        <v>4234.1453357200007</v>
      </c>
      <c r="AM211" s="9">
        <f t="shared" si="215"/>
        <v>1441.3260932855999</v>
      </c>
      <c r="AN211" s="9">
        <f t="shared" si="216"/>
        <v>1243.3005492302677</v>
      </c>
      <c r="AO211" s="9">
        <f t="shared" si="217"/>
        <v>2792.8192424344006</v>
      </c>
    </row>
    <row r="212" spans="11:41" x14ac:dyDescent="0.3">
      <c r="K212" s="10">
        <f t="shared" si="194"/>
        <v>6</v>
      </c>
      <c r="L212" s="9">
        <f t="shared" si="190"/>
        <v>33359.116938590021</v>
      </c>
      <c r="M212" s="9">
        <f t="shared" si="195"/>
        <v>545.77052447310189</v>
      </c>
      <c r="N212" s="9">
        <f t="shared" si="196"/>
        <v>7381.4337763449257</v>
      </c>
      <c r="O212" s="9">
        <f t="shared" si="197"/>
        <v>545.77052447310189</v>
      </c>
      <c r="P212" s="9">
        <f t="shared" si="198"/>
        <v>457.07422200820395</v>
      </c>
      <c r="Q212" s="9">
        <f t="shared" si="199"/>
        <v>6835.6632518718234</v>
      </c>
      <c r="S212" s="10">
        <f t="shared" si="200"/>
        <v>6</v>
      </c>
      <c r="T212" s="9">
        <f t="shared" si="191"/>
        <v>19262.699038885825</v>
      </c>
      <c r="U212" s="9">
        <f t="shared" si="201"/>
        <v>0</v>
      </c>
      <c r="V212" s="9">
        <f t="shared" si="202"/>
        <v>9250</v>
      </c>
      <c r="W212" s="9">
        <f t="shared" si="203"/>
        <v>0</v>
      </c>
      <c r="X212" s="9">
        <f t="shared" si="204"/>
        <v>0</v>
      </c>
      <c r="Y212" s="9">
        <f t="shared" si="205"/>
        <v>9250</v>
      </c>
      <c r="AA212" s="10">
        <f t="shared" si="206"/>
        <v>6</v>
      </c>
      <c r="AB212" s="9">
        <f t="shared" si="192"/>
        <v>46932.35510888986</v>
      </c>
      <c r="AC212" s="9">
        <f t="shared" si="207"/>
        <v>1767.3619598000873</v>
      </c>
      <c r="AD212" s="9">
        <f t="shared" si="208"/>
        <v>1623.5120099956491</v>
      </c>
      <c r="AE212" s="9">
        <f t="shared" si="209"/>
        <v>1623.5120099956491</v>
      </c>
      <c r="AF212" s="9">
        <f t="shared" si="210"/>
        <v>1359.665748908192</v>
      </c>
      <c r="AG212" s="9">
        <f t="shared" si="211"/>
        <v>0</v>
      </c>
      <c r="AI212" s="10">
        <f t="shared" si="212"/>
        <v>6</v>
      </c>
      <c r="AJ212" s="9">
        <f t="shared" si="193"/>
        <v>44175.929057236797</v>
      </c>
      <c r="AK212" s="9">
        <f t="shared" si="213"/>
        <v>1519.2836151513118</v>
      </c>
      <c r="AL212" s="9">
        <f t="shared" si="214"/>
        <v>2792.8192424344006</v>
      </c>
      <c r="AM212" s="9">
        <f t="shared" si="215"/>
        <v>1519.2836151513118</v>
      </c>
      <c r="AN212" s="9">
        <f t="shared" si="216"/>
        <v>1272.3761091266517</v>
      </c>
      <c r="AO212" s="9">
        <f t="shared" si="217"/>
        <v>1273.5356272830888</v>
      </c>
    </row>
    <row r="213" spans="11:41" x14ac:dyDescent="0.3">
      <c r="K213" s="10">
        <f t="shared" si="194"/>
        <v>7</v>
      </c>
      <c r="L213" s="9">
        <f t="shared" si="190"/>
        <v>34026.299277361817</v>
      </c>
      <c r="M213" s="9">
        <f t="shared" si="195"/>
        <v>605.81693496256355</v>
      </c>
      <c r="N213" s="9">
        <f t="shared" si="196"/>
        <v>6835.6632518718234</v>
      </c>
      <c r="O213" s="9">
        <f t="shared" si="197"/>
        <v>605.81693496256355</v>
      </c>
      <c r="P213" s="9">
        <f t="shared" si="198"/>
        <v>492.58460724610904</v>
      </c>
      <c r="Q213" s="9">
        <f t="shared" si="199"/>
        <v>6229.8463169092602</v>
      </c>
      <c r="S213" s="10">
        <f t="shared" si="200"/>
        <v>7</v>
      </c>
      <c r="T213" s="9">
        <f t="shared" si="191"/>
        <v>19647.953019663542</v>
      </c>
      <c r="U213" s="9">
        <f t="shared" si="201"/>
        <v>0</v>
      </c>
      <c r="V213" s="9">
        <f t="shared" si="202"/>
        <v>9250</v>
      </c>
      <c r="W213" s="9">
        <f t="shared" si="203"/>
        <v>0</v>
      </c>
      <c r="X213" s="9">
        <f t="shared" si="204"/>
        <v>0</v>
      </c>
      <c r="Y213" s="9">
        <f t="shared" si="205"/>
        <v>9250</v>
      </c>
      <c r="AA213" s="10">
        <f t="shared" si="206"/>
        <v>7</v>
      </c>
      <c r="AB213" s="9">
        <f t="shared" si="192"/>
        <v>47871.002211067658</v>
      </c>
      <c r="AC213" s="9">
        <f t="shared" si="207"/>
        <v>1851.8401989960892</v>
      </c>
      <c r="AD213" s="9">
        <f t="shared" si="208"/>
        <v>0</v>
      </c>
      <c r="AE213" s="9">
        <f t="shared" si="209"/>
        <v>0</v>
      </c>
      <c r="AF213" s="9">
        <f t="shared" si="210"/>
        <v>0</v>
      </c>
      <c r="AG213" s="9">
        <f t="shared" si="211"/>
        <v>0</v>
      </c>
      <c r="AI213" s="10">
        <f t="shared" si="212"/>
        <v>7</v>
      </c>
      <c r="AJ213" s="9">
        <f t="shared" si="193"/>
        <v>45059.447638381542</v>
      </c>
      <c r="AK213" s="9">
        <f t="shared" si="213"/>
        <v>1598.8002874543388</v>
      </c>
      <c r="AL213" s="9">
        <f t="shared" si="214"/>
        <v>1273.5356272830888</v>
      </c>
      <c r="AM213" s="9">
        <f t="shared" si="215"/>
        <v>1273.5356272830888</v>
      </c>
      <c r="AN213" s="9">
        <f t="shared" si="216"/>
        <v>1035.5010079372128</v>
      </c>
      <c r="AO213" s="9">
        <f t="shared" si="217"/>
        <v>0</v>
      </c>
    </row>
    <row r="214" spans="11:41" x14ac:dyDescent="0.3">
      <c r="K214" s="10">
        <f t="shared" si="194"/>
        <v>8</v>
      </c>
      <c r="L214" s="9">
        <f t="shared" si="190"/>
        <v>34706.825262909049</v>
      </c>
      <c r="M214" s="9">
        <f t="shared" si="195"/>
        <v>667.06427366181447</v>
      </c>
      <c r="N214" s="9">
        <f t="shared" si="196"/>
        <v>6229.8463169092602</v>
      </c>
      <c r="O214" s="9">
        <f t="shared" si="197"/>
        <v>667.06427366181447</v>
      </c>
      <c r="P214" s="9">
        <f t="shared" si="198"/>
        <v>526.58669750955471</v>
      </c>
      <c r="Q214" s="9">
        <f t="shared" si="199"/>
        <v>5562.7820432474455</v>
      </c>
      <c r="S214" s="10">
        <f t="shared" si="200"/>
        <v>8</v>
      </c>
      <c r="T214" s="9">
        <f t="shared" si="191"/>
        <v>20040.912080056809</v>
      </c>
      <c r="U214" s="9">
        <f t="shared" si="201"/>
        <v>0</v>
      </c>
      <c r="V214" s="9">
        <f t="shared" si="202"/>
        <v>9250</v>
      </c>
      <c r="W214" s="9">
        <f t="shared" si="203"/>
        <v>0</v>
      </c>
      <c r="X214" s="9">
        <f t="shared" si="204"/>
        <v>0</v>
      </c>
      <c r="Y214" s="9">
        <f t="shared" si="205"/>
        <v>9250</v>
      </c>
      <c r="AA214" s="10">
        <f t="shared" si="206"/>
        <v>8</v>
      </c>
      <c r="AB214" s="9">
        <f t="shared" si="192"/>
        <v>48828.422255288999</v>
      </c>
      <c r="AC214" s="9">
        <f t="shared" si="207"/>
        <v>1938.0080029760097</v>
      </c>
      <c r="AD214" s="9">
        <f t="shared" si="208"/>
        <v>0</v>
      </c>
      <c r="AE214" s="9">
        <f t="shared" si="209"/>
        <v>0</v>
      </c>
      <c r="AF214" s="9">
        <f t="shared" si="210"/>
        <v>0</v>
      </c>
      <c r="AG214" s="9">
        <f t="shared" si="211"/>
        <v>0</v>
      </c>
      <c r="AI214" s="10">
        <f t="shared" si="212"/>
        <v>8</v>
      </c>
      <c r="AJ214" s="9">
        <f t="shared" si="193"/>
        <v>45960.636591149159</v>
      </c>
      <c r="AK214" s="9">
        <f t="shared" si="213"/>
        <v>1679.9072932034244</v>
      </c>
      <c r="AL214" s="9">
        <f t="shared" si="214"/>
        <v>0</v>
      </c>
      <c r="AM214" s="9">
        <f t="shared" si="215"/>
        <v>0</v>
      </c>
      <c r="AN214" s="9">
        <f t="shared" si="216"/>
        <v>0</v>
      </c>
      <c r="AO214" s="9">
        <f t="shared" si="217"/>
        <v>0</v>
      </c>
    </row>
    <row r="215" spans="11:41" x14ac:dyDescent="0.3">
      <c r="K215" s="10">
        <f t="shared" si="194"/>
        <v>9</v>
      </c>
      <c r="L215" s="9">
        <f t="shared" si="190"/>
        <v>35400.961768167232</v>
      </c>
      <c r="M215" s="9">
        <f t="shared" si="195"/>
        <v>729.53655913505077</v>
      </c>
      <c r="N215" s="9">
        <f t="shared" si="196"/>
        <v>5562.7820432474455</v>
      </c>
      <c r="O215" s="9">
        <f t="shared" si="197"/>
        <v>729.53655913505077</v>
      </c>
      <c r="P215" s="9">
        <f t="shared" si="198"/>
        <v>559.12902577749878</v>
      </c>
      <c r="Q215" s="9">
        <f t="shared" si="199"/>
        <v>4833.2454841123945</v>
      </c>
      <c r="S215" s="10">
        <f t="shared" si="200"/>
        <v>9</v>
      </c>
      <c r="T215" s="9">
        <f t="shared" si="191"/>
        <v>20441.730321657946</v>
      </c>
      <c r="U215" s="9">
        <f t="shared" si="201"/>
        <v>0</v>
      </c>
      <c r="V215" s="9">
        <f t="shared" si="202"/>
        <v>9250</v>
      </c>
      <c r="W215" s="9">
        <f t="shared" si="203"/>
        <v>0</v>
      </c>
      <c r="X215" s="9">
        <f t="shared" si="204"/>
        <v>0</v>
      </c>
      <c r="Y215" s="9">
        <f t="shared" si="205"/>
        <v>9250</v>
      </c>
      <c r="AA215" s="10">
        <f t="shared" si="206"/>
        <v>9</v>
      </c>
      <c r="AB215" s="9">
        <f t="shared" si="192"/>
        <v>49804.990700394788</v>
      </c>
      <c r="AC215" s="9">
        <f t="shared" si="207"/>
        <v>2025.8991630355308</v>
      </c>
      <c r="AD215" s="9">
        <f t="shared" si="208"/>
        <v>0</v>
      </c>
      <c r="AE215" s="9">
        <f t="shared" si="209"/>
        <v>0</v>
      </c>
      <c r="AF215" s="9">
        <f t="shared" si="210"/>
        <v>0</v>
      </c>
      <c r="AG215" s="9">
        <f t="shared" si="211"/>
        <v>0</v>
      </c>
      <c r="AI215" s="10">
        <f t="shared" si="212"/>
        <v>9</v>
      </c>
      <c r="AJ215" s="9">
        <f t="shared" si="193"/>
        <v>46879.84932297215</v>
      </c>
      <c r="AK215" s="9">
        <f t="shared" si="213"/>
        <v>1762.6364390674935</v>
      </c>
      <c r="AL215" s="9">
        <f t="shared" si="214"/>
        <v>0</v>
      </c>
      <c r="AM215" s="9">
        <f t="shared" si="215"/>
        <v>0</v>
      </c>
      <c r="AN215" s="9">
        <f t="shared" si="216"/>
        <v>0</v>
      </c>
      <c r="AO215" s="9">
        <f t="shared" si="217"/>
        <v>0</v>
      </c>
    </row>
    <row r="216" spans="11:41" x14ac:dyDescent="0.3">
      <c r="K216" s="10">
        <f t="shared" si="194"/>
        <v>10</v>
      </c>
      <c r="L216" s="9">
        <f t="shared" si="190"/>
        <v>36108.981003530578</v>
      </c>
      <c r="M216" s="9">
        <f t="shared" si="195"/>
        <v>793.25829031775197</v>
      </c>
      <c r="N216" s="9">
        <f t="shared" si="196"/>
        <v>4833.2454841123945</v>
      </c>
      <c r="O216" s="9">
        <f t="shared" si="197"/>
        <v>793.25829031775197</v>
      </c>
      <c r="P216" s="9">
        <f t="shared" si="198"/>
        <v>590.25866676681903</v>
      </c>
      <c r="Q216" s="9">
        <f t="shared" si="199"/>
        <v>4039.9871937946427</v>
      </c>
      <c r="S216" s="10">
        <f t="shared" si="200"/>
        <v>10</v>
      </c>
      <c r="T216" s="9">
        <f t="shared" si="191"/>
        <v>20850.564928091106</v>
      </c>
      <c r="U216" s="9">
        <f t="shared" si="201"/>
        <v>0</v>
      </c>
      <c r="V216" s="9">
        <f t="shared" si="202"/>
        <v>9250</v>
      </c>
      <c r="W216" s="9">
        <f t="shared" si="203"/>
        <v>0</v>
      </c>
      <c r="X216" s="9">
        <f t="shared" si="204"/>
        <v>0</v>
      </c>
      <c r="Y216" s="9">
        <f t="shared" si="205"/>
        <v>9250</v>
      </c>
      <c r="AA216" s="10">
        <f t="shared" si="206"/>
        <v>10</v>
      </c>
      <c r="AB216" s="9">
        <f t="shared" si="192"/>
        <v>50801.090514402684</v>
      </c>
      <c r="AC216" s="9">
        <f t="shared" si="207"/>
        <v>2115.5481462962416</v>
      </c>
      <c r="AD216" s="9">
        <f t="shared" si="208"/>
        <v>0</v>
      </c>
      <c r="AE216" s="9">
        <f t="shared" si="209"/>
        <v>0</v>
      </c>
      <c r="AF216" s="9">
        <f t="shared" si="210"/>
        <v>0</v>
      </c>
      <c r="AG216" s="9">
        <f t="shared" si="211"/>
        <v>0</v>
      </c>
      <c r="AI216" s="10">
        <f t="shared" si="212"/>
        <v>10</v>
      </c>
      <c r="AJ216" s="9">
        <f t="shared" si="193"/>
        <v>47817.446309431587</v>
      </c>
      <c r="AK216" s="9">
        <f t="shared" si="213"/>
        <v>1847.0201678488427</v>
      </c>
      <c r="AL216" s="9">
        <f t="shared" si="214"/>
        <v>0</v>
      </c>
      <c r="AM216" s="9">
        <f t="shared" si="215"/>
        <v>0</v>
      </c>
      <c r="AN216" s="9">
        <f t="shared" si="216"/>
        <v>0</v>
      </c>
      <c r="AO216" s="9">
        <f t="shared" si="217"/>
        <v>0</v>
      </c>
    </row>
    <row r="217" spans="11:41" x14ac:dyDescent="0.3">
      <c r="K217" s="10">
        <f t="shared" si="194"/>
        <v>11</v>
      </c>
      <c r="L217" s="9">
        <f t="shared" si="190"/>
        <v>36831.160623601194</v>
      </c>
      <c r="M217" s="9">
        <f t="shared" si="195"/>
        <v>858.25445612410738</v>
      </c>
      <c r="N217" s="9">
        <f t="shared" si="196"/>
        <v>4039.9871937946427</v>
      </c>
      <c r="O217" s="9">
        <f t="shared" si="197"/>
        <v>858.25445612410738</v>
      </c>
      <c r="P217" s="9">
        <f t="shared" si="198"/>
        <v>620.02127983975413</v>
      </c>
      <c r="Q217" s="9">
        <f t="shared" si="199"/>
        <v>3181.7327376705352</v>
      </c>
      <c r="S217" s="10">
        <f t="shared" si="200"/>
        <v>11</v>
      </c>
      <c r="T217" s="9">
        <f t="shared" si="191"/>
        <v>21267.576226652927</v>
      </c>
      <c r="U217" s="9">
        <f t="shared" si="201"/>
        <v>0</v>
      </c>
      <c r="V217" s="9">
        <f t="shared" si="202"/>
        <v>9250</v>
      </c>
      <c r="W217" s="9">
        <f t="shared" si="203"/>
        <v>0</v>
      </c>
      <c r="X217" s="9">
        <f t="shared" si="204"/>
        <v>0</v>
      </c>
      <c r="Y217" s="9">
        <f t="shared" si="205"/>
        <v>9250</v>
      </c>
      <c r="AA217" s="10">
        <f t="shared" si="206"/>
        <v>11</v>
      </c>
      <c r="AB217" s="9">
        <f t="shared" si="192"/>
        <v>51817.112324690737</v>
      </c>
      <c r="AC217" s="9">
        <f t="shared" si="207"/>
        <v>2206.9901092221662</v>
      </c>
      <c r="AD217" s="9">
        <f t="shared" si="208"/>
        <v>0</v>
      </c>
      <c r="AE217" s="9">
        <f t="shared" si="209"/>
        <v>0</v>
      </c>
      <c r="AF217" s="9">
        <f t="shared" si="210"/>
        <v>0</v>
      </c>
      <c r="AG217" s="9">
        <f t="shared" si="211"/>
        <v>0</v>
      </c>
      <c r="AI217" s="10">
        <f t="shared" si="212"/>
        <v>11</v>
      </c>
      <c r="AJ217" s="9">
        <f t="shared" si="193"/>
        <v>48773.795235620222</v>
      </c>
      <c r="AK217" s="9">
        <f t="shared" si="213"/>
        <v>1933.0915712058199</v>
      </c>
      <c r="AL217" s="9">
        <f t="shared" si="214"/>
        <v>0</v>
      </c>
      <c r="AM217" s="9">
        <f t="shared" si="215"/>
        <v>0</v>
      </c>
      <c r="AN217" s="9">
        <f t="shared" si="216"/>
        <v>0</v>
      </c>
      <c r="AO217" s="9">
        <f t="shared" si="217"/>
        <v>0</v>
      </c>
    </row>
    <row r="218" spans="11:41" x14ac:dyDescent="0.3">
      <c r="K218" s="10">
        <f t="shared" si="194"/>
        <v>12</v>
      </c>
      <c r="L218" s="9">
        <f t="shared" si="190"/>
        <v>37567.783836073206</v>
      </c>
      <c r="M218" s="9">
        <f t="shared" si="195"/>
        <v>924.55054524658851</v>
      </c>
      <c r="N218" s="9">
        <f t="shared" si="196"/>
        <v>3181.7327376705352</v>
      </c>
      <c r="O218" s="9">
        <f t="shared" si="197"/>
        <v>924.55054524658851</v>
      </c>
      <c r="P218" s="9">
        <f t="shared" si="198"/>
        <v>648.46115065740025</v>
      </c>
      <c r="Q218" s="9">
        <f t="shared" si="199"/>
        <v>2257.1821924239466</v>
      </c>
      <c r="S218" s="10">
        <f t="shared" si="200"/>
        <v>12</v>
      </c>
      <c r="T218" s="9">
        <f t="shared" si="191"/>
        <v>21692.927751185984</v>
      </c>
      <c r="U218" s="9">
        <f t="shared" si="201"/>
        <v>0</v>
      </c>
      <c r="V218" s="9">
        <f t="shared" si="202"/>
        <v>9250</v>
      </c>
      <c r="W218" s="9">
        <f t="shared" si="203"/>
        <v>0</v>
      </c>
      <c r="X218" s="9">
        <f t="shared" si="204"/>
        <v>0</v>
      </c>
      <c r="Y218" s="9">
        <f t="shared" si="205"/>
        <v>9250</v>
      </c>
      <c r="AA218" s="10">
        <f t="shared" si="206"/>
        <v>12</v>
      </c>
      <c r="AB218" s="9">
        <f t="shared" si="192"/>
        <v>52853.454571184542</v>
      </c>
      <c r="AC218" s="9">
        <f t="shared" si="207"/>
        <v>2300.2609114066086</v>
      </c>
      <c r="AD218" s="9">
        <f t="shared" si="208"/>
        <v>0</v>
      </c>
      <c r="AE218" s="9">
        <f t="shared" si="209"/>
        <v>0</v>
      </c>
      <c r="AF218" s="9">
        <f t="shared" si="210"/>
        <v>0</v>
      </c>
      <c r="AG218" s="9">
        <f t="shared" si="211"/>
        <v>0</v>
      </c>
      <c r="AI218" s="10">
        <f t="shared" si="212"/>
        <v>12</v>
      </c>
      <c r="AJ218" s="9">
        <f t="shared" si="193"/>
        <v>49749.271140332618</v>
      </c>
      <c r="AK218" s="9">
        <f t="shared" si="213"/>
        <v>2020.8844026299355</v>
      </c>
      <c r="AL218" s="9">
        <f t="shared" si="214"/>
        <v>0</v>
      </c>
      <c r="AM218" s="9">
        <f t="shared" si="215"/>
        <v>0</v>
      </c>
      <c r="AN218" s="9">
        <f t="shared" si="216"/>
        <v>0</v>
      </c>
      <c r="AO218" s="9">
        <f t="shared" si="217"/>
        <v>0</v>
      </c>
    </row>
    <row r="219" spans="11:41" x14ac:dyDescent="0.3">
      <c r="K219" s="10">
        <f t="shared" si="194"/>
        <v>13</v>
      </c>
      <c r="L219" s="9">
        <f t="shared" si="190"/>
        <v>38319.139512794674</v>
      </c>
      <c r="M219" s="9">
        <f t="shared" si="195"/>
        <v>992.17255615152067</v>
      </c>
      <c r="N219" s="9">
        <f t="shared" si="196"/>
        <v>2257.1821924239466</v>
      </c>
      <c r="O219" s="9">
        <f t="shared" si="197"/>
        <v>992.17255615152067</v>
      </c>
      <c r="P219" s="9">
        <f t="shared" si="198"/>
        <v>675.62123161583452</v>
      </c>
      <c r="Q219" s="9">
        <f t="shared" si="199"/>
        <v>1265.009636272426</v>
      </c>
      <c r="S219" s="10">
        <f t="shared" si="200"/>
        <v>13</v>
      </c>
      <c r="T219" s="9">
        <f t="shared" si="191"/>
        <v>22126.786306209706</v>
      </c>
      <c r="U219" s="9">
        <f t="shared" si="201"/>
        <v>0</v>
      </c>
      <c r="V219" s="9">
        <f t="shared" si="202"/>
        <v>9250</v>
      </c>
      <c r="W219" s="9">
        <f t="shared" si="203"/>
        <v>0</v>
      </c>
      <c r="X219" s="9">
        <f t="shared" si="204"/>
        <v>0</v>
      </c>
      <c r="Y219" s="9">
        <f t="shared" si="205"/>
        <v>9250</v>
      </c>
      <c r="AA219" s="10">
        <f t="shared" si="206"/>
        <v>13</v>
      </c>
      <c r="AB219" s="9">
        <f t="shared" si="192"/>
        <v>53910.523662608241</v>
      </c>
      <c r="AC219" s="9">
        <f t="shared" si="207"/>
        <v>2395.3971296347418</v>
      </c>
      <c r="AD219" s="9">
        <f t="shared" si="208"/>
        <v>0</v>
      </c>
      <c r="AE219" s="9">
        <f t="shared" si="209"/>
        <v>0</v>
      </c>
      <c r="AF219" s="9">
        <f t="shared" si="210"/>
        <v>0</v>
      </c>
      <c r="AG219" s="9">
        <f t="shared" si="211"/>
        <v>0</v>
      </c>
      <c r="AI219" s="10">
        <f t="shared" si="212"/>
        <v>13</v>
      </c>
      <c r="AJ219" s="9">
        <f t="shared" si="193"/>
        <v>50744.256563139279</v>
      </c>
      <c r="AK219" s="9">
        <f t="shared" si="213"/>
        <v>2110.4330906825348</v>
      </c>
      <c r="AL219" s="9">
        <f t="shared" si="214"/>
        <v>0</v>
      </c>
      <c r="AM219" s="9">
        <f t="shared" si="215"/>
        <v>0</v>
      </c>
      <c r="AN219" s="9">
        <f t="shared" si="216"/>
        <v>0</v>
      </c>
      <c r="AO219" s="9">
        <f t="shared" si="217"/>
        <v>0</v>
      </c>
    </row>
    <row r="220" spans="11:41" x14ac:dyDescent="0.3">
      <c r="K220" s="10">
        <f t="shared" si="194"/>
        <v>14</v>
      </c>
      <c r="L220" s="9">
        <f t="shared" si="190"/>
        <v>39085.522303050566</v>
      </c>
      <c r="M220" s="9">
        <f t="shared" si="195"/>
        <v>1061.1470072745508</v>
      </c>
      <c r="N220" s="9">
        <f t="shared" si="196"/>
        <v>1265.009636272426</v>
      </c>
      <c r="O220" s="9">
        <f t="shared" si="197"/>
        <v>1061.1470072745508</v>
      </c>
      <c r="P220" s="9">
        <f t="shared" si="198"/>
        <v>701.54318110034546</v>
      </c>
      <c r="Q220" s="9">
        <f t="shared" si="199"/>
        <v>203.86262899787516</v>
      </c>
      <c r="S220" s="10">
        <f t="shared" si="200"/>
        <v>14</v>
      </c>
      <c r="T220" s="9">
        <f t="shared" si="191"/>
        <v>22569.322032333897</v>
      </c>
      <c r="U220" s="9">
        <f t="shared" si="201"/>
        <v>0</v>
      </c>
      <c r="V220" s="9">
        <f t="shared" si="202"/>
        <v>9250</v>
      </c>
      <c r="W220" s="9">
        <f t="shared" si="203"/>
        <v>0</v>
      </c>
      <c r="X220" s="9">
        <f t="shared" si="204"/>
        <v>0</v>
      </c>
      <c r="Y220" s="9">
        <f t="shared" si="205"/>
        <v>9250</v>
      </c>
      <c r="AA220" s="10">
        <f t="shared" si="206"/>
        <v>14</v>
      </c>
      <c r="AB220" s="9">
        <f t="shared" si="192"/>
        <v>54988.734135860403</v>
      </c>
      <c r="AC220" s="9">
        <f t="shared" si="207"/>
        <v>2492.4360722274359</v>
      </c>
      <c r="AD220" s="9">
        <f t="shared" si="208"/>
        <v>0</v>
      </c>
      <c r="AE220" s="9">
        <f t="shared" si="209"/>
        <v>0</v>
      </c>
      <c r="AF220" s="9">
        <f t="shared" si="210"/>
        <v>0</v>
      </c>
      <c r="AG220" s="9">
        <f t="shared" si="211"/>
        <v>0</v>
      </c>
      <c r="AI220" s="10">
        <f t="shared" si="212"/>
        <v>14</v>
      </c>
      <c r="AJ220" s="9">
        <f t="shared" si="193"/>
        <v>51759.14169440206</v>
      </c>
      <c r="AK220" s="9">
        <f t="shared" si="213"/>
        <v>2201.7727524961851</v>
      </c>
      <c r="AL220" s="9">
        <f t="shared" si="214"/>
        <v>0</v>
      </c>
      <c r="AM220" s="9">
        <f t="shared" si="215"/>
        <v>0</v>
      </c>
      <c r="AN220" s="9">
        <f t="shared" si="216"/>
        <v>0</v>
      </c>
      <c r="AO220" s="9">
        <f t="shared" si="217"/>
        <v>0</v>
      </c>
    </row>
    <row r="221" spans="11:41" x14ac:dyDescent="0.3">
      <c r="K221" s="10">
        <f t="shared" si="194"/>
        <v>15</v>
      </c>
      <c r="L221" s="9">
        <f t="shared" si="190"/>
        <v>39867.232749111587</v>
      </c>
      <c r="M221" s="9">
        <f t="shared" si="195"/>
        <v>1131.5009474200428</v>
      </c>
      <c r="N221" s="9">
        <f t="shared" si="196"/>
        <v>203.86262899787516</v>
      </c>
      <c r="O221" s="9">
        <f t="shared" si="197"/>
        <v>203.86262899787516</v>
      </c>
      <c r="P221" s="9">
        <f t="shared" si="198"/>
        <v>130.85166404999072</v>
      </c>
      <c r="Q221" s="9">
        <f t="shared" si="199"/>
        <v>0</v>
      </c>
      <c r="S221" s="10">
        <f t="shared" si="200"/>
        <v>15</v>
      </c>
      <c r="T221" s="9">
        <f t="shared" si="191"/>
        <v>23020.708472980579</v>
      </c>
      <c r="U221" s="9">
        <f t="shared" si="201"/>
        <v>0</v>
      </c>
      <c r="V221" s="9">
        <f t="shared" si="202"/>
        <v>9250</v>
      </c>
      <c r="W221" s="9">
        <f t="shared" si="203"/>
        <v>0</v>
      </c>
      <c r="X221" s="9">
        <f t="shared" si="204"/>
        <v>0</v>
      </c>
      <c r="Y221" s="9">
        <f t="shared" si="205"/>
        <v>9250</v>
      </c>
      <c r="AA221" s="10">
        <f t="shared" si="206"/>
        <v>15</v>
      </c>
      <c r="AB221" s="9">
        <f t="shared" si="192"/>
        <v>56088.508818577619</v>
      </c>
      <c r="AC221" s="9">
        <f t="shared" si="207"/>
        <v>2591.4157936719857</v>
      </c>
      <c r="AD221" s="9">
        <f t="shared" si="208"/>
        <v>0</v>
      </c>
      <c r="AE221" s="9">
        <f t="shared" si="209"/>
        <v>0</v>
      </c>
      <c r="AF221" s="9">
        <f t="shared" si="210"/>
        <v>0</v>
      </c>
      <c r="AG221" s="9">
        <f t="shared" si="211"/>
        <v>0</v>
      </c>
      <c r="AI221" s="10">
        <f t="shared" si="212"/>
        <v>15</v>
      </c>
      <c r="AJ221" s="9">
        <f t="shared" si="193"/>
        <v>52794.324528290112</v>
      </c>
      <c r="AK221" s="9">
        <f t="shared" si="213"/>
        <v>2294.9392075461101</v>
      </c>
      <c r="AL221" s="9">
        <f t="shared" si="214"/>
        <v>0</v>
      </c>
      <c r="AM221" s="9">
        <f t="shared" si="215"/>
        <v>0</v>
      </c>
      <c r="AN221" s="9">
        <f t="shared" si="216"/>
        <v>0</v>
      </c>
      <c r="AO221" s="9">
        <f t="shared" si="217"/>
        <v>0</v>
      </c>
    </row>
    <row r="222" spans="11:41" x14ac:dyDescent="0.3">
      <c r="K222" s="10">
        <f t="shared" si="194"/>
        <v>16</v>
      </c>
      <c r="L222" s="9">
        <f t="shared" si="190"/>
        <v>40664.577404093805</v>
      </c>
      <c r="M222" s="9">
        <f t="shared" si="195"/>
        <v>1203.2619663684425</v>
      </c>
      <c r="N222" s="9">
        <f t="shared" si="196"/>
        <v>0</v>
      </c>
      <c r="O222" s="9">
        <f t="shared" si="197"/>
        <v>0</v>
      </c>
      <c r="P222" s="9">
        <f t="shared" si="198"/>
        <v>0</v>
      </c>
      <c r="Q222" s="9">
        <f t="shared" si="199"/>
        <v>0</v>
      </c>
      <c r="S222" s="10">
        <f t="shared" si="200"/>
        <v>16</v>
      </c>
      <c r="T222" s="9">
        <f t="shared" si="191"/>
        <v>23481.122642440183</v>
      </c>
      <c r="U222" s="9">
        <f t="shared" si="201"/>
        <v>0</v>
      </c>
      <c r="V222" s="9">
        <f t="shared" si="202"/>
        <v>9250</v>
      </c>
      <c r="W222" s="9">
        <f t="shared" si="203"/>
        <v>0</v>
      </c>
      <c r="X222" s="9">
        <f t="shared" si="204"/>
        <v>0</v>
      </c>
      <c r="Y222" s="9">
        <f t="shared" si="205"/>
        <v>9250</v>
      </c>
      <c r="AA222" s="10">
        <f t="shared" si="206"/>
        <v>16</v>
      </c>
      <c r="AB222" s="9">
        <f t="shared" si="192"/>
        <v>57210.278994949156</v>
      </c>
      <c r="AC222" s="9">
        <f t="shared" si="207"/>
        <v>2692.375109545424</v>
      </c>
      <c r="AD222" s="9">
        <f t="shared" si="208"/>
        <v>0</v>
      </c>
      <c r="AE222" s="9">
        <f t="shared" si="209"/>
        <v>0</v>
      </c>
      <c r="AF222" s="9">
        <f t="shared" si="210"/>
        <v>0</v>
      </c>
      <c r="AG222" s="9">
        <f t="shared" si="211"/>
        <v>0</v>
      </c>
      <c r="AI222" s="10">
        <f t="shared" si="212"/>
        <v>16</v>
      </c>
      <c r="AJ222" s="9">
        <f t="shared" si="193"/>
        <v>53850.211018855895</v>
      </c>
      <c r="AK222" s="9">
        <f t="shared" si="213"/>
        <v>2389.9689916970306</v>
      </c>
      <c r="AL222" s="9">
        <f t="shared" si="214"/>
        <v>0</v>
      </c>
      <c r="AM222" s="9">
        <f t="shared" si="215"/>
        <v>0</v>
      </c>
      <c r="AN222" s="9">
        <f t="shared" si="216"/>
        <v>0</v>
      </c>
      <c r="AO222" s="9">
        <f t="shared" si="217"/>
        <v>0</v>
      </c>
    </row>
    <row r="223" spans="11:41" x14ac:dyDescent="0.3">
      <c r="K223" s="10">
        <f t="shared" si="194"/>
        <v>17</v>
      </c>
      <c r="L223" s="9">
        <f t="shared" si="190"/>
        <v>41477.86895217569</v>
      </c>
      <c r="M223" s="9">
        <f t="shared" si="195"/>
        <v>1276.458205695812</v>
      </c>
      <c r="N223" s="9">
        <f t="shared" si="196"/>
        <v>0</v>
      </c>
      <c r="O223" s="9">
        <f t="shared" si="197"/>
        <v>0</v>
      </c>
      <c r="P223" s="9">
        <f t="shared" si="198"/>
        <v>0</v>
      </c>
      <c r="Q223" s="9">
        <f t="shared" si="199"/>
        <v>0</v>
      </c>
      <c r="S223" s="10">
        <f t="shared" si="200"/>
        <v>17</v>
      </c>
      <c r="T223" s="9">
        <f t="shared" si="191"/>
        <v>23950.745095288992</v>
      </c>
      <c r="U223" s="9">
        <f t="shared" si="201"/>
        <v>0</v>
      </c>
      <c r="V223" s="9">
        <f t="shared" si="202"/>
        <v>9250</v>
      </c>
      <c r="W223" s="9">
        <f t="shared" si="203"/>
        <v>0</v>
      </c>
      <c r="X223" s="9">
        <f t="shared" si="204"/>
        <v>0</v>
      </c>
      <c r="Y223" s="9">
        <f t="shared" si="205"/>
        <v>9250</v>
      </c>
      <c r="AA223" s="10">
        <f t="shared" si="206"/>
        <v>17</v>
      </c>
      <c r="AB223" s="9">
        <f t="shared" si="192"/>
        <v>58354.484574848146</v>
      </c>
      <c r="AC223" s="9">
        <f t="shared" si="207"/>
        <v>2795.3536117363328</v>
      </c>
      <c r="AD223" s="9">
        <f t="shared" si="208"/>
        <v>0</v>
      </c>
      <c r="AE223" s="9">
        <f t="shared" si="209"/>
        <v>0</v>
      </c>
      <c r="AF223" s="9">
        <f t="shared" si="210"/>
        <v>0</v>
      </c>
      <c r="AG223" s="9">
        <f t="shared" si="211"/>
        <v>0</v>
      </c>
      <c r="AI223" s="10">
        <f t="shared" si="212"/>
        <v>17</v>
      </c>
      <c r="AJ223" s="9">
        <f t="shared" si="193"/>
        <v>54927.215239233024</v>
      </c>
      <c r="AK223" s="9">
        <f t="shared" si="213"/>
        <v>2486.8993715309721</v>
      </c>
      <c r="AL223" s="9">
        <f t="shared" si="214"/>
        <v>0</v>
      </c>
      <c r="AM223" s="9">
        <f t="shared" si="215"/>
        <v>0</v>
      </c>
      <c r="AN223" s="9">
        <f t="shared" si="216"/>
        <v>0</v>
      </c>
      <c r="AO223" s="9">
        <f t="shared" si="217"/>
        <v>0</v>
      </c>
    </row>
    <row r="224" spans="11:41" x14ac:dyDescent="0.3">
      <c r="K224" s="10">
        <f t="shared" si="194"/>
        <v>18</v>
      </c>
      <c r="L224" s="9">
        <f t="shared" si="190"/>
        <v>42307.426331219205</v>
      </c>
      <c r="M224" s="9">
        <f t="shared" si="195"/>
        <v>1351.1183698097284</v>
      </c>
      <c r="N224" s="9">
        <f t="shared" si="196"/>
        <v>0</v>
      </c>
      <c r="O224" s="9">
        <f t="shared" si="197"/>
        <v>0</v>
      </c>
      <c r="P224" s="9">
        <f t="shared" si="198"/>
        <v>0</v>
      </c>
      <c r="Q224" s="9">
        <f t="shared" si="199"/>
        <v>0</v>
      </c>
      <c r="S224" s="10">
        <f t="shared" si="200"/>
        <v>18</v>
      </c>
      <c r="T224" s="9">
        <f t="shared" si="191"/>
        <v>24429.759997194775</v>
      </c>
      <c r="U224" s="9">
        <f t="shared" si="201"/>
        <v>0</v>
      </c>
      <c r="V224" s="9">
        <f t="shared" si="202"/>
        <v>9250</v>
      </c>
      <c r="W224" s="9">
        <f t="shared" si="203"/>
        <v>0</v>
      </c>
      <c r="X224" s="9">
        <f t="shared" si="204"/>
        <v>0</v>
      </c>
      <c r="Y224" s="9">
        <f t="shared" si="205"/>
        <v>9250</v>
      </c>
      <c r="AA224" s="10">
        <f t="shared" si="206"/>
        <v>18</v>
      </c>
      <c r="AB224" s="9">
        <f t="shared" si="192"/>
        <v>59521.574266345116</v>
      </c>
      <c r="AC224" s="9">
        <f t="shared" si="207"/>
        <v>2900.3916839710605</v>
      </c>
      <c r="AD224" s="9">
        <f t="shared" si="208"/>
        <v>0</v>
      </c>
      <c r="AE224" s="9">
        <f t="shared" si="209"/>
        <v>0</v>
      </c>
      <c r="AF224" s="9">
        <f t="shared" si="210"/>
        <v>0</v>
      </c>
      <c r="AG224" s="9">
        <f t="shared" si="211"/>
        <v>0</v>
      </c>
      <c r="AI224" s="10">
        <f t="shared" si="212"/>
        <v>18</v>
      </c>
      <c r="AJ224" s="9">
        <f t="shared" si="193"/>
        <v>56025.759544017688</v>
      </c>
      <c r="AK224" s="9">
        <f t="shared" si="213"/>
        <v>2585.7683589615917</v>
      </c>
      <c r="AL224" s="9">
        <f t="shared" si="214"/>
        <v>0</v>
      </c>
      <c r="AM224" s="9">
        <f t="shared" si="215"/>
        <v>0</v>
      </c>
      <c r="AN224" s="9">
        <f t="shared" si="216"/>
        <v>0</v>
      </c>
      <c r="AO224" s="9">
        <f t="shared" si="217"/>
        <v>0</v>
      </c>
    </row>
    <row r="225" spans="11:41" x14ac:dyDescent="0.3">
      <c r="K225" s="10">
        <f>K224+1</f>
        <v>19</v>
      </c>
      <c r="L225" s="9">
        <f t="shared" si="190"/>
        <v>43153.574857843581</v>
      </c>
      <c r="M225" s="9">
        <f t="shared" si="195"/>
        <v>1427.2717372059224</v>
      </c>
      <c r="N225" s="9">
        <f t="shared" si="196"/>
        <v>0</v>
      </c>
      <c r="O225" s="9">
        <f t="shared" si="197"/>
        <v>0</v>
      </c>
      <c r="P225" s="9">
        <f t="shared" si="198"/>
        <v>0</v>
      </c>
      <c r="Q225" s="9">
        <f t="shared" si="199"/>
        <v>0</v>
      </c>
      <c r="S225" s="10">
        <f>S224+1</f>
        <v>19</v>
      </c>
      <c r="T225" s="9">
        <f t="shared" si="191"/>
        <v>24918.355197138666</v>
      </c>
      <c r="U225" s="9">
        <f t="shared" si="201"/>
        <v>0</v>
      </c>
      <c r="V225" s="9">
        <f t="shared" si="202"/>
        <v>9250</v>
      </c>
      <c r="W225" s="9">
        <f t="shared" si="203"/>
        <v>0</v>
      </c>
      <c r="X225" s="9">
        <f t="shared" si="204"/>
        <v>0</v>
      </c>
      <c r="Y225" s="9">
        <f t="shared" si="205"/>
        <v>9250</v>
      </c>
      <c r="AA225" s="10">
        <f>AA224+1</f>
        <v>19</v>
      </c>
      <c r="AB225" s="9">
        <f t="shared" si="192"/>
        <v>60712.005751672012</v>
      </c>
      <c r="AC225" s="9">
        <f t="shared" si="207"/>
        <v>3007.5305176504808</v>
      </c>
      <c r="AD225" s="9">
        <f t="shared" si="208"/>
        <v>0</v>
      </c>
      <c r="AE225" s="9">
        <f t="shared" si="209"/>
        <v>0</v>
      </c>
      <c r="AF225" s="9">
        <f t="shared" si="210"/>
        <v>0</v>
      </c>
      <c r="AG225" s="9">
        <f t="shared" si="211"/>
        <v>0</v>
      </c>
      <c r="AI225" s="10">
        <f>AI224+1</f>
        <v>19</v>
      </c>
      <c r="AJ225" s="9">
        <f t="shared" si="193"/>
        <v>57146.274734898034</v>
      </c>
      <c r="AK225" s="9">
        <f t="shared" si="213"/>
        <v>2686.6147261408228</v>
      </c>
      <c r="AL225" s="9">
        <f t="shared" si="214"/>
        <v>0</v>
      </c>
      <c r="AM225" s="9">
        <f t="shared" si="215"/>
        <v>0</v>
      </c>
      <c r="AN225" s="9">
        <f t="shared" si="216"/>
        <v>0</v>
      </c>
      <c r="AO225" s="9">
        <f t="shared" si="217"/>
        <v>0</v>
      </c>
    </row>
    <row r="226" spans="11:41" x14ac:dyDescent="0.3">
      <c r="K226" s="10">
        <f t="shared" ref="K226:K231" si="218">K225+1</f>
        <v>20</v>
      </c>
      <c r="L226" s="9">
        <f t="shared" si="190"/>
        <v>44016.646355000456</v>
      </c>
      <c r="M226" s="9">
        <f t="shared" si="195"/>
        <v>1504.9481719500409</v>
      </c>
      <c r="N226" s="9">
        <f t="shared" si="196"/>
        <v>0</v>
      </c>
      <c r="O226" s="9">
        <f t="shared" si="197"/>
        <v>0</v>
      </c>
      <c r="P226" s="9">
        <f t="shared" si="198"/>
        <v>0</v>
      </c>
      <c r="Q226" s="9">
        <f t="shared" si="199"/>
        <v>0</v>
      </c>
      <c r="S226" s="10">
        <f t="shared" ref="S226:S231" si="219">S225+1</f>
        <v>20</v>
      </c>
      <c r="T226" s="9">
        <f t="shared" si="191"/>
        <v>25416.722301081438</v>
      </c>
      <c r="U226" s="9">
        <f t="shared" si="201"/>
        <v>0</v>
      </c>
      <c r="V226" s="9">
        <f t="shared" si="202"/>
        <v>9250</v>
      </c>
      <c r="W226" s="9">
        <f t="shared" si="203"/>
        <v>0</v>
      </c>
      <c r="X226" s="9">
        <f t="shared" si="204"/>
        <v>0</v>
      </c>
      <c r="Y226" s="9">
        <f t="shared" si="205"/>
        <v>9250</v>
      </c>
      <c r="AA226" s="10">
        <f t="shared" ref="AA226:AA231" si="220">AA225+1</f>
        <v>20</v>
      </c>
      <c r="AB226" s="9">
        <f t="shared" si="192"/>
        <v>61926.245866705445</v>
      </c>
      <c r="AC226" s="9">
        <f t="shared" si="207"/>
        <v>3116.8121280034898</v>
      </c>
      <c r="AD226" s="9">
        <f t="shared" si="208"/>
        <v>0</v>
      </c>
      <c r="AE226" s="9">
        <f t="shared" si="209"/>
        <v>0</v>
      </c>
      <c r="AF226" s="9">
        <f t="shared" si="210"/>
        <v>0</v>
      </c>
      <c r="AG226" s="9">
        <f t="shared" si="211"/>
        <v>0</v>
      </c>
      <c r="AI226" s="10">
        <f t="shared" ref="AI226:AI231" si="221">AI225+1</f>
        <v>20</v>
      </c>
      <c r="AJ226" s="9">
        <f t="shared" si="193"/>
        <v>58289.200229595997</v>
      </c>
      <c r="AK226" s="9">
        <f t="shared" si="213"/>
        <v>2789.4780206636397</v>
      </c>
      <c r="AL226" s="9">
        <f t="shared" si="214"/>
        <v>0</v>
      </c>
      <c r="AM226" s="9">
        <f t="shared" si="215"/>
        <v>0</v>
      </c>
      <c r="AN226" s="9">
        <f t="shared" si="216"/>
        <v>0</v>
      </c>
      <c r="AO226" s="9">
        <f t="shared" si="217"/>
        <v>0</v>
      </c>
    </row>
    <row r="227" spans="11:41" x14ac:dyDescent="0.3">
      <c r="K227" s="10">
        <f t="shared" si="218"/>
        <v>21</v>
      </c>
      <c r="L227" s="9">
        <f t="shared" si="190"/>
        <v>44896.979282100467</v>
      </c>
      <c r="M227" s="9">
        <f t="shared" si="195"/>
        <v>1584.1781353890419</v>
      </c>
      <c r="N227" s="9">
        <f t="shared" si="196"/>
        <v>0</v>
      </c>
      <c r="O227" s="9">
        <f t="shared" si="197"/>
        <v>0</v>
      </c>
      <c r="P227" s="9">
        <f t="shared" si="198"/>
        <v>0</v>
      </c>
      <c r="Q227" s="9">
        <f t="shared" si="199"/>
        <v>0</v>
      </c>
      <c r="S227" s="10">
        <f t="shared" si="219"/>
        <v>21</v>
      </c>
      <c r="T227" s="9">
        <f t="shared" si="191"/>
        <v>25925.05674710307</v>
      </c>
      <c r="U227" s="9">
        <f t="shared" si="201"/>
        <v>0</v>
      </c>
      <c r="V227" s="9">
        <f t="shared" si="202"/>
        <v>9250</v>
      </c>
      <c r="W227" s="9">
        <f t="shared" si="203"/>
        <v>0</v>
      </c>
      <c r="X227" s="9">
        <f t="shared" si="204"/>
        <v>0</v>
      </c>
      <c r="Y227" s="9">
        <f t="shared" si="205"/>
        <v>9250</v>
      </c>
      <c r="AA227" s="10">
        <f t="shared" si="220"/>
        <v>21</v>
      </c>
      <c r="AB227" s="9">
        <f t="shared" si="192"/>
        <v>63164.77078403956</v>
      </c>
      <c r="AC227" s="9">
        <f t="shared" si="207"/>
        <v>3228.2793705635604</v>
      </c>
      <c r="AD227" s="9">
        <f t="shared" si="208"/>
        <v>0</v>
      </c>
      <c r="AE227" s="9">
        <f t="shared" si="209"/>
        <v>0</v>
      </c>
      <c r="AF227" s="9">
        <f t="shared" si="210"/>
        <v>0</v>
      </c>
      <c r="AG227" s="9">
        <f t="shared" si="211"/>
        <v>0</v>
      </c>
      <c r="AI227" s="10">
        <f t="shared" si="221"/>
        <v>21</v>
      </c>
      <c r="AJ227" s="9">
        <f t="shared" si="193"/>
        <v>59454.984234187919</v>
      </c>
      <c r="AK227" s="9">
        <f t="shared" si="213"/>
        <v>2894.3985810769127</v>
      </c>
      <c r="AL227" s="9">
        <f t="shared" si="214"/>
        <v>0</v>
      </c>
      <c r="AM227" s="9">
        <f t="shared" si="215"/>
        <v>0</v>
      </c>
      <c r="AN227" s="9">
        <f t="shared" si="216"/>
        <v>0</v>
      </c>
      <c r="AO227" s="9">
        <f t="shared" si="217"/>
        <v>0</v>
      </c>
    </row>
    <row r="228" spans="11:41" x14ac:dyDescent="0.3">
      <c r="K228" s="10">
        <f t="shared" si="218"/>
        <v>22</v>
      </c>
      <c r="L228" s="9">
        <f t="shared" si="190"/>
        <v>45794.918867742475</v>
      </c>
      <c r="M228" s="9">
        <f t="shared" si="195"/>
        <v>1664.9926980968228</v>
      </c>
      <c r="N228" s="9">
        <f t="shared" si="196"/>
        <v>0</v>
      </c>
      <c r="O228" s="9">
        <f t="shared" si="197"/>
        <v>0</v>
      </c>
      <c r="P228" s="9">
        <f t="shared" si="198"/>
        <v>0</v>
      </c>
      <c r="Q228" s="9">
        <f t="shared" si="199"/>
        <v>0</v>
      </c>
      <c r="S228" s="10">
        <f t="shared" si="219"/>
        <v>22</v>
      </c>
      <c r="T228" s="9">
        <f t="shared" si="191"/>
        <v>26443.55788204513</v>
      </c>
      <c r="U228" s="9">
        <f t="shared" si="201"/>
        <v>0</v>
      </c>
      <c r="V228" s="9">
        <f t="shared" si="202"/>
        <v>9250</v>
      </c>
      <c r="W228" s="9">
        <f t="shared" si="203"/>
        <v>0</v>
      </c>
      <c r="X228" s="9">
        <f t="shared" si="204"/>
        <v>0</v>
      </c>
      <c r="Y228" s="9">
        <f t="shared" si="205"/>
        <v>9250</v>
      </c>
      <c r="AA228" s="10">
        <f t="shared" si="220"/>
        <v>22</v>
      </c>
      <c r="AB228" s="9">
        <f t="shared" si="192"/>
        <v>64428.06619972035</v>
      </c>
      <c r="AC228" s="9">
        <f t="shared" si="207"/>
        <v>3341.9759579748315</v>
      </c>
      <c r="AD228" s="9">
        <f t="shared" si="208"/>
        <v>0</v>
      </c>
      <c r="AE228" s="9">
        <f t="shared" si="209"/>
        <v>0</v>
      </c>
      <c r="AF228" s="9">
        <f t="shared" si="210"/>
        <v>0</v>
      </c>
      <c r="AG228" s="9">
        <f t="shared" si="211"/>
        <v>0</v>
      </c>
      <c r="AI228" s="10">
        <f t="shared" si="221"/>
        <v>22</v>
      </c>
      <c r="AJ228" s="9">
        <f t="shared" si="193"/>
        <v>60644.083918871671</v>
      </c>
      <c r="AK228" s="9">
        <f t="shared" si="213"/>
        <v>3001.4175526984504</v>
      </c>
      <c r="AL228" s="9">
        <f t="shared" si="214"/>
        <v>0</v>
      </c>
      <c r="AM228" s="9">
        <f t="shared" si="215"/>
        <v>0</v>
      </c>
      <c r="AN228" s="9">
        <f t="shared" si="216"/>
        <v>0</v>
      </c>
      <c r="AO228" s="9">
        <f t="shared" si="217"/>
        <v>0</v>
      </c>
    </row>
    <row r="229" spans="11:41" x14ac:dyDescent="0.3">
      <c r="K229" s="10">
        <f t="shared" si="218"/>
        <v>23</v>
      </c>
      <c r="L229" s="9">
        <f t="shared" si="190"/>
        <v>46710.817245097329</v>
      </c>
      <c r="M229" s="9">
        <f t="shared" si="195"/>
        <v>1747.4235520587595</v>
      </c>
      <c r="N229" s="9">
        <f t="shared" si="196"/>
        <v>0</v>
      </c>
      <c r="O229" s="9">
        <f t="shared" si="197"/>
        <v>0</v>
      </c>
      <c r="P229" s="9">
        <f t="shared" si="198"/>
        <v>0</v>
      </c>
      <c r="Q229" s="9">
        <f t="shared" si="199"/>
        <v>0</v>
      </c>
      <c r="S229" s="10">
        <f t="shared" si="219"/>
        <v>23</v>
      </c>
      <c r="T229" s="9">
        <f t="shared" si="191"/>
        <v>26972.429039686034</v>
      </c>
      <c r="U229" s="9">
        <f t="shared" si="201"/>
        <v>0</v>
      </c>
      <c r="V229" s="9">
        <f t="shared" si="202"/>
        <v>9250</v>
      </c>
      <c r="W229" s="9">
        <f t="shared" si="203"/>
        <v>0</v>
      </c>
      <c r="X229" s="9">
        <f t="shared" si="204"/>
        <v>0</v>
      </c>
      <c r="Y229" s="9">
        <f t="shared" si="205"/>
        <v>9250</v>
      </c>
      <c r="AA229" s="10">
        <f t="shared" si="220"/>
        <v>23</v>
      </c>
      <c r="AB229" s="9">
        <f t="shared" si="192"/>
        <v>65716.627523714764</v>
      </c>
      <c r="AC229" s="9">
        <f t="shared" si="207"/>
        <v>3457.9464771343287</v>
      </c>
      <c r="AD229" s="9">
        <f t="shared" si="208"/>
        <v>0</v>
      </c>
      <c r="AE229" s="9">
        <f t="shared" si="209"/>
        <v>0</v>
      </c>
      <c r="AF229" s="9">
        <f t="shared" si="210"/>
        <v>0</v>
      </c>
      <c r="AG229" s="9">
        <f t="shared" si="211"/>
        <v>0</v>
      </c>
      <c r="AI229" s="10">
        <f t="shared" si="221"/>
        <v>23</v>
      </c>
      <c r="AJ229" s="9">
        <f t="shared" si="193"/>
        <v>61856.965597249109</v>
      </c>
      <c r="AK229" s="9">
        <f t="shared" si="213"/>
        <v>3110.5769037524196</v>
      </c>
      <c r="AL229" s="9">
        <f t="shared" si="214"/>
        <v>0</v>
      </c>
      <c r="AM229" s="9">
        <f t="shared" si="215"/>
        <v>0</v>
      </c>
      <c r="AN229" s="9">
        <f t="shared" si="216"/>
        <v>0</v>
      </c>
      <c r="AO229" s="9">
        <f t="shared" si="217"/>
        <v>0</v>
      </c>
    </row>
    <row r="230" spans="11:41" x14ac:dyDescent="0.3">
      <c r="K230" s="10">
        <f t="shared" si="218"/>
        <v>24</v>
      </c>
      <c r="L230" s="9">
        <f t="shared" si="190"/>
        <v>47645.033589999264</v>
      </c>
      <c r="M230" s="9">
        <f t="shared" si="195"/>
        <v>1831.5030230999337</v>
      </c>
      <c r="N230" s="9">
        <f t="shared" si="196"/>
        <v>0</v>
      </c>
      <c r="O230" s="9">
        <f t="shared" si="197"/>
        <v>0</v>
      </c>
      <c r="P230" s="9">
        <f t="shared" si="198"/>
        <v>0</v>
      </c>
      <c r="Q230" s="9">
        <f t="shared" si="199"/>
        <v>0</v>
      </c>
      <c r="S230" s="10">
        <f t="shared" si="219"/>
        <v>24</v>
      </c>
      <c r="T230" s="9">
        <f t="shared" si="191"/>
        <v>27511.87762047975</v>
      </c>
      <c r="U230" s="9">
        <f t="shared" si="201"/>
        <v>19.518985843177543</v>
      </c>
      <c r="V230" s="9">
        <f t="shared" si="202"/>
        <v>9250</v>
      </c>
      <c r="W230" s="9">
        <f t="shared" si="203"/>
        <v>19.518985843177543</v>
      </c>
      <c r="X230" s="9">
        <f t="shared" si="204"/>
        <v>9.602047635392319</v>
      </c>
      <c r="Y230" s="9">
        <f t="shared" si="205"/>
        <v>9230.4810141568232</v>
      </c>
      <c r="AA230" s="10">
        <f t="shared" si="220"/>
        <v>24</v>
      </c>
      <c r="AB230" s="9">
        <f t="shared" si="192"/>
        <v>67030.960074189046</v>
      </c>
      <c r="AC230" s="9">
        <f t="shared" si="207"/>
        <v>3576.2364066770142</v>
      </c>
      <c r="AD230" s="9">
        <f t="shared" si="208"/>
        <v>0</v>
      </c>
      <c r="AE230" s="9">
        <f t="shared" si="209"/>
        <v>0</v>
      </c>
      <c r="AF230" s="9">
        <f t="shared" si="210"/>
        <v>0</v>
      </c>
      <c r="AG230" s="9">
        <f t="shared" si="211"/>
        <v>0</v>
      </c>
      <c r="AI230" s="10">
        <f t="shared" si="221"/>
        <v>24</v>
      </c>
      <c r="AJ230" s="9">
        <f t="shared" si="193"/>
        <v>63094.10490919408</v>
      </c>
      <c r="AK230" s="9">
        <f t="shared" si="213"/>
        <v>3221.9194418274669</v>
      </c>
      <c r="AL230" s="9">
        <f t="shared" si="214"/>
        <v>0</v>
      </c>
      <c r="AM230" s="9">
        <f t="shared" si="215"/>
        <v>0</v>
      </c>
      <c r="AN230" s="9">
        <f t="shared" si="216"/>
        <v>0</v>
      </c>
      <c r="AO230" s="9">
        <f t="shared" si="217"/>
        <v>0</v>
      </c>
    </row>
    <row r="231" spans="11:41" x14ac:dyDescent="0.3">
      <c r="K231" s="10">
        <f t="shared" si="218"/>
        <v>25</v>
      </c>
      <c r="L231" s="9">
        <f t="shared" si="190"/>
        <v>48597.934261799252</v>
      </c>
      <c r="M231" s="9">
        <f t="shared" si="195"/>
        <v>1917.2640835619325</v>
      </c>
      <c r="N231" s="9">
        <f t="shared" si="196"/>
        <v>0</v>
      </c>
      <c r="O231" s="9">
        <f t="shared" si="197"/>
        <v>0</v>
      </c>
      <c r="P231" s="9">
        <f t="shared" si="198"/>
        <v>0</v>
      </c>
      <c r="Q231" s="9">
        <f t="shared" si="199"/>
        <v>0</v>
      </c>
      <c r="S231" s="10">
        <f t="shared" si="219"/>
        <v>25</v>
      </c>
      <c r="T231" s="9">
        <f t="shared" si="191"/>
        <v>28062.115172889346</v>
      </c>
      <c r="U231" s="9">
        <f t="shared" si="201"/>
        <v>69.040365560041096</v>
      </c>
      <c r="V231" s="9">
        <f t="shared" si="202"/>
        <v>9230.4810141568232</v>
      </c>
      <c r="W231" s="9">
        <f t="shared" si="203"/>
        <v>69.040365560041096</v>
      </c>
      <c r="X231" s="9">
        <f t="shared" si="204"/>
        <v>32.974063095336511</v>
      </c>
      <c r="Y231" s="9">
        <f t="shared" si="205"/>
        <v>9161.4406485967829</v>
      </c>
      <c r="AA231" s="10">
        <f t="shared" si="220"/>
        <v>25</v>
      </c>
      <c r="AB231" s="9">
        <f t="shared" si="192"/>
        <v>68371.579275672833</v>
      </c>
      <c r="AC231" s="9">
        <f t="shared" si="207"/>
        <v>3696.892134810555</v>
      </c>
      <c r="AD231" s="9">
        <f t="shared" si="208"/>
        <v>0</v>
      </c>
      <c r="AE231" s="9">
        <f t="shared" si="209"/>
        <v>0</v>
      </c>
      <c r="AF231" s="9">
        <f t="shared" si="210"/>
        <v>0</v>
      </c>
      <c r="AG231" s="9">
        <f t="shared" si="211"/>
        <v>0</v>
      </c>
      <c r="AI231" s="10">
        <f t="shared" si="221"/>
        <v>25</v>
      </c>
      <c r="AJ231" s="9">
        <f t="shared" si="193"/>
        <v>64355.987007377968</v>
      </c>
      <c r="AK231" s="9">
        <f t="shared" si="213"/>
        <v>3335.4888306640169</v>
      </c>
      <c r="AL231" s="9">
        <f t="shared" si="214"/>
        <v>0</v>
      </c>
      <c r="AM231" s="9">
        <f t="shared" si="215"/>
        <v>0</v>
      </c>
      <c r="AN231" s="9">
        <f t="shared" si="216"/>
        <v>0</v>
      </c>
      <c r="AO231" s="9">
        <f t="shared" si="217"/>
        <v>0</v>
      </c>
    </row>
    <row r="232" spans="11:41" x14ac:dyDescent="0.3">
      <c r="K232" s="10">
        <f>K231+1</f>
        <v>26</v>
      </c>
      <c r="L232" s="9">
        <f t="shared" si="190"/>
        <v>49569.892947035238</v>
      </c>
      <c r="M232" s="9">
        <f t="shared" si="195"/>
        <v>2004.7403652331714</v>
      </c>
      <c r="N232" s="9">
        <f t="shared" si="196"/>
        <v>0</v>
      </c>
      <c r="O232" s="9">
        <f t="shared" si="197"/>
        <v>0</v>
      </c>
      <c r="P232" s="9">
        <f t="shared" si="198"/>
        <v>0</v>
      </c>
      <c r="Q232" s="9">
        <f t="shared" si="199"/>
        <v>0</v>
      </c>
      <c r="S232" s="10">
        <f>S231+1</f>
        <v>26</v>
      </c>
      <c r="T232" s="9">
        <f t="shared" si="191"/>
        <v>28623.357476347133</v>
      </c>
      <c r="U232" s="9">
        <f t="shared" si="201"/>
        <v>119.55217287124199</v>
      </c>
      <c r="V232" s="9">
        <f t="shared" si="202"/>
        <v>9161.4406485967829</v>
      </c>
      <c r="W232" s="9">
        <f t="shared" si="203"/>
        <v>119.55217287124199</v>
      </c>
      <c r="X232" s="9">
        <f t="shared" si="204"/>
        <v>55.43571221421152</v>
      </c>
      <c r="Y232" s="9">
        <f t="shared" si="205"/>
        <v>9041.88847572554</v>
      </c>
      <c r="AA232" s="10">
        <f>AA231+1</f>
        <v>26</v>
      </c>
      <c r="AB232" s="9">
        <f t="shared" si="192"/>
        <v>69739.010861186282</v>
      </c>
      <c r="AC232" s="9">
        <f t="shared" si="207"/>
        <v>3819.9609775067652</v>
      </c>
      <c r="AD232" s="9">
        <f t="shared" si="208"/>
        <v>0</v>
      </c>
      <c r="AE232" s="9">
        <f t="shared" si="209"/>
        <v>0</v>
      </c>
      <c r="AF232" s="9">
        <f t="shared" si="210"/>
        <v>0</v>
      </c>
      <c r="AG232" s="9">
        <f t="shared" si="211"/>
        <v>0</v>
      </c>
      <c r="AI232" s="10">
        <f>AI231+1</f>
        <v>26</v>
      </c>
      <c r="AJ232" s="9">
        <f t="shared" si="193"/>
        <v>65643.106747525526</v>
      </c>
      <c r="AK232" s="9">
        <f t="shared" si="213"/>
        <v>3451.3296072772973</v>
      </c>
      <c r="AL232" s="9">
        <f t="shared" si="214"/>
        <v>0</v>
      </c>
      <c r="AM232" s="9">
        <f t="shared" si="215"/>
        <v>0</v>
      </c>
      <c r="AN232" s="9">
        <f t="shared" si="216"/>
        <v>0</v>
      </c>
      <c r="AO232" s="9">
        <f t="shared" si="217"/>
        <v>0</v>
      </c>
    </row>
    <row r="233" spans="11:41" x14ac:dyDescent="0.3">
      <c r="K233" s="10">
        <f t="shared" ref="K233:K236" si="222">K232+1</f>
        <v>27</v>
      </c>
      <c r="L233" s="9">
        <f t="shared" si="190"/>
        <v>50561.29080597595</v>
      </c>
      <c r="M233" s="9">
        <f t="shared" si="195"/>
        <v>2093.9661725378355</v>
      </c>
      <c r="N233" s="9">
        <f t="shared" si="196"/>
        <v>0</v>
      </c>
      <c r="O233" s="9">
        <f t="shared" si="197"/>
        <v>0</v>
      </c>
      <c r="P233" s="9">
        <f t="shared" si="198"/>
        <v>0</v>
      </c>
      <c r="Q233" s="9">
        <f t="shared" si="199"/>
        <v>0</v>
      </c>
      <c r="S233" s="10">
        <f t="shared" ref="S233:S236" si="223">S232+1</f>
        <v>27</v>
      </c>
      <c r="T233" s="9">
        <f t="shared" si="191"/>
        <v>29195.824625874076</v>
      </c>
      <c r="U233" s="9">
        <f t="shared" si="201"/>
        <v>171.07421632866686</v>
      </c>
      <c r="V233" s="9">
        <f t="shared" si="202"/>
        <v>9041.88847572554</v>
      </c>
      <c r="W233" s="9">
        <f t="shared" si="203"/>
        <v>171.07421632866686</v>
      </c>
      <c r="X233" s="9">
        <f t="shared" si="204"/>
        <v>77.015739914831983</v>
      </c>
      <c r="Y233" s="9">
        <f t="shared" si="205"/>
        <v>8870.8142593968732</v>
      </c>
      <c r="AA233" s="10">
        <f t="shared" ref="AA233:AA236" si="224">AA232+1</f>
        <v>27</v>
      </c>
      <c r="AB233" s="9">
        <f t="shared" si="192"/>
        <v>71133.791078410024</v>
      </c>
      <c r="AC233" s="9">
        <f t="shared" si="207"/>
        <v>3945.4911970569019</v>
      </c>
      <c r="AD233" s="9">
        <f t="shared" si="208"/>
        <v>0</v>
      </c>
      <c r="AE233" s="9">
        <f t="shared" si="209"/>
        <v>0</v>
      </c>
      <c r="AF233" s="9">
        <f t="shared" si="210"/>
        <v>0</v>
      </c>
      <c r="AG233" s="9">
        <f t="shared" si="211"/>
        <v>0</v>
      </c>
      <c r="AI233" s="10">
        <f t="shared" ref="AI233:AI236" si="225">AI232+1</f>
        <v>27</v>
      </c>
      <c r="AJ233" s="9">
        <f t="shared" si="193"/>
        <v>66955.968882476038</v>
      </c>
      <c r="AK233" s="9">
        <f t="shared" si="213"/>
        <v>3569.4871994228433</v>
      </c>
      <c r="AL233" s="9">
        <f t="shared" si="214"/>
        <v>0</v>
      </c>
      <c r="AM233" s="9">
        <f t="shared" si="215"/>
        <v>0</v>
      </c>
      <c r="AN233" s="9">
        <f t="shared" si="216"/>
        <v>0</v>
      </c>
      <c r="AO233" s="9">
        <f t="shared" si="217"/>
        <v>0</v>
      </c>
    </row>
    <row r="234" spans="11:41" x14ac:dyDescent="0.3">
      <c r="K234" s="10">
        <f t="shared" si="222"/>
        <v>28</v>
      </c>
      <c r="L234" s="9">
        <f t="shared" si="190"/>
        <v>51572.516622095456</v>
      </c>
      <c r="M234" s="9">
        <f t="shared" si="195"/>
        <v>2184.9764959885911</v>
      </c>
      <c r="N234" s="9">
        <f t="shared" si="196"/>
        <v>0</v>
      </c>
      <c r="O234" s="9">
        <f t="shared" si="197"/>
        <v>0</v>
      </c>
      <c r="P234" s="9">
        <f t="shared" si="198"/>
        <v>0</v>
      </c>
      <c r="Q234" s="9">
        <f t="shared" si="199"/>
        <v>0</v>
      </c>
      <c r="S234" s="10">
        <f t="shared" si="223"/>
        <v>28</v>
      </c>
      <c r="T234" s="9">
        <f t="shared" si="191"/>
        <v>29779.741118391554</v>
      </c>
      <c r="U234" s="9">
        <f t="shared" si="201"/>
        <v>223.62670065523983</v>
      </c>
      <c r="V234" s="9">
        <f t="shared" si="202"/>
        <v>8870.8142593968732</v>
      </c>
      <c r="W234" s="9">
        <f t="shared" si="203"/>
        <v>223.62670065523983</v>
      </c>
      <c r="X234" s="9">
        <f t="shared" si="204"/>
        <v>97.742032244606904</v>
      </c>
      <c r="Y234" s="9">
        <f t="shared" si="205"/>
        <v>8647.1875587416325</v>
      </c>
      <c r="AA234" s="10">
        <f t="shared" si="224"/>
        <v>28</v>
      </c>
      <c r="AB234" s="9">
        <f t="shared" si="192"/>
        <v>72556.466899978201</v>
      </c>
      <c r="AC234" s="9">
        <f t="shared" si="207"/>
        <v>4073.5320209980378</v>
      </c>
      <c r="AD234" s="9">
        <f t="shared" si="208"/>
        <v>0</v>
      </c>
      <c r="AE234" s="9">
        <f t="shared" si="209"/>
        <v>0</v>
      </c>
      <c r="AF234" s="9">
        <f t="shared" si="210"/>
        <v>0</v>
      </c>
      <c r="AG234" s="9">
        <f t="shared" si="211"/>
        <v>0</v>
      </c>
      <c r="AI234" s="10">
        <f t="shared" si="225"/>
        <v>28</v>
      </c>
      <c r="AJ234" s="9">
        <f t="shared" si="193"/>
        <v>68295.088260125558</v>
      </c>
      <c r="AK234" s="9">
        <f t="shared" si="213"/>
        <v>3690.0079434112999</v>
      </c>
      <c r="AL234" s="9">
        <f t="shared" si="214"/>
        <v>0</v>
      </c>
      <c r="AM234" s="9">
        <f t="shared" si="215"/>
        <v>0</v>
      </c>
      <c r="AN234" s="9">
        <f t="shared" si="216"/>
        <v>0</v>
      </c>
      <c r="AO234" s="9">
        <f t="shared" si="217"/>
        <v>0</v>
      </c>
    </row>
    <row r="235" spans="11:41" x14ac:dyDescent="0.3">
      <c r="K235" s="10">
        <f t="shared" si="222"/>
        <v>29</v>
      </c>
      <c r="L235" s="9">
        <f t="shared" si="190"/>
        <v>52603.966954537376</v>
      </c>
      <c r="M235" s="9">
        <f t="shared" si="195"/>
        <v>2277.8070259083638</v>
      </c>
      <c r="N235" s="9">
        <f t="shared" si="196"/>
        <v>0</v>
      </c>
      <c r="O235" s="9">
        <f t="shared" si="197"/>
        <v>0</v>
      </c>
      <c r="P235" s="9">
        <f t="shared" si="198"/>
        <v>0</v>
      </c>
      <c r="Q235" s="9">
        <f t="shared" si="199"/>
        <v>0</v>
      </c>
      <c r="S235" s="10">
        <f t="shared" si="223"/>
        <v>29</v>
      </c>
      <c r="T235" s="9">
        <f t="shared" si="191"/>
        <v>30375.335940759393</v>
      </c>
      <c r="U235" s="9">
        <f t="shared" si="201"/>
        <v>277.2302346683453</v>
      </c>
      <c r="V235" s="9">
        <f t="shared" si="202"/>
        <v>8647.1875587416325</v>
      </c>
      <c r="W235" s="9">
        <f t="shared" si="203"/>
        <v>277.2302346683453</v>
      </c>
      <c r="X235" s="9">
        <f t="shared" si="204"/>
        <v>117.64164160147139</v>
      </c>
      <c r="Y235" s="9">
        <f t="shared" si="205"/>
        <v>8369.957324073288</v>
      </c>
      <c r="AA235" s="10">
        <f t="shared" si="224"/>
        <v>29</v>
      </c>
      <c r="AB235" s="9">
        <f t="shared" si="192"/>
        <v>74007.596237977777</v>
      </c>
      <c r="AC235" s="9">
        <f t="shared" si="207"/>
        <v>4204.133661418</v>
      </c>
      <c r="AD235" s="9">
        <f t="shared" si="208"/>
        <v>0</v>
      </c>
      <c r="AE235" s="9">
        <f t="shared" si="209"/>
        <v>0</v>
      </c>
      <c r="AF235" s="9">
        <f t="shared" si="210"/>
        <v>0</v>
      </c>
      <c r="AG235" s="9">
        <f t="shared" si="211"/>
        <v>0</v>
      </c>
      <c r="AI235" s="10">
        <f t="shared" si="225"/>
        <v>29</v>
      </c>
      <c r="AJ235" s="9">
        <f t="shared" si="193"/>
        <v>69660.990025328079</v>
      </c>
      <c r="AK235" s="9">
        <f t="shared" si="213"/>
        <v>3812.9391022795271</v>
      </c>
      <c r="AL235" s="9">
        <f t="shared" si="214"/>
        <v>0</v>
      </c>
      <c r="AM235" s="9">
        <f t="shared" si="215"/>
        <v>0</v>
      </c>
      <c r="AN235" s="9">
        <f t="shared" si="216"/>
        <v>0</v>
      </c>
      <c r="AO235" s="9">
        <f t="shared" si="217"/>
        <v>0</v>
      </c>
    </row>
    <row r="236" spans="11:41" x14ac:dyDescent="0.3">
      <c r="K236" s="10">
        <f t="shared" si="222"/>
        <v>30</v>
      </c>
      <c r="L236" s="9">
        <f t="shared" si="190"/>
        <v>53656.046293628118</v>
      </c>
      <c r="M236" s="9">
        <f t="shared" si="195"/>
        <v>2372.4941664265307</v>
      </c>
      <c r="N236" s="9">
        <f t="shared" si="196"/>
        <v>0</v>
      </c>
      <c r="O236" s="9">
        <f t="shared" si="197"/>
        <v>0</v>
      </c>
      <c r="P236" s="9">
        <f t="shared" si="198"/>
        <v>0</v>
      </c>
      <c r="Q236" s="9">
        <f t="shared" si="199"/>
        <v>0</v>
      </c>
      <c r="S236" s="10">
        <f t="shared" si="223"/>
        <v>30</v>
      </c>
      <c r="T236" s="9">
        <f t="shared" si="191"/>
        <v>30982.842659574573</v>
      </c>
      <c r="U236" s="9">
        <f t="shared" si="201"/>
        <v>331.90583936171157</v>
      </c>
      <c r="V236" s="9">
        <f t="shared" si="202"/>
        <v>8369.957324073288</v>
      </c>
      <c r="W236" s="9">
        <f t="shared" si="203"/>
        <v>331.90583936171157</v>
      </c>
      <c r="X236" s="9">
        <f t="shared" si="204"/>
        <v>136.74081122303869</v>
      </c>
      <c r="Y236" s="9">
        <f t="shared" si="205"/>
        <v>8038.0514847115764</v>
      </c>
      <c r="AA236" s="10">
        <f t="shared" si="224"/>
        <v>30</v>
      </c>
      <c r="AB236" s="9">
        <f t="shared" si="192"/>
        <v>75487.748162737334</v>
      </c>
      <c r="AC236" s="9">
        <f t="shared" si="207"/>
        <v>4337.3473346463597</v>
      </c>
      <c r="AD236" s="9">
        <f t="shared" si="208"/>
        <v>0</v>
      </c>
      <c r="AE236" s="9">
        <f t="shared" si="209"/>
        <v>0</v>
      </c>
      <c r="AF236" s="9">
        <f t="shared" si="210"/>
        <v>0</v>
      </c>
      <c r="AG236" s="9">
        <f t="shared" si="211"/>
        <v>0</v>
      </c>
      <c r="AI236" s="10">
        <f t="shared" si="225"/>
        <v>30</v>
      </c>
      <c r="AJ236" s="9">
        <f t="shared" si="193"/>
        <v>71054.209825834623</v>
      </c>
      <c r="AK236" s="9">
        <f t="shared" si="213"/>
        <v>3938.3288843251157</v>
      </c>
      <c r="AL236" s="9">
        <f t="shared" si="214"/>
        <v>0</v>
      </c>
      <c r="AM236" s="9">
        <f t="shared" si="215"/>
        <v>0</v>
      </c>
      <c r="AN236" s="9">
        <f t="shared" si="216"/>
        <v>0</v>
      </c>
      <c r="AO236" s="9">
        <f t="shared" si="217"/>
        <v>0</v>
      </c>
    </row>
    <row r="237" spans="11:41" x14ac:dyDescent="0.3">
      <c r="K237" s="9"/>
      <c r="L237" s="9"/>
      <c r="M237" s="9"/>
      <c r="N237" s="9"/>
      <c r="O237" s="9"/>
      <c r="P237" s="9"/>
      <c r="Q237" s="9"/>
      <c r="S237" s="9"/>
      <c r="T237" s="9"/>
      <c r="U237" s="9"/>
      <c r="V237" s="9"/>
      <c r="W237" s="9"/>
      <c r="X237" s="9"/>
      <c r="Y237" s="9"/>
      <c r="AA237" s="9"/>
      <c r="AB237" s="9"/>
      <c r="AC237" s="9"/>
      <c r="AD237" s="9"/>
      <c r="AE237" s="9"/>
      <c r="AF237" s="9"/>
      <c r="AG237" s="9"/>
      <c r="AI237" s="9"/>
      <c r="AJ237" s="9"/>
      <c r="AK237" s="9"/>
      <c r="AL237" s="9"/>
      <c r="AM237" s="9"/>
      <c r="AN237" s="9"/>
      <c r="AO237" s="9"/>
    </row>
    <row r="239" spans="11:41" x14ac:dyDescent="0.3">
      <c r="K239" s="71" t="s">
        <v>76</v>
      </c>
      <c r="L239" s="72"/>
      <c r="M239" s="72"/>
      <c r="N239" s="72"/>
      <c r="O239" s="72"/>
      <c r="P239" s="72"/>
      <c r="Q239" s="73"/>
    </row>
    <row r="240" spans="11:41" ht="28.8" x14ac:dyDescent="0.3">
      <c r="K240" s="14" t="s">
        <v>13</v>
      </c>
      <c r="L240" s="14" t="s">
        <v>14</v>
      </c>
      <c r="M240" s="14" t="s">
        <v>15</v>
      </c>
      <c r="N240" s="14" t="s">
        <v>16</v>
      </c>
      <c r="O240" s="14" t="s">
        <v>17</v>
      </c>
      <c r="P240" s="14" t="s">
        <v>18</v>
      </c>
      <c r="Q240" s="14" t="s">
        <v>19</v>
      </c>
    </row>
    <row r="241" spans="11:17" x14ac:dyDescent="0.3">
      <c r="K241" s="10">
        <v>1</v>
      </c>
      <c r="L241" s="9">
        <f>$F$22*(1+$B$7)^(K241-1)</f>
        <v>21343.48</v>
      </c>
      <c r="M241" s="9">
        <f>$B$5*MAX(0,L241-$B$6)</f>
        <v>0</v>
      </c>
      <c r="N241" s="9">
        <f>$B$2</f>
        <v>9250</v>
      </c>
      <c r="O241" s="9">
        <f>MIN(M241,N241)</f>
        <v>0</v>
      </c>
      <c r="P241" s="9">
        <f>O241/(1+$B$8)^K241</f>
        <v>0</v>
      </c>
      <c r="Q241" s="9">
        <f>N241-O241</f>
        <v>9250</v>
      </c>
    </row>
    <row r="242" spans="11:17" x14ac:dyDescent="0.3">
      <c r="K242" s="10">
        <f>K241+1</f>
        <v>2</v>
      </c>
      <c r="L242" s="9">
        <f t="shared" ref="L242:L270" si="226">$F$22*(1+$B$7)^(K242-1)</f>
        <v>21770.349600000001</v>
      </c>
      <c r="M242" s="9">
        <f>$B$5*MAX(0,L242-$B$6)</f>
        <v>0</v>
      </c>
      <c r="N242" s="9">
        <f>Q241</f>
        <v>9250</v>
      </c>
      <c r="O242" s="9">
        <f>IF(N242&lt;=0,0,MIN(M242,N242))</f>
        <v>0</v>
      </c>
      <c r="P242" s="9">
        <f>O242/(1+$B$8)^K242</f>
        <v>0</v>
      </c>
      <c r="Q242" s="9">
        <f>MAX(0,N242-O242)</f>
        <v>9250</v>
      </c>
    </row>
    <row r="243" spans="11:17" x14ac:dyDescent="0.3">
      <c r="K243" s="10">
        <f t="shared" ref="K243:K258" si="227">K242+1</f>
        <v>3</v>
      </c>
      <c r="L243" s="9">
        <f t="shared" si="226"/>
        <v>22205.756591999998</v>
      </c>
      <c r="M243" s="9">
        <f t="shared" ref="M243:M270" si="228">$B$5*MAX(0,L243-$B$6)</f>
        <v>0</v>
      </c>
      <c r="N243" s="9">
        <f t="shared" ref="N243:N270" si="229">Q242</f>
        <v>9250</v>
      </c>
      <c r="O243" s="9">
        <f t="shared" ref="O243:O270" si="230">IF(N243&lt;=0,0,MIN(M243,N243))</f>
        <v>0</v>
      </c>
      <c r="P243" s="9">
        <f t="shared" ref="P243:P270" si="231">O243/(1+$B$8)^K243</f>
        <v>0</v>
      </c>
      <c r="Q243" s="9">
        <f t="shared" ref="Q243:Q270" si="232">MAX(0,N243-O243)</f>
        <v>9250</v>
      </c>
    </row>
    <row r="244" spans="11:17" x14ac:dyDescent="0.3">
      <c r="K244" s="10">
        <f t="shared" si="227"/>
        <v>4</v>
      </c>
      <c r="L244" s="9">
        <f t="shared" si="226"/>
        <v>22649.871723839999</v>
      </c>
      <c r="M244" s="9">
        <f t="shared" si="228"/>
        <v>0</v>
      </c>
      <c r="N244" s="9">
        <f t="shared" si="229"/>
        <v>9250</v>
      </c>
      <c r="O244" s="9">
        <f t="shared" si="230"/>
        <v>0</v>
      </c>
      <c r="P244" s="9">
        <f t="shared" si="231"/>
        <v>0</v>
      </c>
      <c r="Q244" s="9">
        <f t="shared" si="232"/>
        <v>9250</v>
      </c>
    </row>
    <row r="245" spans="11:17" x14ac:dyDescent="0.3">
      <c r="K245" s="10">
        <f t="shared" si="227"/>
        <v>5</v>
      </c>
      <c r="L245" s="9">
        <f t="shared" si="226"/>
        <v>23102.8691583168</v>
      </c>
      <c r="M245" s="9">
        <f t="shared" si="228"/>
        <v>0</v>
      </c>
      <c r="N245" s="9">
        <f t="shared" si="229"/>
        <v>9250</v>
      </c>
      <c r="O245" s="9">
        <f t="shared" si="230"/>
        <v>0</v>
      </c>
      <c r="P245" s="9">
        <f t="shared" si="231"/>
        <v>0</v>
      </c>
      <c r="Q245" s="9">
        <f t="shared" si="232"/>
        <v>9250</v>
      </c>
    </row>
    <row r="246" spans="11:17" x14ac:dyDescent="0.3">
      <c r="K246" s="10">
        <f t="shared" si="227"/>
        <v>6</v>
      </c>
      <c r="L246" s="9">
        <f t="shared" si="226"/>
        <v>23564.926541483135</v>
      </c>
      <c r="M246" s="9">
        <f t="shared" si="228"/>
        <v>0</v>
      </c>
      <c r="N246" s="9">
        <f t="shared" si="229"/>
        <v>9250</v>
      </c>
      <c r="O246" s="9">
        <f t="shared" si="230"/>
        <v>0</v>
      </c>
      <c r="P246" s="9">
        <f t="shared" si="231"/>
        <v>0</v>
      </c>
      <c r="Q246" s="9">
        <f t="shared" si="232"/>
        <v>9250</v>
      </c>
    </row>
    <row r="247" spans="11:17" x14ac:dyDescent="0.3">
      <c r="K247" s="10">
        <f t="shared" si="227"/>
        <v>7</v>
      </c>
      <c r="L247" s="9">
        <f t="shared" si="226"/>
        <v>24036.225072312798</v>
      </c>
      <c r="M247" s="9">
        <f t="shared" si="228"/>
        <v>0</v>
      </c>
      <c r="N247" s="9">
        <f t="shared" si="229"/>
        <v>9250</v>
      </c>
      <c r="O247" s="9">
        <f t="shared" si="230"/>
        <v>0</v>
      </c>
      <c r="P247" s="9">
        <f t="shared" si="231"/>
        <v>0</v>
      </c>
      <c r="Q247" s="9">
        <f t="shared" si="232"/>
        <v>9250</v>
      </c>
    </row>
    <row r="248" spans="11:17" x14ac:dyDescent="0.3">
      <c r="K248" s="10">
        <f t="shared" si="227"/>
        <v>8</v>
      </c>
      <c r="L248" s="9">
        <f t="shared" si="226"/>
        <v>24516.949573759051</v>
      </c>
      <c r="M248" s="9">
        <f t="shared" si="228"/>
        <v>0</v>
      </c>
      <c r="N248" s="9">
        <f t="shared" si="229"/>
        <v>9250</v>
      </c>
      <c r="O248" s="9">
        <f t="shared" si="230"/>
        <v>0</v>
      </c>
      <c r="P248" s="9">
        <f t="shared" si="231"/>
        <v>0</v>
      </c>
      <c r="Q248" s="9">
        <f t="shared" si="232"/>
        <v>9250</v>
      </c>
    </row>
    <row r="249" spans="11:17" x14ac:dyDescent="0.3">
      <c r="K249" s="10">
        <f t="shared" si="227"/>
        <v>9</v>
      </c>
      <c r="L249" s="9">
        <f t="shared" si="226"/>
        <v>25007.288565234234</v>
      </c>
      <c r="M249" s="9">
        <f t="shared" si="228"/>
        <v>0</v>
      </c>
      <c r="N249" s="9">
        <f t="shared" si="229"/>
        <v>9250</v>
      </c>
      <c r="O249" s="9">
        <f t="shared" si="230"/>
        <v>0</v>
      </c>
      <c r="P249" s="9">
        <f t="shared" si="231"/>
        <v>0</v>
      </c>
      <c r="Q249" s="9">
        <f t="shared" si="232"/>
        <v>9250</v>
      </c>
    </row>
    <row r="250" spans="11:17" x14ac:dyDescent="0.3">
      <c r="K250" s="10">
        <f t="shared" si="227"/>
        <v>10</v>
      </c>
      <c r="L250" s="9">
        <f t="shared" si="226"/>
        <v>25507.434336538918</v>
      </c>
      <c r="M250" s="9">
        <f t="shared" si="228"/>
        <v>0</v>
      </c>
      <c r="N250" s="9">
        <f t="shared" si="229"/>
        <v>9250</v>
      </c>
      <c r="O250" s="9">
        <f t="shared" si="230"/>
        <v>0</v>
      </c>
      <c r="P250" s="9">
        <f t="shared" si="231"/>
        <v>0</v>
      </c>
      <c r="Q250" s="9">
        <f t="shared" si="232"/>
        <v>9250</v>
      </c>
    </row>
    <row r="251" spans="11:17" x14ac:dyDescent="0.3">
      <c r="K251" s="10">
        <f t="shared" si="227"/>
        <v>11</v>
      </c>
      <c r="L251" s="9">
        <f t="shared" si="226"/>
        <v>26017.583023269697</v>
      </c>
      <c r="M251" s="9">
        <f t="shared" si="228"/>
        <v>0</v>
      </c>
      <c r="N251" s="9">
        <f t="shared" si="229"/>
        <v>9250</v>
      </c>
      <c r="O251" s="9">
        <f t="shared" si="230"/>
        <v>0</v>
      </c>
      <c r="P251" s="9">
        <f t="shared" si="231"/>
        <v>0</v>
      </c>
      <c r="Q251" s="9">
        <f t="shared" si="232"/>
        <v>9250</v>
      </c>
    </row>
    <row r="252" spans="11:17" x14ac:dyDescent="0.3">
      <c r="K252" s="10">
        <f t="shared" si="227"/>
        <v>12</v>
      </c>
      <c r="L252" s="9">
        <f t="shared" si="226"/>
        <v>26537.934683735086</v>
      </c>
      <c r="M252" s="9">
        <f t="shared" si="228"/>
        <v>0</v>
      </c>
      <c r="N252" s="9">
        <f t="shared" si="229"/>
        <v>9250</v>
      </c>
      <c r="O252" s="9">
        <f t="shared" si="230"/>
        <v>0</v>
      </c>
      <c r="P252" s="9">
        <f t="shared" si="231"/>
        <v>0</v>
      </c>
      <c r="Q252" s="9">
        <f t="shared" si="232"/>
        <v>9250</v>
      </c>
    </row>
    <row r="253" spans="11:17" x14ac:dyDescent="0.3">
      <c r="K253" s="10">
        <f t="shared" si="227"/>
        <v>13</v>
      </c>
      <c r="L253" s="9">
        <f t="shared" si="226"/>
        <v>27068.693377409792</v>
      </c>
      <c r="M253" s="9">
        <f t="shared" si="228"/>
        <v>0</v>
      </c>
      <c r="N253" s="9">
        <f t="shared" si="229"/>
        <v>9250</v>
      </c>
      <c r="O253" s="9">
        <f t="shared" si="230"/>
        <v>0</v>
      </c>
      <c r="P253" s="9">
        <f t="shared" si="231"/>
        <v>0</v>
      </c>
      <c r="Q253" s="9">
        <f t="shared" si="232"/>
        <v>9250</v>
      </c>
    </row>
    <row r="254" spans="11:17" x14ac:dyDescent="0.3">
      <c r="K254" s="10">
        <f t="shared" si="227"/>
        <v>14</v>
      </c>
      <c r="L254" s="9">
        <f t="shared" si="226"/>
        <v>27610.067244957987</v>
      </c>
      <c r="M254" s="9">
        <f t="shared" si="228"/>
        <v>28.356052046218828</v>
      </c>
      <c r="N254" s="9">
        <f t="shared" si="229"/>
        <v>9250</v>
      </c>
      <c r="O254" s="9">
        <f t="shared" si="230"/>
        <v>28.356052046218828</v>
      </c>
      <c r="P254" s="9">
        <f t="shared" si="231"/>
        <v>18.746690910474761</v>
      </c>
      <c r="Q254" s="9">
        <f t="shared" si="232"/>
        <v>9221.6439479537803</v>
      </c>
    </row>
    <row r="255" spans="11:17" x14ac:dyDescent="0.3">
      <c r="K255" s="10">
        <f t="shared" si="227"/>
        <v>15</v>
      </c>
      <c r="L255" s="9">
        <f t="shared" si="226"/>
        <v>28162.268589857151</v>
      </c>
      <c r="M255" s="9">
        <f t="shared" si="228"/>
        <v>78.054173087143567</v>
      </c>
      <c r="N255" s="9">
        <f t="shared" si="229"/>
        <v>9221.6439479537803</v>
      </c>
      <c r="O255" s="9">
        <f t="shared" si="230"/>
        <v>78.054173087143567</v>
      </c>
      <c r="P255" s="9">
        <f t="shared" si="231"/>
        <v>50.100003540154439</v>
      </c>
      <c r="Q255" s="9">
        <f t="shared" si="232"/>
        <v>9143.5897748666375</v>
      </c>
    </row>
    <row r="256" spans="11:17" x14ac:dyDescent="0.3">
      <c r="K256" s="10">
        <f t="shared" si="227"/>
        <v>16</v>
      </c>
      <c r="L256" s="9">
        <f t="shared" si="226"/>
        <v>28725.513961654284</v>
      </c>
      <c r="M256" s="9">
        <f t="shared" si="228"/>
        <v>128.74625654888553</v>
      </c>
      <c r="N256" s="9">
        <f t="shared" si="229"/>
        <v>9143.5897748666375</v>
      </c>
      <c r="O256" s="9">
        <f t="shared" si="230"/>
        <v>128.74625654888553</v>
      </c>
      <c r="P256" s="9">
        <f t="shared" si="231"/>
        <v>80.2304106296166</v>
      </c>
      <c r="Q256" s="9">
        <f t="shared" si="232"/>
        <v>9014.8435183177517</v>
      </c>
    </row>
    <row r="257" spans="11:17" x14ac:dyDescent="0.3">
      <c r="K257" s="10">
        <f t="shared" si="227"/>
        <v>17</v>
      </c>
      <c r="L257" s="9">
        <f t="shared" si="226"/>
        <v>29300.024240887375</v>
      </c>
      <c r="M257" s="9">
        <f t="shared" si="228"/>
        <v>180.45218167986371</v>
      </c>
      <c r="N257" s="9">
        <f t="shared" si="229"/>
        <v>9014.8435183177517</v>
      </c>
      <c r="O257" s="9">
        <f t="shared" si="230"/>
        <v>180.45218167986371</v>
      </c>
      <c r="P257" s="9">
        <f t="shared" si="231"/>
        <v>109.17653760488608</v>
      </c>
      <c r="Q257" s="9">
        <f t="shared" si="232"/>
        <v>8834.3913366378874</v>
      </c>
    </row>
    <row r="258" spans="11:17" x14ac:dyDescent="0.3">
      <c r="K258" s="10">
        <f t="shared" si="227"/>
        <v>18</v>
      </c>
      <c r="L258" s="9">
        <f t="shared" si="226"/>
        <v>29886.024725705127</v>
      </c>
      <c r="M258" s="9">
        <f t="shared" si="228"/>
        <v>233.19222531346142</v>
      </c>
      <c r="N258" s="9">
        <f t="shared" si="229"/>
        <v>8834.3913366378874</v>
      </c>
      <c r="O258" s="9">
        <f t="shared" si="230"/>
        <v>233.19222531346142</v>
      </c>
      <c r="P258" s="9">
        <f t="shared" si="231"/>
        <v>136.97585568716846</v>
      </c>
      <c r="Q258" s="9">
        <f t="shared" si="232"/>
        <v>8601.1991113244258</v>
      </c>
    </row>
    <row r="259" spans="11:17" x14ac:dyDescent="0.3">
      <c r="K259" s="10">
        <f>K258+1</f>
        <v>19</v>
      </c>
      <c r="L259" s="9">
        <f t="shared" si="226"/>
        <v>30483.745220219225</v>
      </c>
      <c r="M259" s="9">
        <f t="shared" si="228"/>
        <v>286.98706981973027</v>
      </c>
      <c r="N259" s="9">
        <f t="shared" si="229"/>
        <v>8601.1991113244258</v>
      </c>
      <c r="O259" s="9">
        <f t="shared" si="230"/>
        <v>286.98706981973027</v>
      </c>
      <c r="P259" s="9">
        <f t="shared" si="231"/>
        <v>163.66471579389048</v>
      </c>
      <c r="Q259" s="9">
        <f t="shared" si="232"/>
        <v>8314.2120415046957</v>
      </c>
    </row>
    <row r="260" spans="11:17" x14ac:dyDescent="0.3">
      <c r="K260" s="10">
        <f t="shared" ref="K260:K265" si="233">K259+1</f>
        <v>20</v>
      </c>
      <c r="L260" s="9">
        <f t="shared" si="226"/>
        <v>31093.420124623608</v>
      </c>
      <c r="M260" s="9">
        <f t="shared" si="228"/>
        <v>341.85781121612473</v>
      </c>
      <c r="N260" s="9">
        <f t="shared" si="229"/>
        <v>8314.2120415046957</v>
      </c>
      <c r="O260" s="9">
        <f t="shared" si="230"/>
        <v>341.85781121612473</v>
      </c>
      <c r="P260" s="9">
        <f t="shared" si="231"/>
        <v>189.27838144957758</v>
      </c>
      <c r="Q260" s="9">
        <f t="shared" si="232"/>
        <v>7972.3542302885708</v>
      </c>
    </row>
    <row r="261" spans="11:17" x14ac:dyDescent="0.3">
      <c r="K261" s="10">
        <f t="shared" si="233"/>
        <v>21</v>
      </c>
      <c r="L261" s="9">
        <f t="shared" si="226"/>
        <v>31715.288527116085</v>
      </c>
      <c r="M261" s="9">
        <f t="shared" si="228"/>
        <v>397.82596744044764</v>
      </c>
      <c r="N261" s="9">
        <f t="shared" si="229"/>
        <v>7972.3542302885708</v>
      </c>
      <c r="O261" s="9">
        <f t="shared" si="230"/>
        <v>397.82596744044764</v>
      </c>
      <c r="P261" s="9">
        <f t="shared" si="231"/>
        <v>213.85106073543517</v>
      </c>
      <c r="Q261" s="9">
        <f t="shared" si="232"/>
        <v>7574.5282628481227</v>
      </c>
    </row>
    <row r="262" spans="11:17" x14ac:dyDescent="0.3">
      <c r="K262" s="10">
        <f t="shared" si="233"/>
        <v>22</v>
      </c>
      <c r="L262" s="9">
        <f t="shared" si="226"/>
        <v>32349.594297658401</v>
      </c>
      <c r="M262" s="9">
        <f t="shared" si="228"/>
        <v>454.91348678925607</v>
      </c>
      <c r="N262" s="9">
        <f t="shared" si="229"/>
        <v>7574.5282628481227</v>
      </c>
      <c r="O262" s="9">
        <f t="shared" si="230"/>
        <v>454.91348678925607</v>
      </c>
      <c r="P262" s="9">
        <f t="shared" si="231"/>
        <v>237.41593730566188</v>
      </c>
      <c r="Q262" s="9">
        <f t="shared" si="232"/>
        <v>7119.6147760588665</v>
      </c>
    </row>
    <row r="263" spans="11:17" x14ac:dyDescent="0.3">
      <c r="K263" s="10">
        <f t="shared" si="233"/>
        <v>23</v>
      </c>
      <c r="L263" s="9">
        <f t="shared" si="226"/>
        <v>32996.586183611573</v>
      </c>
      <c r="M263" s="9">
        <f t="shared" si="228"/>
        <v>513.14275652504148</v>
      </c>
      <c r="N263" s="9">
        <f t="shared" si="229"/>
        <v>7119.6147760588665</v>
      </c>
      <c r="O263" s="9">
        <f t="shared" si="230"/>
        <v>513.14275652504148</v>
      </c>
      <c r="P263" s="9">
        <f t="shared" si="231"/>
        <v>260.00520049770637</v>
      </c>
      <c r="Q263" s="9">
        <f t="shared" si="232"/>
        <v>6606.472019533825</v>
      </c>
    </row>
    <row r="264" spans="11:17" x14ac:dyDescent="0.3">
      <c r="K264" s="10">
        <f t="shared" si="233"/>
        <v>24</v>
      </c>
      <c r="L264" s="9">
        <f t="shared" si="226"/>
        <v>33656.5179072838</v>
      </c>
      <c r="M264" s="9">
        <f t="shared" si="228"/>
        <v>572.53661165554195</v>
      </c>
      <c r="N264" s="9">
        <f t="shared" si="229"/>
        <v>6606.472019533825</v>
      </c>
      <c r="O264" s="9">
        <f t="shared" si="230"/>
        <v>572.53661165554195</v>
      </c>
      <c r="P264" s="9">
        <f t="shared" si="231"/>
        <v>281.6500745628735</v>
      </c>
      <c r="Q264" s="9">
        <f t="shared" si="232"/>
        <v>6033.9354078782835</v>
      </c>
    </row>
    <row r="265" spans="11:17" x14ac:dyDescent="0.3">
      <c r="K265" s="10">
        <f t="shared" si="233"/>
        <v>25</v>
      </c>
      <c r="L265" s="9">
        <f t="shared" si="226"/>
        <v>34329.648265429474</v>
      </c>
      <c r="M265" s="9">
        <f t="shared" si="228"/>
        <v>633.1183438886527</v>
      </c>
      <c r="N265" s="9">
        <f t="shared" si="229"/>
        <v>6033.9354078782835</v>
      </c>
      <c r="O265" s="9">
        <f t="shared" si="230"/>
        <v>633.1183438886527</v>
      </c>
      <c r="P265" s="9">
        <f t="shared" si="231"/>
        <v>302.38084704293919</v>
      </c>
      <c r="Q265" s="9">
        <f t="shared" si="232"/>
        <v>5400.8170639896307</v>
      </c>
    </row>
    <row r="266" spans="11:17" x14ac:dyDescent="0.3">
      <c r="K266" s="10">
        <f>K265+1</f>
        <v>26</v>
      </c>
      <c r="L266" s="9">
        <f t="shared" si="226"/>
        <v>35016.241230738065</v>
      </c>
      <c r="M266" s="9">
        <f t="shared" si="228"/>
        <v>694.91171076642581</v>
      </c>
      <c r="N266" s="9">
        <f t="shared" si="229"/>
        <v>5400.8170639896307</v>
      </c>
      <c r="O266" s="9">
        <f t="shared" si="230"/>
        <v>694.91171076642581</v>
      </c>
      <c r="P266" s="9">
        <f t="shared" si="231"/>
        <v>322.22689631766264</v>
      </c>
      <c r="Q266" s="9">
        <f t="shared" si="232"/>
        <v>4705.9053532232047</v>
      </c>
    </row>
    <row r="267" spans="11:17" x14ac:dyDescent="0.3">
      <c r="K267" s="10">
        <f t="shared" ref="K267:K270" si="234">K266+1</f>
        <v>27</v>
      </c>
      <c r="L267" s="9">
        <f t="shared" si="226"/>
        <v>35716.566055352829</v>
      </c>
      <c r="M267" s="9">
        <f t="shared" si="228"/>
        <v>757.94094498175457</v>
      </c>
      <c r="N267" s="9">
        <f t="shared" si="229"/>
        <v>4705.9053532232047</v>
      </c>
      <c r="O267" s="9">
        <f t="shared" si="230"/>
        <v>757.94094498175457</v>
      </c>
      <c r="P267" s="9">
        <f t="shared" si="231"/>
        <v>341.21671834737595</v>
      </c>
      <c r="Q267" s="9">
        <f t="shared" si="232"/>
        <v>3947.9644082414502</v>
      </c>
    </row>
    <row r="268" spans="11:17" x14ac:dyDescent="0.3">
      <c r="K268" s="10">
        <f t="shared" si="234"/>
        <v>28</v>
      </c>
      <c r="L268" s="9">
        <f t="shared" si="226"/>
        <v>36430.897376459878</v>
      </c>
      <c r="M268" s="9">
        <f t="shared" si="228"/>
        <v>822.23076388138895</v>
      </c>
      <c r="N268" s="9">
        <f t="shared" si="229"/>
        <v>3947.9644082414502</v>
      </c>
      <c r="O268" s="9">
        <f t="shared" si="230"/>
        <v>822.23076388138895</v>
      </c>
      <c r="P268" s="9">
        <f t="shared" si="231"/>
        <v>359.37795263411635</v>
      </c>
      <c r="Q268" s="9">
        <f t="shared" si="232"/>
        <v>3125.7336443600611</v>
      </c>
    </row>
    <row r="269" spans="11:17" x14ac:dyDescent="0.3">
      <c r="K269" s="10">
        <f t="shared" si="234"/>
        <v>29</v>
      </c>
      <c r="L269" s="9">
        <f t="shared" si="226"/>
        <v>37159.515323989086</v>
      </c>
      <c r="M269" s="9">
        <f t="shared" si="228"/>
        <v>887.80637915901775</v>
      </c>
      <c r="N269" s="9">
        <f t="shared" si="229"/>
        <v>3125.7336443600611</v>
      </c>
      <c r="O269" s="9">
        <f t="shared" si="230"/>
        <v>887.80637915901775</v>
      </c>
      <c r="P269" s="9">
        <f t="shared" si="231"/>
        <v>376.73740742409257</v>
      </c>
      <c r="Q269" s="9">
        <f t="shared" si="232"/>
        <v>2237.9272652010432</v>
      </c>
    </row>
    <row r="270" spans="11:17" x14ac:dyDescent="0.3">
      <c r="K270" s="10">
        <f t="shared" si="234"/>
        <v>30</v>
      </c>
      <c r="L270" s="9">
        <f t="shared" si="226"/>
        <v>37902.705630468859</v>
      </c>
      <c r="M270" s="9">
        <f t="shared" si="228"/>
        <v>954.69350674219731</v>
      </c>
      <c r="N270" s="9">
        <f t="shared" si="229"/>
        <v>2237.9272652010432</v>
      </c>
      <c r="O270" s="9">
        <f t="shared" si="230"/>
        <v>954.69350674219731</v>
      </c>
      <c r="P270" s="9">
        <f t="shared" si="231"/>
        <v>393.32108417359547</v>
      </c>
      <c r="Q270" s="9">
        <f t="shared" si="232"/>
        <v>1283.2337584588458</v>
      </c>
    </row>
    <row r="271" spans="11:17" x14ac:dyDescent="0.3">
      <c r="K271" s="9"/>
      <c r="L271" s="9"/>
      <c r="M271" s="9"/>
      <c r="N271" s="9"/>
      <c r="O271" s="9"/>
      <c r="P271" s="9"/>
      <c r="Q271" s="9"/>
    </row>
  </sheetData>
  <mergeCells count="27">
    <mergeCell ref="K205:Q205"/>
    <mergeCell ref="S205:Y205"/>
    <mergeCell ref="AA205:AG205"/>
    <mergeCell ref="AI205:AO205"/>
    <mergeCell ref="K239:Q239"/>
    <mergeCell ref="K137:Q137"/>
    <mergeCell ref="S137:Y137"/>
    <mergeCell ref="AA137:AG137"/>
    <mergeCell ref="AI137:AO137"/>
    <mergeCell ref="K171:Q171"/>
    <mergeCell ref="S171:Y171"/>
    <mergeCell ref="AA171:AG171"/>
    <mergeCell ref="AI171:AO171"/>
    <mergeCell ref="AI35:AO35"/>
    <mergeCell ref="S69:Y69"/>
    <mergeCell ref="AA69:AG69"/>
    <mergeCell ref="AI69:AO69"/>
    <mergeCell ref="K103:Q103"/>
    <mergeCell ref="S103:Y103"/>
    <mergeCell ref="AA103:AG103"/>
    <mergeCell ref="AI103:AO103"/>
    <mergeCell ref="A1:B1"/>
    <mergeCell ref="V1:AB1"/>
    <mergeCell ref="K35:Q35"/>
    <mergeCell ref="K69:Q69"/>
    <mergeCell ref="S35:Y35"/>
    <mergeCell ref="AA35:AG35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CE8D6-3F73-4E11-9EF4-4AA51597B99F}">
  <dimension ref="A1:W28"/>
  <sheetViews>
    <sheetView zoomScale="50" zoomScaleNormal="50" workbookViewId="0">
      <selection activeCell="L23" sqref="L23"/>
    </sheetView>
  </sheetViews>
  <sheetFormatPr defaultRowHeight="14.4" x14ac:dyDescent="0.3"/>
  <cols>
    <col min="4" max="4" width="9" customWidth="1"/>
    <col min="8" max="8" width="11.21875" customWidth="1"/>
    <col min="9" max="9" width="9.77734375" customWidth="1"/>
    <col min="14" max="14" width="10.5546875" customWidth="1"/>
  </cols>
  <sheetData>
    <row r="1" spans="1:23" x14ac:dyDescent="0.3">
      <c r="A1" s="75" t="s">
        <v>82</v>
      </c>
      <c r="B1" s="75"/>
      <c r="C1" s="75"/>
      <c r="D1" s="75"/>
      <c r="G1" s="75" t="s">
        <v>83</v>
      </c>
      <c r="H1" s="75"/>
      <c r="I1" s="75"/>
      <c r="J1" s="75"/>
      <c r="K1" s="75"/>
      <c r="M1" s="76" t="s">
        <v>81</v>
      </c>
      <c r="N1" s="76"/>
      <c r="O1" s="76"/>
      <c r="P1" s="76"/>
      <c r="Q1" s="76"/>
      <c r="R1" s="76"/>
      <c r="S1" s="76"/>
      <c r="T1" s="76"/>
      <c r="U1" s="76"/>
      <c r="V1" s="76"/>
      <c r="W1" s="76"/>
    </row>
    <row r="2" spans="1:23" s="15" customFormat="1" ht="43.2" x14ac:dyDescent="0.3">
      <c r="A2" s="16" t="s">
        <v>27</v>
      </c>
      <c r="B2" s="16" t="s">
        <v>77</v>
      </c>
      <c r="C2" s="16" t="s">
        <v>78</v>
      </c>
      <c r="D2" s="16" t="s">
        <v>79</v>
      </c>
      <c r="G2" s="16" t="str">
        <f>Country_PV!D1</f>
        <v>Country</v>
      </c>
      <c r="H2" s="16" t="str">
        <f>Country_PV!E1</f>
        <v>Wage_EURO</v>
      </c>
      <c r="I2" s="16" t="str">
        <f>Country_PV!F1</f>
        <v>wage_gbp</v>
      </c>
      <c r="J2" s="16" t="str">
        <f>Country_PV!G1</f>
        <v>PV_loan</v>
      </c>
      <c r="K2" s="16" t="str">
        <f>Country_PV!H1</f>
        <v>k_i</v>
      </c>
      <c r="M2" s="16" t="s">
        <v>84</v>
      </c>
      <c r="N2" s="16" t="s">
        <v>85</v>
      </c>
      <c r="O2" s="16" t="s">
        <v>78</v>
      </c>
      <c r="P2" s="16" t="s">
        <v>79</v>
      </c>
      <c r="Q2" s="16" t="s">
        <v>31</v>
      </c>
      <c r="R2" s="16" t="s">
        <v>86</v>
      </c>
      <c r="S2" s="16" t="s">
        <v>87</v>
      </c>
      <c r="T2" s="16" t="s">
        <v>88</v>
      </c>
      <c r="U2" s="16" t="s">
        <v>89</v>
      </c>
      <c r="V2" s="16" t="s">
        <v>90</v>
      </c>
      <c r="W2" s="16" t="s">
        <v>91</v>
      </c>
    </row>
    <row r="3" spans="1:23" x14ac:dyDescent="0.3">
      <c r="A3" s="3" t="s">
        <v>50</v>
      </c>
      <c r="B3" s="3">
        <v>-0.54853399999999997</v>
      </c>
      <c r="C3" s="3">
        <v>-0.50284899999999999</v>
      </c>
      <c r="D3" s="3">
        <v>-0.96075536900000003</v>
      </c>
      <c r="G3" s="3" t="str">
        <f>Country_PV!D2</f>
        <v>Belgium</v>
      </c>
      <c r="H3" s="3">
        <f>Country_PV!E2</f>
        <v>59632</v>
      </c>
      <c r="I3" s="3">
        <f>Country_PV!F2</f>
        <v>51283.519999999997</v>
      </c>
      <c r="J3" s="3">
        <f>Country_PV!G2</f>
        <v>8579.3384506556795</v>
      </c>
      <c r="K3" s="3">
        <f>Country_PV!H2</f>
        <v>0.95073548200418578</v>
      </c>
      <c r="M3" s="3" t="s">
        <v>32</v>
      </c>
      <c r="N3" s="3">
        <f>INDEX($B$3:$B$28,MATCH(M3,$A$3:$A$28,0))</f>
        <v>-0.602657</v>
      </c>
      <c r="O3" s="3">
        <f>INDEX($C$3:$C$28,MATCH(M3,$A$3:$A$28,0))</f>
        <v>-0.57532300000000003</v>
      </c>
      <c r="P3" s="3">
        <f>INDEX($D$3:$D$28,MATCH(M3,$A$3:$A$28,0))</f>
        <v>-0.43381198300000001</v>
      </c>
      <c r="Q3" s="3">
        <f>INDEX($K$3:$K$28,MATCH(M3,$G$3:$G$28,0))</f>
        <v>0.95073548200418578</v>
      </c>
      <c r="R3" s="3">
        <f>N3/Q3</f>
        <v>-0.63388504101012055</v>
      </c>
      <c r="S3" s="3">
        <f>O3/Q3</f>
        <v>-0.60513466772818636</v>
      </c>
      <c r="T3" s="3">
        <f>P3/Q3</f>
        <v>-0.45629093602934456</v>
      </c>
      <c r="U3" s="3">
        <f>N3/(LN(22200)-LN(9250))</f>
        <v>-0.68838209097166492</v>
      </c>
      <c r="V3" s="3">
        <f t="shared" ref="V3:W3" si="0">O3/(LN(22200)-LN(9250))</f>
        <v>-0.65715995951941353</v>
      </c>
      <c r="W3" s="3">
        <f t="shared" si="0"/>
        <v>-0.49551967362215055</v>
      </c>
    </row>
    <row r="4" spans="1:23" x14ac:dyDescent="0.3">
      <c r="A4" s="3" t="s">
        <v>32</v>
      </c>
      <c r="B4" s="3">
        <v>-0.602657</v>
      </c>
      <c r="C4" s="3">
        <v>-0.57532300000000003</v>
      </c>
      <c r="D4" s="3">
        <v>-0.43381198300000001</v>
      </c>
      <c r="G4" s="3" t="str">
        <f>Country_PV!D3</f>
        <v>Bulgaria</v>
      </c>
      <c r="H4" s="3">
        <f>Country_PV!E3</f>
        <v>15387</v>
      </c>
      <c r="I4" s="3">
        <f>Country_PV!F3</f>
        <v>13232.82</v>
      </c>
      <c r="J4" s="3">
        <f>Country_PV!G3</f>
        <v>1</v>
      </c>
      <c r="K4" s="3">
        <f>Country_PV!H3</f>
        <v>10.00784756786037</v>
      </c>
      <c r="M4" s="3" t="s">
        <v>33</v>
      </c>
      <c r="N4" s="3">
        <f t="shared" ref="N4:N28" si="1">INDEX($B$3:$B$28,MATCH(M4,$A$3:$A$28,0))</f>
        <v>-1.887146</v>
      </c>
      <c r="O4" s="3">
        <f t="shared" ref="O4:O28" si="2">INDEX($C$3:$C$28,MATCH(M4,$A$3:$A$28,0))</f>
        <v>-1.7855859999999999</v>
      </c>
      <c r="P4" s="3">
        <f t="shared" ref="P4:P28" si="3">INDEX($D$3:$D$28,MATCH(M4,$A$3:$A$28,0))</f>
        <v>-1.0063262040000001</v>
      </c>
      <c r="Q4" s="3">
        <f t="shared" ref="Q4:Q28" si="4">INDEX($K$3:$K$28,MATCH(M4,$G$3:$G$28,0))</f>
        <v>10.00784756786037</v>
      </c>
      <c r="R4" s="3">
        <f t="shared" ref="R4:R28" si="5">N4/Q4</f>
        <v>-0.18856662106449956</v>
      </c>
      <c r="S4" s="3">
        <f t="shared" ref="S4:S28" si="6">O4/Q4</f>
        <v>-0.17841858480481929</v>
      </c>
      <c r="T4" s="3">
        <f t="shared" ref="T4:T28" si="7">P4/Q4</f>
        <v>-0.10055371019356441</v>
      </c>
      <c r="U4" s="3">
        <f t="shared" ref="U4:U28" si="8">N4/(LN(22200)-LN(9250))</f>
        <v>-2.1555835399718473</v>
      </c>
      <c r="V4" s="3">
        <f t="shared" ref="V4:V28" si="9">O4/(LN(22200)-LN(9250))</f>
        <v>-2.0395771131667453</v>
      </c>
      <c r="W4" s="3">
        <f t="shared" ref="W4:W28" si="10">P4/(LN(22200)-LN(9250))</f>
        <v>-1.1494713186922216</v>
      </c>
    </row>
    <row r="5" spans="1:23" x14ac:dyDescent="0.3">
      <c r="A5" s="3" t="s">
        <v>33</v>
      </c>
      <c r="B5" s="3">
        <v>-1.887146</v>
      </c>
      <c r="C5" s="3">
        <v>-1.7855859999999999</v>
      </c>
      <c r="D5" s="3">
        <v>-1.0063262040000001</v>
      </c>
      <c r="G5" s="3" t="str">
        <f>Country_PV!D4</f>
        <v>Czechia</v>
      </c>
      <c r="H5" s="3">
        <f>Country_PV!E4</f>
        <v>23998</v>
      </c>
      <c r="I5" s="3">
        <f>Country_PV!F4</f>
        <v>20638.28</v>
      </c>
      <c r="J5" s="3">
        <f>Country_PV!G4</f>
        <v>3021.0956766826239</v>
      </c>
      <c r="K5" s="3">
        <f>Country_PV!H4</f>
        <v>1.9944727164413951</v>
      </c>
      <c r="M5" s="3" t="s">
        <v>34</v>
      </c>
      <c r="N5" s="3">
        <f t="shared" si="1"/>
        <v>-1.1372009999999999</v>
      </c>
      <c r="O5" s="3">
        <f t="shared" si="2"/>
        <v>-1.0750679999999999</v>
      </c>
      <c r="P5" s="3">
        <f t="shared" si="3"/>
        <v>-0.90086980900000002</v>
      </c>
      <c r="Q5" s="3">
        <f t="shared" si="4"/>
        <v>1.9944727164413951</v>
      </c>
      <c r="R5" s="3">
        <f t="shared" si="5"/>
        <v>-0.57017626294183255</v>
      </c>
      <c r="S5" s="3">
        <f t="shared" si="6"/>
        <v>-0.53902366832982918</v>
      </c>
      <c r="T5" s="3">
        <f t="shared" si="7"/>
        <v>-0.4516831950488458</v>
      </c>
      <c r="U5" s="3">
        <f t="shared" si="8"/>
        <v>-1.2989624317564854</v>
      </c>
      <c r="V5" s="3">
        <f t="shared" si="9"/>
        <v>-1.2279913081184253</v>
      </c>
      <c r="W5" s="3">
        <f t="shared" si="10"/>
        <v>-1.0290142532363591</v>
      </c>
    </row>
    <row r="6" spans="1:23" x14ac:dyDescent="0.3">
      <c r="A6" s="3" t="s">
        <v>42</v>
      </c>
      <c r="B6" s="3">
        <v>-1.6547449999999999</v>
      </c>
      <c r="C6" s="3">
        <v>-1.5345200000000001</v>
      </c>
      <c r="D6" s="3">
        <v>-2.5720773509999999</v>
      </c>
      <c r="G6" s="3" t="str">
        <f>Country_PV!D5</f>
        <v>Denmark</v>
      </c>
      <c r="H6" s="3">
        <f>Country_PV!E5</f>
        <v>71565</v>
      </c>
      <c r="I6" s="3">
        <f>Country_PV!F5</f>
        <v>61545.9</v>
      </c>
      <c r="J6" s="3">
        <f>Country_PV!G5</f>
        <v>8724.5305474285888</v>
      </c>
      <c r="K6" s="3">
        <f>Country_PV!H5</f>
        <v>0.93395362768961832</v>
      </c>
      <c r="M6" s="3" t="s">
        <v>35</v>
      </c>
      <c r="N6" s="3">
        <f t="shared" si="1"/>
        <v>-1.046503</v>
      </c>
      <c r="O6" s="3">
        <f t="shared" si="2"/>
        <v>-1.0298579999999999</v>
      </c>
      <c r="P6" s="3">
        <f t="shared" si="3"/>
        <v>-1.60919927</v>
      </c>
      <c r="Q6" s="3">
        <f t="shared" si="4"/>
        <v>0.93395362768961832</v>
      </c>
      <c r="R6" s="3">
        <f t="shared" si="5"/>
        <v>-1.1205085230931673</v>
      </c>
      <c r="S6" s="3">
        <f t="shared" si="6"/>
        <v>-1.1026864390982949</v>
      </c>
      <c r="T6" s="3">
        <f t="shared" si="7"/>
        <v>-1.7229969693257476</v>
      </c>
      <c r="U6" s="3">
        <f t="shared" si="8"/>
        <v>-1.1953630727729376</v>
      </c>
      <c r="V6" s="3">
        <f t="shared" si="9"/>
        <v>-1.1763504007153271</v>
      </c>
      <c r="W6" s="3">
        <f t="shared" si="10"/>
        <v>-1.8381002100244033</v>
      </c>
    </row>
    <row r="7" spans="1:23" x14ac:dyDescent="0.3">
      <c r="A7" s="3" t="s">
        <v>44</v>
      </c>
      <c r="B7" s="3">
        <v>-0.90216300000000005</v>
      </c>
      <c r="C7" s="3">
        <v>-0.94660900000000003</v>
      </c>
      <c r="D7" s="3">
        <v>0.25508166199999999</v>
      </c>
      <c r="G7" s="3" t="str">
        <f>Country_PV!D6</f>
        <v>Germany</v>
      </c>
      <c r="H7" s="3">
        <f>Country_PV!E6</f>
        <v>53791</v>
      </c>
      <c r="I7" s="3">
        <f>Country_PV!F6</f>
        <v>46260.26</v>
      </c>
      <c r="J7" s="3">
        <f>Country_PV!G6</f>
        <v>8456.38292843614</v>
      </c>
      <c r="K7" s="3">
        <f>Country_PV!H6</f>
        <v>0.96517075651583362</v>
      </c>
      <c r="M7" s="3" t="s">
        <v>36</v>
      </c>
      <c r="N7" s="3">
        <f t="shared" si="1"/>
        <v>-0.68149999999999999</v>
      </c>
      <c r="O7" s="3">
        <f t="shared" si="2"/>
        <v>-0.58144499999999999</v>
      </c>
      <c r="P7" s="3">
        <f t="shared" si="3"/>
        <v>0.65222662399999998</v>
      </c>
      <c r="Q7" s="3">
        <f t="shared" si="4"/>
        <v>0.96517075651583362</v>
      </c>
      <c r="R7" s="3">
        <f t="shared" si="5"/>
        <v>-0.70609267365304806</v>
      </c>
      <c r="S7" s="3">
        <f t="shared" si="6"/>
        <v>-0.60242707943095597</v>
      </c>
      <c r="T7" s="3">
        <f t="shared" si="7"/>
        <v>0.67576293582958369</v>
      </c>
      <c r="U7" s="3">
        <f t="shared" si="8"/>
        <v>-0.77844013260808331</v>
      </c>
      <c r="V7" s="3">
        <f t="shared" si="9"/>
        <v>-0.6641527848926001</v>
      </c>
      <c r="W7" s="3">
        <f t="shared" si="10"/>
        <v>0.74500275814685613</v>
      </c>
    </row>
    <row r="8" spans="1:23" x14ac:dyDescent="0.3">
      <c r="A8" s="3" t="s">
        <v>34</v>
      </c>
      <c r="B8" s="3">
        <v>-1.1372009999999999</v>
      </c>
      <c r="C8" s="3">
        <v>-1.0750679999999999</v>
      </c>
      <c r="D8" s="3">
        <v>-0.90086980900000002</v>
      </c>
      <c r="G8" s="3" t="str">
        <f>Country_PV!D7</f>
        <v>Estonia</v>
      </c>
      <c r="H8" s="3">
        <f>Country_PV!E7</f>
        <v>26546</v>
      </c>
      <c r="I8" s="3">
        <f>Country_PV!F7</f>
        <v>22829.56</v>
      </c>
      <c r="J8" s="3">
        <f>Country_PV!G7</f>
        <v>4804.7139615737606</v>
      </c>
      <c r="K8" s="3">
        <f>Country_PV!H7</f>
        <v>1.530494777557001</v>
      </c>
      <c r="M8" s="3" t="s">
        <v>37</v>
      </c>
      <c r="N8" s="3">
        <f t="shared" si="1"/>
        <v>-1.4474450000000001</v>
      </c>
      <c r="O8" s="3">
        <f t="shared" si="2"/>
        <v>-1.407405</v>
      </c>
      <c r="P8" s="3">
        <f t="shared" si="3"/>
        <v>-2.237089449</v>
      </c>
      <c r="Q8" s="3">
        <f t="shared" si="4"/>
        <v>1.530494777557001</v>
      </c>
      <c r="R8" s="3">
        <f t="shared" si="5"/>
        <v>-0.94573664753723219</v>
      </c>
      <c r="S8" s="3">
        <f t="shared" si="6"/>
        <v>-0.91957517309959147</v>
      </c>
      <c r="T8" s="3">
        <f t="shared" si="7"/>
        <v>-1.4616772835846432</v>
      </c>
      <c r="U8" s="3">
        <f t="shared" si="8"/>
        <v>-1.6533371646997905</v>
      </c>
      <c r="V8" s="3">
        <f t="shared" si="9"/>
        <v>-1.6076016651992362</v>
      </c>
      <c r="W8" s="3">
        <f t="shared" si="10"/>
        <v>-2.5553047796562054</v>
      </c>
    </row>
    <row r="9" spans="1:23" x14ac:dyDescent="0.3">
      <c r="A9" s="3" t="s">
        <v>35</v>
      </c>
      <c r="B9" s="3">
        <v>-1.046503</v>
      </c>
      <c r="C9" s="3">
        <v>-1.0298579999999999</v>
      </c>
      <c r="D9" s="3">
        <v>-1.60919927</v>
      </c>
      <c r="G9" s="3" t="str">
        <f>Country_PV!D8</f>
        <v>Ireland</v>
      </c>
      <c r="H9" s="3">
        <f>Country_PV!E8</f>
        <v>61051</v>
      </c>
      <c r="I9" s="3">
        <f>Country_PV!F8</f>
        <v>52503.86</v>
      </c>
      <c r="J9" s="3" t="str">
        <f>Country_PV!G8</f>
        <v>N/a</v>
      </c>
      <c r="K9" s="3" t="str">
        <f>Country_PV!H8</f>
        <v>N/a</v>
      </c>
      <c r="M9" s="3" t="s">
        <v>38</v>
      </c>
      <c r="N9" s="3" t="e">
        <f t="shared" si="1"/>
        <v>#N/A</v>
      </c>
      <c r="O9" s="3" t="e">
        <f t="shared" si="2"/>
        <v>#N/A</v>
      </c>
      <c r="P9" s="3" t="e">
        <f t="shared" si="3"/>
        <v>#N/A</v>
      </c>
      <c r="Q9" s="3" t="str">
        <f t="shared" si="4"/>
        <v>N/a</v>
      </c>
      <c r="R9" s="3" t="e">
        <f t="shared" si="5"/>
        <v>#N/A</v>
      </c>
      <c r="S9" s="3" t="e">
        <f t="shared" si="6"/>
        <v>#N/A</v>
      </c>
      <c r="T9" s="3" t="e">
        <f t="shared" si="7"/>
        <v>#N/A</v>
      </c>
      <c r="U9" s="3" t="e">
        <f t="shared" si="8"/>
        <v>#N/A</v>
      </c>
      <c r="V9" s="3" t="e">
        <f t="shared" si="9"/>
        <v>#N/A</v>
      </c>
      <c r="W9" s="3" t="e">
        <f t="shared" si="10"/>
        <v>#N/A</v>
      </c>
    </row>
    <row r="10" spans="1:23" x14ac:dyDescent="0.3">
      <c r="A10" s="3" t="s">
        <v>37</v>
      </c>
      <c r="B10" s="3">
        <v>-1.4474450000000001</v>
      </c>
      <c r="C10" s="3">
        <v>-1.407405</v>
      </c>
      <c r="D10" s="3">
        <v>-2.237089449</v>
      </c>
      <c r="G10" s="3" t="str">
        <f>Country_PV!D9</f>
        <v>Greece</v>
      </c>
      <c r="H10" s="3">
        <f>Country_PV!E9</f>
        <v>17954</v>
      </c>
      <c r="I10" s="3">
        <f>Country_PV!F9</f>
        <v>15440.44</v>
      </c>
      <c r="J10" s="3">
        <f>Country_PV!G9</f>
        <v>4.6283025508584723</v>
      </c>
      <c r="K10" s="3">
        <f>Country_PV!H9</f>
        <v>8.4756573866686491</v>
      </c>
      <c r="M10" s="3" t="s">
        <v>39</v>
      </c>
      <c r="N10" s="3">
        <f t="shared" si="1"/>
        <v>-0.86575000000000002</v>
      </c>
      <c r="O10" s="3">
        <f t="shared" si="2"/>
        <v>-0.71890799999999999</v>
      </c>
      <c r="P10" s="3">
        <f t="shared" si="3"/>
        <v>0.105358775</v>
      </c>
      <c r="Q10" s="3">
        <f t="shared" si="4"/>
        <v>8.4756573866686491</v>
      </c>
      <c r="R10" s="3">
        <f t="shared" si="5"/>
        <v>-0.10214546913632176</v>
      </c>
      <c r="S10" s="3">
        <f t="shared" si="6"/>
        <v>-8.4820323333358122E-2</v>
      </c>
      <c r="T10" s="3">
        <f t="shared" si="7"/>
        <v>1.2430749639044954E-2</v>
      </c>
      <c r="U10" s="3">
        <f t="shared" si="8"/>
        <v>-0.98889881849662231</v>
      </c>
      <c r="V10" s="3">
        <f t="shared" si="9"/>
        <v>-0.82116924263097857</v>
      </c>
      <c r="W10" s="3">
        <f t="shared" si="10"/>
        <v>0.12034555947531213</v>
      </c>
    </row>
    <row r="11" spans="1:23" x14ac:dyDescent="0.3">
      <c r="A11" s="3" t="s">
        <v>56</v>
      </c>
      <c r="B11" s="3">
        <v>-1.7563470000000001</v>
      </c>
      <c r="C11" s="3">
        <v>-1.6201289999999999</v>
      </c>
      <c r="D11" s="3">
        <v>-1.8170331580000001</v>
      </c>
      <c r="G11" s="3" t="str">
        <f>Country_PV!D10</f>
        <v>Spain</v>
      </c>
      <c r="H11" s="3">
        <f>Country_PV!E10</f>
        <v>33700</v>
      </c>
      <c r="I11" s="3">
        <f>Country_PV!F10</f>
        <v>28982</v>
      </c>
      <c r="J11" s="3">
        <f>Country_PV!G10</f>
        <v>6801.1285512987261</v>
      </c>
      <c r="K11" s="3">
        <f>Country_PV!H10</f>
        <v>1.183003727040294</v>
      </c>
      <c r="M11" s="3" t="s">
        <v>40</v>
      </c>
      <c r="N11" s="3">
        <f t="shared" si="1"/>
        <v>-0.50770099999999996</v>
      </c>
      <c r="O11" s="3">
        <f t="shared" si="2"/>
        <v>-0.473719</v>
      </c>
      <c r="P11" s="3">
        <f t="shared" si="3"/>
        <v>0.964544226</v>
      </c>
      <c r="Q11" s="5">
        <f t="shared" si="4"/>
        <v>1.183003727040294</v>
      </c>
      <c r="R11" s="3">
        <f>N11/Q11</f>
        <v>-0.4291626377798447</v>
      </c>
      <c r="S11" s="3">
        <f t="shared" si="6"/>
        <v>-0.40043745355323362</v>
      </c>
      <c r="T11" s="3">
        <f t="shared" si="7"/>
        <v>0.81533490043446577</v>
      </c>
      <c r="U11" s="3">
        <f t="shared" si="8"/>
        <v>-0.57991905174652447</v>
      </c>
      <c r="V11" s="3">
        <f t="shared" si="9"/>
        <v>-0.54110327392365165</v>
      </c>
      <c r="W11" s="3">
        <f t="shared" si="10"/>
        <v>1.1017460531090257</v>
      </c>
    </row>
    <row r="12" spans="1:23" x14ac:dyDescent="0.3">
      <c r="A12" s="3" t="s">
        <v>41</v>
      </c>
      <c r="B12" s="3">
        <v>-0.59710600000000003</v>
      </c>
      <c r="C12" s="3">
        <v>-0.53549500000000005</v>
      </c>
      <c r="D12" s="3">
        <v>1.1789929530000001</v>
      </c>
      <c r="G12" s="3" t="str">
        <f>Country_PV!D11</f>
        <v>France</v>
      </c>
      <c r="H12" s="3">
        <f>Country_PV!E11</f>
        <v>43790</v>
      </c>
      <c r="I12" s="3">
        <f>Country_PV!F11</f>
        <v>37659.4</v>
      </c>
      <c r="J12" s="3">
        <f>Country_PV!G11</f>
        <v>8054.8060048130046</v>
      </c>
      <c r="K12" s="3">
        <f>Country_PV!H11</f>
        <v>1.0138233563614136</v>
      </c>
      <c r="M12" s="3" t="s">
        <v>41</v>
      </c>
      <c r="N12" s="3">
        <f t="shared" si="1"/>
        <v>-0.59710600000000003</v>
      </c>
      <c r="O12" s="3">
        <f t="shared" si="2"/>
        <v>-0.53549500000000005</v>
      </c>
      <c r="P12" s="3">
        <f t="shared" si="3"/>
        <v>1.1789929530000001</v>
      </c>
      <c r="Q12" s="3">
        <f t="shared" si="4"/>
        <v>1.0138233563614136</v>
      </c>
      <c r="R12" s="3">
        <f t="shared" si="5"/>
        <v>-0.58896453337097932</v>
      </c>
      <c r="S12" s="3">
        <f t="shared" si="6"/>
        <v>-0.5281935917533781</v>
      </c>
      <c r="T12" s="3">
        <f t="shared" si="7"/>
        <v>1.1629175295698218</v>
      </c>
      <c r="U12" s="3">
        <f t="shared" si="8"/>
        <v>-0.68204148763181538</v>
      </c>
      <c r="V12" s="3">
        <f t="shared" si="9"/>
        <v>-0.61166661601022099</v>
      </c>
      <c r="W12" s="3">
        <f t="shared" si="10"/>
        <v>1.3466990912359733</v>
      </c>
    </row>
    <row r="13" spans="1:23" x14ac:dyDescent="0.3">
      <c r="A13" s="3" t="s">
        <v>36</v>
      </c>
      <c r="B13" s="3">
        <v>-0.68149999999999999</v>
      </c>
      <c r="C13" s="3">
        <v>-0.58144499999999999</v>
      </c>
      <c r="D13" s="3">
        <v>0.65222662399999998</v>
      </c>
      <c r="G13" s="3" t="str">
        <f>Country_PV!D12</f>
        <v>Croatia</v>
      </c>
      <c r="H13" s="3">
        <f>Country_PV!E12</f>
        <v>23446</v>
      </c>
      <c r="I13" s="3">
        <f>Country_PV!F12</f>
        <v>20163.560000000001</v>
      </c>
      <c r="J13" s="3">
        <f>Country_PV!G12</f>
        <v>2527.4655797491146</v>
      </c>
      <c r="K13" s="3">
        <f>Country_PV!H12</f>
        <v>2.1728752353575382</v>
      </c>
      <c r="M13" s="3" t="s">
        <v>42</v>
      </c>
      <c r="N13" s="3">
        <f t="shared" si="1"/>
        <v>-1.6547449999999999</v>
      </c>
      <c r="O13" s="3">
        <f t="shared" si="2"/>
        <v>-1.5345200000000001</v>
      </c>
      <c r="P13" s="3">
        <f t="shared" si="3"/>
        <v>-2.5720773509999999</v>
      </c>
      <c r="Q13" s="3">
        <f t="shared" si="4"/>
        <v>2.1728752353575382</v>
      </c>
      <c r="R13" s="3">
        <f t="shared" si="5"/>
        <v>-0.76154625588878688</v>
      </c>
      <c r="S13" s="3">
        <f t="shared" si="6"/>
        <v>-0.70621634184509485</v>
      </c>
      <c r="T13" s="3">
        <f t="shared" si="7"/>
        <v>-1.1837206799297773</v>
      </c>
      <c r="U13" s="3">
        <f t="shared" si="8"/>
        <v>-1.8901246034226893</v>
      </c>
      <c r="V13" s="3">
        <f t="shared" si="9"/>
        <v>-1.7527981691705885</v>
      </c>
      <c r="W13" s="3">
        <f t="shared" si="10"/>
        <v>-2.9379431169342443</v>
      </c>
    </row>
    <row r="14" spans="1:23" x14ac:dyDescent="0.3">
      <c r="A14" s="3" t="s">
        <v>39</v>
      </c>
      <c r="B14" s="3">
        <v>-0.86575000000000002</v>
      </c>
      <c r="C14" s="3">
        <v>-0.71890799999999999</v>
      </c>
      <c r="D14" s="3">
        <v>0.105358775</v>
      </c>
      <c r="G14" s="3" t="str">
        <f>Country_PV!D13</f>
        <v>Italy</v>
      </c>
      <c r="H14" s="3">
        <f>Country_PV!E13</f>
        <v>33523</v>
      </c>
      <c r="I14" s="3">
        <f>Country_PV!F13</f>
        <v>28829.78</v>
      </c>
      <c r="J14" s="3">
        <f>Country_PV!G13</f>
        <v>6758.7786561670055</v>
      </c>
      <c r="K14" s="3">
        <f>Country_PV!H13</f>
        <v>1.1892500873111871</v>
      </c>
      <c r="M14" s="3" t="s">
        <v>43</v>
      </c>
      <c r="N14" s="3">
        <f t="shared" si="1"/>
        <v>-0.925037</v>
      </c>
      <c r="O14" s="3">
        <f t="shared" si="2"/>
        <v>-0.80842800000000004</v>
      </c>
      <c r="P14" s="3">
        <f t="shared" si="3"/>
        <v>0.67669478500000002</v>
      </c>
      <c r="Q14" s="3">
        <f t="shared" si="4"/>
        <v>1.1892500873111871</v>
      </c>
      <c r="R14" s="3">
        <f t="shared" si="5"/>
        <v>-0.77783219010851223</v>
      </c>
      <c r="S14" s="3">
        <f t="shared" si="6"/>
        <v>-0.67977964317648298</v>
      </c>
      <c r="T14" s="3">
        <f t="shared" si="7"/>
        <v>0.56900965761538058</v>
      </c>
      <c r="U14" s="3">
        <f t="shared" si="8"/>
        <v>-1.0566191121751776</v>
      </c>
      <c r="V14" s="3">
        <f t="shared" si="9"/>
        <v>-0.92342303671913073</v>
      </c>
      <c r="W14" s="3">
        <f t="shared" si="10"/>
        <v>0.77295139863624129</v>
      </c>
    </row>
    <row r="15" spans="1:23" x14ac:dyDescent="0.3">
      <c r="A15" s="3" t="s">
        <v>48</v>
      </c>
      <c r="B15" s="3">
        <v>-1.114468</v>
      </c>
      <c r="C15" s="3">
        <v>-1.0236069999999999</v>
      </c>
      <c r="D15" s="3">
        <v>-1.0317227689999999</v>
      </c>
      <c r="G15" s="3" t="str">
        <f>Country_PV!D14</f>
        <v>Cyprus</v>
      </c>
      <c r="H15" s="3">
        <f>Country_PV!E14</f>
        <v>27611</v>
      </c>
      <c r="I15" s="3">
        <f>Country_PV!F14</f>
        <v>23745.46</v>
      </c>
      <c r="J15" s="3">
        <f>Country_PV!G14</f>
        <v>5095.4372531995514</v>
      </c>
      <c r="K15" s="3">
        <f>Country_PV!H14</f>
        <v>1.4717468058270828</v>
      </c>
      <c r="M15" s="3" t="s">
        <v>44</v>
      </c>
      <c r="N15" s="3">
        <f t="shared" si="1"/>
        <v>-0.90216300000000005</v>
      </c>
      <c r="O15" s="3">
        <f t="shared" si="2"/>
        <v>-0.94660900000000003</v>
      </c>
      <c r="P15" s="3">
        <f t="shared" si="3"/>
        <v>0.25508166199999999</v>
      </c>
      <c r="Q15" s="3">
        <f t="shared" si="4"/>
        <v>1.4717468058270828</v>
      </c>
      <c r="R15" s="3">
        <f t="shared" si="5"/>
        <v>-0.61298791098310434</v>
      </c>
      <c r="S15" s="3">
        <f t="shared" si="6"/>
        <v>-0.64318739898200816</v>
      </c>
      <c r="T15" s="3">
        <f t="shared" si="7"/>
        <v>0.17331898461750073</v>
      </c>
      <c r="U15" s="3">
        <f t="shared" si="8"/>
        <v>-1.0304913945034575</v>
      </c>
      <c r="V15" s="3">
        <f t="shared" si="9"/>
        <v>-1.0812596265414602</v>
      </c>
      <c r="W15" s="3">
        <f t="shared" si="10"/>
        <v>0.29136581481022783</v>
      </c>
    </row>
    <row r="16" spans="1:23" x14ac:dyDescent="0.3">
      <c r="A16" s="3" t="s">
        <v>43</v>
      </c>
      <c r="B16" s="3">
        <v>-0.925037</v>
      </c>
      <c r="C16" s="3">
        <v>-0.80842800000000004</v>
      </c>
      <c r="D16" s="3">
        <v>0.67669478500000002</v>
      </c>
      <c r="G16" s="3" t="str">
        <f>Country_PV!D15</f>
        <v>Latvia</v>
      </c>
      <c r="H16" s="3">
        <f>Country_PV!E15</f>
        <v>22262</v>
      </c>
      <c r="I16" s="3">
        <f>Country_PV!F15</f>
        <v>19145.32</v>
      </c>
      <c r="J16" s="3">
        <f>Country_PV!G15</f>
        <v>1607.4555099714594</v>
      </c>
      <c r="K16" s="3">
        <f>Country_PV!H15</f>
        <v>2.6254397886656822</v>
      </c>
      <c r="M16" s="3" t="s">
        <v>45</v>
      </c>
      <c r="N16" s="3">
        <f t="shared" si="1"/>
        <v>-1.5115160000000001</v>
      </c>
      <c r="O16" s="3">
        <f t="shared" si="2"/>
        <v>-1.3905639999999999</v>
      </c>
      <c r="P16" s="3">
        <f t="shared" si="3"/>
        <v>-1.9281778860000001</v>
      </c>
      <c r="Q16" s="3">
        <f t="shared" si="4"/>
        <v>2.6254397886656822</v>
      </c>
      <c r="R16" s="3">
        <f t="shared" si="5"/>
        <v>-0.57571916389984801</v>
      </c>
      <c r="S16" s="3">
        <f t="shared" si="6"/>
        <v>-0.52964992989106841</v>
      </c>
      <c r="T16" s="3">
        <f t="shared" si="7"/>
        <v>-0.73442091276446719</v>
      </c>
      <c r="U16" s="3">
        <f t="shared" si="8"/>
        <v>-1.7265219596173729</v>
      </c>
      <c r="V16" s="3">
        <f t="shared" si="9"/>
        <v>-1.5883651130741403</v>
      </c>
      <c r="W16" s="3">
        <f t="shared" si="10"/>
        <v>-2.2024520165367774</v>
      </c>
    </row>
    <row r="17" spans="1:23" x14ac:dyDescent="0.3">
      <c r="A17" s="3" t="s">
        <v>45</v>
      </c>
      <c r="B17" s="3">
        <v>-1.5115160000000001</v>
      </c>
      <c r="C17" s="3">
        <v>-1.3905639999999999</v>
      </c>
      <c r="D17" s="3">
        <v>-1.9281778860000001</v>
      </c>
      <c r="G17" s="3" t="str">
        <f>Country_PV!D16</f>
        <v>Lithuania</v>
      </c>
      <c r="H17" s="3">
        <f>Country_PV!E16</f>
        <v>29104</v>
      </c>
      <c r="I17" s="3">
        <f>Country_PV!F16</f>
        <v>25029.439999999999</v>
      </c>
      <c r="J17" s="3">
        <f>Country_PV!G16</f>
        <v>5513.5373619605416</v>
      </c>
      <c r="K17" s="3">
        <f>Country_PV!H16</f>
        <v>1.3928858822339691</v>
      </c>
      <c r="M17" s="3" t="s">
        <v>46</v>
      </c>
      <c r="N17" s="3">
        <f t="shared" si="1"/>
        <v>-2.1731129999999999</v>
      </c>
      <c r="O17" s="3">
        <f t="shared" si="2"/>
        <v>-2.16716</v>
      </c>
      <c r="P17" s="3">
        <f t="shared" si="3"/>
        <v>-1.4113331760000001</v>
      </c>
      <c r="Q17" s="3">
        <f t="shared" si="4"/>
        <v>1.3928858822339691</v>
      </c>
      <c r="R17" s="3">
        <f t="shared" si="5"/>
        <v>-1.5601515010796645</v>
      </c>
      <c r="S17" s="3">
        <f t="shared" si="6"/>
        <v>-1.5558776405459844</v>
      </c>
      <c r="T17" s="3">
        <f t="shared" si="7"/>
        <v>-1.013243937641499</v>
      </c>
      <c r="U17" s="3">
        <f t="shared" si="8"/>
        <v>-2.4822279851685245</v>
      </c>
      <c r="V17" s="3">
        <f t="shared" si="9"/>
        <v>-2.4754281992412821</v>
      </c>
      <c r="W17" s="3">
        <f t="shared" si="10"/>
        <v>-1.6120886055460417</v>
      </c>
    </row>
    <row r="18" spans="1:23" x14ac:dyDescent="0.3">
      <c r="A18" s="3" t="s">
        <v>46</v>
      </c>
      <c r="B18" s="3">
        <v>-2.1731129999999999</v>
      </c>
      <c r="C18" s="3">
        <v>-2.16716</v>
      </c>
      <c r="D18" s="3">
        <v>-1.4113331760000001</v>
      </c>
      <c r="G18" s="3" t="str">
        <f>Country_PV!D17</f>
        <v>Luxembourg</v>
      </c>
      <c r="H18" s="3">
        <f>Country_PV!E17</f>
        <v>82969</v>
      </c>
      <c r="I18" s="3">
        <f>Country_PV!F17</f>
        <v>71353.34</v>
      </c>
      <c r="J18" s="3">
        <f>Country_PV!G17</f>
        <v>8798.4412940286093</v>
      </c>
      <c r="K18" s="3">
        <f>Country_PV!H17</f>
        <v>0.92551770876124451</v>
      </c>
      <c r="M18" s="3" t="s">
        <v>47</v>
      </c>
      <c r="N18" s="3">
        <f t="shared" si="1"/>
        <v>-0.49289500000000003</v>
      </c>
      <c r="O18" s="3">
        <f t="shared" si="2"/>
        <v>-0.57499100000000003</v>
      </c>
      <c r="P18" s="3">
        <f t="shared" si="3"/>
        <v>-1.2366166300000001</v>
      </c>
      <c r="Q18" s="3">
        <f t="shared" si="4"/>
        <v>0.92551770876124451</v>
      </c>
      <c r="R18" s="3">
        <f t="shared" si="5"/>
        <v>-0.53256139275791203</v>
      </c>
      <c r="S18" s="3">
        <f t="shared" si="6"/>
        <v>-0.62126417955804913</v>
      </c>
      <c r="T18" s="3">
        <f t="shared" si="7"/>
        <v>-1.3361350283131208</v>
      </c>
      <c r="U18" s="3">
        <f t="shared" si="8"/>
        <v>-0.56300696868945155</v>
      </c>
      <c r="V18" s="3">
        <f t="shared" si="9"/>
        <v>-0.65678073409897941</v>
      </c>
      <c r="W18" s="3">
        <f t="shared" si="10"/>
        <v>-1.4125194621314177</v>
      </c>
    </row>
    <row r="19" spans="1:23" x14ac:dyDescent="0.3">
      <c r="A19" s="3" t="s">
        <v>47</v>
      </c>
      <c r="B19" s="3">
        <v>-0.49289500000000003</v>
      </c>
      <c r="C19" s="3">
        <v>-0.57499100000000003</v>
      </c>
      <c r="D19" s="3">
        <v>-1.2366166300000001</v>
      </c>
      <c r="G19" s="3" t="str">
        <f>Country_PV!D18</f>
        <v>Hungary</v>
      </c>
      <c r="H19" s="3">
        <f>Country_PV!E18</f>
        <v>18461</v>
      </c>
      <c r="I19" s="3">
        <f>Country_PV!F18</f>
        <v>15876.46</v>
      </c>
      <c r="J19" s="3">
        <f>Country_PV!G18</f>
        <v>46.564212524394662</v>
      </c>
      <c r="K19" s="3">
        <f>Country_PV!H18</f>
        <v>6.1670152933495226</v>
      </c>
      <c r="M19" s="3" t="s">
        <v>48</v>
      </c>
      <c r="N19" s="3">
        <f t="shared" si="1"/>
        <v>-1.114468</v>
      </c>
      <c r="O19" s="3">
        <f t="shared" si="2"/>
        <v>-1.0236069999999999</v>
      </c>
      <c r="P19" s="3">
        <f t="shared" si="3"/>
        <v>-1.0317227689999999</v>
      </c>
      <c r="Q19" s="3">
        <f t="shared" si="4"/>
        <v>6.1670152933495226</v>
      </c>
      <c r="R19" s="3">
        <f t="shared" si="5"/>
        <v>-0.18071432402670326</v>
      </c>
      <c r="S19" s="3">
        <f t="shared" si="6"/>
        <v>-0.16598094074841235</v>
      </c>
      <c r="T19" s="3">
        <f t="shared" si="7"/>
        <v>-0.16729693699845441</v>
      </c>
      <c r="U19" s="3">
        <f t="shared" si="8"/>
        <v>-1.2729957706639257</v>
      </c>
      <c r="V19" s="3">
        <f t="shared" si="9"/>
        <v>-1.1692102257058874</v>
      </c>
      <c r="W19" s="3">
        <f t="shared" si="10"/>
        <v>-1.1784804242335125</v>
      </c>
    </row>
    <row r="20" spans="1:23" x14ac:dyDescent="0.3">
      <c r="A20" s="3" t="s">
        <v>49</v>
      </c>
      <c r="B20" s="3">
        <v>-0.36167899999999997</v>
      </c>
      <c r="C20" s="3">
        <v>-0.53089299999999995</v>
      </c>
      <c r="D20" s="3">
        <v>-2.3352140320000001</v>
      </c>
      <c r="G20" s="3" t="str">
        <f>Country_PV!D19</f>
        <v>Malta</v>
      </c>
      <c r="H20" s="3">
        <f>Country_PV!E19</f>
        <v>33499</v>
      </c>
      <c r="I20" s="3">
        <f>Country_PV!F19</f>
        <v>28809.14</v>
      </c>
      <c r="J20" s="3">
        <f>Country_PV!G19</f>
        <v>6752.8799230129853</v>
      </c>
      <c r="K20" s="3">
        <f>Country_PV!H19</f>
        <v>1.1901232197240876</v>
      </c>
      <c r="M20" s="3" t="s">
        <v>49</v>
      </c>
      <c r="N20" s="3">
        <f t="shared" si="1"/>
        <v>-0.36167899999999997</v>
      </c>
      <c r="O20" s="3">
        <f t="shared" si="2"/>
        <v>-0.53089299999999995</v>
      </c>
      <c r="P20" s="3">
        <f t="shared" si="3"/>
        <v>-2.3352140320000001</v>
      </c>
      <c r="Q20" s="3">
        <f t="shared" si="4"/>
        <v>1.1901232197240876</v>
      </c>
      <c r="R20" s="3">
        <f t="shared" si="5"/>
        <v>-0.30390046509961371</v>
      </c>
      <c r="S20" s="3">
        <f t="shared" si="6"/>
        <v>-0.44608238138827305</v>
      </c>
      <c r="T20" s="3">
        <f t="shared" si="7"/>
        <v>-1.9621615588185775</v>
      </c>
      <c r="U20" s="3">
        <f t="shared" si="8"/>
        <v>-0.41312611697954355</v>
      </c>
      <c r="V20" s="3">
        <f t="shared" si="9"/>
        <v>-0.60641000340528706</v>
      </c>
      <c r="W20" s="3">
        <f t="shared" si="10"/>
        <v>-2.6673871177378383</v>
      </c>
    </row>
    <row r="21" spans="1:23" x14ac:dyDescent="0.3">
      <c r="A21" s="3" t="s">
        <v>80</v>
      </c>
      <c r="B21" s="3">
        <v>-0.534972</v>
      </c>
      <c r="C21" s="3">
        <v>-0.52682600000000002</v>
      </c>
      <c r="D21" s="3">
        <v>-0.49128057000000003</v>
      </c>
      <c r="G21" s="3" t="str">
        <f>Country_PV!D20</f>
        <v>Austria</v>
      </c>
      <c r="H21" s="3">
        <f>Country_PV!E20</f>
        <v>58600</v>
      </c>
      <c r="I21" s="3">
        <f>Country_PV!F20</f>
        <v>50396</v>
      </c>
      <c r="J21" s="3">
        <f>Country_PV!G20</f>
        <v>8557.6144138588024</v>
      </c>
      <c r="K21" s="3">
        <f>Country_PV!H20</f>
        <v>0.95327082753561498</v>
      </c>
      <c r="M21" s="3" t="s">
        <v>50</v>
      </c>
      <c r="N21" s="3">
        <f t="shared" si="1"/>
        <v>-0.54853399999999997</v>
      </c>
      <c r="O21" s="3">
        <f t="shared" si="2"/>
        <v>-0.50284899999999999</v>
      </c>
      <c r="P21" s="3">
        <f t="shared" si="3"/>
        <v>-0.96075536900000003</v>
      </c>
      <c r="Q21" s="3">
        <f t="shared" si="4"/>
        <v>0.95327082753561498</v>
      </c>
      <c r="R21" s="3">
        <f t="shared" si="5"/>
        <v>-0.57542304259752064</v>
      </c>
      <c r="S21" s="3">
        <f t="shared" si="6"/>
        <v>-0.52749857173323933</v>
      </c>
      <c r="T21" s="3">
        <f t="shared" si="7"/>
        <v>-1.0078514324032488</v>
      </c>
      <c r="U21" s="3">
        <f t="shared" si="8"/>
        <v>-0.62656035172419999</v>
      </c>
      <c r="V21" s="3">
        <f t="shared" si="9"/>
        <v>-0.57437687783102287</v>
      </c>
      <c r="W21" s="3">
        <f t="shared" si="10"/>
        <v>-1.0974182492271285</v>
      </c>
    </row>
    <row r="22" spans="1:23" x14ac:dyDescent="0.3">
      <c r="A22" s="3" t="s">
        <v>51</v>
      </c>
      <c r="B22" s="3">
        <v>-1.6682809999999999</v>
      </c>
      <c r="C22" s="3">
        <v>-1.5291809999999999</v>
      </c>
      <c r="D22" s="3">
        <v>-0.135257353</v>
      </c>
      <c r="G22" s="3" t="str">
        <f>Country_PV!D21</f>
        <v>Poland</v>
      </c>
      <c r="H22" s="3">
        <f>Country_PV!E21</f>
        <v>21246</v>
      </c>
      <c r="I22" s="3">
        <f>Country_PV!F21</f>
        <v>18271.560000000001</v>
      </c>
      <c r="J22" s="3">
        <f>Country_PV!G21</f>
        <v>980.81535395248432</v>
      </c>
      <c r="K22" s="3">
        <f>Country_PV!H21</f>
        <v>3.1194633482817</v>
      </c>
      <c r="M22" s="3" t="s">
        <v>51</v>
      </c>
      <c r="N22" s="3">
        <f t="shared" si="1"/>
        <v>-1.6682809999999999</v>
      </c>
      <c r="O22" s="3">
        <f t="shared" si="2"/>
        <v>-1.5291809999999999</v>
      </c>
      <c r="P22" s="3">
        <f t="shared" si="3"/>
        <v>-0.135257353</v>
      </c>
      <c r="Q22" s="3">
        <f t="shared" si="4"/>
        <v>3.1194633482817</v>
      </c>
      <c r="R22" s="3">
        <f t="shared" si="5"/>
        <v>-0.53479743588554818</v>
      </c>
      <c r="S22" s="3">
        <f t="shared" si="6"/>
        <v>-0.49020643273219466</v>
      </c>
      <c r="T22" s="3">
        <f t="shared" si="7"/>
        <v>-4.3359173645846509E-2</v>
      </c>
      <c r="U22" s="3">
        <f t="shared" si="8"/>
        <v>-1.9055860350220775</v>
      </c>
      <c r="V22" s="3">
        <f t="shared" si="9"/>
        <v>-1.7466997218221003</v>
      </c>
      <c r="W22" s="3">
        <f t="shared" si="10"/>
        <v>-0.15449706794649792</v>
      </c>
    </row>
    <row r="23" spans="1:23" x14ac:dyDescent="0.3">
      <c r="A23" s="3" t="s">
        <v>52</v>
      </c>
      <c r="B23" s="3">
        <v>-0.93916900000000003</v>
      </c>
      <c r="C23" s="3">
        <v>-0.83581300000000003</v>
      </c>
      <c r="D23" s="3">
        <v>-8.6890661999999994E-2</v>
      </c>
      <c r="G23" s="3" t="str">
        <f>Country_PV!D22</f>
        <v>Portugal</v>
      </c>
      <c r="H23" s="3">
        <f>Country_PV!E22</f>
        <v>24818</v>
      </c>
      <c r="I23" s="3">
        <f>Country_PV!F22</f>
        <v>21343.48</v>
      </c>
      <c r="J23" s="3">
        <f>Country_PV!G22</f>
        <v>3836.3557746572274</v>
      </c>
      <c r="K23" s="3">
        <f>Country_PV!H22</f>
        <v>1.7555693898967011</v>
      </c>
      <c r="M23" s="3" t="s">
        <v>52</v>
      </c>
      <c r="N23" s="3">
        <f t="shared" si="1"/>
        <v>-0.93916900000000003</v>
      </c>
      <c r="O23" s="3">
        <f t="shared" si="2"/>
        <v>-0.83581300000000003</v>
      </c>
      <c r="P23" s="3">
        <f t="shared" si="3"/>
        <v>-8.6890661999999994E-2</v>
      </c>
      <c r="Q23" s="3">
        <f t="shared" si="4"/>
        <v>1.7555693898967011</v>
      </c>
      <c r="R23" s="3">
        <f t="shared" si="5"/>
        <v>-0.53496546784474375</v>
      </c>
      <c r="S23" s="3">
        <f t="shared" si="6"/>
        <v>-0.47609226089843126</v>
      </c>
      <c r="T23" s="3">
        <f t="shared" si="7"/>
        <v>-4.9494290855181006E-2</v>
      </c>
      <c r="U23" s="3">
        <f t="shared" si="8"/>
        <v>-1.0727613219389596</v>
      </c>
      <c r="V23" s="3">
        <f t="shared" si="9"/>
        <v>-0.95470342267873798</v>
      </c>
      <c r="W23" s="3">
        <f t="shared" si="10"/>
        <v>-9.9250445267328152E-2</v>
      </c>
    </row>
    <row r="24" spans="1:23" x14ac:dyDescent="0.3">
      <c r="A24" s="3" t="s">
        <v>53</v>
      </c>
      <c r="B24" s="3">
        <v>-1.711433</v>
      </c>
      <c r="C24" s="3">
        <v>-1.601542</v>
      </c>
      <c r="D24" s="3">
        <v>-0.36301851699999999</v>
      </c>
      <c r="G24" s="3" t="str">
        <f>Country_PV!D23</f>
        <v>Romania</v>
      </c>
      <c r="H24" s="3">
        <f>Country_PV!E23</f>
        <v>21108</v>
      </c>
      <c r="I24" s="3">
        <f>Country_PV!F23</f>
        <v>18152.88</v>
      </c>
      <c r="J24" s="3">
        <f>Country_PV!G23</f>
        <v>907.66157078317065</v>
      </c>
      <c r="K24" s="3">
        <f>Country_PV!H23</f>
        <v>3.1969759781380116</v>
      </c>
      <c r="M24" s="3" t="s">
        <v>53</v>
      </c>
      <c r="N24" s="3">
        <f t="shared" si="1"/>
        <v>-1.711433</v>
      </c>
      <c r="O24" s="3">
        <f t="shared" si="2"/>
        <v>-1.601542</v>
      </c>
      <c r="P24" s="3">
        <f t="shared" si="3"/>
        <v>-0.36301851699999999</v>
      </c>
      <c r="Q24" s="3">
        <f t="shared" si="4"/>
        <v>3.1969759781380116</v>
      </c>
      <c r="R24" s="3">
        <f t="shared" si="5"/>
        <v>-0.53532870178047942</v>
      </c>
      <c r="S24" s="3">
        <f t="shared" si="6"/>
        <v>-0.50095528116316124</v>
      </c>
      <c r="T24" s="3">
        <f t="shared" si="7"/>
        <v>-0.1135505926483157</v>
      </c>
      <c r="U24" s="3">
        <f t="shared" si="8"/>
        <v>-1.9548762017165808</v>
      </c>
      <c r="V24" s="3">
        <f t="shared" si="9"/>
        <v>-1.8293537297981144</v>
      </c>
      <c r="W24" s="3">
        <f t="shared" si="10"/>
        <v>-0.41465617389973547</v>
      </c>
    </row>
    <row r="25" spans="1:23" x14ac:dyDescent="0.3">
      <c r="A25" s="3" t="s">
        <v>55</v>
      </c>
      <c r="B25" s="3">
        <v>-1.5163260000000001</v>
      </c>
      <c r="C25" s="3">
        <v>-1.3976310000000001</v>
      </c>
      <c r="D25" s="3">
        <v>-1.569938864</v>
      </c>
      <c r="G25" s="3" t="str">
        <f>Country_PV!D24</f>
        <v>Slovenia</v>
      </c>
      <c r="H25" s="3">
        <f>Country_PV!E24</f>
        <v>35133</v>
      </c>
      <c r="I25" s="3">
        <f>Country_PV!F24</f>
        <v>30214.38</v>
      </c>
      <c r="J25" s="3">
        <f>Country_PV!G24</f>
        <v>7098.4662411320096</v>
      </c>
      <c r="K25" s="3">
        <f>Country_PV!H24</f>
        <v>1.1402135505429314</v>
      </c>
      <c r="M25" s="3" t="s">
        <v>54</v>
      </c>
      <c r="N25" s="3">
        <f t="shared" si="1"/>
        <v>-1.2795540000000001</v>
      </c>
      <c r="O25" s="3">
        <f t="shared" si="2"/>
        <v>-1.1794230000000001</v>
      </c>
      <c r="P25" s="3">
        <f t="shared" si="3"/>
        <v>-3.1075330600000002</v>
      </c>
      <c r="Q25" s="3">
        <f t="shared" si="4"/>
        <v>1.1402135505429314</v>
      </c>
      <c r="R25" s="3">
        <f t="shared" si="5"/>
        <v>-1.122205572272597</v>
      </c>
      <c r="S25" s="3">
        <f t="shared" si="6"/>
        <v>-1.0343878122114918</v>
      </c>
      <c r="T25" s="3">
        <f t="shared" si="7"/>
        <v>-2.7253956581381598</v>
      </c>
      <c r="U25" s="3">
        <f t="shared" si="8"/>
        <v>-1.4615644687295721</v>
      </c>
      <c r="V25" s="3">
        <f t="shared" si="9"/>
        <v>-1.3471903103756764</v>
      </c>
      <c r="W25" s="3">
        <f t="shared" si="10"/>
        <v>-3.5495648529866513</v>
      </c>
    </row>
    <row r="26" spans="1:23" x14ac:dyDescent="0.3">
      <c r="A26" s="3" t="s">
        <v>54</v>
      </c>
      <c r="B26" s="3">
        <v>-1.2795540000000001</v>
      </c>
      <c r="C26" s="3">
        <v>-1.1794230000000001</v>
      </c>
      <c r="D26" s="3">
        <v>-3.1075330600000002</v>
      </c>
      <c r="G26" s="3" t="str">
        <f>Country_PV!D25</f>
        <v>Slovakia</v>
      </c>
      <c r="H26" s="3">
        <f>Country_PV!E25</f>
        <v>20287</v>
      </c>
      <c r="I26" s="3">
        <f>Country_PV!F25</f>
        <v>17446.82</v>
      </c>
      <c r="J26" s="3">
        <f>Country_PV!G25</f>
        <v>527.15204792888926</v>
      </c>
      <c r="K26" s="3">
        <f>Country_PV!H25</f>
        <v>3.7403585449376466</v>
      </c>
      <c r="M26" s="3" t="s">
        <v>55</v>
      </c>
      <c r="N26" s="3">
        <f t="shared" si="1"/>
        <v>-1.5163260000000001</v>
      </c>
      <c r="O26" s="3">
        <f t="shared" si="2"/>
        <v>-1.3976310000000001</v>
      </c>
      <c r="P26" s="3">
        <f t="shared" si="3"/>
        <v>-1.569938864</v>
      </c>
      <c r="Q26" s="3">
        <f t="shared" si="4"/>
        <v>3.7403585449376466</v>
      </c>
      <c r="R26" s="3">
        <f t="shared" si="5"/>
        <v>-0.40539589501446521</v>
      </c>
      <c r="S26" s="3">
        <f t="shared" si="6"/>
        <v>-0.37366230622238361</v>
      </c>
      <c r="T26" s="3">
        <f t="shared" si="7"/>
        <v>-0.41972951125897251</v>
      </c>
      <c r="U26" s="3">
        <f t="shared" si="8"/>
        <v>-1.7320161592326992</v>
      </c>
      <c r="V26" s="3">
        <f t="shared" si="9"/>
        <v>-1.5964373602012738</v>
      </c>
      <c r="W26" s="3">
        <f t="shared" si="10"/>
        <v>-1.7932551980612526</v>
      </c>
    </row>
    <row r="27" spans="1:23" x14ac:dyDescent="0.3">
      <c r="A27" s="3" t="s">
        <v>40</v>
      </c>
      <c r="B27" s="3">
        <v>-0.50770099999999996</v>
      </c>
      <c r="C27" s="3">
        <v>-0.473719</v>
      </c>
      <c r="D27" s="3">
        <v>0.964544226</v>
      </c>
      <c r="G27" s="3" t="str">
        <f>Country_PV!D26</f>
        <v>Finland</v>
      </c>
      <c r="H27" s="3">
        <f>Country_PV!E26</f>
        <v>49428</v>
      </c>
      <c r="I27" s="3">
        <f>Country_PV!F26</f>
        <v>42508.08</v>
      </c>
      <c r="J27" s="3">
        <f>Country_PV!G26</f>
        <v>8323.7499593169778</v>
      </c>
      <c r="K27" s="3">
        <f>Country_PV!H26</f>
        <v>0.9809794193231216</v>
      </c>
      <c r="M27" s="3" t="s">
        <v>56</v>
      </c>
      <c r="N27" s="3">
        <f t="shared" si="1"/>
        <v>-1.7563470000000001</v>
      </c>
      <c r="O27" s="3">
        <f t="shared" si="2"/>
        <v>-1.6201289999999999</v>
      </c>
      <c r="P27" s="3">
        <f t="shared" si="3"/>
        <v>-1.8170331580000001</v>
      </c>
      <c r="Q27" s="3">
        <f t="shared" si="4"/>
        <v>0.9809794193231216</v>
      </c>
      <c r="R27" s="3">
        <f t="shared" si="5"/>
        <v>-1.7904014757127975</v>
      </c>
      <c r="S27" s="3">
        <f t="shared" si="6"/>
        <v>-1.6515422934335291</v>
      </c>
      <c r="T27" s="3">
        <f t="shared" si="7"/>
        <v>-1.8522643005637751</v>
      </c>
      <c r="U27" s="3">
        <f t="shared" si="8"/>
        <v>-2.0061790045279668</v>
      </c>
      <c r="V27" s="3">
        <f t="shared" si="9"/>
        <v>-1.8505846421162162</v>
      </c>
      <c r="W27" s="3">
        <f t="shared" si="10"/>
        <v>-2.0754974797752084</v>
      </c>
    </row>
    <row r="28" spans="1:23" x14ac:dyDescent="0.3">
      <c r="A28" s="3" t="s">
        <v>57</v>
      </c>
      <c r="B28" s="3">
        <v>-0.96684899999999996</v>
      </c>
      <c r="C28" s="3">
        <v>-0.92725800000000003</v>
      </c>
      <c r="D28" s="3">
        <v>-0.62943313700000003</v>
      </c>
      <c r="G28" s="3" t="str">
        <f>Country_PV!D27</f>
        <v>Sweden</v>
      </c>
      <c r="H28" s="3">
        <f>Country_PV!E27</f>
        <v>46525</v>
      </c>
      <c r="I28" s="3">
        <f>Country_PV!F27</f>
        <v>40011.5</v>
      </c>
      <c r="J28" s="3">
        <f>Country_PV!G27</f>
        <v>8202.197258424203</v>
      </c>
      <c r="K28" s="3">
        <f>Country_PV!H27</f>
        <v>0.99569021215803666</v>
      </c>
      <c r="M28" s="3" t="s">
        <v>57</v>
      </c>
      <c r="N28" s="3">
        <f t="shared" si="1"/>
        <v>-0.96684899999999996</v>
      </c>
      <c r="O28" s="3">
        <f t="shared" si="2"/>
        <v>-0.92725800000000003</v>
      </c>
      <c r="P28" s="3">
        <f t="shared" si="3"/>
        <v>-0.62943313700000003</v>
      </c>
      <c r="Q28" s="3">
        <f t="shared" si="4"/>
        <v>0.99569021215803666</v>
      </c>
      <c r="R28" s="3">
        <f t="shared" si="5"/>
        <v>-0.97103395031319339</v>
      </c>
      <c r="S28" s="3">
        <f t="shared" si="6"/>
        <v>-0.93127158294574552</v>
      </c>
      <c r="T28" s="3">
        <f t="shared" si="7"/>
        <v>-0.63215760214794192</v>
      </c>
      <c r="U28" s="3">
        <f t="shared" si="8"/>
        <v>-1.1043786702450369</v>
      </c>
      <c r="V28" s="3">
        <f t="shared" si="9"/>
        <v>-1.0591560388582628</v>
      </c>
      <c r="W28" s="3">
        <f t="shared" si="10"/>
        <v>-0.71896700606632702</v>
      </c>
    </row>
  </sheetData>
  <mergeCells count="3">
    <mergeCell ref="A1:D1"/>
    <mergeCell ref="G1:K1"/>
    <mergeCell ref="M1:W1"/>
  </mergeCells>
  <pageMargins left="0.7" right="0.7" top="0.75" bottom="0.75" header="0.3" footer="0.3"/>
  <pageSetup orientation="portrait" r:id="rId1"/>
  <ignoredErrors>
    <ignoredError sqref="N9:T9" evalError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A1AA9-7FA4-4D57-8066-1F849F363FD3}">
  <dimension ref="A1:AE267"/>
  <sheetViews>
    <sheetView zoomScale="58" zoomScaleNormal="58" workbookViewId="0">
      <selection activeCell="K2" activeCellId="1" sqref="D2:D27 K2:K27"/>
    </sheetView>
  </sheetViews>
  <sheetFormatPr defaultRowHeight="14.4" x14ac:dyDescent="0.3"/>
  <cols>
    <col min="1" max="1" width="25.21875" customWidth="1"/>
    <col min="5" max="6" width="14.109375" customWidth="1"/>
    <col min="7" max="11" width="13.44140625" customWidth="1"/>
    <col min="19" max="19" width="8.88671875" customWidth="1"/>
    <col min="20" max="20" width="15.21875" customWidth="1"/>
    <col min="26" max="26" width="11.21875" customWidth="1"/>
  </cols>
  <sheetData>
    <row r="1" spans="1:31" ht="56.4" customHeight="1" thickBot="1" x14ac:dyDescent="0.35">
      <c r="A1" s="81" t="s">
        <v>355</v>
      </c>
      <c r="B1" s="82"/>
      <c r="D1" s="83" t="s">
        <v>356</v>
      </c>
      <c r="E1" s="84"/>
      <c r="F1" s="84"/>
      <c r="G1" s="84"/>
      <c r="H1" s="84"/>
      <c r="I1" s="84"/>
      <c r="J1" s="84"/>
      <c r="K1" s="85"/>
      <c r="N1" s="24" t="s">
        <v>332</v>
      </c>
      <c r="O1" s="25"/>
      <c r="P1" s="25" t="str">
        <f>E2</f>
        <v>elasticity_TWFE_new</v>
      </c>
      <c r="Q1" s="25"/>
      <c r="R1" s="25"/>
      <c r="S1" s="26"/>
      <c r="T1" s="79" t="s">
        <v>332</v>
      </c>
      <c r="U1" s="80"/>
      <c r="V1" s="25" t="str">
        <f>F2</f>
        <v>elasticity_controls_new</v>
      </c>
      <c r="W1" s="25"/>
      <c r="X1" s="25"/>
      <c r="Y1" s="26"/>
      <c r="Z1" s="24" t="s">
        <v>332</v>
      </c>
      <c r="AA1" s="25"/>
      <c r="AB1" s="25" t="str">
        <f>G2</f>
        <v>elasticity_Pooled_new</v>
      </c>
      <c r="AC1" s="25"/>
      <c r="AD1" s="25"/>
      <c r="AE1" s="26"/>
    </row>
    <row r="2" spans="1:31" ht="33.6" customHeight="1" thickBot="1" x14ac:dyDescent="0.35">
      <c r="A2" s="50" t="s">
        <v>92</v>
      </c>
      <c r="B2" s="50">
        <v>2022</v>
      </c>
      <c r="D2" s="51" t="str">
        <f>Elasticities!M2</f>
        <v xml:space="preserve">Country </v>
      </c>
      <c r="E2" s="51" t="str">
        <f>Elasticities!R2</f>
        <v>elasticity_TWFE_new</v>
      </c>
      <c r="F2" s="51" t="str">
        <f>Elasticities!S2</f>
        <v>elasticity_controls_new</v>
      </c>
      <c r="G2" s="51" t="str">
        <f>Elasticities!T2</f>
        <v>elasticity_Pooled_new</v>
      </c>
      <c r="H2" s="51" t="str">
        <f>Elasticities!U2</f>
        <v>elasticity_TWFE_old</v>
      </c>
      <c r="I2" s="51" t="str">
        <f>Elasticities!V2</f>
        <v>elasticity_controls_old</v>
      </c>
      <c r="J2" s="51" t="str">
        <f>Elasticities!W2</f>
        <v>elasticity_Pooled_old</v>
      </c>
      <c r="K2" s="51" t="s">
        <v>331</v>
      </c>
      <c r="N2" s="27"/>
      <c r="O2" s="28"/>
      <c r="P2" s="28"/>
      <c r="Q2" s="28"/>
      <c r="R2" s="28"/>
      <c r="S2" s="29"/>
      <c r="T2" s="27"/>
      <c r="U2" s="28"/>
      <c r="V2" s="28"/>
      <c r="W2" s="28"/>
      <c r="X2" s="28"/>
      <c r="Y2" s="29"/>
      <c r="Z2" s="27"/>
      <c r="AA2" s="28"/>
      <c r="AB2" s="28"/>
      <c r="AC2" s="28"/>
      <c r="AD2" s="28"/>
      <c r="AE2" s="29"/>
    </row>
    <row r="3" spans="1:31" x14ac:dyDescent="0.3">
      <c r="A3" s="3" t="s">
        <v>93</v>
      </c>
      <c r="B3" s="3">
        <v>38979.835800000001</v>
      </c>
      <c r="D3" s="3" t="str">
        <f>Elasticities!M3</f>
        <v>Belgium</v>
      </c>
      <c r="E3" s="3">
        <f>Elasticities!R3</f>
        <v>-0.63388504101012055</v>
      </c>
      <c r="F3" s="3">
        <f>Elasticities!S3</f>
        <v>-0.60513466772818636</v>
      </c>
      <c r="G3" s="3">
        <f>Elasticities!T3</f>
        <v>-0.45629093602934456</v>
      </c>
      <c r="H3" s="3">
        <f>Elasticities!U3</f>
        <v>-0.68838209097166492</v>
      </c>
      <c r="I3" s="3">
        <f>Elasticities!V3</f>
        <v>-0.65715995951941353</v>
      </c>
      <c r="J3" s="3">
        <f>Elasticities!W3</f>
        <v>-0.49551967362215055</v>
      </c>
      <c r="K3" s="3">
        <f t="shared" ref="K3:K27" si="0">LN(VLOOKUP(D3,$A$3:$B$267,2,FALSE))</f>
        <v>11.043909843484045</v>
      </c>
      <c r="N3" s="77" t="s">
        <v>333</v>
      </c>
      <c r="O3" s="78"/>
      <c r="P3" s="28"/>
      <c r="Q3" s="28"/>
      <c r="R3" s="28"/>
      <c r="S3" s="29"/>
      <c r="T3" s="77" t="s">
        <v>333</v>
      </c>
      <c r="U3" s="78"/>
      <c r="V3" s="28"/>
      <c r="W3" s="28"/>
      <c r="X3" s="28"/>
      <c r="Y3" s="29"/>
      <c r="Z3" s="77" t="s">
        <v>333</v>
      </c>
      <c r="AA3" s="78"/>
      <c r="AB3" s="28"/>
      <c r="AC3" s="28"/>
      <c r="AD3" s="28"/>
      <c r="AE3" s="29"/>
    </row>
    <row r="4" spans="1:31" x14ac:dyDescent="0.3">
      <c r="A4" s="3" t="s">
        <v>94</v>
      </c>
      <c r="B4" s="3">
        <v>4106.50191</v>
      </c>
      <c r="D4" s="3" t="str">
        <f>Elasticities!M4</f>
        <v>Bulgaria</v>
      </c>
      <c r="E4" s="3">
        <f>Elasticities!R4</f>
        <v>-0.18856662106449956</v>
      </c>
      <c r="F4" s="3">
        <f>Elasticities!S4</f>
        <v>-0.17841858480481929</v>
      </c>
      <c r="G4" s="3">
        <f>Elasticities!T4</f>
        <v>-0.10055371019356441</v>
      </c>
      <c r="H4" s="3">
        <f>Elasticities!U4</f>
        <v>-2.1555835399718473</v>
      </c>
      <c r="I4" s="3">
        <f>Elasticities!V4</f>
        <v>-2.0395771131667453</v>
      </c>
      <c r="J4" s="3">
        <f>Elasticities!W4</f>
        <v>-1.1494713186922216</v>
      </c>
      <c r="K4" s="3">
        <f t="shared" si="0"/>
        <v>10.386956173649853</v>
      </c>
      <c r="N4" s="30" t="s">
        <v>334</v>
      </c>
      <c r="O4" s="21">
        <v>0.25187648383918387</v>
      </c>
      <c r="P4" s="28"/>
      <c r="Q4" s="28"/>
      <c r="R4" s="28"/>
      <c r="S4" s="29"/>
      <c r="T4" s="30" t="s">
        <v>334</v>
      </c>
      <c r="U4" s="21">
        <v>0.30442605333691264</v>
      </c>
      <c r="V4" s="28"/>
      <c r="W4" s="28"/>
      <c r="X4" s="28"/>
      <c r="Y4" s="29"/>
      <c r="Z4" s="30" t="s">
        <v>334</v>
      </c>
      <c r="AA4" s="21">
        <v>0.23009469563806545</v>
      </c>
      <c r="AB4" s="28"/>
      <c r="AC4" s="28"/>
      <c r="AD4" s="28"/>
      <c r="AE4" s="29"/>
    </row>
    <row r="5" spans="1:31" x14ac:dyDescent="0.3">
      <c r="A5" s="3" t="s">
        <v>95</v>
      </c>
      <c r="B5" s="3">
        <v>1981.7101700000001</v>
      </c>
      <c r="D5" s="3" t="str">
        <f>Elasticities!M5</f>
        <v>Czechia</v>
      </c>
      <c r="E5" s="3">
        <f>Elasticities!R5</f>
        <v>-0.57017626294183255</v>
      </c>
      <c r="F5" s="3">
        <f>Elasticities!S5</f>
        <v>-0.53902366832982918</v>
      </c>
      <c r="G5" s="3">
        <f>Elasticities!T5</f>
        <v>-0.4516831950488458</v>
      </c>
      <c r="H5" s="3">
        <f>Elasticities!U5</f>
        <v>-1.2989624317564854</v>
      </c>
      <c r="I5" s="3">
        <f>Elasticities!V5</f>
        <v>-1.2279913081184253</v>
      </c>
      <c r="J5" s="3">
        <f>Elasticities!W5</f>
        <v>-1.0290142532363591</v>
      </c>
      <c r="K5" s="3">
        <f t="shared" si="0"/>
        <v>10.787062134006746</v>
      </c>
      <c r="N5" s="30" t="s">
        <v>335</v>
      </c>
      <c r="O5" s="21">
        <v>6.3441763111190652E-2</v>
      </c>
      <c r="P5" s="28"/>
      <c r="Q5" s="28"/>
      <c r="R5" s="28"/>
      <c r="S5" s="29"/>
      <c r="T5" s="30" t="s">
        <v>335</v>
      </c>
      <c r="U5" s="21">
        <v>9.267522195028878E-2</v>
      </c>
      <c r="V5" s="28"/>
      <c r="W5" s="28"/>
      <c r="X5" s="28"/>
      <c r="Y5" s="29"/>
      <c r="Z5" s="30" t="s">
        <v>335</v>
      </c>
      <c r="AA5" s="21">
        <v>5.2943568960773971E-2</v>
      </c>
      <c r="AB5" s="28"/>
      <c r="AC5" s="28"/>
      <c r="AD5" s="28"/>
      <c r="AE5" s="29"/>
    </row>
    <row r="6" spans="1:31" x14ac:dyDescent="0.3">
      <c r="A6" s="3" t="s">
        <v>96</v>
      </c>
      <c r="B6" s="3">
        <v>5806.1728899999998</v>
      </c>
      <c r="D6" s="3" t="str">
        <f>Elasticities!M6</f>
        <v>Denmark</v>
      </c>
      <c r="E6" s="3">
        <f>Elasticities!R6</f>
        <v>-1.1205085230931673</v>
      </c>
      <c r="F6" s="3">
        <f>Elasticities!S6</f>
        <v>-1.1026864390982949</v>
      </c>
      <c r="G6" s="3">
        <f>Elasticities!T6</f>
        <v>-1.7229969693257476</v>
      </c>
      <c r="H6" s="3">
        <f>Elasticities!U6</f>
        <v>-1.1953630727729376</v>
      </c>
      <c r="I6" s="3">
        <f>Elasticities!V6</f>
        <v>-1.1763504007153271</v>
      </c>
      <c r="J6" s="3">
        <f>Elasticities!W6</f>
        <v>-1.8381002100244033</v>
      </c>
      <c r="K6" s="3">
        <f t="shared" si="0"/>
        <v>11.14872685913411</v>
      </c>
      <c r="N6" s="30" t="s">
        <v>336</v>
      </c>
      <c r="O6" s="21">
        <v>2.2721839768198943E-2</v>
      </c>
      <c r="P6" s="28"/>
      <c r="Q6" s="28"/>
      <c r="R6" s="28"/>
      <c r="S6" s="29"/>
      <c r="T6" s="30" t="s">
        <v>336</v>
      </c>
      <c r="U6" s="21">
        <v>5.3226318556823082E-2</v>
      </c>
      <c r="V6" s="28"/>
      <c r="W6" s="28"/>
      <c r="X6" s="28"/>
      <c r="Y6" s="29"/>
      <c r="Z6" s="30" t="s">
        <v>336</v>
      </c>
      <c r="AA6" s="21">
        <v>1.1767202393851105E-2</v>
      </c>
      <c r="AB6" s="28"/>
      <c r="AC6" s="28"/>
      <c r="AD6" s="28"/>
      <c r="AE6" s="29"/>
    </row>
    <row r="7" spans="1:31" x14ac:dyDescent="0.3">
      <c r="A7" s="3" t="s">
        <v>97</v>
      </c>
      <c r="B7" s="3">
        <v>8950.1425899999995</v>
      </c>
      <c r="D7" s="3" t="str">
        <f>Elasticities!M7</f>
        <v>Germany</v>
      </c>
      <c r="E7" s="3">
        <f>Elasticities!R7</f>
        <v>-0.70609267365304806</v>
      </c>
      <c r="F7" s="3">
        <f>Elasticities!S7</f>
        <v>-0.60242707943095597</v>
      </c>
      <c r="G7" s="3">
        <f>Elasticities!T7</f>
        <v>0.67576293582958369</v>
      </c>
      <c r="H7" s="3">
        <f>Elasticities!U7</f>
        <v>-0.77844013260808331</v>
      </c>
      <c r="I7" s="3">
        <f>Elasticities!V7</f>
        <v>-0.6641527848926001</v>
      </c>
      <c r="J7" s="3">
        <f>Elasticities!W7</f>
        <v>0.74500275814685613</v>
      </c>
      <c r="K7" s="3">
        <f t="shared" si="0"/>
        <v>11.061564383329532</v>
      </c>
      <c r="N7" s="30" t="s">
        <v>337</v>
      </c>
      <c r="O7" s="21">
        <v>0.39374613839423134</v>
      </c>
      <c r="P7" s="28"/>
      <c r="Q7" s="28"/>
      <c r="R7" s="28"/>
      <c r="S7" s="29"/>
      <c r="T7" s="30" t="s">
        <v>337</v>
      </c>
      <c r="U7" s="21">
        <v>0.36775005367741787</v>
      </c>
      <c r="V7" s="28"/>
      <c r="W7" s="28"/>
      <c r="X7" s="28"/>
      <c r="Y7" s="29"/>
      <c r="Z7" s="30" t="s">
        <v>337</v>
      </c>
      <c r="AA7" s="21">
        <v>0.94275896781873514</v>
      </c>
      <c r="AB7" s="28"/>
      <c r="AC7" s="28"/>
      <c r="AD7" s="28"/>
      <c r="AE7" s="29"/>
    </row>
    <row r="8" spans="1:31" ht="15" thickBot="1" x14ac:dyDescent="0.35">
      <c r="A8" s="3" t="s">
        <v>98</v>
      </c>
      <c r="B8" s="3">
        <v>19388.873100000001</v>
      </c>
      <c r="D8" s="3" t="str">
        <f>Elasticities!M8</f>
        <v>Estonia</v>
      </c>
      <c r="E8" s="3">
        <f>Elasticities!R8</f>
        <v>-0.94573664753723219</v>
      </c>
      <c r="F8" s="3">
        <f>Elasticities!S8</f>
        <v>-0.91957517309959147</v>
      </c>
      <c r="G8" s="3">
        <f>Elasticities!T8</f>
        <v>-1.4616772835846432</v>
      </c>
      <c r="H8" s="3">
        <f>Elasticities!U8</f>
        <v>-1.6533371646997905</v>
      </c>
      <c r="I8" s="3">
        <f>Elasticities!V8</f>
        <v>-1.6076016651992362</v>
      </c>
      <c r="J8" s="3">
        <f>Elasticities!W8</f>
        <v>-2.5553047796562054</v>
      </c>
      <c r="K8" s="3">
        <f t="shared" si="0"/>
        <v>10.671942389626349</v>
      </c>
      <c r="N8" s="31" t="s">
        <v>338</v>
      </c>
      <c r="O8" s="22">
        <v>25</v>
      </c>
      <c r="P8" s="28"/>
      <c r="Q8" s="28"/>
      <c r="R8" s="28"/>
      <c r="S8" s="29"/>
      <c r="T8" s="31" t="s">
        <v>338</v>
      </c>
      <c r="U8" s="22">
        <v>25</v>
      </c>
      <c r="V8" s="28"/>
      <c r="W8" s="28"/>
      <c r="X8" s="28"/>
      <c r="Y8" s="29"/>
      <c r="Z8" s="31" t="s">
        <v>338</v>
      </c>
      <c r="AA8" s="22">
        <v>25</v>
      </c>
      <c r="AB8" s="28"/>
      <c r="AC8" s="28"/>
      <c r="AD8" s="28"/>
      <c r="AE8" s="29"/>
    </row>
    <row r="9" spans="1:31" x14ac:dyDescent="0.3">
      <c r="A9" s="3" t="s">
        <v>99</v>
      </c>
      <c r="B9" s="3">
        <v>63913.383500000004</v>
      </c>
      <c r="D9" s="3" t="str">
        <f>Elasticities!M10</f>
        <v>Greece</v>
      </c>
      <c r="E9" s="3">
        <f>Elasticities!R10</f>
        <v>-0.10214546913632176</v>
      </c>
      <c r="F9" s="3">
        <f>Elasticities!S10</f>
        <v>-8.4820323333358122E-2</v>
      </c>
      <c r="G9" s="3">
        <f>Elasticities!T10</f>
        <v>1.2430749639044954E-2</v>
      </c>
      <c r="H9" s="3">
        <f>Elasticities!U10</f>
        <v>-0.98889881849662231</v>
      </c>
      <c r="I9" s="3">
        <f>Elasticities!V10</f>
        <v>-0.82116924263097857</v>
      </c>
      <c r="J9" s="3">
        <f>Elasticities!W10</f>
        <v>0.12034555947531213</v>
      </c>
      <c r="K9" s="3">
        <f t="shared" si="0"/>
        <v>10.486578325643295</v>
      </c>
      <c r="N9" s="27"/>
      <c r="O9" s="28"/>
      <c r="P9" s="28"/>
      <c r="Q9" s="28"/>
      <c r="R9" s="28"/>
      <c r="S9" s="29"/>
      <c r="T9" s="27"/>
      <c r="U9" s="28"/>
      <c r="V9" s="28"/>
      <c r="W9" s="28"/>
      <c r="X9" s="28"/>
      <c r="Y9" s="29"/>
      <c r="Z9" s="27"/>
      <c r="AA9" s="28"/>
      <c r="AB9" s="28"/>
      <c r="AC9" s="28"/>
      <c r="AD9" s="28"/>
      <c r="AE9" s="29"/>
    </row>
    <row r="10" spans="1:31" ht="15" thickBot="1" x14ac:dyDescent="0.35">
      <c r="A10" s="3" t="s">
        <v>100</v>
      </c>
      <c r="B10" s="3">
        <v>16905.490300000001</v>
      </c>
      <c r="D10" s="3" t="str">
        <f>Elasticities!M11</f>
        <v>Spain</v>
      </c>
      <c r="E10" s="3">
        <f>Elasticities!R11</f>
        <v>-0.4291626377798447</v>
      </c>
      <c r="F10" s="3">
        <f>Elasticities!S11</f>
        <v>-0.40043745355323362</v>
      </c>
      <c r="G10" s="3">
        <f>Elasticities!T11</f>
        <v>0.81533490043446577</v>
      </c>
      <c r="H10" s="3">
        <f>Elasticities!U11</f>
        <v>-0.57991905174652447</v>
      </c>
      <c r="I10" s="3">
        <f>Elasticities!V11</f>
        <v>-0.54110327392365165</v>
      </c>
      <c r="J10" s="3">
        <f>Elasticities!W11</f>
        <v>1.1017460531090257</v>
      </c>
      <c r="K10" s="3">
        <f t="shared" si="0"/>
        <v>10.752216124681279</v>
      </c>
      <c r="N10" s="27" t="s">
        <v>339</v>
      </c>
      <c r="O10" s="28"/>
      <c r="P10" s="28"/>
      <c r="Q10" s="28"/>
      <c r="R10" s="28"/>
      <c r="S10" s="29"/>
      <c r="T10" s="27" t="s">
        <v>339</v>
      </c>
      <c r="U10" s="28"/>
      <c r="V10" s="28"/>
      <c r="W10" s="28"/>
      <c r="X10" s="28"/>
      <c r="Y10" s="29"/>
      <c r="Z10" s="27" t="s">
        <v>339</v>
      </c>
      <c r="AA10" s="28"/>
      <c r="AB10" s="28"/>
      <c r="AC10" s="28"/>
      <c r="AD10" s="28"/>
      <c r="AE10" s="29"/>
    </row>
    <row r="11" spans="1:31" x14ac:dyDescent="0.3">
      <c r="A11" s="3" t="s">
        <v>101</v>
      </c>
      <c r="B11" s="3">
        <v>70075.63</v>
      </c>
      <c r="D11" s="3" t="str">
        <f>Elasticities!M12</f>
        <v>France</v>
      </c>
      <c r="E11" s="3">
        <f>Elasticities!R12</f>
        <v>-0.58896453337097932</v>
      </c>
      <c r="F11" s="3">
        <f>Elasticities!S12</f>
        <v>-0.5281935917533781</v>
      </c>
      <c r="G11" s="3">
        <f>Elasticities!T12</f>
        <v>1.1629175295698218</v>
      </c>
      <c r="H11" s="3">
        <f>Elasticities!U12</f>
        <v>-0.68204148763181538</v>
      </c>
      <c r="I11" s="3">
        <f>Elasticities!V12</f>
        <v>-0.61166661601022099</v>
      </c>
      <c r="J11" s="3">
        <f>Elasticities!W12</f>
        <v>1.3466990912359733</v>
      </c>
      <c r="K11" s="3">
        <f t="shared" si="0"/>
        <v>10.890680520965711</v>
      </c>
      <c r="N11" s="32"/>
      <c r="O11" s="23" t="s">
        <v>344</v>
      </c>
      <c r="P11" s="23" t="s">
        <v>345</v>
      </c>
      <c r="Q11" s="23" t="s">
        <v>346</v>
      </c>
      <c r="R11" s="23" t="s">
        <v>26</v>
      </c>
      <c r="S11" s="33" t="s">
        <v>347</v>
      </c>
      <c r="T11" s="32"/>
      <c r="U11" s="23" t="s">
        <v>344</v>
      </c>
      <c r="V11" s="23" t="s">
        <v>345</v>
      </c>
      <c r="W11" s="23" t="s">
        <v>346</v>
      </c>
      <c r="X11" s="23" t="s">
        <v>26</v>
      </c>
      <c r="Y11" s="33" t="s">
        <v>347</v>
      </c>
      <c r="Z11" s="32"/>
      <c r="AA11" s="23" t="s">
        <v>344</v>
      </c>
      <c r="AB11" s="23" t="s">
        <v>345</v>
      </c>
      <c r="AC11" s="23" t="s">
        <v>346</v>
      </c>
      <c r="AD11" s="23" t="s">
        <v>26</v>
      </c>
      <c r="AE11" s="33" t="s">
        <v>347</v>
      </c>
    </row>
    <row r="12" spans="1:31" x14ac:dyDescent="0.3">
      <c r="A12" s="3" t="s">
        <v>102</v>
      </c>
      <c r="B12" s="3">
        <v>27825.027300000002</v>
      </c>
      <c r="D12" s="3" t="str">
        <f>Elasticities!M13</f>
        <v>Croatia</v>
      </c>
      <c r="E12" s="3">
        <f>Elasticities!R13</f>
        <v>-0.76154625588878688</v>
      </c>
      <c r="F12" s="3">
        <f>Elasticities!S13</f>
        <v>-0.70621634184509485</v>
      </c>
      <c r="G12" s="3">
        <f>Elasticities!T13</f>
        <v>-1.1837206799297773</v>
      </c>
      <c r="H12" s="3">
        <f>Elasticities!U13</f>
        <v>-1.8901246034226893</v>
      </c>
      <c r="I12" s="3">
        <f>Elasticities!V13</f>
        <v>-1.7527981691705885</v>
      </c>
      <c r="J12" s="3">
        <f>Elasticities!W13</f>
        <v>-2.9379431169342443</v>
      </c>
      <c r="K12" s="3">
        <f t="shared" si="0"/>
        <v>10.593229193322637</v>
      </c>
      <c r="N12" s="30" t="s">
        <v>340</v>
      </c>
      <c r="O12" s="21">
        <v>1</v>
      </c>
      <c r="P12" s="21">
        <v>0.24154658806401486</v>
      </c>
      <c r="Q12" s="21">
        <v>0.24154658806401486</v>
      </c>
      <c r="R12" s="21">
        <v>1.5580030094066861</v>
      </c>
      <c r="S12" s="34">
        <v>0.22451558238585151</v>
      </c>
      <c r="T12" s="30" t="s">
        <v>340</v>
      </c>
      <c r="U12" s="21">
        <v>1</v>
      </c>
      <c r="V12" s="21">
        <v>0.31771241756820201</v>
      </c>
      <c r="W12" s="21">
        <v>0.31771241756820201</v>
      </c>
      <c r="X12" s="21">
        <v>2.3492471013944449</v>
      </c>
      <c r="Y12" s="34">
        <v>0.13898449453621123</v>
      </c>
      <c r="Z12" s="30" t="s">
        <v>340</v>
      </c>
      <c r="AA12" s="21">
        <v>1</v>
      </c>
      <c r="AB12" s="21">
        <v>1.1427902778206978</v>
      </c>
      <c r="AC12" s="21">
        <v>1.1427902778206978</v>
      </c>
      <c r="AD12" s="21">
        <v>1.2857756372147642</v>
      </c>
      <c r="AE12" s="34">
        <v>0.26850894315139351</v>
      </c>
    </row>
    <row r="13" spans="1:31" x14ac:dyDescent="0.3">
      <c r="A13" s="3" t="s">
        <v>103</v>
      </c>
      <c r="B13" s="3">
        <v>17886.178400000001</v>
      </c>
      <c r="D13" s="3" t="str">
        <f>Elasticities!M14</f>
        <v>Italy</v>
      </c>
      <c r="E13" s="3">
        <f>Elasticities!R14</f>
        <v>-0.77783219010851223</v>
      </c>
      <c r="F13" s="3">
        <f>Elasticities!S14</f>
        <v>-0.67977964317648298</v>
      </c>
      <c r="G13" s="3">
        <f>Elasticities!T14</f>
        <v>0.56900965761538058</v>
      </c>
      <c r="H13" s="3">
        <f>Elasticities!U14</f>
        <v>-1.0566191121751776</v>
      </c>
      <c r="I13" s="3">
        <f>Elasticities!V14</f>
        <v>-0.92342303671913073</v>
      </c>
      <c r="J13" s="3">
        <f>Elasticities!W14</f>
        <v>0.77295139863624129</v>
      </c>
      <c r="K13" s="3">
        <f t="shared" si="0"/>
        <v>10.865388682286532</v>
      </c>
      <c r="N13" s="30" t="s">
        <v>341</v>
      </c>
      <c r="O13" s="21">
        <v>23</v>
      </c>
      <c r="P13" s="21">
        <v>3.5658284945084908</v>
      </c>
      <c r="Q13" s="21">
        <v>0.15503602150036916</v>
      </c>
      <c r="R13" s="21"/>
      <c r="S13" s="34"/>
      <c r="T13" s="30" t="s">
        <v>341</v>
      </c>
      <c r="U13" s="21">
        <v>23</v>
      </c>
      <c r="V13" s="21">
        <v>3.1105223455341053</v>
      </c>
      <c r="W13" s="21">
        <v>0.1352401019797437</v>
      </c>
      <c r="X13" s="21"/>
      <c r="Y13" s="34"/>
      <c r="Z13" s="30" t="s">
        <v>341</v>
      </c>
      <c r="AA13" s="21">
        <v>23</v>
      </c>
      <c r="AB13" s="21">
        <v>20.442272842260877</v>
      </c>
      <c r="AC13" s="21">
        <v>0.88879447140264678</v>
      </c>
      <c r="AD13" s="21"/>
      <c r="AE13" s="34"/>
    </row>
    <row r="14" spans="1:31" ht="15" thickBot="1" x14ac:dyDescent="0.35">
      <c r="A14" s="3" t="s">
        <v>104</v>
      </c>
      <c r="B14" s="3"/>
      <c r="D14" s="3" t="str">
        <f>Elasticities!M15</f>
        <v>Cyprus</v>
      </c>
      <c r="E14" s="3">
        <f>Elasticities!R15</f>
        <v>-0.61298791098310434</v>
      </c>
      <c r="F14" s="3">
        <f>Elasticities!S15</f>
        <v>-0.64318739898200816</v>
      </c>
      <c r="G14" s="3">
        <f>Elasticities!T15</f>
        <v>0.17331898461750073</v>
      </c>
      <c r="H14" s="3">
        <f>Elasticities!U15</f>
        <v>-1.0304913945034575</v>
      </c>
      <c r="I14" s="3">
        <f>Elasticities!V15</f>
        <v>-1.0812596265414602</v>
      </c>
      <c r="J14" s="3">
        <f>Elasticities!W15</f>
        <v>0.29136581481022783</v>
      </c>
      <c r="K14" s="3">
        <f t="shared" si="0"/>
        <v>10.832177039188178</v>
      </c>
      <c r="N14" s="31" t="s">
        <v>342</v>
      </c>
      <c r="O14" s="22">
        <v>24</v>
      </c>
      <c r="P14" s="22">
        <v>3.8073750825725057</v>
      </c>
      <c r="Q14" s="22"/>
      <c r="R14" s="22"/>
      <c r="S14" s="35"/>
      <c r="T14" s="31" t="s">
        <v>342</v>
      </c>
      <c r="U14" s="22">
        <v>24</v>
      </c>
      <c r="V14" s="22">
        <v>3.4282347631023073</v>
      </c>
      <c r="W14" s="22"/>
      <c r="X14" s="22"/>
      <c r="Y14" s="35"/>
      <c r="Z14" s="31" t="s">
        <v>342</v>
      </c>
      <c r="AA14" s="22">
        <v>24</v>
      </c>
      <c r="AB14" s="22">
        <v>21.585063120081575</v>
      </c>
      <c r="AC14" s="22"/>
      <c r="AD14" s="22"/>
      <c r="AE14" s="35"/>
    </row>
    <row r="15" spans="1:31" ht="15" thickBot="1" x14ac:dyDescent="0.35">
      <c r="A15" s="3" t="s">
        <v>105</v>
      </c>
      <c r="B15" s="3">
        <v>27941.785100000001</v>
      </c>
      <c r="D15" s="3" t="str">
        <f>Elasticities!M16</f>
        <v>Latvia</v>
      </c>
      <c r="E15" s="3">
        <f>Elasticities!R16</f>
        <v>-0.57571916389984801</v>
      </c>
      <c r="F15" s="3">
        <f>Elasticities!S16</f>
        <v>-0.52964992989106841</v>
      </c>
      <c r="G15" s="3">
        <f>Elasticities!T16</f>
        <v>-0.73442091276446719</v>
      </c>
      <c r="H15" s="3">
        <f>Elasticities!U16</f>
        <v>-1.7265219596173729</v>
      </c>
      <c r="I15" s="3">
        <f>Elasticities!V16</f>
        <v>-1.5883651130741403</v>
      </c>
      <c r="J15" s="3">
        <f>Elasticities!W16</f>
        <v>-2.2024520165367774</v>
      </c>
      <c r="K15" s="3">
        <f t="shared" si="0"/>
        <v>10.537911531496441</v>
      </c>
      <c r="N15" s="27"/>
      <c r="O15" s="28"/>
      <c r="P15" s="28"/>
      <c r="Q15" s="28"/>
      <c r="R15" s="28"/>
      <c r="S15" s="29"/>
      <c r="T15" s="27"/>
      <c r="U15" s="28"/>
      <c r="V15" s="28"/>
      <c r="W15" s="28"/>
      <c r="X15" s="28"/>
      <c r="Y15" s="29"/>
      <c r="Z15" s="27"/>
      <c r="AA15" s="28"/>
      <c r="AB15" s="28"/>
      <c r="AC15" s="28"/>
      <c r="AD15" s="28"/>
      <c r="AE15" s="29"/>
    </row>
    <row r="16" spans="1:31" x14ac:dyDescent="0.3">
      <c r="A16" s="3" t="s">
        <v>106</v>
      </c>
      <c r="B16" s="3">
        <v>60029.132899999997</v>
      </c>
      <c r="D16" s="3" t="str">
        <f>Elasticities!M17</f>
        <v>Lithuania</v>
      </c>
      <c r="E16" s="3">
        <f>Elasticities!R17</f>
        <v>-1.5601515010796645</v>
      </c>
      <c r="F16" s="3">
        <f>Elasticities!S17</f>
        <v>-1.5558776405459844</v>
      </c>
      <c r="G16" s="3">
        <f>Elasticities!T17</f>
        <v>-1.013243937641499</v>
      </c>
      <c r="H16" s="3">
        <f>Elasticities!U17</f>
        <v>-2.4822279851685245</v>
      </c>
      <c r="I16" s="3">
        <f>Elasticities!V17</f>
        <v>-2.4754281992412821</v>
      </c>
      <c r="J16" s="3">
        <f>Elasticities!W17</f>
        <v>-1.6120886055460417</v>
      </c>
      <c r="K16" s="3">
        <f t="shared" si="0"/>
        <v>10.750454242378133</v>
      </c>
      <c r="N16" s="32"/>
      <c r="O16" s="23" t="s">
        <v>348</v>
      </c>
      <c r="P16" s="23" t="s">
        <v>337</v>
      </c>
      <c r="Q16" s="23" t="s">
        <v>349</v>
      </c>
      <c r="R16" s="23" t="s">
        <v>350</v>
      </c>
      <c r="S16" s="33" t="s">
        <v>351</v>
      </c>
      <c r="T16" s="32"/>
      <c r="U16" s="23" t="s">
        <v>348</v>
      </c>
      <c r="V16" s="23" t="s">
        <v>337</v>
      </c>
      <c r="W16" s="23" t="s">
        <v>349</v>
      </c>
      <c r="X16" s="23" t="s">
        <v>350</v>
      </c>
      <c r="Y16" s="33" t="s">
        <v>351</v>
      </c>
      <c r="Z16" s="32"/>
      <c r="AA16" s="23" t="s">
        <v>348</v>
      </c>
      <c r="AB16" s="23" t="s">
        <v>337</v>
      </c>
      <c r="AC16" s="23" t="s">
        <v>349</v>
      </c>
      <c r="AD16" s="23" t="s">
        <v>350</v>
      </c>
      <c r="AE16" s="33" t="s">
        <v>351</v>
      </c>
    </row>
    <row r="17" spans="1:31" x14ac:dyDescent="0.3">
      <c r="A17" s="3" t="s">
        <v>50</v>
      </c>
      <c r="B17" s="3">
        <v>65694.551300000006</v>
      </c>
      <c r="D17" s="3" t="str">
        <f>Elasticities!M18</f>
        <v>Luxembourg</v>
      </c>
      <c r="E17" s="3">
        <f>Elasticities!R18</f>
        <v>-0.53256139275791203</v>
      </c>
      <c r="F17" s="3">
        <f>Elasticities!S18</f>
        <v>-0.62126417955804913</v>
      </c>
      <c r="G17" s="3">
        <f>Elasticities!T18</f>
        <v>-1.3361350283131208</v>
      </c>
      <c r="H17" s="3">
        <f>Elasticities!U18</f>
        <v>-0.56300696868945155</v>
      </c>
      <c r="I17" s="3">
        <f>Elasticities!V18</f>
        <v>-0.65678073409897941</v>
      </c>
      <c r="J17" s="3">
        <f>Elasticities!W18</f>
        <v>-1.4125194621314177</v>
      </c>
      <c r="K17" s="3">
        <f t="shared" si="0"/>
        <v>11.794872317444074</v>
      </c>
      <c r="N17" s="30" t="s">
        <v>343</v>
      </c>
      <c r="O17" s="64">
        <v>3.0501715673226473</v>
      </c>
      <c r="P17" s="21">
        <v>2.9914068309323638</v>
      </c>
      <c r="Q17" s="21">
        <v>1.0196445150096711</v>
      </c>
      <c r="R17" s="21">
        <v>0.31850331293797413</v>
      </c>
      <c r="S17" s="34">
        <v>-3.1380249393451169</v>
      </c>
      <c r="T17" s="30" t="s">
        <v>343</v>
      </c>
      <c r="U17" s="64">
        <v>3.6290329279284022</v>
      </c>
      <c r="V17" s="21">
        <v>2.7939068231443214</v>
      </c>
      <c r="W17" s="21">
        <v>1.2989097910732086</v>
      </c>
      <c r="X17" s="21">
        <v>0.20684656983804312</v>
      </c>
      <c r="Y17" s="34">
        <v>-2.1506036845708065</v>
      </c>
      <c r="Z17" s="30" t="s">
        <v>343</v>
      </c>
      <c r="AA17" s="64">
        <v>7.5577927791508772</v>
      </c>
      <c r="AB17" s="21">
        <v>7.1624210151162373</v>
      </c>
      <c r="AC17" s="21">
        <v>1.0552008550181859</v>
      </c>
      <c r="AD17" s="21">
        <v>0.30229228676730685</v>
      </c>
      <c r="AE17" s="34">
        <v>-7.2588039627946577</v>
      </c>
    </row>
    <row r="18" spans="1:31" ht="15" thickBot="1" x14ac:dyDescent="0.35">
      <c r="A18" s="3" t="s">
        <v>107</v>
      </c>
      <c r="B18" s="3">
        <v>21051.244200000001</v>
      </c>
      <c r="D18" s="3" t="str">
        <f>Elasticities!M19</f>
        <v>Hungary</v>
      </c>
      <c r="E18" s="3">
        <f>Elasticities!R19</f>
        <v>-0.18071432402670326</v>
      </c>
      <c r="F18" s="3">
        <f>Elasticities!S19</f>
        <v>-0.16598094074841235</v>
      </c>
      <c r="G18" s="3">
        <f>Elasticities!T19</f>
        <v>-0.16729693699845441</v>
      </c>
      <c r="H18" s="3">
        <f>Elasticities!U19</f>
        <v>-1.2729957706639257</v>
      </c>
      <c r="I18" s="3">
        <f>Elasticities!V19</f>
        <v>-1.1692102257058874</v>
      </c>
      <c r="J18" s="3">
        <f>Elasticities!W19</f>
        <v>-1.1784804242335125</v>
      </c>
      <c r="K18" s="3">
        <f t="shared" si="0"/>
        <v>10.611793533223789</v>
      </c>
      <c r="N18" s="31" t="s">
        <v>331</v>
      </c>
      <c r="O18" s="65">
        <v>-0.34501952099522232</v>
      </c>
      <c r="P18" s="22">
        <v>0.2764136729111108</v>
      </c>
      <c r="Q18" s="22">
        <v>-1.2481999076296555</v>
      </c>
      <c r="R18" s="22">
        <v>0.22451558238585242</v>
      </c>
      <c r="S18" s="35">
        <v>-0.91682476908667332</v>
      </c>
      <c r="T18" s="31" t="s">
        <v>331</v>
      </c>
      <c r="U18" s="65">
        <v>-0.3956947688576391</v>
      </c>
      <c r="V18" s="22">
        <v>0.25816416502466571</v>
      </c>
      <c r="W18" s="22">
        <v>-1.5327253835552015</v>
      </c>
      <c r="X18" s="22">
        <v>0.13898449453621181</v>
      </c>
      <c r="Y18" s="35">
        <v>-0.92974803357339308</v>
      </c>
      <c r="Z18" s="31" t="s">
        <v>331</v>
      </c>
      <c r="AA18" s="65">
        <v>-0.75045815747661149</v>
      </c>
      <c r="AB18" s="22">
        <v>0.66182609441556395</v>
      </c>
      <c r="AC18" s="22">
        <v>-1.1339204721737597</v>
      </c>
      <c r="AD18" s="22">
        <v>0.26850894315139417</v>
      </c>
      <c r="AE18" s="35">
        <v>-2.119549744463284</v>
      </c>
    </row>
    <row r="19" spans="1:31" ht="15" thickBot="1" x14ac:dyDescent="0.35">
      <c r="A19" s="3" t="s">
        <v>108</v>
      </c>
      <c r="B19" s="3">
        <v>1031.2541200000001</v>
      </c>
      <c r="D19" s="3" t="str">
        <f>Elasticities!M20</f>
        <v>Malta</v>
      </c>
      <c r="E19" s="3">
        <f>Elasticities!R20</f>
        <v>-0.30390046509961371</v>
      </c>
      <c r="F19" s="3">
        <f>Elasticities!S20</f>
        <v>-0.44608238138827305</v>
      </c>
      <c r="G19" s="3">
        <f>Elasticities!T20</f>
        <v>-1.9621615588185775</v>
      </c>
      <c r="H19" s="3">
        <f>Elasticities!U20</f>
        <v>-0.41312611697954355</v>
      </c>
      <c r="I19" s="3">
        <f>Elasticities!V20</f>
        <v>-0.60641000340528706</v>
      </c>
      <c r="J19" s="3">
        <f>Elasticities!W20</f>
        <v>-2.6673871177378383</v>
      </c>
      <c r="K19" s="3">
        <f t="shared" si="0"/>
        <v>10.948030030949129</v>
      </c>
    </row>
    <row r="20" spans="1:31" x14ac:dyDescent="0.3">
      <c r="A20" s="3" t="s">
        <v>32</v>
      </c>
      <c r="B20" s="3">
        <v>62561.781000000003</v>
      </c>
      <c r="D20" s="3" t="str">
        <f>Elasticities!M21</f>
        <v>Austria</v>
      </c>
      <c r="E20" s="3">
        <f>Elasticities!R21</f>
        <v>-0.57542304259752064</v>
      </c>
      <c r="F20" s="3">
        <f>Elasticities!S21</f>
        <v>-0.52749857173323933</v>
      </c>
      <c r="G20" s="3">
        <f>Elasticities!T21</f>
        <v>-1.0078514324032488</v>
      </c>
      <c r="H20" s="3">
        <f>Elasticities!U21</f>
        <v>-0.62656035172419999</v>
      </c>
      <c r="I20" s="3">
        <f>Elasticities!V21</f>
        <v>-0.57437687783102287</v>
      </c>
      <c r="J20" s="3">
        <f>Elasticities!W21</f>
        <v>-1.0974182492271285</v>
      </c>
      <c r="K20" s="3">
        <f t="shared" si="0"/>
        <v>11.092771268004649</v>
      </c>
      <c r="N20" s="24"/>
      <c r="O20" s="25"/>
      <c r="P20" s="25"/>
      <c r="Q20" s="25"/>
      <c r="R20" s="25"/>
      <c r="S20" s="26"/>
      <c r="T20" s="24"/>
      <c r="U20" s="25"/>
      <c r="V20" s="25"/>
      <c r="W20" s="25"/>
      <c r="X20" s="25"/>
      <c r="Y20" s="26"/>
      <c r="Z20" s="24"/>
      <c r="AA20" s="25"/>
      <c r="AB20" s="25"/>
      <c r="AC20" s="25"/>
      <c r="AD20" s="25"/>
      <c r="AE20" s="26"/>
    </row>
    <row r="21" spans="1:31" ht="15" thickBot="1" x14ac:dyDescent="0.35">
      <c r="A21" s="3" t="s">
        <v>109</v>
      </c>
      <c r="B21" s="3">
        <v>3588.3252000000002</v>
      </c>
      <c r="D21" s="3" t="str">
        <f>Elasticities!M22</f>
        <v>Poland</v>
      </c>
      <c r="E21" s="3">
        <f>Elasticities!R22</f>
        <v>-0.53479743588554818</v>
      </c>
      <c r="F21" s="3">
        <f>Elasticities!S22</f>
        <v>-0.49020643273219466</v>
      </c>
      <c r="G21" s="3">
        <f>Elasticities!T22</f>
        <v>-4.3359173645846509E-2</v>
      </c>
      <c r="H21" s="3">
        <f>Elasticities!U22</f>
        <v>-1.9055860350220775</v>
      </c>
      <c r="I21" s="3">
        <f>Elasticities!V22</f>
        <v>-1.7466997218221003</v>
      </c>
      <c r="J21" s="3">
        <f>Elasticities!W22</f>
        <v>-0.15449706794649792</v>
      </c>
      <c r="K21" s="3">
        <f t="shared" si="0"/>
        <v>10.678330418464306</v>
      </c>
      <c r="N21" s="27" t="s">
        <v>332</v>
      </c>
      <c r="O21" s="28"/>
      <c r="P21" s="28" t="str">
        <f>H2</f>
        <v>elasticity_TWFE_old</v>
      </c>
      <c r="Q21" s="28"/>
      <c r="R21" s="28"/>
      <c r="S21" s="29"/>
      <c r="T21" s="27" t="s">
        <v>332</v>
      </c>
      <c r="U21" s="28"/>
      <c r="V21" s="28" t="str">
        <f>I2</f>
        <v>elasticity_controls_old</v>
      </c>
      <c r="W21" s="28"/>
      <c r="X21" s="28"/>
      <c r="Y21" s="29"/>
      <c r="Z21" s="27" t="s">
        <v>332</v>
      </c>
      <c r="AA21" s="28"/>
      <c r="AB21" s="28" t="str">
        <f>J2</f>
        <v>elasticity_Pooled_old</v>
      </c>
      <c r="AC21" s="28"/>
      <c r="AD21" s="28"/>
      <c r="AE21" s="29"/>
    </row>
    <row r="22" spans="1:31" x14ac:dyDescent="0.3">
      <c r="A22" s="3" t="s">
        <v>110</v>
      </c>
      <c r="B22" s="3">
        <v>2469.1995700000002</v>
      </c>
      <c r="D22" s="3" t="str">
        <f>Elasticities!M23</f>
        <v>Portugal</v>
      </c>
      <c r="E22" s="3">
        <f>Elasticities!R23</f>
        <v>-0.53496546784474375</v>
      </c>
      <c r="F22" s="3">
        <f>Elasticities!S23</f>
        <v>-0.47609226089843126</v>
      </c>
      <c r="G22" s="3">
        <f>Elasticities!T23</f>
        <v>-4.9494290855181006E-2</v>
      </c>
      <c r="H22" s="3">
        <f>Elasticities!U23</f>
        <v>-1.0727613219389596</v>
      </c>
      <c r="I22" s="3">
        <f>Elasticities!V23</f>
        <v>-0.95470342267873798</v>
      </c>
      <c r="J22" s="3">
        <f>Elasticities!W23</f>
        <v>-9.9250445267328152E-2</v>
      </c>
      <c r="K22" s="3">
        <f t="shared" si="0"/>
        <v>10.623054175807942</v>
      </c>
      <c r="N22" s="77"/>
      <c r="O22" s="78"/>
      <c r="P22" s="28"/>
      <c r="Q22" s="28"/>
      <c r="R22" s="28"/>
      <c r="S22" s="29"/>
      <c r="T22" s="77"/>
      <c r="U22" s="78"/>
      <c r="V22" s="28"/>
      <c r="W22" s="28"/>
      <c r="X22" s="28"/>
      <c r="Y22" s="29"/>
      <c r="Z22" s="77"/>
      <c r="AA22" s="78"/>
      <c r="AB22" s="28"/>
      <c r="AC22" s="28"/>
      <c r="AD22" s="28"/>
      <c r="AE22" s="29"/>
    </row>
    <row r="23" spans="1:31" x14ac:dyDescent="0.3">
      <c r="A23" s="3" t="s">
        <v>111</v>
      </c>
      <c r="B23" s="3">
        <v>7888.1638899999998</v>
      </c>
      <c r="D23" s="3" t="str">
        <f>Elasticities!M24</f>
        <v>Romania</v>
      </c>
      <c r="E23" s="3">
        <f>Elasticities!R24</f>
        <v>-0.53532870178047942</v>
      </c>
      <c r="F23" s="3">
        <f>Elasticities!S24</f>
        <v>-0.50095528116316124</v>
      </c>
      <c r="G23" s="3">
        <f>Elasticities!T24</f>
        <v>-0.1135505926483157</v>
      </c>
      <c r="H23" s="3">
        <f>Elasticities!U24</f>
        <v>-1.9548762017165808</v>
      </c>
      <c r="I23" s="3">
        <f>Elasticities!V24</f>
        <v>-1.8293537297981144</v>
      </c>
      <c r="J23" s="3">
        <f>Elasticities!W24</f>
        <v>-0.41465617389973547</v>
      </c>
      <c r="K23" s="3">
        <f t="shared" si="0"/>
        <v>10.577884768506047</v>
      </c>
      <c r="N23" s="30" t="s">
        <v>333</v>
      </c>
      <c r="O23" s="21"/>
      <c r="P23" s="28"/>
      <c r="Q23" s="28"/>
      <c r="R23" s="28"/>
      <c r="S23" s="29"/>
      <c r="T23" s="30" t="s">
        <v>333</v>
      </c>
      <c r="U23" s="21"/>
      <c r="V23" s="28"/>
      <c r="W23" s="28"/>
      <c r="X23" s="28"/>
      <c r="Y23" s="29"/>
      <c r="Z23" s="30" t="s">
        <v>333</v>
      </c>
      <c r="AA23" s="21"/>
      <c r="AB23" s="28"/>
      <c r="AC23" s="28"/>
      <c r="AD23" s="28"/>
      <c r="AE23" s="29"/>
    </row>
    <row r="24" spans="1:31" x14ac:dyDescent="0.3">
      <c r="A24" s="3" t="s">
        <v>33</v>
      </c>
      <c r="B24" s="3">
        <v>32433.793699999998</v>
      </c>
      <c r="D24" s="3" t="str">
        <f>Elasticities!M25</f>
        <v>Slovenia</v>
      </c>
      <c r="E24" s="3">
        <f>Elasticities!R25</f>
        <v>-1.122205572272597</v>
      </c>
      <c r="F24" s="3">
        <f>Elasticities!S25</f>
        <v>-1.0343878122114918</v>
      </c>
      <c r="G24" s="3">
        <f>Elasticities!T25</f>
        <v>-2.7253956581381598</v>
      </c>
      <c r="H24" s="3">
        <f>Elasticities!U25</f>
        <v>-1.4615644687295721</v>
      </c>
      <c r="I24" s="3">
        <f>Elasticities!V25</f>
        <v>-1.3471903103756764</v>
      </c>
      <c r="J24" s="3">
        <f>Elasticities!W25</f>
        <v>-3.5495648529866513</v>
      </c>
      <c r="K24" s="3">
        <f t="shared" si="0"/>
        <v>10.758967581781889</v>
      </c>
      <c r="N24" s="30" t="s">
        <v>334</v>
      </c>
      <c r="O24" s="21">
        <v>0.558979979367901</v>
      </c>
      <c r="P24" s="28"/>
      <c r="Q24" s="28"/>
      <c r="R24" s="28"/>
      <c r="S24" s="29"/>
      <c r="T24" s="30" t="s">
        <v>334</v>
      </c>
      <c r="U24" s="21">
        <v>0.50575872858893123</v>
      </c>
      <c r="V24" s="28"/>
      <c r="W24" s="28"/>
      <c r="X24" s="28"/>
      <c r="Y24" s="29"/>
      <c r="Z24" s="30" t="s">
        <v>334</v>
      </c>
      <c r="AA24" s="21">
        <v>3.956907384427101E-2</v>
      </c>
      <c r="AB24" s="28"/>
      <c r="AC24" s="28"/>
      <c r="AD24" s="28"/>
      <c r="AE24" s="29"/>
    </row>
    <row r="25" spans="1:31" x14ac:dyDescent="0.3">
      <c r="A25" s="3" t="s">
        <v>112</v>
      </c>
      <c r="B25" s="3">
        <v>57572.998</v>
      </c>
      <c r="D25" s="3" t="str">
        <f>Elasticities!M26</f>
        <v>Slovakia</v>
      </c>
      <c r="E25" s="3">
        <f>Elasticities!R26</f>
        <v>-0.40539589501446521</v>
      </c>
      <c r="F25" s="3">
        <f>Elasticities!S26</f>
        <v>-0.37366230622238361</v>
      </c>
      <c r="G25" s="3">
        <f>Elasticities!T26</f>
        <v>-0.41972951125897251</v>
      </c>
      <c r="H25" s="3">
        <f>Elasticities!U26</f>
        <v>-1.7320161592326992</v>
      </c>
      <c r="I25" s="3">
        <f>Elasticities!V26</f>
        <v>-1.5964373602012738</v>
      </c>
      <c r="J25" s="3">
        <f>Elasticities!W26</f>
        <v>-1.7932551980612526</v>
      </c>
      <c r="K25" s="3">
        <f t="shared" si="0"/>
        <v>10.562687689868426</v>
      </c>
      <c r="N25" s="30" t="s">
        <v>335</v>
      </c>
      <c r="O25" s="21">
        <v>0.31245861733413899</v>
      </c>
      <c r="P25" s="28"/>
      <c r="Q25" s="28"/>
      <c r="R25" s="28"/>
      <c r="S25" s="29"/>
      <c r="T25" s="30" t="s">
        <v>335</v>
      </c>
      <c r="U25" s="21">
        <v>0.2557918915438922</v>
      </c>
      <c r="V25" s="28"/>
      <c r="W25" s="28"/>
      <c r="X25" s="28"/>
      <c r="Y25" s="29"/>
      <c r="Z25" s="30" t="s">
        <v>335</v>
      </c>
      <c r="AA25" s="21">
        <v>1.5657116048933719E-3</v>
      </c>
      <c r="AB25" s="28"/>
      <c r="AC25" s="28"/>
      <c r="AD25" s="28"/>
      <c r="AE25" s="29"/>
    </row>
    <row r="26" spans="1:31" x14ac:dyDescent="0.3">
      <c r="A26" s="3" t="s">
        <v>113</v>
      </c>
      <c r="B26" s="3">
        <v>34342.928500000002</v>
      </c>
      <c r="D26" s="3" t="str">
        <f>Elasticities!M27</f>
        <v>Finland</v>
      </c>
      <c r="E26" s="3">
        <f>Elasticities!R27</f>
        <v>-1.7904014757127975</v>
      </c>
      <c r="F26" s="3">
        <f>Elasticities!S27</f>
        <v>-1.6515422934335291</v>
      </c>
      <c r="G26" s="3">
        <f>Elasticities!T27</f>
        <v>-1.8522643005637751</v>
      </c>
      <c r="H26" s="3">
        <f>Elasticities!U27</f>
        <v>-2.0061790045279668</v>
      </c>
      <c r="I26" s="3">
        <f>Elasticities!V27</f>
        <v>-1.8505846421162162</v>
      </c>
      <c r="J26" s="3">
        <f>Elasticities!W27</f>
        <v>-2.0754974797752084</v>
      </c>
      <c r="K26" s="3">
        <f t="shared" si="0"/>
        <v>10.952004173235437</v>
      </c>
      <c r="N26" s="30" t="s">
        <v>336</v>
      </c>
      <c r="O26" s="21">
        <v>0.28256551373997107</v>
      </c>
      <c r="P26" s="28"/>
      <c r="Q26" s="28"/>
      <c r="R26" s="28"/>
      <c r="S26" s="29"/>
      <c r="T26" s="30" t="s">
        <v>336</v>
      </c>
      <c r="U26" s="21">
        <v>0.22343501726319187</v>
      </c>
      <c r="V26" s="28"/>
      <c r="W26" s="28"/>
      <c r="X26" s="28"/>
      <c r="Y26" s="29"/>
      <c r="Z26" s="30" t="s">
        <v>336</v>
      </c>
      <c r="AA26" s="21">
        <v>-4.1844474847067784E-2</v>
      </c>
      <c r="AB26" s="28"/>
      <c r="AC26" s="28"/>
      <c r="AD26" s="28"/>
      <c r="AE26" s="29"/>
    </row>
    <row r="27" spans="1:31" ht="15" thickBot="1" x14ac:dyDescent="0.35">
      <c r="A27" s="3" t="s">
        <v>114</v>
      </c>
      <c r="B27" s="3">
        <v>19298.197100000001</v>
      </c>
      <c r="D27" s="3" t="str">
        <f>Elasticities!M28</f>
        <v>Sweden</v>
      </c>
      <c r="E27" s="3">
        <f>Elasticities!R28</f>
        <v>-0.97103395031319339</v>
      </c>
      <c r="F27" s="3">
        <f>Elasticities!S28</f>
        <v>-0.93127158294574552</v>
      </c>
      <c r="G27" s="3">
        <f>Elasticities!T28</f>
        <v>-0.63215760214794192</v>
      </c>
      <c r="H27" s="3">
        <f>Elasticities!U28</f>
        <v>-1.1043786702450369</v>
      </c>
      <c r="I27" s="3">
        <f>Elasticities!V28</f>
        <v>-1.0591560388582628</v>
      </c>
      <c r="J27" s="3">
        <f>Elasticities!W28</f>
        <v>-0.71896700606632702</v>
      </c>
      <c r="K27" s="3">
        <f t="shared" si="0"/>
        <v>11.052292572110581</v>
      </c>
      <c r="N27" s="31" t="s">
        <v>337</v>
      </c>
      <c r="O27" s="22">
        <v>0.48750556580469356</v>
      </c>
      <c r="P27" s="28"/>
      <c r="Q27" s="28"/>
      <c r="R27" s="28"/>
      <c r="S27" s="29"/>
      <c r="T27" s="31" t="s">
        <v>337</v>
      </c>
      <c r="U27" s="22">
        <v>0.47442182914148628</v>
      </c>
      <c r="V27" s="28"/>
      <c r="W27" s="28"/>
      <c r="X27" s="28"/>
      <c r="Y27" s="29"/>
      <c r="Z27" s="31" t="s">
        <v>337</v>
      </c>
      <c r="AA27" s="22">
        <v>1.3378384389451747</v>
      </c>
      <c r="AB27" s="28"/>
      <c r="AC27" s="28"/>
      <c r="AD27" s="28"/>
      <c r="AE27" s="29"/>
    </row>
    <row r="28" spans="1:31" x14ac:dyDescent="0.3">
      <c r="A28" s="3" t="s">
        <v>115</v>
      </c>
      <c r="B28" s="3">
        <v>26537.508300000001</v>
      </c>
      <c r="N28" s="27" t="s">
        <v>338</v>
      </c>
      <c r="O28" s="28">
        <v>25</v>
      </c>
      <c r="P28" s="28"/>
      <c r="Q28" s="28"/>
      <c r="R28" s="28"/>
      <c r="S28" s="29"/>
      <c r="T28" s="27" t="s">
        <v>338</v>
      </c>
      <c r="U28" s="28">
        <v>25</v>
      </c>
      <c r="V28" s="28"/>
      <c r="W28" s="28"/>
      <c r="X28" s="28"/>
      <c r="Y28" s="29"/>
      <c r="Z28" s="27" t="s">
        <v>338</v>
      </c>
      <c r="AA28" s="28">
        <v>25</v>
      </c>
      <c r="AB28" s="28"/>
      <c r="AC28" s="28"/>
      <c r="AD28" s="28"/>
      <c r="AE28" s="29"/>
    </row>
    <row r="29" spans="1:31" ht="15" thickBot="1" x14ac:dyDescent="0.35">
      <c r="A29" s="3" t="s">
        <v>116</v>
      </c>
      <c r="B29" s="3">
        <v>12565.364600000001</v>
      </c>
      <c r="N29" s="27"/>
      <c r="O29" s="28"/>
      <c r="P29" s="28"/>
      <c r="Q29" s="28"/>
      <c r="R29" s="28"/>
      <c r="S29" s="29"/>
      <c r="T29" s="27"/>
      <c r="U29" s="28"/>
      <c r="V29" s="28"/>
      <c r="W29" s="28"/>
      <c r="X29" s="28"/>
      <c r="Y29" s="29"/>
      <c r="Z29" s="27"/>
      <c r="AA29" s="28"/>
      <c r="AB29" s="28"/>
      <c r="AC29" s="28"/>
      <c r="AD29" s="28"/>
      <c r="AE29" s="29"/>
    </row>
    <row r="30" spans="1:31" x14ac:dyDescent="0.3">
      <c r="A30" s="3" t="s">
        <v>117</v>
      </c>
      <c r="B30" s="3">
        <v>98145.168900000004</v>
      </c>
      <c r="N30" s="32" t="s">
        <v>339</v>
      </c>
      <c r="O30" s="23"/>
      <c r="P30" s="23"/>
      <c r="Q30" s="23"/>
      <c r="R30" s="23"/>
      <c r="S30" s="33"/>
      <c r="T30" s="32" t="s">
        <v>339</v>
      </c>
      <c r="U30" s="23"/>
      <c r="V30" s="23"/>
      <c r="W30" s="23"/>
      <c r="X30" s="23"/>
      <c r="Y30" s="33"/>
      <c r="Z30" s="32" t="s">
        <v>339</v>
      </c>
      <c r="AA30" s="23"/>
      <c r="AB30" s="23"/>
      <c r="AC30" s="23"/>
      <c r="AD30" s="23"/>
      <c r="AE30" s="33"/>
    </row>
    <row r="31" spans="1:31" x14ac:dyDescent="0.3">
      <c r="A31" s="3" t="s">
        <v>118</v>
      </c>
      <c r="B31" s="3">
        <v>11487.714900000001</v>
      </c>
      <c r="N31" s="30"/>
      <c r="O31" s="21" t="s">
        <v>344</v>
      </c>
      <c r="P31" s="21" t="s">
        <v>345</v>
      </c>
      <c r="Q31" s="21" t="s">
        <v>346</v>
      </c>
      <c r="R31" s="21" t="s">
        <v>26</v>
      </c>
      <c r="S31" s="34" t="s">
        <v>347</v>
      </c>
      <c r="T31" s="30"/>
      <c r="U31" s="21" t="s">
        <v>344</v>
      </c>
      <c r="V31" s="21" t="s">
        <v>345</v>
      </c>
      <c r="W31" s="21" t="s">
        <v>346</v>
      </c>
      <c r="X31" s="21" t="s">
        <v>26</v>
      </c>
      <c r="Y31" s="34" t="s">
        <v>347</v>
      </c>
      <c r="Z31" s="30"/>
      <c r="AA31" s="21" t="s">
        <v>344</v>
      </c>
      <c r="AB31" s="21" t="s">
        <v>345</v>
      </c>
      <c r="AC31" s="21" t="s">
        <v>346</v>
      </c>
      <c r="AD31" s="21" t="s">
        <v>26</v>
      </c>
      <c r="AE31" s="34" t="s">
        <v>347</v>
      </c>
    </row>
    <row r="32" spans="1:31" x14ac:dyDescent="0.3">
      <c r="A32" s="3" t="s">
        <v>119</v>
      </c>
      <c r="B32" s="3">
        <v>18554.046200000001</v>
      </c>
      <c r="N32" s="30" t="s">
        <v>340</v>
      </c>
      <c r="O32" s="21">
        <v>1</v>
      </c>
      <c r="P32" s="21">
        <v>2.4841662445023536</v>
      </c>
      <c r="Q32" s="21">
        <v>2.4841662445023536</v>
      </c>
      <c r="R32" s="21">
        <v>10.452531847348883</v>
      </c>
      <c r="S32" s="34">
        <v>3.6763039189411572E-3</v>
      </c>
      <c r="T32" s="30" t="s">
        <v>340</v>
      </c>
      <c r="U32" s="21">
        <v>1</v>
      </c>
      <c r="V32" s="21">
        <v>1.7793014767121802</v>
      </c>
      <c r="W32" s="21">
        <v>1.7793014767121802</v>
      </c>
      <c r="X32" s="21">
        <v>7.9053337885749499</v>
      </c>
      <c r="Y32" s="34">
        <v>9.9014271171601505E-3</v>
      </c>
      <c r="Z32" s="30" t="s">
        <v>340</v>
      </c>
      <c r="AA32" s="21">
        <v>1</v>
      </c>
      <c r="AB32" s="21">
        <v>6.4554639374854617E-2</v>
      </c>
      <c r="AC32" s="21">
        <v>6.4554639374854617E-2</v>
      </c>
      <c r="AD32" s="21">
        <v>3.606783874623596E-2</v>
      </c>
      <c r="AE32" s="34">
        <v>0.85104162482657375</v>
      </c>
    </row>
    <row r="33" spans="1:31" ht="15" thickBot="1" x14ac:dyDescent="0.35">
      <c r="A33" s="3" t="s">
        <v>120</v>
      </c>
      <c r="B33" s="3">
        <v>20716.285100000001</v>
      </c>
      <c r="N33" s="31" t="s">
        <v>341</v>
      </c>
      <c r="O33" s="22">
        <v>23</v>
      </c>
      <c r="P33" s="22">
        <v>5.4662185638827516</v>
      </c>
      <c r="Q33" s="22">
        <v>0.23766167669055441</v>
      </c>
      <c r="R33" s="22"/>
      <c r="S33" s="35"/>
      <c r="T33" s="31" t="s">
        <v>341</v>
      </c>
      <c r="U33" s="22">
        <v>23</v>
      </c>
      <c r="V33" s="22">
        <v>5.1767496552169332</v>
      </c>
      <c r="W33" s="22">
        <v>0.22507607196595361</v>
      </c>
      <c r="X33" s="22"/>
      <c r="Y33" s="35"/>
      <c r="Z33" s="31" t="s">
        <v>341</v>
      </c>
      <c r="AA33" s="22">
        <v>23</v>
      </c>
      <c r="AB33" s="22">
        <v>41.165668840543027</v>
      </c>
      <c r="AC33" s="22">
        <v>1.7898116887192621</v>
      </c>
      <c r="AD33" s="22"/>
      <c r="AE33" s="35"/>
    </row>
    <row r="34" spans="1:31" ht="15" thickBot="1" x14ac:dyDescent="0.35">
      <c r="A34" s="3" t="s">
        <v>121</v>
      </c>
      <c r="B34" s="3">
        <v>76357.829100000003</v>
      </c>
      <c r="N34" s="27" t="s">
        <v>342</v>
      </c>
      <c r="O34" s="28">
        <v>24</v>
      </c>
      <c r="P34" s="28">
        <v>7.9503848083851052</v>
      </c>
      <c r="Q34" s="28"/>
      <c r="R34" s="28"/>
      <c r="S34" s="29"/>
      <c r="T34" s="27" t="s">
        <v>342</v>
      </c>
      <c r="U34" s="28">
        <v>24</v>
      </c>
      <c r="V34" s="28">
        <v>6.9560511319291134</v>
      </c>
      <c r="W34" s="28"/>
      <c r="X34" s="28"/>
      <c r="Y34" s="29"/>
      <c r="Z34" s="27" t="s">
        <v>342</v>
      </c>
      <c r="AA34" s="28">
        <v>24</v>
      </c>
      <c r="AB34" s="28">
        <v>41.230223479917882</v>
      </c>
      <c r="AC34" s="28"/>
      <c r="AD34" s="28"/>
      <c r="AE34" s="29"/>
    </row>
    <row r="35" spans="1:31" x14ac:dyDescent="0.3">
      <c r="A35" s="3" t="s">
        <v>122</v>
      </c>
      <c r="B35" s="3">
        <v>14061.312</v>
      </c>
      <c r="N35" s="32"/>
      <c r="O35" s="23"/>
      <c r="P35" s="23"/>
      <c r="Q35" s="23"/>
      <c r="R35" s="23"/>
      <c r="S35" s="33"/>
      <c r="T35" s="32"/>
      <c r="U35" s="23"/>
      <c r="V35" s="23"/>
      <c r="W35" s="23"/>
      <c r="X35" s="23"/>
      <c r="Y35" s="33"/>
      <c r="Z35" s="32"/>
      <c r="AA35" s="23"/>
      <c r="AB35" s="23"/>
      <c r="AC35" s="23"/>
      <c r="AD35" s="23"/>
      <c r="AE35" s="33"/>
    </row>
    <row r="36" spans="1:31" x14ac:dyDescent="0.3">
      <c r="A36" s="3" t="s">
        <v>123</v>
      </c>
      <c r="B36" s="3">
        <v>18647.373500000002</v>
      </c>
      <c r="N36" s="30"/>
      <c r="O36" s="21" t="s">
        <v>348</v>
      </c>
      <c r="P36" s="21" t="s">
        <v>337</v>
      </c>
      <c r="Q36" s="21" t="s">
        <v>349</v>
      </c>
      <c r="R36" s="21" t="s">
        <v>350</v>
      </c>
      <c r="S36" s="34" t="s">
        <v>351</v>
      </c>
      <c r="T36" s="30"/>
      <c r="U36" s="21" t="s">
        <v>348</v>
      </c>
      <c r="V36" s="21" t="s">
        <v>337</v>
      </c>
      <c r="W36" s="21" t="s">
        <v>349</v>
      </c>
      <c r="X36" s="21" t="s">
        <v>350</v>
      </c>
      <c r="Y36" s="34" t="s">
        <v>351</v>
      </c>
      <c r="Z36" s="30"/>
      <c r="AA36" s="21" t="s">
        <v>348</v>
      </c>
      <c r="AB36" s="21" t="s">
        <v>337</v>
      </c>
      <c r="AC36" s="21" t="s">
        <v>349</v>
      </c>
      <c r="AD36" s="21" t="s">
        <v>350</v>
      </c>
      <c r="AE36" s="34" t="s">
        <v>351</v>
      </c>
    </row>
    <row r="37" spans="1:31" ht="15" thickBot="1" x14ac:dyDescent="0.35">
      <c r="A37" s="3" t="s">
        <v>124</v>
      </c>
      <c r="B37" s="3">
        <v>1136.80171</v>
      </c>
      <c r="N37" s="31" t="s">
        <v>343</v>
      </c>
      <c r="O37" s="65">
        <v>-13.262931214682652</v>
      </c>
      <c r="P37" s="22">
        <v>3.7037251606149924</v>
      </c>
      <c r="Q37" s="22">
        <v>-3.580970682090348</v>
      </c>
      <c r="R37" s="22">
        <v>1.5820764803568831E-3</v>
      </c>
      <c r="S37" s="35">
        <v>-20.92467045508937</v>
      </c>
      <c r="T37" s="31" t="s">
        <v>343</v>
      </c>
      <c r="U37" s="65">
        <v>-11.35291686092118</v>
      </c>
      <c r="V37" s="22">
        <v>3.6043241115328262</v>
      </c>
      <c r="W37" s="22">
        <v>-3.1498046539696669</v>
      </c>
      <c r="X37" s="22">
        <v>4.4845697564152246E-3</v>
      </c>
      <c r="Y37" s="35">
        <v>-18.809029364660439</v>
      </c>
      <c r="Z37" s="31" t="s">
        <v>343</v>
      </c>
      <c r="AA37" s="65">
        <v>-2.9137536179308468</v>
      </c>
      <c r="AB37" s="22">
        <v>10.163957572423316</v>
      </c>
      <c r="AC37" s="22">
        <v>-0.28667510634208032</v>
      </c>
      <c r="AD37" s="22">
        <v>0.77692769736322553</v>
      </c>
      <c r="AE37" s="35">
        <v>-23.939501802100661</v>
      </c>
    </row>
    <row r="38" spans="1:31" x14ac:dyDescent="0.3">
      <c r="A38" s="3" t="s">
        <v>125</v>
      </c>
      <c r="B38" s="3">
        <v>58321.061199999996</v>
      </c>
      <c r="N38" s="24" t="s">
        <v>331</v>
      </c>
      <c r="O38" s="66">
        <v>1.106454456448495</v>
      </c>
      <c r="P38" s="25">
        <v>0.34223371575968398</v>
      </c>
      <c r="Q38" s="25">
        <v>3.233037557367509</v>
      </c>
      <c r="R38" s="25">
        <v>3.6763039189411867E-3</v>
      </c>
      <c r="S38" s="26">
        <v>0.3984900758002351</v>
      </c>
      <c r="T38" s="24" t="s">
        <v>331</v>
      </c>
      <c r="U38" s="66">
        <v>0.93641418494935991</v>
      </c>
      <c r="V38" s="25">
        <v>0.33304880356923633</v>
      </c>
      <c r="W38" s="25">
        <v>2.8116425428163776</v>
      </c>
      <c r="X38" s="25">
        <v>9.9014271171601453E-3</v>
      </c>
      <c r="Y38" s="26">
        <v>0.24745024280490024</v>
      </c>
      <c r="Z38" s="24" t="s">
        <v>331</v>
      </c>
      <c r="AA38" s="66">
        <v>0.17836389347129677</v>
      </c>
      <c r="AB38" s="25">
        <v>0.9391757800561592</v>
      </c>
      <c r="AC38" s="25">
        <v>0.18991534626311518</v>
      </c>
      <c r="AD38" s="25">
        <v>0.85104162482656776</v>
      </c>
      <c r="AE38" s="26">
        <v>-1.7644692314631238</v>
      </c>
    </row>
    <row r="39" spans="1:31" x14ac:dyDescent="0.3">
      <c r="A39" s="3" t="s">
        <v>126</v>
      </c>
      <c r="B39" s="3">
        <v>41834.725400000003</v>
      </c>
    </row>
    <row r="40" spans="1:31" x14ac:dyDescent="0.3">
      <c r="A40" s="3" t="s">
        <v>127</v>
      </c>
      <c r="B40" s="3">
        <v>82777.293600000005</v>
      </c>
    </row>
    <row r="41" spans="1:31" x14ac:dyDescent="0.3">
      <c r="A41" s="3" t="s">
        <v>128</v>
      </c>
      <c r="B41" s="3"/>
    </row>
    <row r="42" spans="1:31" x14ac:dyDescent="0.3">
      <c r="A42" s="3" t="s">
        <v>129</v>
      </c>
      <c r="B42" s="3">
        <v>29569.477599999998</v>
      </c>
    </row>
    <row r="43" spans="1:31" x14ac:dyDescent="0.3">
      <c r="A43" s="3" t="s">
        <v>130</v>
      </c>
      <c r="B43" s="3">
        <v>21499.382300000001</v>
      </c>
    </row>
    <row r="44" spans="1:31" x14ac:dyDescent="0.3">
      <c r="A44" s="3" t="s">
        <v>131</v>
      </c>
      <c r="B44" s="3">
        <v>6272.2639600000002</v>
      </c>
    </row>
    <row r="45" spans="1:31" x14ac:dyDescent="0.3">
      <c r="A45" s="3" t="s">
        <v>132</v>
      </c>
      <c r="B45" s="3">
        <v>4843.65038</v>
      </c>
    </row>
    <row r="46" spans="1:31" x14ac:dyDescent="0.3">
      <c r="A46" s="3" t="s">
        <v>133</v>
      </c>
      <c r="B46" s="3">
        <v>1484.33842</v>
      </c>
    </row>
    <row r="47" spans="1:31" x14ac:dyDescent="0.3">
      <c r="A47" s="3" t="s">
        <v>134</v>
      </c>
      <c r="B47" s="3">
        <v>6205.1050400000004</v>
      </c>
    </row>
    <row r="48" spans="1:31" x14ac:dyDescent="0.3">
      <c r="A48" s="3" t="s">
        <v>135</v>
      </c>
      <c r="B48" s="3">
        <v>18458.7209</v>
      </c>
    </row>
    <row r="49" spans="1:2" x14ac:dyDescent="0.3">
      <c r="A49" s="3" t="s">
        <v>136</v>
      </c>
      <c r="B49" s="3">
        <v>3399.2783100000001</v>
      </c>
    </row>
    <row r="50" spans="1:2" x14ac:dyDescent="0.3">
      <c r="A50" s="3" t="s">
        <v>137</v>
      </c>
      <c r="B50" s="3">
        <v>8850.1066900000005</v>
      </c>
    </row>
    <row r="51" spans="1:2" x14ac:dyDescent="0.3">
      <c r="A51" s="3" t="s">
        <v>138</v>
      </c>
      <c r="B51" s="3">
        <v>24831.719300000001</v>
      </c>
    </row>
    <row r="52" spans="1:2" x14ac:dyDescent="0.3">
      <c r="A52" s="3" t="s">
        <v>139</v>
      </c>
      <c r="B52" s="3">
        <v>27046.7068</v>
      </c>
    </row>
    <row r="53" spans="1:2" x14ac:dyDescent="0.3">
      <c r="A53" s="3" t="s">
        <v>140</v>
      </c>
      <c r="B53" s="3"/>
    </row>
    <row r="54" spans="1:2" x14ac:dyDescent="0.3">
      <c r="A54" s="3" t="s">
        <v>141</v>
      </c>
      <c r="B54" s="3">
        <v>26734.645799999998</v>
      </c>
    </row>
    <row r="55" spans="1:2" x14ac:dyDescent="0.3">
      <c r="A55" s="3" t="s">
        <v>142</v>
      </c>
      <c r="B55" s="3">
        <v>76818.800399999993</v>
      </c>
    </row>
    <row r="56" spans="1:2" x14ac:dyDescent="0.3">
      <c r="A56" s="3" t="s">
        <v>44</v>
      </c>
      <c r="B56" s="3">
        <v>50623.796900000001</v>
      </c>
    </row>
    <row r="57" spans="1:2" x14ac:dyDescent="0.3">
      <c r="A57" s="3" t="s">
        <v>34</v>
      </c>
      <c r="B57" s="3">
        <v>48390.661699999997</v>
      </c>
    </row>
    <row r="58" spans="1:2" x14ac:dyDescent="0.3">
      <c r="A58" s="3" t="s">
        <v>36</v>
      </c>
      <c r="B58" s="3">
        <v>63676.087800000001</v>
      </c>
    </row>
    <row r="59" spans="1:2" x14ac:dyDescent="0.3">
      <c r="A59" s="3" t="s">
        <v>143</v>
      </c>
      <c r="B59" s="3">
        <v>6180.6799899999996</v>
      </c>
    </row>
    <row r="60" spans="1:2" x14ac:dyDescent="0.3">
      <c r="A60" s="3" t="s">
        <v>144</v>
      </c>
      <c r="B60" s="3">
        <v>17550.800999999999</v>
      </c>
    </row>
    <row r="61" spans="1:2" x14ac:dyDescent="0.3">
      <c r="A61" s="3" t="s">
        <v>35</v>
      </c>
      <c r="B61" s="3">
        <v>69475.319900000002</v>
      </c>
    </row>
    <row r="62" spans="1:2" x14ac:dyDescent="0.3">
      <c r="A62" s="3" t="s">
        <v>145</v>
      </c>
      <c r="B62" s="3">
        <v>22986.9581</v>
      </c>
    </row>
    <row r="63" spans="1:2" x14ac:dyDescent="0.3">
      <c r="A63" s="3" t="s">
        <v>146</v>
      </c>
      <c r="B63" s="3">
        <v>14782.2003</v>
      </c>
    </row>
    <row r="64" spans="1:2" x14ac:dyDescent="0.3">
      <c r="A64" s="3" t="s">
        <v>147</v>
      </c>
      <c r="B64" s="3">
        <v>18600.0209</v>
      </c>
    </row>
    <row r="65" spans="1:2" x14ac:dyDescent="0.3">
      <c r="A65" s="3" t="s">
        <v>148</v>
      </c>
      <c r="B65" s="3">
        <v>11378.548699999999</v>
      </c>
    </row>
    <row r="66" spans="1:2" x14ac:dyDescent="0.3">
      <c r="A66" s="3" t="s">
        <v>149</v>
      </c>
      <c r="B66" s="3">
        <v>22175.197400000001</v>
      </c>
    </row>
    <row r="67" spans="1:2" x14ac:dyDescent="0.3">
      <c r="A67" s="3" t="s">
        <v>150</v>
      </c>
      <c r="B67" s="3">
        <v>22272.1276</v>
      </c>
    </row>
    <row r="68" spans="1:2" x14ac:dyDescent="0.3">
      <c r="A68" s="3" t="s">
        <v>151</v>
      </c>
      <c r="B68" s="3">
        <v>43405.800999999999</v>
      </c>
    </row>
    <row r="69" spans="1:2" x14ac:dyDescent="0.3">
      <c r="A69" s="3" t="s">
        <v>152</v>
      </c>
      <c r="B69" s="3">
        <v>14186.6389</v>
      </c>
    </row>
    <row r="70" spans="1:2" x14ac:dyDescent="0.3">
      <c r="A70" s="3" t="s">
        <v>153</v>
      </c>
      <c r="B70" s="3">
        <v>16360.390799999999</v>
      </c>
    </row>
    <row r="71" spans="1:2" x14ac:dyDescent="0.3">
      <c r="A71" s="3" t="s">
        <v>154</v>
      </c>
      <c r="B71" s="3">
        <v>56046.748</v>
      </c>
    </row>
    <row r="72" spans="1:2" x14ac:dyDescent="0.3">
      <c r="A72" s="3" t="s">
        <v>155</v>
      </c>
      <c r="B72" s="3"/>
    </row>
    <row r="73" spans="1:2" x14ac:dyDescent="0.3">
      <c r="A73" s="3" t="s">
        <v>40</v>
      </c>
      <c r="B73" s="3">
        <v>46733.481</v>
      </c>
    </row>
    <row r="74" spans="1:2" x14ac:dyDescent="0.3">
      <c r="A74" s="3" t="s">
        <v>37</v>
      </c>
      <c r="B74" s="3">
        <v>43128.632799999999</v>
      </c>
    </row>
    <row r="75" spans="1:2" x14ac:dyDescent="0.3">
      <c r="A75" s="3" t="s">
        <v>156</v>
      </c>
      <c r="B75" s="3">
        <v>2655.5927700000002</v>
      </c>
    </row>
    <row r="76" spans="1:2" x14ac:dyDescent="0.3">
      <c r="A76" s="3" t="s">
        <v>157</v>
      </c>
      <c r="B76" s="3">
        <v>53777.477800000001</v>
      </c>
    </row>
    <row r="77" spans="1:2" x14ac:dyDescent="0.3">
      <c r="A77" s="3" t="s">
        <v>56</v>
      </c>
      <c r="B77" s="3">
        <v>57068.3056</v>
      </c>
    </row>
    <row r="78" spans="1:2" x14ac:dyDescent="0.3">
      <c r="A78" s="3" t="s">
        <v>158</v>
      </c>
      <c r="B78" s="3">
        <v>12118.318300000001</v>
      </c>
    </row>
    <row r="79" spans="1:2" x14ac:dyDescent="0.3">
      <c r="A79" s="3" t="s">
        <v>41</v>
      </c>
      <c r="B79" s="3">
        <v>53673.813699999999</v>
      </c>
    </row>
    <row r="80" spans="1:2" x14ac:dyDescent="0.3">
      <c r="A80" s="3" t="s">
        <v>159</v>
      </c>
      <c r="B80" s="3">
        <v>70256.719200000007</v>
      </c>
    </row>
    <row r="81" spans="1:2" x14ac:dyDescent="0.3">
      <c r="A81" s="3" t="s">
        <v>160</v>
      </c>
      <c r="B81" s="3">
        <v>3814.9907600000001</v>
      </c>
    </row>
    <row r="82" spans="1:2" x14ac:dyDescent="0.3">
      <c r="A82" s="3" t="s">
        <v>161</v>
      </c>
      <c r="B82" s="3">
        <v>18662.049800000001</v>
      </c>
    </row>
    <row r="83" spans="1:2" x14ac:dyDescent="0.3">
      <c r="A83" s="3" t="s">
        <v>162</v>
      </c>
      <c r="B83" s="3">
        <v>53139.151299999998</v>
      </c>
    </row>
    <row r="84" spans="1:2" x14ac:dyDescent="0.3">
      <c r="A84" s="3" t="s">
        <v>163</v>
      </c>
      <c r="B84" s="3">
        <v>20966.527999999998</v>
      </c>
    </row>
    <row r="85" spans="1:2" x14ac:dyDescent="0.3">
      <c r="A85" s="3" t="s">
        <v>164</v>
      </c>
      <c r="B85" s="3">
        <v>6728.4541399999998</v>
      </c>
    </row>
    <row r="86" spans="1:2" x14ac:dyDescent="0.3">
      <c r="A86" s="3" t="s">
        <v>165</v>
      </c>
      <c r="B86" s="3"/>
    </row>
    <row r="87" spans="1:2" x14ac:dyDescent="0.3">
      <c r="A87" s="3" t="s">
        <v>166</v>
      </c>
      <c r="B87" s="3">
        <v>3792.0106900000001</v>
      </c>
    </row>
    <row r="88" spans="1:2" x14ac:dyDescent="0.3">
      <c r="A88" s="3" t="s">
        <v>167</v>
      </c>
      <c r="B88" s="3">
        <v>2863.1804999999999</v>
      </c>
    </row>
    <row r="89" spans="1:2" x14ac:dyDescent="0.3">
      <c r="A89" s="3" t="s">
        <v>168</v>
      </c>
      <c r="B89" s="3">
        <v>2603.2402299999999</v>
      </c>
    </row>
    <row r="90" spans="1:2" x14ac:dyDescent="0.3">
      <c r="A90" s="3" t="s">
        <v>169</v>
      </c>
      <c r="B90" s="3">
        <v>16932.770700000001</v>
      </c>
    </row>
    <row r="91" spans="1:2" x14ac:dyDescent="0.3">
      <c r="A91" s="3" t="s">
        <v>39</v>
      </c>
      <c r="B91" s="3">
        <v>35831.3442</v>
      </c>
    </row>
    <row r="92" spans="1:2" x14ac:dyDescent="0.3">
      <c r="A92" s="3" t="s">
        <v>170</v>
      </c>
      <c r="B92" s="3">
        <v>16376.427299999999</v>
      </c>
    </row>
    <row r="93" spans="1:2" x14ac:dyDescent="0.3">
      <c r="A93" s="3" t="s">
        <v>171</v>
      </c>
      <c r="B93" s="3">
        <v>70681.225399999996</v>
      </c>
    </row>
    <row r="94" spans="1:2" x14ac:dyDescent="0.3">
      <c r="A94" s="3" t="s">
        <v>172</v>
      </c>
      <c r="B94" s="3">
        <v>12147.931</v>
      </c>
    </row>
    <row r="95" spans="1:2" x14ac:dyDescent="0.3">
      <c r="A95" s="3" t="s">
        <v>173</v>
      </c>
      <c r="B95" s="3"/>
    </row>
    <row r="96" spans="1:2" x14ac:dyDescent="0.3">
      <c r="A96" s="3" t="s">
        <v>174</v>
      </c>
      <c r="B96" s="3">
        <v>37068.199399999998</v>
      </c>
    </row>
    <row r="97" spans="1:2" x14ac:dyDescent="0.3">
      <c r="A97" s="3" t="s">
        <v>175</v>
      </c>
      <c r="B97" s="3">
        <v>56904.445699999997</v>
      </c>
    </row>
    <row r="98" spans="1:2" x14ac:dyDescent="0.3">
      <c r="A98" s="3" t="s">
        <v>176</v>
      </c>
      <c r="B98" s="3">
        <v>64036.645400000001</v>
      </c>
    </row>
    <row r="99" spans="1:2" x14ac:dyDescent="0.3">
      <c r="A99" s="3" t="s">
        <v>177</v>
      </c>
      <c r="B99" s="3">
        <v>6352.5870999999997</v>
      </c>
    </row>
    <row r="100" spans="1:2" x14ac:dyDescent="0.3">
      <c r="A100" s="3" t="s">
        <v>178</v>
      </c>
      <c r="B100" s="3">
        <v>3090.26152</v>
      </c>
    </row>
    <row r="101" spans="1:2" x14ac:dyDescent="0.3">
      <c r="A101" s="3" t="s">
        <v>42</v>
      </c>
      <c r="B101" s="3">
        <v>39864.0101</v>
      </c>
    </row>
    <row r="102" spans="1:2" x14ac:dyDescent="0.3">
      <c r="A102" s="3" t="s">
        <v>179</v>
      </c>
      <c r="B102" s="3">
        <v>3057.42841</v>
      </c>
    </row>
    <row r="103" spans="1:2" x14ac:dyDescent="0.3">
      <c r="A103" s="3" t="s">
        <v>48</v>
      </c>
      <c r="B103" s="3">
        <v>40610.971100000002</v>
      </c>
    </row>
    <row r="104" spans="1:2" x14ac:dyDescent="0.3">
      <c r="A104" s="3" t="s">
        <v>180</v>
      </c>
      <c r="B104" s="3">
        <v>17005.3678</v>
      </c>
    </row>
    <row r="105" spans="1:2" x14ac:dyDescent="0.3">
      <c r="A105" s="3" t="s">
        <v>181</v>
      </c>
      <c r="B105" s="3">
        <v>13682.5663</v>
      </c>
    </row>
    <row r="106" spans="1:2" x14ac:dyDescent="0.3">
      <c r="A106" s="3" t="s">
        <v>182</v>
      </c>
      <c r="B106" s="3">
        <v>4924.7872799999996</v>
      </c>
    </row>
    <row r="107" spans="1:2" x14ac:dyDescent="0.3">
      <c r="A107" s="3" t="s">
        <v>183</v>
      </c>
      <c r="B107" s="3">
        <v>6528.7750100000003</v>
      </c>
    </row>
    <row r="108" spans="1:2" x14ac:dyDescent="0.3">
      <c r="A108" s="3" t="s">
        <v>184</v>
      </c>
      <c r="B108" s="3">
        <v>13334.2654</v>
      </c>
    </row>
    <row r="109" spans="1:2" x14ac:dyDescent="0.3">
      <c r="A109" s="3" t="s">
        <v>185</v>
      </c>
      <c r="B109" s="3">
        <v>4079.7026599999999</v>
      </c>
    </row>
    <row r="110" spans="1:2" x14ac:dyDescent="0.3">
      <c r="A110" s="3" t="s">
        <v>186</v>
      </c>
      <c r="B110" s="3"/>
    </row>
    <row r="111" spans="1:2" x14ac:dyDescent="0.3">
      <c r="A111" s="3" t="s">
        <v>187</v>
      </c>
      <c r="B111" s="3">
        <v>8594.3919000000005</v>
      </c>
    </row>
    <row r="112" spans="1:2" x14ac:dyDescent="0.3">
      <c r="A112" s="3" t="s">
        <v>188</v>
      </c>
      <c r="B112" s="3"/>
    </row>
    <row r="113" spans="1:2" x14ac:dyDescent="0.3">
      <c r="A113" s="3" t="s">
        <v>38</v>
      </c>
      <c r="B113" s="3">
        <v>123219.076</v>
      </c>
    </row>
    <row r="114" spans="1:2" x14ac:dyDescent="0.3">
      <c r="A114" s="3" t="s">
        <v>189</v>
      </c>
      <c r="B114" s="3">
        <v>16377.9611</v>
      </c>
    </row>
    <row r="115" spans="1:2" x14ac:dyDescent="0.3">
      <c r="A115" s="3" t="s">
        <v>190</v>
      </c>
      <c r="B115" s="3">
        <v>13433.3977</v>
      </c>
    </row>
    <row r="116" spans="1:2" x14ac:dyDescent="0.3">
      <c r="A116" s="3" t="s">
        <v>191</v>
      </c>
      <c r="B116" s="3">
        <v>65380.317300000002</v>
      </c>
    </row>
    <row r="117" spans="1:2" x14ac:dyDescent="0.3">
      <c r="A117" s="3" t="s">
        <v>192</v>
      </c>
      <c r="B117" s="3">
        <v>48098.1872</v>
      </c>
    </row>
    <row r="118" spans="1:2" x14ac:dyDescent="0.3">
      <c r="A118" s="3" t="s">
        <v>43</v>
      </c>
      <c r="B118" s="3">
        <v>52333.327400000002</v>
      </c>
    </row>
    <row r="119" spans="1:2" x14ac:dyDescent="0.3">
      <c r="A119" s="3" t="s">
        <v>193</v>
      </c>
      <c r="B119" s="3">
        <v>11096.637699999999</v>
      </c>
    </row>
    <row r="120" spans="1:2" x14ac:dyDescent="0.3">
      <c r="A120" s="3" t="s">
        <v>194</v>
      </c>
      <c r="B120" s="3">
        <v>9266.5753800000002</v>
      </c>
    </row>
    <row r="121" spans="1:2" x14ac:dyDescent="0.3">
      <c r="A121" s="3" t="s">
        <v>195</v>
      </c>
      <c r="B121" s="3">
        <v>44972.343800000002</v>
      </c>
    </row>
    <row r="122" spans="1:2" x14ac:dyDescent="0.3">
      <c r="A122" s="3" t="s">
        <v>196</v>
      </c>
      <c r="B122" s="3">
        <v>33506.261500000001</v>
      </c>
    </row>
    <row r="123" spans="1:2" x14ac:dyDescent="0.3">
      <c r="A123" s="3" t="s">
        <v>197</v>
      </c>
      <c r="B123" s="3">
        <v>5491.6937799999996</v>
      </c>
    </row>
    <row r="124" spans="1:2" x14ac:dyDescent="0.3">
      <c r="A124" s="3" t="s">
        <v>198</v>
      </c>
      <c r="B124" s="3">
        <v>6139.7778900000003</v>
      </c>
    </row>
    <row r="125" spans="1:2" x14ac:dyDescent="0.3">
      <c r="A125" s="3" t="s">
        <v>199</v>
      </c>
      <c r="B125" s="3">
        <v>6458.3681500000002</v>
      </c>
    </row>
    <row r="126" spans="1:2" x14ac:dyDescent="0.3">
      <c r="A126" s="3" t="s">
        <v>200</v>
      </c>
      <c r="B126" s="3">
        <v>3107.7760499999999</v>
      </c>
    </row>
    <row r="127" spans="1:2" x14ac:dyDescent="0.3">
      <c r="A127" s="3" t="s">
        <v>201</v>
      </c>
      <c r="B127" s="3">
        <v>29749.8701</v>
      </c>
    </row>
    <row r="128" spans="1:2" x14ac:dyDescent="0.3">
      <c r="A128" s="3" t="s">
        <v>202</v>
      </c>
      <c r="B128" s="3">
        <v>53228.603600000002</v>
      </c>
    </row>
    <row r="129" spans="1:2" x14ac:dyDescent="0.3">
      <c r="A129" s="3" t="s">
        <v>203</v>
      </c>
      <c r="B129" s="3">
        <v>51379.883300000001</v>
      </c>
    </row>
    <row r="130" spans="1:2" x14ac:dyDescent="0.3">
      <c r="A130" s="3" t="s">
        <v>204</v>
      </c>
      <c r="B130" s="3">
        <v>18478.297200000001</v>
      </c>
    </row>
    <row r="131" spans="1:2" x14ac:dyDescent="0.3">
      <c r="A131" s="3" t="s">
        <v>205</v>
      </c>
      <c r="B131" s="3">
        <v>8183.0328600000003</v>
      </c>
    </row>
    <row r="132" spans="1:2" x14ac:dyDescent="0.3">
      <c r="A132" s="3" t="s">
        <v>206</v>
      </c>
      <c r="B132" s="3">
        <v>11474.750599999999</v>
      </c>
    </row>
    <row r="133" spans="1:2" x14ac:dyDescent="0.3">
      <c r="A133" s="3" t="s">
        <v>207</v>
      </c>
      <c r="B133" s="3">
        <v>1578.99837</v>
      </c>
    </row>
    <row r="134" spans="1:2" x14ac:dyDescent="0.3">
      <c r="A134" s="3" t="s">
        <v>208</v>
      </c>
      <c r="B134" s="3">
        <v>11450.0599</v>
      </c>
    </row>
    <row r="135" spans="1:2" x14ac:dyDescent="0.3">
      <c r="A135" s="3" t="s">
        <v>209</v>
      </c>
      <c r="B135" s="3">
        <v>22962.281800000001</v>
      </c>
    </row>
    <row r="136" spans="1:2" x14ac:dyDescent="0.3">
      <c r="A136" s="3" t="s">
        <v>210</v>
      </c>
      <c r="B136" s="3">
        <v>19352.1819</v>
      </c>
    </row>
    <row r="137" spans="1:2" x14ac:dyDescent="0.3">
      <c r="A137" s="3" t="s">
        <v>211</v>
      </c>
      <c r="B137" s="3">
        <v>3853.8327300000001</v>
      </c>
    </row>
    <row r="138" spans="1:2" x14ac:dyDescent="0.3">
      <c r="A138" s="3" t="s">
        <v>212</v>
      </c>
      <c r="B138" s="3">
        <v>2312.3844300000001</v>
      </c>
    </row>
    <row r="139" spans="1:2" x14ac:dyDescent="0.3">
      <c r="A139" s="3" t="s">
        <v>213</v>
      </c>
      <c r="B139" s="3"/>
    </row>
    <row r="140" spans="1:2" x14ac:dyDescent="0.3">
      <c r="A140" s="3" t="s">
        <v>214</v>
      </c>
      <c r="B140" s="3">
        <v>13249.0651</v>
      </c>
    </row>
    <row r="141" spans="1:2" x14ac:dyDescent="0.3">
      <c r="A141" s="3" t="s">
        <v>215</v>
      </c>
      <c r="B141" s="3">
        <v>8238.6953799999992</v>
      </c>
    </row>
    <row r="142" spans="1:2" x14ac:dyDescent="0.3">
      <c r="A142" s="3" t="s">
        <v>216</v>
      </c>
      <c r="B142" s="3">
        <v>12853.4643</v>
      </c>
    </row>
    <row r="143" spans="1:2" x14ac:dyDescent="0.3">
      <c r="A143" s="3" t="s">
        <v>217</v>
      </c>
      <c r="B143" s="3">
        <v>2577.5454399999999</v>
      </c>
    </row>
    <row r="144" spans="1:2" x14ac:dyDescent="0.3">
      <c r="A144" s="3" t="s">
        <v>218</v>
      </c>
      <c r="B144" s="3">
        <v>22841.9944</v>
      </c>
    </row>
    <row r="145" spans="1:2" x14ac:dyDescent="0.3">
      <c r="A145" s="3" t="s">
        <v>46</v>
      </c>
      <c r="B145" s="3">
        <v>46651.214599999999</v>
      </c>
    </row>
    <row r="146" spans="1:2" x14ac:dyDescent="0.3">
      <c r="A146" s="3" t="s">
        <v>47</v>
      </c>
      <c r="B146" s="3">
        <v>132570.826</v>
      </c>
    </row>
    <row r="147" spans="1:2" x14ac:dyDescent="0.3">
      <c r="A147" s="3" t="s">
        <v>45</v>
      </c>
      <c r="B147" s="3">
        <v>37718.709799999997</v>
      </c>
    </row>
    <row r="148" spans="1:2" x14ac:dyDescent="0.3">
      <c r="A148" s="3" t="s">
        <v>219</v>
      </c>
      <c r="B148" s="3">
        <v>59921.441700000003</v>
      </c>
    </row>
    <row r="149" spans="1:2" x14ac:dyDescent="0.3">
      <c r="A149" s="3" t="s">
        <v>220</v>
      </c>
      <c r="B149" s="3"/>
    </row>
    <row r="150" spans="1:2" x14ac:dyDescent="0.3">
      <c r="A150" s="3" t="s">
        <v>221</v>
      </c>
      <c r="B150" s="3">
        <v>8690.4482399999997</v>
      </c>
    </row>
    <row r="151" spans="1:2" x14ac:dyDescent="0.3">
      <c r="A151" s="3" t="s">
        <v>222</v>
      </c>
      <c r="B151" s="3"/>
    </row>
    <row r="152" spans="1:2" x14ac:dyDescent="0.3">
      <c r="A152" s="3" t="s">
        <v>223</v>
      </c>
      <c r="B152" s="3">
        <v>15358.0154</v>
      </c>
    </row>
    <row r="153" spans="1:2" x14ac:dyDescent="0.3">
      <c r="A153" s="3" t="s">
        <v>224</v>
      </c>
      <c r="B153" s="3">
        <v>1602.7136800000001</v>
      </c>
    </row>
    <row r="154" spans="1:2" x14ac:dyDescent="0.3">
      <c r="A154" s="3" t="s">
        <v>225</v>
      </c>
      <c r="B154" s="3">
        <v>21357.811300000001</v>
      </c>
    </row>
    <row r="155" spans="1:2" x14ac:dyDescent="0.3">
      <c r="A155" s="3" t="s">
        <v>226</v>
      </c>
      <c r="B155" s="3">
        <v>14243.884899999999</v>
      </c>
    </row>
    <row r="156" spans="1:2" x14ac:dyDescent="0.3">
      <c r="A156" s="3" t="s">
        <v>227</v>
      </c>
      <c r="B156" s="3">
        <v>21391.857400000001</v>
      </c>
    </row>
    <row r="157" spans="1:2" x14ac:dyDescent="0.3">
      <c r="A157" s="3" t="s">
        <v>228</v>
      </c>
      <c r="B157" s="3">
        <v>6936.8651099999997</v>
      </c>
    </row>
    <row r="158" spans="1:2" x14ac:dyDescent="0.3">
      <c r="A158" s="3" t="s">
        <v>229</v>
      </c>
      <c r="B158" s="3">
        <v>13929.302299999999</v>
      </c>
    </row>
    <row r="159" spans="1:2" x14ac:dyDescent="0.3">
      <c r="A159" s="3" t="s">
        <v>230</v>
      </c>
      <c r="B159" s="3">
        <v>22822.328000000001</v>
      </c>
    </row>
    <row r="160" spans="1:2" x14ac:dyDescent="0.3">
      <c r="A160" s="3" t="s">
        <v>231</v>
      </c>
      <c r="B160" s="3">
        <v>2813.8109599999998</v>
      </c>
    </row>
    <row r="161" spans="1:2" x14ac:dyDescent="0.3">
      <c r="A161" s="3" t="s">
        <v>49</v>
      </c>
      <c r="B161" s="3">
        <v>56841.958100000003</v>
      </c>
    </row>
    <row r="162" spans="1:2" x14ac:dyDescent="0.3">
      <c r="A162" s="3" t="s">
        <v>232</v>
      </c>
      <c r="B162" s="3">
        <v>5350.47667</v>
      </c>
    </row>
    <row r="163" spans="1:2" x14ac:dyDescent="0.3">
      <c r="A163" s="3" t="s">
        <v>233</v>
      </c>
      <c r="B163" s="3">
        <v>9771.3211599999995</v>
      </c>
    </row>
    <row r="164" spans="1:2" x14ac:dyDescent="0.3">
      <c r="A164" s="3" t="s">
        <v>234</v>
      </c>
      <c r="B164" s="3">
        <v>25583.421699999999</v>
      </c>
    </row>
    <row r="165" spans="1:2" x14ac:dyDescent="0.3">
      <c r="A165" s="3" t="s">
        <v>235</v>
      </c>
      <c r="B165" s="3">
        <v>15310.4349</v>
      </c>
    </row>
    <row r="166" spans="1:2" x14ac:dyDescent="0.3">
      <c r="A166" s="3" t="s">
        <v>236</v>
      </c>
      <c r="B166" s="3"/>
    </row>
    <row r="167" spans="1:2" x14ac:dyDescent="0.3">
      <c r="A167" s="3" t="s">
        <v>237</v>
      </c>
      <c r="B167" s="3">
        <v>1476.6656</v>
      </c>
    </row>
    <row r="168" spans="1:2" x14ac:dyDescent="0.3">
      <c r="A168" s="3" t="s">
        <v>238</v>
      </c>
      <c r="B168" s="3">
        <v>6053.2617799999998</v>
      </c>
    </row>
    <row r="169" spans="1:2" x14ac:dyDescent="0.3">
      <c r="A169" s="3" t="s">
        <v>239</v>
      </c>
      <c r="B169" s="3">
        <v>25085.9892</v>
      </c>
    </row>
    <row r="170" spans="1:2" x14ac:dyDescent="0.3">
      <c r="A170" s="3" t="s">
        <v>240</v>
      </c>
      <c r="B170" s="3">
        <v>1659.9593400000001</v>
      </c>
    </row>
    <row r="171" spans="1:2" x14ac:dyDescent="0.3">
      <c r="A171" s="3" t="s">
        <v>241</v>
      </c>
      <c r="B171" s="3">
        <v>32129.221799999999</v>
      </c>
    </row>
    <row r="172" spans="1:2" x14ac:dyDescent="0.3">
      <c r="A172" s="3" t="s">
        <v>242</v>
      </c>
      <c r="B172" s="3">
        <v>71184.957299999995</v>
      </c>
    </row>
    <row r="173" spans="1:2" x14ac:dyDescent="0.3">
      <c r="A173" s="3" t="s">
        <v>243</v>
      </c>
      <c r="B173" s="3">
        <v>9953.0975199999993</v>
      </c>
    </row>
    <row r="174" spans="1:2" x14ac:dyDescent="0.3">
      <c r="A174" s="3" t="s">
        <v>244</v>
      </c>
      <c r="B174" s="3"/>
    </row>
    <row r="175" spans="1:2" x14ac:dyDescent="0.3">
      <c r="A175" s="3" t="s">
        <v>245</v>
      </c>
      <c r="B175" s="3">
        <v>1717.51891</v>
      </c>
    </row>
    <row r="176" spans="1:2" x14ac:dyDescent="0.3">
      <c r="A176" s="3" t="s">
        <v>246</v>
      </c>
      <c r="B176" s="3">
        <v>7752.2620699999998</v>
      </c>
    </row>
    <row r="177" spans="1:2" x14ac:dyDescent="0.3">
      <c r="A177" s="3" t="s">
        <v>247</v>
      </c>
      <c r="B177" s="3">
        <v>7277.8226500000001</v>
      </c>
    </row>
    <row r="178" spans="1:2" x14ac:dyDescent="0.3">
      <c r="A178" s="3" t="s">
        <v>80</v>
      </c>
      <c r="B178" s="3">
        <v>71324.035999999993</v>
      </c>
    </row>
    <row r="179" spans="1:2" x14ac:dyDescent="0.3">
      <c r="A179" s="3" t="s">
        <v>248</v>
      </c>
      <c r="B179" s="3">
        <v>91051.083199999994</v>
      </c>
    </row>
    <row r="180" spans="1:2" x14ac:dyDescent="0.3">
      <c r="A180" s="3" t="s">
        <v>249</v>
      </c>
      <c r="B180" s="3">
        <v>4763.3875099999996</v>
      </c>
    </row>
    <row r="181" spans="1:2" x14ac:dyDescent="0.3">
      <c r="A181" s="3" t="s">
        <v>250</v>
      </c>
      <c r="B181" s="3">
        <v>12363.645699999999</v>
      </c>
    </row>
    <row r="182" spans="1:2" x14ac:dyDescent="0.3">
      <c r="A182" s="3" t="s">
        <v>251</v>
      </c>
      <c r="B182" s="3">
        <v>49964.176599999999</v>
      </c>
    </row>
    <row r="183" spans="1:2" x14ac:dyDescent="0.3">
      <c r="A183" s="3" t="s">
        <v>252</v>
      </c>
      <c r="B183" s="3">
        <v>52344.690399999999</v>
      </c>
    </row>
    <row r="184" spans="1:2" x14ac:dyDescent="0.3">
      <c r="A184" s="3" t="s">
        <v>253</v>
      </c>
      <c r="B184" s="3">
        <v>39780.212299999999</v>
      </c>
    </row>
    <row r="185" spans="1:2" x14ac:dyDescent="0.3">
      <c r="A185" s="3" t="s">
        <v>254</v>
      </c>
      <c r="B185" s="3">
        <v>24125.978200000001</v>
      </c>
    </row>
    <row r="186" spans="1:2" x14ac:dyDescent="0.3">
      <c r="A186" s="3" t="s">
        <v>255</v>
      </c>
      <c r="B186" s="3">
        <v>5526.2792799999997</v>
      </c>
    </row>
    <row r="187" spans="1:2" x14ac:dyDescent="0.3">
      <c r="A187" s="3" t="s">
        <v>256</v>
      </c>
      <c r="B187" s="3">
        <v>33915.152600000001</v>
      </c>
    </row>
    <row r="188" spans="1:2" x14ac:dyDescent="0.3">
      <c r="A188" s="3" t="s">
        <v>257</v>
      </c>
      <c r="B188" s="3">
        <v>15559.821599999999</v>
      </c>
    </row>
    <row r="189" spans="1:2" x14ac:dyDescent="0.3">
      <c r="A189" s="3" t="s">
        <v>258</v>
      </c>
      <c r="B189" s="3">
        <v>9457.1039500000006</v>
      </c>
    </row>
    <row r="190" spans="1:2" x14ac:dyDescent="0.3">
      <c r="A190" s="3" t="s">
        <v>259</v>
      </c>
      <c r="B190" s="3">
        <v>16040.908100000001</v>
      </c>
    </row>
    <row r="191" spans="1:2" x14ac:dyDescent="0.3">
      <c r="A191" s="3" t="s">
        <v>260</v>
      </c>
      <c r="B191" s="3">
        <v>4125.4930299999996</v>
      </c>
    </row>
    <row r="192" spans="1:2" x14ac:dyDescent="0.3">
      <c r="A192" s="3" t="s">
        <v>51</v>
      </c>
      <c r="B192" s="3">
        <v>43405.0216</v>
      </c>
    </row>
    <row r="193" spans="1:2" x14ac:dyDescent="0.3">
      <c r="A193" s="3" t="s">
        <v>261</v>
      </c>
      <c r="B193" s="3">
        <v>4624.99226</v>
      </c>
    </row>
    <row r="194" spans="1:2" x14ac:dyDescent="0.3">
      <c r="A194" s="3" t="s">
        <v>262</v>
      </c>
      <c r="B194" s="3">
        <v>42310.958500000001</v>
      </c>
    </row>
    <row r="195" spans="1:2" x14ac:dyDescent="0.3">
      <c r="A195" s="3" t="s">
        <v>263</v>
      </c>
      <c r="B195" s="3"/>
    </row>
    <row r="196" spans="1:2" x14ac:dyDescent="0.3">
      <c r="A196" s="3" t="s">
        <v>52</v>
      </c>
      <c r="B196" s="3">
        <v>41070.861199999999</v>
      </c>
    </row>
    <row r="197" spans="1:2" x14ac:dyDescent="0.3">
      <c r="A197" s="3" t="s">
        <v>264</v>
      </c>
      <c r="B197" s="3">
        <v>15259.1456</v>
      </c>
    </row>
    <row r="198" spans="1:2" x14ac:dyDescent="0.3">
      <c r="A198" s="3" t="s">
        <v>265</v>
      </c>
      <c r="B198" s="3">
        <v>5753.0839599999999</v>
      </c>
    </row>
    <row r="199" spans="1:2" x14ac:dyDescent="0.3">
      <c r="A199" s="3" t="s">
        <v>266</v>
      </c>
      <c r="B199" s="3">
        <v>6653.2312599999996</v>
      </c>
    </row>
    <row r="200" spans="1:2" x14ac:dyDescent="0.3">
      <c r="A200" s="3" t="s">
        <v>267</v>
      </c>
      <c r="B200" s="3">
        <v>57682.936600000001</v>
      </c>
    </row>
    <row r="201" spans="1:2" x14ac:dyDescent="0.3">
      <c r="A201" s="3" t="s">
        <v>268</v>
      </c>
      <c r="B201" s="3"/>
    </row>
    <row r="202" spans="1:2" x14ac:dyDescent="0.3">
      <c r="A202" s="3" t="s">
        <v>269</v>
      </c>
      <c r="B202" s="3">
        <v>114740.16499999999</v>
      </c>
    </row>
    <row r="203" spans="1:2" x14ac:dyDescent="0.3">
      <c r="A203" s="3" t="s">
        <v>53</v>
      </c>
      <c r="B203" s="3">
        <v>39256.988899999997</v>
      </c>
    </row>
    <row r="204" spans="1:2" x14ac:dyDescent="0.3">
      <c r="A204" s="3" t="s">
        <v>270</v>
      </c>
      <c r="B204" s="3">
        <v>38214.496099999997</v>
      </c>
    </row>
    <row r="205" spans="1:2" x14ac:dyDescent="0.3">
      <c r="A205" s="3" t="s">
        <v>271</v>
      </c>
      <c r="B205" s="3">
        <v>2892.4596499999998</v>
      </c>
    </row>
    <row r="206" spans="1:2" x14ac:dyDescent="0.3">
      <c r="A206" s="3" t="s">
        <v>272</v>
      </c>
      <c r="B206" s="3">
        <v>8522.0255500000003</v>
      </c>
    </row>
    <row r="207" spans="1:2" x14ac:dyDescent="0.3">
      <c r="A207" s="3" t="s">
        <v>273</v>
      </c>
      <c r="B207" s="3">
        <v>67178.590200000006</v>
      </c>
    </row>
    <row r="208" spans="1:2" x14ac:dyDescent="0.3">
      <c r="A208" s="3" t="s">
        <v>274</v>
      </c>
      <c r="B208" s="3">
        <v>3132.0771500000001</v>
      </c>
    </row>
    <row r="209" spans="1:2" x14ac:dyDescent="0.3">
      <c r="A209" s="3" t="s">
        <v>275</v>
      </c>
      <c r="B209" s="3">
        <v>4228.7338300000001</v>
      </c>
    </row>
    <row r="210" spans="1:2" x14ac:dyDescent="0.3">
      <c r="A210" s="3" t="s">
        <v>276</v>
      </c>
      <c r="B210" s="3">
        <v>133571.962</v>
      </c>
    </row>
    <row r="211" spans="1:2" x14ac:dyDescent="0.3">
      <c r="A211" s="3" t="s">
        <v>277</v>
      </c>
      <c r="B211" s="3">
        <v>2330.1030900000001</v>
      </c>
    </row>
    <row r="212" spans="1:2" x14ac:dyDescent="0.3">
      <c r="A212" s="3" t="s">
        <v>278</v>
      </c>
      <c r="B212" s="3">
        <v>2934.73326</v>
      </c>
    </row>
    <row r="213" spans="1:2" x14ac:dyDescent="0.3">
      <c r="A213" s="3" t="s">
        <v>279</v>
      </c>
      <c r="B213" s="3">
        <v>11085.6178</v>
      </c>
    </row>
    <row r="214" spans="1:2" x14ac:dyDescent="0.3">
      <c r="A214" s="3" t="s">
        <v>280</v>
      </c>
      <c r="B214" s="3">
        <v>70887.573900000003</v>
      </c>
    </row>
    <row r="215" spans="1:2" x14ac:dyDescent="0.3">
      <c r="A215" s="3" t="s">
        <v>281</v>
      </c>
      <c r="B215" s="3">
        <v>1387.54754</v>
      </c>
    </row>
    <row r="216" spans="1:2" x14ac:dyDescent="0.3">
      <c r="A216" s="3" t="s">
        <v>282</v>
      </c>
      <c r="B216" s="3">
        <v>24651.95</v>
      </c>
    </row>
    <row r="217" spans="1:2" x14ac:dyDescent="0.3">
      <c r="A217" s="3" t="s">
        <v>283</v>
      </c>
      <c r="B217" s="3">
        <v>5035.7691100000002</v>
      </c>
    </row>
    <row r="218" spans="1:2" x14ac:dyDescent="0.3">
      <c r="A218" s="3" t="s">
        <v>284</v>
      </c>
      <c r="B218" s="3"/>
    </row>
    <row r="219" spans="1:2" x14ac:dyDescent="0.3">
      <c r="A219" s="3" t="s">
        <v>285</v>
      </c>
      <c r="B219" s="3">
        <v>4796.0664200000001</v>
      </c>
    </row>
    <row r="220" spans="1:2" x14ac:dyDescent="0.3">
      <c r="A220" s="3" t="s">
        <v>286</v>
      </c>
      <c r="B220" s="3">
        <v>22449.953600000001</v>
      </c>
    </row>
    <row r="221" spans="1:2" x14ac:dyDescent="0.3">
      <c r="A221" s="3" t="s">
        <v>287</v>
      </c>
      <c r="B221" s="3">
        <v>5632.1389099999997</v>
      </c>
    </row>
    <row r="222" spans="1:2" x14ac:dyDescent="0.3">
      <c r="A222" s="3" t="s">
        <v>288</v>
      </c>
      <c r="B222" s="3">
        <v>18742.5874</v>
      </c>
    </row>
    <row r="223" spans="1:2" x14ac:dyDescent="0.3">
      <c r="A223" s="3" t="s">
        <v>55</v>
      </c>
      <c r="B223" s="3">
        <v>38664.907700000003</v>
      </c>
    </row>
    <row r="224" spans="1:2" x14ac:dyDescent="0.3">
      <c r="A224" s="3" t="s">
        <v>54</v>
      </c>
      <c r="B224" s="3">
        <v>47050.067600000002</v>
      </c>
    </row>
    <row r="225" spans="1:2" x14ac:dyDescent="0.3">
      <c r="A225" s="3" t="s">
        <v>57</v>
      </c>
      <c r="B225" s="3">
        <v>63088.423699999999</v>
      </c>
    </row>
    <row r="226" spans="1:2" x14ac:dyDescent="0.3">
      <c r="A226" s="3" t="s">
        <v>289</v>
      </c>
      <c r="B226" s="3">
        <v>9927.6056700000008</v>
      </c>
    </row>
    <row r="227" spans="1:2" x14ac:dyDescent="0.3">
      <c r="A227" s="3" t="s">
        <v>290</v>
      </c>
      <c r="B227" s="3">
        <v>45515.652300000002</v>
      </c>
    </row>
    <row r="228" spans="1:2" x14ac:dyDescent="0.3">
      <c r="A228" s="3" t="s">
        <v>291</v>
      </c>
      <c r="B228" s="3">
        <v>27978.177100000001</v>
      </c>
    </row>
    <row r="229" spans="1:2" x14ac:dyDescent="0.3">
      <c r="A229" s="3" t="s">
        <v>292</v>
      </c>
      <c r="B229" s="3">
        <v>4454.8537299999998</v>
      </c>
    </row>
    <row r="230" spans="1:2" x14ac:dyDescent="0.3">
      <c r="A230" s="3" t="s">
        <v>293</v>
      </c>
      <c r="B230" s="3">
        <v>28209.624299999999</v>
      </c>
    </row>
    <row r="231" spans="1:2" x14ac:dyDescent="0.3">
      <c r="A231" s="3" t="s">
        <v>294</v>
      </c>
      <c r="B231" s="3">
        <v>2449.4825099999998</v>
      </c>
    </row>
    <row r="232" spans="1:2" x14ac:dyDescent="0.3">
      <c r="A232" s="3" t="s">
        <v>295</v>
      </c>
      <c r="B232" s="3">
        <v>18808.724999999999</v>
      </c>
    </row>
    <row r="233" spans="1:2" x14ac:dyDescent="0.3">
      <c r="A233" s="3" t="s">
        <v>296</v>
      </c>
      <c r="B233" s="3">
        <v>30145.865300000001</v>
      </c>
    </row>
    <row r="234" spans="1:2" x14ac:dyDescent="0.3">
      <c r="A234" s="3" t="s">
        <v>297</v>
      </c>
      <c r="B234" s="3">
        <v>2739.68813</v>
      </c>
    </row>
    <row r="235" spans="1:2" x14ac:dyDescent="0.3">
      <c r="A235" s="3" t="s">
        <v>298</v>
      </c>
      <c r="B235" s="3">
        <v>20762.795300000002</v>
      </c>
    </row>
    <row r="236" spans="1:2" x14ac:dyDescent="0.3">
      <c r="A236" s="3" t="s">
        <v>299</v>
      </c>
      <c r="B236" s="3">
        <v>4213.7561800000003</v>
      </c>
    </row>
    <row r="237" spans="1:2" x14ac:dyDescent="0.3">
      <c r="A237" s="3" t="s">
        <v>300</v>
      </c>
      <c r="B237" s="3">
        <v>17119.574499999999</v>
      </c>
    </row>
    <row r="238" spans="1:2" x14ac:dyDescent="0.3">
      <c r="A238" s="3" t="s">
        <v>301</v>
      </c>
      <c r="B238" s="3">
        <v>19256.4974</v>
      </c>
    </row>
    <row r="239" spans="1:2" x14ac:dyDescent="0.3">
      <c r="A239" s="3" t="s">
        <v>302</v>
      </c>
      <c r="B239" s="3">
        <v>5348.4920000000002</v>
      </c>
    </row>
    <row r="240" spans="1:2" x14ac:dyDescent="0.3">
      <c r="A240" s="3" t="s">
        <v>303</v>
      </c>
      <c r="B240" s="3">
        <v>9800.7224499999993</v>
      </c>
    </row>
    <row r="241" spans="1:2" x14ac:dyDescent="0.3">
      <c r="A241" s="3" t="s">
        <v>304</v>
      </c>
      <c r="B241" s="3">
        <v>6810.6097099999997</v>
      </c>
    </row>
    <row r="242" spans="1:2" x14ac:dyDescent="0.3">
      <c r="A242" s="3" t="s">
        <v>305</v>
      </c>
      <c r="B242" s="3">
        <v>8522.0255500000003</v>
      </c>
    </row>
    <row r="243" spans="1:2" x14ac:dyDescent="0.3">
      <c r="A243" s="3" t="s">
        <v>306</v>
      </c>
      <c r="B243" s="3">
        <v>4796.0664200000001</v>
      </c>
    </row>
    <row r="244" spans="1:2" x14ac:dyDescent="0.3">
      <c r="A244" s="3" t="s">
        <v>307</v>
      </c>
      <c r="B244" s="3">
        <v>30784.1113</v>
      </c>
    </row>
    <row r="245" spans="1:2" x14ac:dyDescent="0.3">
      <c r="A245" s="3" t="s">
        <v>308</v>
      </c>
      <c r="B245" s="3">
        <v>12712.2235</v>
      </c>
    </row>
    <row r="246" spans="1:2" x14ac:dyDescent="0.3">
      <c r="A246" s="3" t="s">
        <v>309</v>
      </c>
      <c r="B246" s="3">
        <v>33520.811099999999</v>
      </c>
    </row>
    <row r="247" spans="1:2" x14ac:dyDescent="0.3">
      <c r="A247" s="3" t="s">
        <v>310</v>
      </c>
      <c r="B247" s="3">
        <v>5498.1845499999999</v>
      </c>
    </row>
    <row r="248" spans="1:2" x14ac:dyDescent="0.3">
      <c r="A248" s="3" t="s">
        <v>311</v>
      </c>
      <c r="B248" s="3">
        <v>3546.9809599999999</v>
      </c>
    </row>
    <row r="249" spans="1:2" x14ac:dyDescent="0.3">
      <c r="A249" s="3" t="s">
        <v>312</v>
      </c>
      <c r="B249" s="3">
        <v>2724.9061000000002</v>
      </c>
    </row>
    <row r="250" spans="1:2" x14ac:dyDescent="0.3">
      <c r="A250" s="3" t="s">
        <v>313</v>
      </c>
      <c r="B250" s="3">
        <v>13787.1211</v>
      </c>
    </row>
    <row r="251" spans="1:2" x14ac:dyDescent="0.3">
      <c r="A251" s="3" t="s">
        <v>314</v>
      </c>
      <c r="B251" s="3">
        <v>20094.838</v>
      </c>
    </row>
    <row r="252" spans="1:2" x14ac:dyDescent="0.3">
      <c r="A252" s="3" t="s">
        <v>315</v>
      </c>
      <c r="B252" s="3">
        <v>30804.703300000001</v>
      </c>
    </row>
    <row r="253" spans="1:2" x14ac:dyDescent="0.3">
      <c r="A253" s="3" t="s">
        <v>316</v>
      </c>
      <c r="B253" s="3">
        <v>72679.257500000007</v>
      </c>
    </row>
    <row r="254" spans="1:2" x14ac:dyDescent="0.3">
      <c r="A254" s="3" t="s">
        <v>317</v>
      </c>
      <c r="B254" s="3">
        <v>9607.5616699999991</v>
      </c>
    </row>
    <row r="255" spans="1:2" x14ac:dyDescent="0.3">
      <c r="A255" s="3" t="s">
        <v>318</v>
      </c>
      <c r="B255" s="3">
        <v>16835.023499999999</v>
      </c>
    </row>
    <row r="256" spans="1:2" x14ac:dyDescent="0.3">
      <c r="A256" s="3" t="s">
        <v>319</v>
      </c>
      <c r="B256" s="3"/>
    </row>
    <row r="257" spans="1:2" x14ac:dyDescent="0.3">
      <c r="A257" s="3" t="s">
        <v>320</v>
      </c>
      <c r="B257" s="3"/>
    </row>
    <row r="258" spans="1:2" x14ac:dyDescent="0.3">
      <c r="A258" s="3" t="s">
        <v>321</v>
      </c>
      <c r="B258" s="3">
        <v>46479.299700000003</v>
      </c>
    </row>
    <row r="259" spans="1:2" x14ac:dyDescent="0.3">
      <c r="A259" s="3" t="s">
        <v>322</v>
      </c>
      <c r="B259" s="3">
        <v>12979.7639</v>
      </c>
    </row>
    <row r="260" spans="1:2" x14ac:dyDescent="0.3">
      <c r="A260" s="3" t="s">
        <v>323</v>
      </c>
      <c r="B260" s="3">
        <v>3222.8359500000001</v>
      </c>
    </row>
    <row r="261" spans="1:2" x14ac:dyDescent="0.3">
      <c r="A261" s="3" t="s">
        <v>324</v>
      </c>
      <c r="B261" s="3">
        <v>20409.4421</v>
      </c>
    </row>
    <row r="262" spans="1:2" x14ac:dyDescent="0.3">
      <c r="A262" s="3" t="s">
        <v>325</v>
      </c>
      <c r="B262" s="3">
        <v>6449.3650500000003</v>
      </c>
    </row>
    <row r="263" spans="1:2" x14ac:dyDescent="0.3">
      <c r="A263" s="3" t="s">
        <v>326</v>
      </c>
      <c r="B263" s="3">
        <v>13022.4627</v>
      </c>
    </row>
    <row r="264" spans="1:2" x14ac:dyDescent="0.3">
      <c r="A264" s="3" t="s">
        <v>327</v>
      </c>
      <c r="B264" s="3"/>
    </row>
    <row r="265" spans="1:2" x14ac:dyDescent="0.3">
      <c r="A265" s="3" t="s">
        <v>328</v>
      </c>
      <c r="B265" s="3">
        <v>13767.496800000001</v>
      </c>
    </row>
    <row r="266" spans="1:2" x14ac:dyDescent="0.3">
      <c r="A266" s="3" t="s">
        <v>329</v>
      </c>
      <c r="B266" s="3">
        <v>3585.1237900000001</v>
      </c>
    </row>
    <row r="267" spans="1:2" x14ac:dyDescent="0.3">
      <c r="A267" s="3" t="s">
        <v>330</v>
      </c>
      <c r="B267" s="3">
        <v>5036.7613600000004</v>
      </c>
    </row>
  </sheetData>
  <mergeCells count="9">
    <mergeCell ref="N22:O22"/>
    <mergeCell ref="T22:U22"/>
    <mergeCell ref="Z22:AA22"/>
    <mergeCell ref="T1:U1"/>
    <mergeCell ref="A1:B1"/>
    <mergeCell ref="D1:K1"/>
    <mergeCell ref="N3:O3"/>
    <mergeCell ref="T3:U3"/>
    <mergeCell ref="Z3:AA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65B3D-C0E4-4B25-82F9-97F337E43EE3}">
  <dimension ref="A1:AM54"/>
  <sheetViews>
    <sheetView tabSelected="1" topLeftCell="A15" zoomScale="47" zoomScaleNormal="47" workbookViewId="0">
      <selection activeCell="G47" sqref="G47"/>
    </sheetView>
  </sheetViews>
  <sheetFormatPr defaultRowHeight="14.4" x14ac:dyDescent="0.3"/>
  <sheetData>
    <row r="1" spans="1:39" ht="15" thickBot="1" x14ac:dyDescent="0.35">
      <c r="A1" t="s">
        <v>369</v>
      </c>
      <c r="X1" t="s">
        <v>370</v>
      </c>
    </row>
    <row r="2" spans="1:39" s="15" customFormat="1" ht="43.2" x14ac:dyDescent="0.3">
      <c r="A2" s="52" t="s">
        <v>27</v>
      </c>
      <c r="B2" s="52" t="s">
        <v>28</v>
      </c>
      <c r="C2" s="52" t="s">
        <v>29</v>
      </c>
      <c r="D2" s="52" t="s">
        <v>30</v>
      </c>
      <c r="E2" s="52" t="s">
        <v>31</v>
      </c>
      <c r="F2" s="52" t="s">
        <v>77</v>
      </c>
      <c r="G2" s="52" t="s">
        <v>78</v>
      </c>
      <c r="H2" s="52" t="s">
        <v>79</v>
      </c>
      <c r="I2" s="52" t="s">
        <v>357</v>
      </c>
      <c r="J2" s="52" t="s">
        <v>87</v>
      </c>
      <c r="K2" s="52" t="s">
        <v>358</v>
      </c>
      <c r="L2" s="52" t="s">
        <v>359</v>
      </c>
      <c r="M2" s="52" t="s">
        <v>360</v>
      </c>
      <c r="N2" s="52" t="s">
        <v>361</v>
      </c>
      <c r="O2" s="52" t="s">
        <v>362</v>
      </c>
      <c r="P2" s="52" t="s">
        <v>363</v>
      </c>
      <c r="Q2" s="52" t="s">
        <v>364</v>
      </c>
      <c r="R2" s="52" t="s">
        <v>365</v>
      </c>
      <c r="S2" s="52" t="s">
        <v>366</v>
      </c>
      <c r="T2" s="52" t="s">
        <v>367</v>
      </c>
      <c r="U2" s="52" t="s">
        <v>368</v>
      </c>
      <c r="X2" s="53" t="str">
        <f>WB_correlations!D2</f>
        <v xml:space="preserve">Country </v>
      </c>
      <c r="Y2" s="54" t="str">
        <f>WB_correlations!E2</f>
        <v>elasticity_TWFE_new</v>
      </c>
      <c r="Z2" s="54" t="str">
        <f>WB_correlations!F2</f>
        <v>elasticity_controls_new</v>
      </c>
      <c r="AA2" s="54" t="str">
        <f>WB_correlations!G2</f>
        <v>elasticity_Pooled_new</v>
      </c>
      <c r="AB2" s="54" t="str">
        <f>WB_correlations!H2</f>
        <v>elasticity_TWFE_old</v>
      </c>
      <c r="AC2" s="54" t="str">
        <f>WB_correlations!I2</f>
        <v>elasticity_controls_old</v>
      </c>
      <c r="AD2" s="54" t="str">
        <f>WB_correlations!J2</f>
        <v>elasticity_Pooled_old</v>
      </c>
      <c r="AE2" s="55" t="str">
        <f>WB_correlations!K2</f>
        <v>GDP_per_cap</v>
      </c>
      <c r="AG2" s="86" t="s">
        <v>372</v>
      </c>
      <c r="AH2" s="87"/>
      <c r="AI2" s="87"/>
      <c r="AJ2" s="87"/>
      <c r="AK2" s="87"/>
      <c r="AL2" s="87"/>
      <c r="AM2" s="88"/>
    </row>
    <row r="3" spans="1:39" x14ac:dyDescent="0.3">
      <c r="A3" s="5" t="s">
        <v>32</v>
      </c>
      <c r="B3" s="5">
        <v>59632</v>
      </c>
      <c r="C3" s="5">
        <v>51283.519999999997</v>
      </c>
      <c r="D3" s="5">
        <v>8579.3384506556777</v>
      </c>
      <c r="E3" s="5">
        <v>0.95073548200418578</v>
      </c>
      <c r="F3" s="5">
        <v>-0.602657</v>
      </c>
      <c r="G3" s="5">
        <v>-0.57532300000000003</v>
      </c>
      <c r="H3" s="5">
        <v>-0.43381198322019199</v>
      </c>
      <c r="I3" s="5">
        <v>-0.63388504101012055</v>
      </c>
      <c r="J3" s="5">
        <v>-0.60513466772818636</v>
      </c>
      <c r="K3" s="5">
        <v>-0.4562909362609463</v>
      </c>
      <c r="L3" s="5">
        <v>-0.68838209097166492</v>
      </c>
      <c r="M3" s="5">
        <v>-0.65715995951941353</v>
      </c>
      <c r="N3" s="5">
        <v>-0.49551967387366369</v>
      </c>
      <c r="O3" s="5">
        <v>62561.781045323602</v>
      </c>
      <c r="P3" s="5">
        <v>26.4</v>
      </c>
      <c r="Q3" s="5">
        <v>16.41</v>
      </c>
      <c r="R3" s="5">
        <v>6.2761101722717303</v>
      </c>
      <c r="S3" s="5">
        <v>83.573646545410199</v>
      </c>
      <c r="T3" s="5">
        <v>118615</v>
      </c>
      <c r="U3" s="5">
        <v>11.04390984420851</v>
      </c>
      <c r="X3" s="56" t="str">
        <f>WB_correlations!D3</f>
        <v>Belgium</v>
      </c>
      <c r="Y3" s="5">
        <f>WB_correlations!E3</f>
        <v>-0.63388504101012055</v>
      </c>
      <c r="Z3" s="5">
        <f>WB_correlations!F3</f>
        <v>-0.60513466772818636</v>
      </c>
      <c r="AA3" s="5">
        <f>WB_correlations!G3</f>
        <v>-0.45629093602934456</v>
      </c>
      <c r="AB3" s="5">
        <f>WB_correlations!H3</f>
        <v>-0.68838209097166492</v>
      </c>
      <c r="AC3" s="5">
        <f>WB_correlations!I3</f>
        <v>-0.65715995951941353</v>
      </c>
      <c r="AD3" s="5">
        <f>WB_correlations!J3</f>
        <v>-0.49551967362215055</v>
      </c>
      <c r="AE3" s="57">
        <f>WB_correlations!K3</f>
        <v>11.043909843484045</v>
      </c>
      <c r="AG3" s="62">
        <f>I3-Y3</f>
        <v>0</v>
      </c>
      <c r="AH3" s="62">
        <f t="shared" ref="AH3:AL3" si="0">J3-Z3</f>
        <v>0</v>
      </c>
      <c r="AI3" s="62">
        <f t="shared" si="0"/>
        <v>-2.3160173778791204E-10</v>
      </c>
      <c r="AJ3" s="62">
        <f t="shared" si="0"/>
        <v>0</v>
      </c>
      <c r="AK3" s="62">
        <f t="shared" si="0"/>
        <v>0</v>
      </c>
      <c r="AL3" s="62">
        <f t="shared" si="0"/>
        <v>-2.5151314364535438E-10</v>
      </c>
      <c r="AM3" s="62">
        <f>AE3-U3</f>
        <v>-7.2446582066731935E-10</v>
      </c>
    </row>
    <row r="4" spans="1:39" x14ac:dyDescent="0.3">
      <c r="A4" s="5" t="s">
        <v>33</v>
      </c>
      <c r="B4" s="5">
        <v>15387</v>
      </c>
      <c r="C4" s="5">
        <v>13232.82</v>
      </c>
      <c r="D4" s="5">
        <v>1</v>
      </c>
      <c r="E4" s="5">
        <v>10.00784756786037</v>
      </c>
      <c r="F4" s="5">
        <v>-1.887146</v>
      </c>
      <c r="G4" s="5">
        <v>-1.7855859999999999</v>
      </c>
      <c r="H4" s="5">
        <v>-1.006326203867</v>
      </c>
      <c r="I4" s="5">
        <v>-0.18856662106449959</v>
      </c>
      <c r="J4" s="5">
        <v>-0.17841858480481931</v>
      </c>
      <c r="K4" s="5">
        <v>-0.1005537101802748</v>
      </c>
      <c r="L4" s="5">
        <v>-2.1555835399718468</v>
      </c>
      <c r="M4" s="5">
        <v>-2.0395771131667448</v>
      </c>
      <c r="N4" s="5">
        <v>-1.1494713185403029</v>
      </c>
      <c r="O4" s="5">
        <v>32433.7937497005</v>
      </c>
      <c r="P4" s="5">
        <v>38.200000000000003</v>
      </c>
      <c r="Q4" s="5">
        <v>10.582000000000001</v>
      </c>
      <c r="R4" s="5">
        <v>4.5010900497436497</v>
      </c>
      <c r="S4" s="5">
        <v>84.129356384277301</v>
      </c>
      <c r="T4" s="5">
        <v>26498</v>
      </c>
      <c r="U4" s="5">
        <v>10.38695617518222</v>
      </c>
      <c r="X4" s="56" t="str">
        <f>WB_correlations!D4</f>
        <v>Bulgaria</v>
      </c>
      <c r="Y4" s="5">
        <f>WB_correlations!E4</f>
        <v>-0.18856662106449956</v>
      </c>
      <c r="Z4" s="5">
        <f>WB_correlations!F4</f>
        <v>-0.17841858480481929</v>
      </c>
      <c r="AA4" s="5">
        <f>WB_correlations!G4</f>
        <v>-0.10055371019356441</v>
      </c>
      <c r="AB4" s="5">
        <f>WB_correlations!H4</f>
        <v>-2.1555835399718473</v>
      </c>
      <c r="AC4" s="5">
        <f>WB_correlations!I4</f>
        <v>-2.0395771131667453</v>
      </c>
      <c r="AD4" s="5">
        <f>WB_correlations!J4</f>
        <v>-1.1494713186922216</v>
      </c>
      <c r="AE4" s="57">
        <f>WB_correlations!K4</f>
        <v>10.386956173649853</v>
      </c>
      <c r="AG4" s="62">
        <f t="shared" ref="AG4:AG27" si="1">I4-Y4</f>
        <v>0</v>
      </c>
      <c r="AH4" s="62">
        <f t="shared" ref="AH4:AH27" si="2">J4-Z4</f>
        <v>0</v>
      </c>
      <c r="AI4" s="62">
        <f t="shared" ref="AI4:AI27" si="3">K4-AA4</f>
        <v>1.3289605527155857E-11</v>
      </c>
      <c r="AJ4" s="62">
        <f t="shared" ref="AJ4:AJ27" si="4">L4-AB4</f>
        <v>0</v>
      </c>
      <c r="AK4" s="62">
        <f t="shared" ref="AK4:AK27" si="5">M4-AC4</f>
        <v>0</v>
      </c>
      <c r="AL4" s="62">
        <f t="shared" ref="AL4:AL27" si="6">N4-AD4</f>
        <v>1.5191869984221285E-10</v>
      </c>
      <c r="AM4" s="62">
        <f t="shared" ref="AM4:AM27" si="7">AE4-U4</f>
        <v>-1.5323671220812685E-9</v>
      </c>
    </row>
    <row r="5" spans="1:39" x14ac:dyDescent="0.3">
      <c r="A5" s="5" t="s">
        <v>34</v>
      </c>
      <c r="B5" s="5">
        <v>23998</v>
      </c>
      <c r="C5" s="5">
        <v>20638.28</v>
      </c>
      <c r="D5" s="5">
        <v>3021.095676682633</v>
      </c>
      <c r="E5" s="5">
        <v>1.994472716441392</v>
      </c>
      <c r="F5" s="5">
        <v>-1.1372009999999999</v>
      </c>
      <c r="G5" s="5">
        <v>-1.0750679999999999</v>
      </c>
      <c r="H5" s="5">
        <v>-0.90086980885062795</v>
      </c>
      <c r="I5" s="5">
        <v>-0.57017626294183354</v>
      </c>
      <c r="J5" s="5">
        <v>-0.53902366832983006</v>
      </c>
      <c r="K5" s="5">
        <v>-0.45168319497395359</v>
      </c>
      <c r="L5" s="5">
        <v>-1.298962431756485</v>
      </c>
      <c r="M5" s="5">
        <v>-1.2279913081184251</v>
      </c>
      <c r="N5" s="5">
        <v>-1.02901425306574</v>
      </c>
      <c r="O5" s="5">
        <v>48390.661678675002</v>
      </c>
      <c r="P5" s="5">
        <v>25.9</v>
      </c>
      <c r="Q5" s="5">
        <v>6.72</v>
      </c>
      <c r="R5" s="5">
        <v>4.3029198646545401</v>
      </c>
      <c r="S5" s="5">
        <v>70.814590454101605</v>
      </c>
      <c r="T5" s="5">
        <v>329739</v>
      </c>
      <c r="U5" s="5">
        <v>10.78706213356606</v>
      </c>
      <c r="X5" s="56" t="str">
        <f>WB_correlations!D5</f>
        <v>Czechia</v>
      </c>
      <c r="Y5" s="5">
        <f>WB_correlations!E5</f>
        <v>-0.57017626294183255</v>
      </c>
      <c r="Z5" s="5">
        <f>WB_correlations!F5</f>
        <v>-0.53902366832982918</v>
      </c>
      <c r="AA5" s="5">
        <f>WB_correlations!G5</f>
        <v>-0.4516831950488458</v>
      </c>
      <c r="AB5" s="5">
        <f>WB_correlations!H5</f>
        <v>-1.2989624317564854</v>
      </c>
      <c r="AC5" s="5">
        <f>WB_correlations!I5</f>
        <v>-1.2279913081184253</v>
      </c>
      <c r="AD5" s="5">
        <f>WB_correlations!J5</f>
        <v>-1.0290142532363591</v>
      </c>
      <c r="AE5" s="57">
        <f>WB_correlations!K5</f>
        <v>10.787062134006746</v>
      </c>
      <c r="AG5" s="62">
        <f t="shared" si="1"/>
        <v>-9.9920072216264089E-16</v>
      </c>
      <c r="AH5" s="62">
        <f t="shared" si="2"/>
        <v>-8.8817841970012523E-16</v>
      </c>
      <c r="AI5" s="62">
        <f t="shared" si="3"/>
        <v>7.4892203549836722E-11</v>
      </c>
      <c r="AJ5" s="62">
        <f t="shared" si="4"/>
        <v>0</v>
      </c>
      <c r="AK5" s="62">
        <f t="shared" si="5"/>
        <v>0</v>
      </c>
      <c r="AL5" s="62">
        <f t="shared" si="6"/>
        <v>1.7061907442439406E-10</v>
      </c>
      <c r="AM5" s="62">
        <f t="shared" si="7"/>
        <v>4.4068571014577174E-10</v>
      </c>
    </row>
    <row r="6" spans="1:39" x14ac:dyDescent="0.3">
      <c r="A6" s="5" t="s">
        <v>35</v>
      </c>
      <c r="B6" s="5">
        <v>71565</v>
      </c>
      <c r="C6" s="5">
        <v>61545.9</v>
      </c>
      <c r="D6" s="5">
        <v>8724.5305474285888</v>
      </c>
      <c r="E6" s="5">
        <v>0.93395362768961832</v>
      </c>
      <c r="F6" s="5">
        <v>-1.046503</v>
      </c>
      <c r="G6" s="5">
        <v>-1.0298579999999999</v>
      </c>
      <c r="H6" s="5">
        <v>-1.60919927023806</v>
      </c>
      <c r="I6" s="5">
        <v>-1.1205085230931671</v>
      </c>
      <c r="J6" s="5">
        <v>-1.1026864390982949</v>
      </c>
      <c r="K6" s="5">
        <v>-1.722996969580642</v>
      </c>
      <c r="L6" s="5">
        <v>-1.1953630727729381</v>
      </c>
      <c r="M6" s="5">
        <v>-1.1763504007153269</v>
      </c>
      <c r="N6" s="5">
        <v>-1.838100210296326</v>
      </c>
      <c r="O6" s="5">
        <v>69475.319865088299</v>
      </c>
      <c r="P6" s="5">
        <v>29.3</v>
      </c>
      <c r="Q6" s="5">
        <v>10.532999999999999</v>
      </c>
      <c r="R6" s="5">
        <v>6.3558602333068803</v>
      </c>
      <c r="S6" s="5">
        <v>84.586608886718807</v>
      </c>
      <c r="T6" s="5">
        <v>60219</v>
      </c>
      <c r="U6" s="5">
        <v>11.1487268586316</v>
      </c>
      <c r="X6" s="56" t="str">
        <f>WB_correlations!D6</f>
        <v>Denmark</v>
      </c>
      <c r="Y6" s="5">
        <f>WB_correlations!E6</f>
        <v>-1.1205085230931673</v>
      </c>
      <c r="Z6" s="5">
        <f>WB_correlations!F6</f>
        <v>-1.1026864390982949</v>
      </c>
      <c r="AA6" s="5">
        <f>WB_correlations!G6</f>
        <v>-1.7229969693257476</v>
      </c>
      <c r="AB6" s="5">
        <f>WB_correlations!H6</f>
        <v>-1.1953630727729376</v>
      </c>
      <c r="AC6" s="5">
        <f>WB_correlations!I6</f>
        <v>-1.1763504007153271</v>
      </c>
      <c r="AD6" s="5">
        <f>WB_correlations!J6</f>
        <v>-1.8381002100244033</v>
      </c>
      <c r="AE6" s="57">
        <f>WB_correlations!K6</f>
        <v>11.14872685913411</v>
      </c>
      <c r="AG6" s="62">
        <f t="shared" si="1"/>
        <v>0</v>
      </c>
      <c r="AH6" s="62">
        <f t="shared" si="2"/>
        <v>0</v>
      </c>
      <c r="AI6" s="62">
        <f t="shared" si="3"/>
        <v>-2.5489432786685029E-10</v>
      </c>
      <c r="AJ6" s="62">
        <f t="shared" si="4"/>
        <v>0</v>
      </c>
      <c r="AK6" s="62">
        <f t="shared" si="5"/>
        <v>0</v>
      </c>
      <c r="AL6" s="62">
        <f t="shared" si="6"/>
        <v>-2.7192270657394602E-10</v>
      </c>
      <c r="AM6" s="62">
        <f t="shared" si="7"/>
        <v>5.0251003358425805E-10</v>
      </c>
    </row>
    <row r="7" spans="1:39" x14ac:dyDescent="0.3">
      <c r="A7" s="5" t="s">
        <v>36</v>
      </c>
      <c r="B7" s="5">
        <v>53791</v>
      </c>
      <c r="C7" s="5">
        <v>46260.26</v>
      </c>
      <c r="D7" s="5">
        <v>8456.38292843614</v>
      </c>
      <c r="E7" s="5">
        <v>0.96517075651583362</v>
      </c>
      <c r="F7" s="5">
        <v>-0.68149999999999999</v>
      </c>
      <c r="G7" s="5">
        <v>-0.58144499999999999</v>
      </c>
      <c r="H7" s="5">
        <v>0.65222662378755003</v>
      </c>
      <c r="I7" s="5">
        <v>-0.70609267365304806</v>
      </c>
      <c r="J7" s="5">
        <v>-0.60242707943095597</v>
      </c>
      <c r="K7" s="5">
        <v>0.67576293560946721</v>
      </c>
      <c r="L7" s="5">
        <v>-0.77844013260808331</v>
      </c>
      <c r="M7" s="5">
        <v>-0.6641527848926001</v>
      </c>
      <c r="N7" s="5">
        <v>0.74500275790418624</v>
      </c>
      <c r="O7" s="5">
        <v>63676.087821808003</v>
      </c>
      <c r="P7" s="5">
        <v>33.700000000000003</v>
      </c>
      <c r="Q7" s="5">
        <v>6.0490000000000004</v>
      </c>
      <c r="R7" s="5">
        <v>5.2391600608825701</v>
      </c>
      <c r="S7" s="5">
        <v>77.365699768066406</v>
      </c>
      <c r="T7" s="5">
        <v>981552</v>
      </c>
      <c r="U7" s="5">
        <v>11.061564383672019</v>
      </c>
      <c r="X7" s="56" t="str">
        <f>WB_correlations!D7</f>
        <v>Germany</v>
      </c>
      <c r="Y7" s="5">
        <f>WB_correlations!E7</f>
        <v>-0.70609267365304806</v>
      </c>
      <c r="Z7" s="5">
        <f>WB_correlations!F7</f>
        <v>-0.60242707943095597</v>
      </c>
      <c r="AA7" s="5">
        <f>WB_correlations!G7</f>
        <v>0.67576293582958369</v>
      </c>
      <c r="AB7" s="5">
        <f>WB_correlations!H7</f>
        <v>-0.77844013260808331</v>
      </c>
      <c r="AC7" s="5">
        <f>WB_correlations!I7</f>
        <v>-0.6641527848926001</v>
      </c>
      <c r="AD7" s="5">
        <f>WB_correlations!J7</f>
        <v>0.74500275814685613</v>
      </c>
      <c r="AE7" s="57">
        <f>WB_correlations!K7</f>
        <v>11.061564383329532</v>
      </c>
      <c r="AG7" s="62">
        <f t="shared" si="1"/>
        <v>0</v>
      </c>
      <c r="AH7" s="62">
        <f t="shared" si="2"/>
        <v>0</v>
      </c>
      <c r="AI7" s="62">
        <f t="shared" si="3"/>
        <v>-2.201164805981648E-10</v>
      </c>
      <c r="AJ7" s="62">
        <f t="shared" si="4"/>
        <v>0</v>
      </c>
      <c r="AK7" s="62">
        <f t="shared" si="5"/>
        <v>0</v>
      </c>
      <c r="AL7" s="62">
        <f t="shared" si="6"/>
        <v>-2.4266988418730762E-10</v>
      </c>
      <c r="AM7" s="62">
        <f t="shared" si="7"/>
        <v>-3.4248692770688649E-10</v>
      </c>
    </row>
    <row r="8" spans="1:39" x14ac:dyDescent="0.3">
      <c r="A8" s="5" t="s">
        <v>37</v>
      </c>
      <c r="B8" s="5">
        <v>26546</v>
      </c>
      <c r="C8" s="5">
        <v>22829.56</v>
      </c>
      <c r="D8" s="5">
        <v>4804.7139615737588</v>
      </c>
      <c r="E8" s="5">
        <v>1.530494777557001</v>
      </c>
      <c r="F8" s="5">
        <v>-1.4474450000000001</v>
      </c>
      <c r="G8" s="5">
        <v>-1.407405</v>
      </c>
      <c r="H8" s="5">
        <v>-2.2370894488014299</v>
      </c>
      <c r="I8" s="5">
        <v>-0.94573664753723219</v>
      </c>
      <c r="J8" s="5">
        <v>-0.91957517309959147</v>
      </c>
      <c r="K8" s="5">
        <v>-1.461677283454901</v>
      </c>
      <c r="L8" s="5">
        <v>-1.653337164699791</v>
      </c>
      <c r="M8" s="5">
        <v>-1.607601665199236</v>
      </c>
      <c r="N8" s="5">
        <v>-2.5553047794293891</v>
      </c>
      <c r="O8" s="5">
        <v>43128.632771362703</v>
      </c>
      <c r="P8" s="5">
        <v>32.299999999999997</v>
      </c>
      <c r="Q8" s="5">
        <v>18.391999999999999</v>
      </c>
      <c r="R8" s="5">
        <v>5.2073397636413601</v>
      </c>
      <c r="S8" s="5">
        <v>71.425193786621094</v>
      </c>
      <c r="T8" s="5">
        <v>39754</v>
      </c>
      <c r="U8" s="5">
        <v>10.67194238896235</v>
      </c>
      <c r="X8" s="56" t="str">
        <f>WB_correlations!D8</f>
        <v>Estonia</v>
      </c>
      <c r="Y8" s="5">
        <f>WB_correlations!E8</f>
        <v>-0.94573664753723219</v>
      </c>
      <c r="Z8" s="5">
        <f>WB_correlations!F8</f>
        <v>-0.91957517309959147</v>
      </c>
      <c r="AA8" s="5">
        <f>WB_correlations!G8</f>
        <v>-1.4616772835846432</v>
      </c>
      <c r="AB8" s="5">
        <f>WB_correlations!H8</f>
        <v>-1.6533371646997905</v>
      </c>
      <c r="AC8" s="5">
        <f>WB_correlations!I8</f>
        <v>-1.6076016651992362</v>
      </c>
      <c r="AD8" s="5">
        <f>WB_correlations!J8</f>
        <v>-2.5553047796562054</v>
      </c>
      <c r="AE8" s="57">
        <f>WB_correlations!K8</f>
        <v>10.671942389626349</v>
      </c>
      <c r="AG8" s="62">
        <f t="shared" si="1"/>
        <v>0</v>
      </c>
      <c r="AH8" s="62">
        <f t="shared" si="2"/>
        <v>0</v>
      </c>
      <c r="AI8" s="62">
        <f t="shared" si="3"/>
        <v>1.2974221696993027E-10</v>
      </c>
      <c r="AJ8" s="62">
        <f t="shared" si="4"/>
        <v>0</v>
      </c>
      <c r="AK8" s="62">
        <f t="shared" si="5"/>
        <v>0</v>
      </c>
      <c r="AL8" s="62">
        <f t="shared" si="6"/>
        <v>2.2681634348487023E-10</v>
      </c>
      <c r="AM8" s="62">
        <f t="shared" si="7"/>
        <v>6.6399863385413482E-10</v>
      </c>
    </row>
    <row r="9" spans="1:39" x14ac:dyDescent="0.3">
      <c r="A9" s="5" t="s">
        <v>39</v>
      </c>
      <c r="B9" s="5">
        <v>17954</v>
      </c>
      <c r="C9" s="5">
        <v>15440.44</v>
      </c>
      <c r="D9" s="5">
        <v>4.6283025508592761</v>
      </c>
      <c r="E9" s="5">
        <v>8.4756573866684768</v>
      </c>
      <c r="F9" s="5">
        <v>-0.86575000000000002</v>
      </c>
      <c r="G9" s="5">
        <v>-0.71890799999999999</v>
      </c>
      <c r="H9" s="5">
        <v>0.105358775099144</v>
      </c>
      <c r="I9" s="5">
        <v>-0.1021454691363238</v>
      </c>
      <c r="J9" s="5">
        <v>-8.4820323333359857E-2</v>
      </c>
      <c r="K9" s="5">
        <v>1.2430749650742709E-2</v>
      </c>
      <c r="L9" s="5">
        <v>-0.98889881849662231</v>
      </c>
      <c r="M9" s="5">
        <v>-0.82116924263097857</v>
      </c>
      <c r="N9" s="5">
        <v>0.1203455595885589</v>
      </c>
      <c r="O9" s="5">
        <v>35831.344178120497</v>
      </c>
      <c r="P9" s="5">
        <v>33.4</v>
      </c>
      <c r="Q9" s="5">
        <v>31.29</v>
      </c>
      <c r="R9" s="5">
        <v>3.3754799365997301</v>
      </c>
      <c r="S9" s="5">
        <v>166.38955688476599</v>
      </c>
      <c r="T9" s="5">
        <v>-53997</v>
      </c>
      <c r="U9" s="5">
        <v>10.486578325032671</v>
      </c>
      <c r="X9" s="56" t="str">
        <f>WB_correlations!D9</f>
        <v>Greece</v>
      </c>
      <c r="Y9" s="5">
        <f>WB_correlations!E9</f>
        <v>-0.10214546913632176</v>
      </c>
      <c r="Z9" s="5">
        <f>WB_correlations!F9</f>
        <v>-8.4820323333358122E-2</v>
      </c>
      <c r="AA9" s="5">
        <f>WB_correlations!G9</f>
        <v>1.2430749639044954E-2</v>
      </c>
      <c r="AB9" s="5">
        <f>WB_correlations!H9</f>
        <v>-0.98889881849662231</v>
      </c>
      <c r="AC9" s="5">
        <f>WB_correlations!I9</f>
        <v>-0.82116924263097857</v>
      </c>
      <c r="AD9" s="5">
        <f>WB_correlations!J9</f>
        <v>0.12034555947531213</v>
      </c>
      <c r="AE9" s="57">
        <f>WB_correlations!K9</f>
        <v>10.486578325643295</v>
      </c>
      <c r="AG9" s="62">
        <f t="shared" si="1"/>
        <v>-2.0400348077487251E-15</v>
      </c>
      <c r="AH9" s="62">
        <f t="shared" si="2"/>
        <v>-1.7347234759768071E-15</v>
      </c>
      <c r="AI9" s="62">
        <f t="shared" si="3"/>
        <v>1.1697755611383975E-11</v>
      </c>
      <c r="AJ9" s="62">
        <f t="shared" si="4"/>
        <v>0</v>
      </c>
      <c r="AK9" s="62">
        <f t="shared" si="5"/>
        <v>0</v>
      </c>
      <c r="AL9" s="62">
        <f t="shared" si="6"/>
        <v>1.1324677307023023E-10</v>
      </c>
      <c r="AM9" s="62">
        <f t="shared" si="7"/>
        <v>6.106244399006755E-10</v>
      </c>
    </row>
    <row r="10" spans="1:39" x14ac:dyDescent="0.3">
      <c r="A10" s="5" t="s">
        <v>40</v>
      </c>
      <c r="B10" s="5">
        <v>33700</v>
      </c>
      <c r="C10" s="5">
        <v>28982</v>
      </c>
      <c r="D10" s="5">
        <v>6801.1285512987224</v>
      </c>
      <c r="E10" s="5">
        <v>1.183003727040296</v>
      </c>
      <c r="F10" s="5">
        <v>-0.50770099999999996</v>
      </c>
      <c r="G10" s="5">
        <v>-0.473719</v>
      </c>
      <c r="H10" s="5">
        <v>0.96454422619920899</v>
      </c>
      <c r="I10" s="5">
        <v>-0.42916263777984398</v>
      </c>
      <c r="J10" s="5">
        <v>-0.40043745355323301</v>
      </c>
      <c r="K10" s="5">
        <v>0.81533490060285707</v>
      </c>
      <c r="L10" s="5">
        <v>-0.57991905174652447</v>
      </c>
      <c r="M10" s="5">
        <v>-0.54110327392365165</v>
      </c>
      <c r="N10" s="5">
        <v>1.1017460533365711</v>
      </c>
      <c r="O10" s="5">
        <v>46733.480978053602</v>
      </c>
      <c r="P10" s="5">
        <v>33.6</v>
      </c>
      <c r="Q10" s="5">
        <v>29.713000000000001</v>
      </c>
      <c r="R10" s="5">
        <v>4.5855398178100604</v>
      </c>
      <c r="S10" s="5">
        <v>95.027160644531193</v>
      </c>
      <c r="T10" s="5">
        <v>299779</v>
      </c>
      <c r="U10" s="5">
        <v>10.752216124211669</v>
      </c>
      <c r="X10" s="56" t="str">
        <f>WB_correlations!D10</f>
        <v>Spain</v>
      </c>
      <c r="Y10" s="5">
        <f>WB_correlations!E10</f>
        <v>-0.4291626377798447</v>
      </c>
      <c r="Z10" s="5">
        <f>WB_correlations!F10</f>
        <v>-0.40043745355323362</v>
      </c>
      <c r="AA10" s="5">
        <f>WB_correlations!G10</f>
        <v>0.81533490043446577</v>
      </c>
      <c r="AB10" s="5">
        <f>WB_correlations!H10</f>
        <v>-0.57991905174652447</v>
      </c>
      <c r="AC10" s="5">
        <f>WB_correlations!I10</f>
        <v>-0.54110327392365165</v>
      </c>
      <c r="AD10" s="5">
        <f>WB_correlations!J10</f>
        <v>1.1017460531090257</v>
      </c>
      <c r="AE10" s="57">
        <f>WB_correlations!K10</f>
        <v>10.752216124681279</v>
      </c>
      <c r="AG10" s="63">
        <f t="shared" si="1"/>
        <v>7.2164496600635175E-16</v>
      </c>
      <c r="AH10" s="63">
        <f t="shared" si="2"/>
        <v>6.106226635438361E-16</v>
      </c>
      <c r="AI10" s="63">
        <f t="shared" si="3"/>
        <v>1.6839130090318122E-10</v>
      </c>
      <c r="AJ10" s="63">
        <f t="shared" si="4"/>
        <v>0</v>
      </c>
      <c r="AK10" s="63">
        <f t="shared" si="5"/>
        <v>0</v>
      </c>
      <c r="AL10" s="63">
        <f t="shared" si="6"/>
        <v>2.2754531592283911E-10</v>
      </c>
      <c r="AM10" s="62">
        <f t="shared" si="7"/>
        <v>4.6961012856172601E-10</v>
      </c>
    </row>
    <row r="11" spans="1:39" x14ac:dyDescent="0.3">
      <c r="A11" s="5" t="s">
        <v>41</v>
      </c>
      <c r="B11" s="5">
        <v>43790</v>
      </c>
      <c r="C11" s="5">
        <v>37659.4</v>
      </c>
      <c r="D11" s="5">
        <v>8054.8060048130019</v>
      </c>
      <c r="E11" s="5">
        <v>1.0138233563614141</v>
      </c>
      <c r="F11" s="5">
        <v>-0.59710600000000003</v>
      </c>
      <c r="G11" s="5">
        <v>-0.53549500000000005</v>
      </c>
      <c r="H11" s="5">
        <v>1.1789929534008201</v>
      </c>
      <c r="I11" s="5">
        <v>-0.58896453337097932</v>
      </c>
      <c r="J11" s="5">
        <v>-0.5281935917533781</v>
      </c>
      <c r="K11" s="5">
        <v>1.1629175299651771</v>
      </c>
      <c r="L11" s="5">
        <v>-0.68204148763181538</v>
      </c>
      <c r="M11" s="5">
        <v>-0.61166661601022099</v>
      </c>
      <c r="N11" s="5">
        <v>1.346699091693808</v>
      </c>
      <c r="O11" s="5">
        <v>53673.813740642203</v>
      </c>
      <c r="P11" s="5">
        <v>31.2</v>
      </c>
      <c r="Q11" s="5">
        <v>17.856000000000002</v>
      </c>
      <c r="R11" s="5">
        <v>5.3243498802185103</v>
      </c>
      <c r="S11" s="5">
        <v>71.510726928710895</v>
      </c>
      <c r="T11" s="5">
        <v>179377</v>
      </c>
      <c r="U11" s="5">
        <v>10.890680521722921</v>
      </c>
      <c r="X11" s="56" t="str">
        <f>WB_correlations!D11</f>
        <v>France</v>
      </c>
      <c r="Y11" s="5">
        <f>WB_correlations!E11</f>
        <v>-0.58896453337097932</v>
      </c>
      <c r="Z11" s="5">
        <f>WB_correlations!F11</f>
        <v>-0.5281935917533781</v>
      </c>
      <c r="AA11" s="5">
        <f>WB_correlations!G11</f>
        <v>1.1629175295698218</v>
      </c>
      <c r="AB11" s="5">
        <f>WB_correlations!H11</f>
        <v>-0.68204148763181538</v>
      </c>
      <c r="AC11" s="5">
        <f>WB_correlations!I11</f>
        <v>-0.61166661601022099</v>
      </c>
      <c r="AD11" s="5">
        <f>WB_correlations!J11</f>
        <v>1.3466990912359733</v>
      </c>
      <c r="AE11" s="57">
        <f>WB_correlations!K11</f>
        <v>10.890680520965711</v>
      </c>
      <c r="AG11" s="62">
        <f t="shared" si="1"/>
        <v>0</v>
      </c>
      <c r="AH11" s="62">
        <f t="shared" si="2"/>
        <v>0</v>
      </c>
      <c r="AI11" s="62">
        <f t="shared" si="3"/>
        <v>3.9535530405032659E-10</v>
      </c>
      <c r="AJ11" s="62">
        <f t="shared" si="4"/>
        <v>0</v>
      </c>
      <c r="AK11" s="62">
        <f t="shared" si="5"/>
        <v>0</v>
      </c>
      <c r="AL11" s="62">
        <f t="shared" si="6"/>
        <v>4.5783465907334175E-10</v>
      </c>
      <c r="AM11" s="62">
        <f t="shared" si="7"/>
        <v>-7.5720940628798417E-10</v>
      </c>
    </row>
    <row r="12" spans="1:39" x14ac:dyDescent="0.3">
      <c r="A12" s="5" t="s">
        <v>42</v>
      </c>
      <c r="B12" s="5">
        <v>23446</v>
      </c>
      <c r="C12" s="5">
        <v>20163.560000000001</v>
      </c>
      <c r="D12" s="5">
        <v>2527.4655797491218</v>
      </c>
      <c r="E12" s="5">
        <v>2.1728752353575351</v>
      </c>
      <c r="F12" s="5">
        <v>-1.6547449999999999</v>
      </c>
      <c r="G12" s="5">
        <v>-1.5345200000000001</v>
      </c>
      <c r="H12" s="5">
        <v>-2.5720773510674402</v>
      </c>
      <c r="I12" s="5">
        <v>-0.76154625588878821</v>
      </c>
      <c r="J12" s="5">
        <v>-0.70621634184509596</v>
      </c>
      <c r="K12" s="5">
        <v>-1.183720679960816</v>
      </c>
      <c r="L12" s="5">
        <v>-1.8901246034226891</v>
      </c>
      <c r="M12" s="5">
        <v>-1.7527981691705889</v>
      </c>
      <c r="N12" s="5">
        <v>-2.9379431170112782</v>
      </c>
      <c r="O12" s="5">
        <v>39864.010087995797</v>
      </c>
      <c r="P12" s="5">
        <v>30</v>
      </c>
      <c r="Q12" s="5">
        <v>17.744</v>
      </c>
      <c r="R12" s="5"/>
      <c r="S12" s="5">
        <v>80.762672424316406</v>
      </c>
      <c r="T12" s="5">
        <v>11681</v>
      </c>
      <c r="U12" s="5">
        <v>10.593229193021511</v>
      </c>
      <c r="X12" s="56" t="str">
        <f>WB_correlations!D12</f>
        <v>Croatia</v>
      </c>
      <c r="Y12" s="5">
        <f>WB_correlations!E12</f>
        <v>-0.76154625588878688</v>
      </c>
      <c r="Z12" s="5">
        <f>WB_correlations!F12</f>
        <v>-0.70621634184509485</v>
      </c>
      <c r="AA12" s="5">
        <f>WB_correlations!G12</f>
        <v>-1.1837206799297773</v>
      </c>
      <c r="AB12" s="5">
        <f>WB_correlations!H12</f>
        <v>-1.8901246034226893</v>
      </c>
      <c r="AC12" s="5">
        <f>WB_correlations!I12</f>
        <v>-1.7527981691705885</v>
      </c>
      <c r="AD12" s="5">
        <f>WB_correlations!J12</f>
        <v>-2.9379431169342443</v>
      </c>
      <c r="AE12" s="57">
        <f>WB_correlations!K12</f>
        <v>10.593229193322637</v>
      </c>
      <c r="AG12" s="62">
        <f t="shared" si="1"/>
        <v>-1.3322676295501878E-15</v>
      </c>
      <c r="AH12" s="62">
        <f t="shared" si="2"/>
        <v>-1.1102230246251565E-15</v>
      </c>
      <c r="AI12" s="62">
        <f t="shared" si="3"/>
        <v>-3.1038727144050426E-11</v>
      </c>
      <c r="AJ12" s="62">
        <f t="shared" si="4"/>
        <v>0</v>
      </c>
      <c r="AK12" s="62">
        <f t="shared" si="5"/>
        <v>0</v>
      </c>
      <c r="AL12" s="62">
        <f t="shared" si="6"/>
        <v>-7.7033934786641112E-11</v>
      </c>
      <c r="AM12" s="62">
        <f t="shared" si="7"/>
        <v>3.0112623505829106E-10</v>
      </c>
    </row>
    <row r="13" spans="1:39" x14ac:dyDescent="0.3">
      <c r="A13" s="5" t="s">
        <v>43</v>
      </c>
      <c r="B13" s="5">
        <v>33523</v>
      </c>
      <c r="C13" s="5">
        <v>28829.78</v>
      </c>
      <c r="D13" s="5">
        <v>6758.7786561670027</v>
      </c>
      <c r="E13" s="5">
        <v>1.1892500873111871</v>
      </c>
      <c r="F13" s="5">
        <v>-0.925037</v>
      </c>
      <c r="G13" s="5">
        <v>-0.80842800000000004</v>
      </c>
      <c r="H13" s="5">
        <v>0.67669478526239002</v>
      </c>
      <c r="I13" s="5">
        <v>-0.77783219010851223</v>
      </c>
      <c r="J13" s="5">
        <v>-0.67977964317648298</v>
      </c>
      <c r="K13" s="5">
        <v>0.56900965783601543</v>
      </c>
      <c r="L13" s="5">
        <v>-1.056619112175178</v>
      </c>
      <c r="M13" s="5">
        <v>-0.92342303671913073</v>
      </c>
      <c r="N13" s="5">
        <v>0.77295139893595499</v>
      </c>
      <c r="O13" s="5">
        <v>52333.327427060402</v>
      </c>
      <c r="P13" s="5">
        <v>33.700000000000003</v>
      </c>
      <c r="Q13" s="5">
        <v>23.704000000000001</v>
      </c>
      <c r="R13" s="5">
        <v>4.0677599906921396</v>
      </c>
      <c r="S13" s="5">
        <v>73.896209716796903</v>
      </c>
      <c r="T13" s="5">
        <v>231228</v>
      </c>
      <c r="U13" s="5">
        <v>10.86538868280361</v>
      </c>
      <c r="X13" s="56" t="str">
        <f>WB_correlations!D13</f>
        <v>Italy</v>
      </c>
      <c r="Y13" s="5">
        <f>WB_correlations!E13</f>
        <v>-0.77783219010851223</v>
      </c>
      <c r="Z13" s="5">
        <f>WB_correlations!F13</f>
        <v>-0.67977964317648298</v>
      </c>
      <c r="AA13" s="5">
        <f>WB_correlations!G13</f>
        <v>0.56900965761538058</v>
      </c>
      <c r="AB13" s="5">
        <f>WB_correlations!H13</f>
        <v>-1.0566191121751776</v>
      </c>
      <c r="AC13" s="5">
        <f>WB_correlations!I13</f>
        <v>-0.92342303671913073</v>
      </c>
      <c r="AD13" s="5">
        <f>WB_correlations!J13</f>
        <v>0.77295139863624129</v>
      </c>
      <c r="AE13" s="57">
        <f>WB_correlations!K13</f>
        <v>10.865388682286532</v>
      </c>
      <c r="AG13" s="62">
        <f t="shared" si="1"/>
        <v>0</v>
      </c>
      <c r="AH13" s="62">
        <f t="shared" si="2"/>
        <v>0</v>
      </c>
      <c r="AI13" s="62">
        <f t="shared" si="3"/>
        <v>2.2063484372836228E-10</v>
      </c>
      <c r="AJ13" s="62">
        <f t="shared" si="4"/>
        <v>0</v>
      </c>
      <c r="AK13" s="62">
        <f t="shared" si="5"/>
        <v>0</v>
      </c>
      <c r="AL13" s="62">
        <f t="shared" si="6"/>
        <v>2.9971369830406047E-10</v>
      </c>
      <c r="AM13" s="62">
        <f t="shared" si="7"/>
        <v>-5.1707793602417951E-10</v>
      </c>
    </row>
    <row r="14" spans="1:39" x14ac:dyDescent="0.3">
      <c r="A14" s="5" t="s">
        <v>44</v>
      </c>
      <c r="B14" s="5">
        <v>27611</v>
      </c>
      <c r="C14" s="5">
        <v>23745.46</v>
      </c>
      <c r="D14" s="5">
        <v>5095.4372531995496</v>
      </c>
      <c r="E14" s="5">
        <v>1.4717468058270831</v>
      </c>
      <c r="F14" s="5">
        <v>-0.90216300000000005</v>
      </c>
      <c r="G14" s="5">
        <v>-0.94660900000000003</v>
      </c>
      <c r="H14" s="5">
        <v>0.25508166248055197</v>
      </c>
      <c r="I14" s="5">
        <v>-0.61298791098310434</v>
      </c>
      <c r="J14" s="5">
        <v>-0.64318739898200816</v>
      </c>
      <c r="K14" s="5">
        <v>0.17331898494401879</v>
      </c>
      <c r="L14" s="5">
        <v>-1.0304913945034579</v>
      </c>
      <c r="M14" s="5">
        <v>-1.08125962654146</v>
      </c>
      <c r="N14" s="5">
        <v>0.29136581535913608</v>
      </c>
      <c r="O14" s="5">
        <v>50623.796875</v>
      </c>
      <c r="P14" s="5">
        <v>31.5</v>
      </c>
      <c r="Q14" s="5">
        <v>18.707000000000001</v>
      </c>
      <c r="R14" s="5">
        <v>4.7421097755432102</v>
      </c>
      <c r="S14" s="5">
        <v>105.384979248047</v>
      </c>
      <c r="T14" s="5">
        <v>9014</v>
      </c>
      <c r="U14" s="5">
        <v>10.83217703869434</v>
      </c>
      <c r="X14" s="56" t="str">
        <f>WB_correlations!D14</f>
        <v>Cyprus</v>
      </c>
      <c r="Y14" s="5">
        <f>WB_correlations!E14</f>
        <v>-0.61298791098310434</v>
      </c>
      <c r="Z14" s="5">
        <f>WB_correlations!F14</f>
        <v>-0.64318739898200816</v>
      </c>
      <c r="AA14" s="5">
        <f>WB_correlations!G14</f>
        <v>0.17331898461750073</v>
      </c>
      <c r="AB14" s="5">
        <f>WB_correlations!H14</f>
        <v>-1.0304913945034575</v>
      </c>
      <c r="AC14" s="5">
        <f>WB_correlations!I14</f>
        <v>-1.0812596265414602</v>
      </c>
      <c r="AD14" s="5">
        <f>WB_correlations!J14</f>
        <v>0.29136581481022783</v>
      </c>
      <c r="AE14" s="57">
        <f>WB_correlations!K14</f>
        <v>10.832177039188178</v>
      </c>
      <c r="AG14" s="62">
        <f t="shared" si="1"/>
        <v>0</v>
      </c>
      <c r="AH14" s="62">
        <f t="shared" si="2"/>
        <v>0</v>
      </c>
      <c r="AI14" s="62">
        <f t="shared" si="3"/>
        <v>3.2651806258776617E-10</v>
      </c>
      <c r="AJ14" s="62">
        <f t="shared" si="4"/>
        <v>0</v>
      </c>
      <c r="AK14" s="62">
        <f t="shared" si="5"/>
        <v>0</v>
      </c>
      <c r="AL14" s="62">
        <f t="shared" si="6"/>
        <v>5.4890825218478767E-10</v>
      </c>
      <c r="AM14" s="62">
        <f t="shared" si="7"/>
        <v>4.9383785949430603E-10</v>
      </c>
    </row>
    <row r="15" spans="1:39" x14ac:dyDescent="0.3">
      <c r="A15" s="5" t="s">
        <v>45</v>
      </c>
      <c r="B15" s="5">
        <v>22262</v>
      </c>
      <c r="C15" s="5">
        <v>19145.32</v>
      </c>
      <c r="D15" s="5">
        <v>1607.4555099714671</v>
      </c>
      <c r="E15" s="5">
        <v>2.6254397886656782</v>
      </c>
      <c r="F15" s="5">
        <v>-1.5115160000000001</v>
      </c>
      <c r="G15" s="5">
        <v>-1.3905639999999999</v>
      </c>
      <c r="H15" s="5">
        <v>-1.92817788610368</v>
      </c>
      <c r="I15" s="5">
        <v>-0.5757191638998489</v>
      </c>
      <c r="J15" s="5">
        <v>-0.52964992989106929</v>
      </c>
      <c r="K15" s="5">
        <v>-0.73442091280395894</v>
      </c>
      <c r="L15" s="5">
        <v>-1.7265219596173731</v>
      </c>
      <c r="M15" s="5">
        <v>-1.5883651130741401</v>
      </c>
      <c r="N15" s="5">
        <v>-2.2024520166552048</v>
      </c>
      <c r="O15" s="5">
        <v>37718.709795836701</v>
      </c>
      <c r="P15" s="5">
        <v>33.700000000000003</v>
      </c>
      <c r="Q15" s="5">
        <v>15.27</v>
      </c>
      <c r="R15" s="5">
        <v>4.3196702003479004</v>
      </c>
      <c r="S15" s="5">
        <v>91.330368041992202</v>
      </c>
      <c r="T15" s="5">
        <v>22027</v>
      </c>
      <c r="U15" s="5">
        <v>10.53791153138606</v>
      </c>
      <c r="X15" s="56" t="str">
        <f>WB_correlations!D15</f>
        <v>Latvia</v>
      </c>
      <c r="Y15" s="5">
        <f>WB_correlations!E15</f>
        <v>-0.57571916389984801</v>
      </c>
      <c r="Z15" s="5">
        <f>WB_correlations!F15</f>
        <v>-0.52964992989106841</v>
      </c>
      <c r="AA15" s="5">
        <f>WB_correlations!G15</f>
        <v>-0.73442091276446719</v>
      </c>
      <c r="AB15" s="5">
        <f>WB_correlations!H15</f>
        <v>-1.7265219596173729</v>
      </c>
      <c r="AC15" s="5">
        <f>WB_correlations!I15</f>
        <v>-1.5883651130741403</v>
      </c>
      <c r="AD15" s="5">
        <f>WB_correlations!J15</f>
        <v>-2.2024520165367774</v>
      </c>
      <c r="AE15" s="57">
        <f>WB_correlations!K15</f>
        <v>10.537911531496441</v>
      </c>
      <c r="AG15" s="62">
        <f t="shared" si="1"/>
        <v>-8.8817841970012523E-16</v>
      </c>
      <c r="AH15" s="62">
        <f t="shared" si="2"/>
        <v>-8.8817841970012523E-16</v>
      </c>
      <c r="AI15" s="62">
        <f t="shared" si="3"/>
        <v>-3.9491743208941443E-11</v>
      </c>
      <c r="AJ15" s="62">
        <f t="shared" si="4"/>
        <v>0</v>
      </c>
      <c r="AK15" s="62">
        <f t="shared" si="5"/>
        <v>0</v>
      </c>
      <c r="AL15" s="62">
        <f t="shared" si="6"/>
        <v>-1.1842749003676545E-10</v>
      </c>
      <c r="AM15" s="62">
        <f t="shared" si="7"/>
        <v>1.1038103764349216E-10</v>
      </c>
    </row>
    <row r="16" spans="1:39" x14ac:dyDescent="0.3">
      <c r="A16" s="5" t="s">
        <v>46</v>
      </c>
      <c r="B16" s="5">
        <v>29104</v>
      </c>
      <c r="C16" s="5">
        <v>25029.439999999999</v>
      </c>
      <c r="D16" s="5">
        <v>5513.5373619605371</v>
      </c>
      <c r="E16" s="5">
        <v>1.3928858822339689</v>
      </c>
      <c r="F16" s="5">
        <v>-2.1731129999999999</v>
      </c>
      <c r="G16" s="5">
        <v>-2.16716</v>
      </c>
      <c r="H16" s="5">
        <v>-1.41133317572511</v>
      </c>
      <c r="I16" s="5">
        <v>-1.560151501079664</v>
      </c>
      <c r="J16" s="5">
        <v>-1.555877640545984</v>
      </c>
      <c r="K16" s="5">
        <v>-1.013243937444146</v>
      </c>
      <c r="L16" s="5">
        <v>-2.4822279851685241</v>
      </c>
      <c r="M16" s="5">
        <v>-2.4754281992412821</v>
      </c>
      <c r="N16" s="5">
        <v>-1.61208860523205</v>
      </c>
      <c r="O16" s="5">
        <v>46651.214581024702</v>
      </c>
      <c r="P16" s="5">
        <v>36.6</v>
      </c>
      <c r="Q16" s="5">
        <v>11.872999999999999</v>
      </c>
      <c r="R16" s="5">
        <v>4.2528500556945801</v>
      </c>
      <c r="S16" s="5">
        <v>76.915458679199205</v>
      </c>
      <c r="T16" s="5">
        <v>72100</v>
      </c>
      <c r="U16" s="5">
        <v>10.75045424197139</v>
      </c>
      <c r="X16" s="56" t="str">
        <f>WB_correlations!D16</f>
        <v>Lithuania</v>
      </c>
      <c r="Y16" s="5">
        <f>WB_correlations!E16</f>
        <v>-1.5601515010796645</v>
      </c>
      <c r="Z16" s="5">
        <f>WB_correlations!F16</f>
        <v>-1.5558776405459844</v>
      </c>
      <c r="AA16" s="5">
        <f>WB_correlations!G16</f>
        <v>-1.013243937641499</v>
      </c>
      <c r="AB16" s="5">
        <f>WB_correlations!H16</f>
        <v>-2.4822279851685245</v>
      </c>
      <c r="AC16" s="5">
        <f>WB_correlations!I16</f>
        <v>-2.4754281992412821</v>
      </c>
      <c r="AD16" s="5">
        <f>WB_correlations!J16</f>
        <v>-1.6120886055460417</v>
      </c>
      <c r="AE16" s="57">
        <f>WB_correlations!K16</f>
        <v>10.750454242378133</v>
      </c>
      <c r="AG16" s="62">
        <f t="shared" si="1"/>
        <v>0</v>
      </c>
      <c r="AH16" s="62">
        <f t="shared" si="2"/>
        <v>0</v>
      </c>
      <c r="AI16" s="62">
        <f t="shared" si="3"/>
        <v>1.973530228127629E-10</v>
      </c>
      <c r="AJ16" s="62">
        <f t="shared" si="4"/>
        <v>0</v>
      </c>
      <c r="AK16" s="62">
        <f t="shared" si="5"/>
        <v>0</v>
      </c>
      <c r="AL16" s="62">
        <f t="shared" si="6"/>
        <v>3.139917215122523E-10</v>
      </c>
      <c r="AM16" s="62">
        <f t="shared" si="7"/>
        <v>4.0674308365851175E-10</v>
      </c>
    </row>
    <row r="17" spans="1:39" x14ac:dyDescent="0.3">
      <c r="A17" s="5" t="s">
        <v>47</v>
      </c>
      <c r="B17" s="5">
        <v>82969</v>
      </c>
      <c r="C17" s="5">
        <v>71353.34</v>
      </c>
      <c r="D17" s="5">
        <v>8798.4412940286093</v>
      </c>
      <c r="E17" s="5">
        <v>0.92551770876124451</v>
      </c>
      <c r="F17" s="5">
        <v>-0.49289500000000003</v>
      </c>
      <c r="G17" s="5">
        <v>-0.57499100000000003</v>
      </c>
      <c r="H17" s="5">
        <v>-1.2366166297063801</v>
      </c>
      <c r="I17" s="5">
        <v>-0.53256139275791203</v>
      </c>
      <c r="J17" s="5">
        <v>-0.62126417955804913</v>
      </c>
      <c r="K17" s="5">
        <v>-1.336135027995871</v>
      </c>
      <c r="L17" s="5">
        <v>-0.56300696868945155</v>
      </c>
      <c r="M17" s="5">
        <v>-0.65678073409897941</v>
      </c>
      <c r="N17" s="5">
        <v>-1.4125194617960319</v>
      </c>
      <c r="O17" s="5">
        <v>132570.82646341901</v>
      </c>
      <c r="P17" s="5">
        <v>34.1</v>
      </c>
      <c r="Q17" s="5">
        <v>17.599</v>
      </c>
      <c r="R17" s="5">
        <v>3.7445199489593501</v>
      </c>
      <c r="S17" s="5">
        <v>21.032600402831999</v>
      </c>
      <c r="T17" s="5">
        <v>13194</v>
      </c>
      <c r="U17" s="5">
        <v>11.79487232093971</v>
      </c>
      <c r="X17" s="56" t="str">
        <f>WB_correlations!D17</f>
        <v>Luxembourg</v>
      </c>
      <c r="Y17" s="5">
        <f>WB_correlations!E17</f>
        <v>-0.53256139275791203</v>
      </c>
      <c r="Z17" s="5">
        <f>WB_correlations!F17</f>
        <v>-0.62126417955804913</v>
      </c>
      <c r="AA17" s="5">
        <f>WB_correlations!G17</f>
        <v>-1.3361350283131208</v>
      </c>
      <c r="AB17" s="5">
        <f>WB_correlations!H17</f>
        <v>-0.56300696868945155</v>
      </c>
      <c r="AC17" s="5">
        <f>WB_correlations!I17</f>
        <v>-0.65678073409897941</v>
      </c>
      <c r="AD17" s="5">
        <f>WB_correlations!J17</f>
        <v>-1.4125194621314177</v>
      </c>
      <c r="AE17" s="57">
        <f>WB_correlations!K17</f>
        <v>11.794872317444074</v>
      </c>
      <c r="AG17" s="62">
        <f t="shared" si="1"/>
        <v>0</v>
      </c>
      <c r="AH17" s="62">
        <f t="shared" si="2"/>
        <v>0</v>
      </c>
      <c r="AI17" s="62">
        <f t="shared" si="3"/>
        <v>3.1724978200031728E-10</v>
      </c>
      <c r="AJ17" s="62">
        <f t="shared" si="4"/>
        <v>0</v>
      </c>
      <c r="AK17" s="62">
        <f t="shared" si="5"/>
        <v>0</v>
      </c>
      <c r="AL17" s="62">
        <f t="shared" si="6"/>
        <v>3.3538571919677906E-10</v>
      </c>
      <c r="AM17" s="62">
        <f t="shared" si="7"/>
        <v>-3.4956357808368921E-9</v>
      </c>
    </row>
    <row r="18" spans="1:39" x14ac:dyDescent="0.3">
      <c r="A18" s="5" t="s">
        <v>48</v>
      </c>
      <c r="B18" s="5">
        <v>18461</v>
      </c>
      <c r="C18" s="5">
        <v>15876.46</v>
      </c>
      <c r="D18" s="5">
        <v>46.564212524396112</v>
      </c>
      <c r="E18" s="5">
        <v>6.1670152933494924</v>
      </c>
      <c r="F18" s="5">
        <v>-1.114468</v>
      </c>
      <c r="G18" s="5">
        <v>-1.0236069999999999</v>
      </c>
      <c r="H18" s="5">
        <v>-1.0317227690820201</v>
      </c>
      <c r="I18" s="5">
        <v>-0.18071432402670409</v>
      </c>
      <c r="J18" s="5">
        <v>-0.16598094074841321</v>
      </c>
      <c r="K18" s="5">
        <v>-0.1672969370117551</v>
      </c>
      <c r="L18" s="5">
        <v>-1.2729957706639261</v>
      </c>
      <c r="M18" s="5">
        <v>-1.169210225705887</v>
      </c>
      <c r="N18" s="5">
        <v>-1.1784804243272</v>
      </c>
      <c r="O18" s="5">
        <v>40610.971136823799</v>
      </c>
      <c r="P18" s="5"/>
      <c r="Q18" s="5">
        <v>10.541</v>
      </c>
      <c r="R18" s="5">
        <v>3.8011999130249001</v>
      </c>
      <c r="S18" s="5">
        <v>60.274681091308601</v>
      </c>
      <c r="T18" s="5">
        <v>41871</v>
      </c>
      <c r="U18" s="5">
        <v>10.611793534130531</v>
      </c>
      <c r="X18" s="56" t="str">
        <f>WB_correlations!D18</f>
        <v>Hungary</v>
      </c>
      <c r="Y18" s="5">
        <f>WB_correlations!E18</f>
        <v>-0.18071432402670326</v>
      </c>
      <c r="Z18" s="5">
        <f>WB_correlations!F18</f>
        <v>-0.16598094074841235</v>
      </c>
      <c r="AA18" s="5">
        <f>WB_correlations!G18</f>
        <v>-0.16729693699845441</v>
      </c>
      <c r="AB18" s="5">
        <f>WB_correlations!H18</f>
        <v>-1.2729957706639257</v>
      </c>
      <c r="AC18" s="5">
        <f>WB_correlations!I18</f>
        <v>-1.1692102257058874</v>
      </c>
      <c r="AD18" s="5">
        <f>WB_correlations!J18</f>
        <v>-1.1784804242335125</v>
      </c>
      <c r="AE18" s="57">
        <f>WB_correlations!K18</f>
        <v>10.611793533223789</v>
      </c>
      <c r="AG18" s="62">
        <f t="shared" si="1"/>
        <v>-8.3266726846886741E-16</v>
      </c>
      <c r="AH18" s="62">
        <f t="shared" si="2"/>
        <v>-8.6042284408449632E-16</v>
      </c>
      <c r="AI18" s="62">
        <f t="shared" si="3"/>
        <v>-1.33006938796143E-11</v>
      </c>
      <c r="AJ18" s="62">
        <f t="shared" si="4"/>
        <v>0</v>
      </c>
      <c r="AK18" s="62">
        <f t="shared" si="5"/>
        <v>0</v>
      </c>
      <c r="AL18" s="62">
        <f t="shared" si="6"/>
        <v>-9.3687502200623385E-11</v>
      </c>
      <c r="AM18" s="62">
        <f t="shared" si="7"/>
        <v>-9.0674134867185785E-10</v>
      </c>
    </row>
    <row r="19" spans="1:39" x14ac:dyDescent="0.3">
      <c r="A19" s="5" t="s">
        <v>49</v>
      </c>
      <c r="B19" s="5">
        <v>33499</v>
      </c>
      <c r="C19" s="5">
        <v>28809.14</v>
      </c>
      <c r="D19" s="5">
        <v>6752.8799230129835</v>
      </c>
      <c r="E19" s="5">
        <v>1.1901232197240881</v>
      </c>
      <c r="F19" s="5">
        <v>-0.36167899999999997</v>
      </c>
      <c r="G19" s="5">
        <v>-0.53089299999999995</v>
      </c>
      <c r="H19" s="5">
        <v>-2.3352140320911201</v>
      </c>
      <c r="I19" s="5">
        <v>-0.30390046509961371</v>
      </c>
      <c r="J19" s="5">
        <v>-0.44608238138827311</v>
      </c>
      <c r="K19" s="5">
        <v>-1.9621615588951411</v>
      </c>
      <c r="L19" s="5">
        <v>-0.41312611697954349</v>
      </c>
      <c r="M19" s="5">
        <v>-0.60641000340528706</v>
      </c>
      <c r="N19" s="5">
        <v>-2.66738711784192</v>
      </c>
      <c r="O19" s="5">
        <v>56841.958125812998</v>
      </c>
      <c r="P19" s="5">
        <v>34.6</v>
      </c>
      <c r="Q19" s="5">
        <v>9.0640000000000001</v>
      </c>
      <c r="R19" s="5">
        <v>4.7125802040100098</v>
      </c>
      <c r="S19" s="5">
        <v>74.590133666992202</v>
      </c>
      <c r="T19" s="5">
        <v>2480</v>
      </c>
      <c r="U19" s="5">
        <v>10.948030031403251</v>
      </c>
      <c r="X19" s="56" t="str">
        <f>WB_correlations!D19</f>
        <v>Malta</v>
      </c>
      <c r="Y19" s="5">
        <f>WB_correlations!E19</f>
        <v>-0.30390046509961371</v>
      </c>
      <c r="Z19" s="5">
        <f>WB_correlations!F19</f>
        <v>-0.44608238138827305</v>
      </c>
      <c r="AA19" s="5">
        <f>WB_correlations!G19</f>
        <v>-1.9621615588185775</v>
      </c>
      <c r="AB19" s="5">
        <f>WB_correlations!H19</f>
        <v>-0.41312611697954355</v>
      </c>
      <c r="AC19" s="5">
        <f>WB_correlations!I19</f>
        <v>-0.60641000340528706</v>
      </c>
      <c r="AD19" s="5">
        <f>WB_correlations!J19</f>
        <v>-2.6673871177378383</v>
      </c>
      <c r="AE19" s="57">
        <f>WB_correlations!K19</f>
        <v>10.948030030949129</v>
      </c>
      <c r="AG19" s="62">
        <f t="shared" si="1"/>
        <v>0</v>
      </c>
      <c r="AH19" s="62">
        <f t="shared" si="2"/>
        <v>0</v>
      </c>
      <c r="AI19" s="62">
        <f t="shared" si="3"/>
        <v>-7.6563644313409895E-11</v>
      </c>
      <c r="AJ19" s="62">
        <f t="shared" si="4"/>
        <v>0</v>
      </c>
      <c r="AK19" s="62">
        <f t="shared" si="5"/>
        <v>0</v>
      </c>
      <c r="AL19" s="62">
        <f t="shared" si="6"/>
        <v>-1.0408163220176903E-10</v>
      </c>
      <c r="AM19" s="62">
        <f t="shared" si="7"/>
        <v>-4.5412207327899523E-10</v>
      </c>
    </row>
    <row r="20" spans="1:39" x14ac:dyDescent="0.3">
      <c r="A20" s="5" t="s">
        <v>50</v>
      </c>
      <c r="B20" s="5">
        <v>58600</v>
      </c>
      <c r="C20" s="5">
        <v>50396</v>
      </c>
      <c r="D20" s="5">
        <v>8557.6144138588024</v>
      </c>
      <c r="E20" s="5">
        <v>0.95327082753561498</v>
      </c>
      <c r="F20" s="5">
        <v>-0.54853399999999997</v>
      </c>
      <c r="G20" s="5">
        <v>-0.50284899999999999</v>
      </c>
      <c r="H20" s="5">
        <v>-0.96075536942873496</v>
      </c>
      <c r="I20" s="5">
        <v>-0.57542304259752064</v>
      </c>
      <c r="J20" s="5">
        <v>-0.52749857173323933</v>
      </c>
      <c r="K20" s="5">
        <v>-1.0078514328529999</v>
      </c>
      <c r="L20" s="5">
        <v>-0.62656035172419999</v>
      </c>
      <c r="M20" s="5">
        <v>-0.57437687783102287</v>
      </c>
      <c r="N20" s="5">
        <v>-1.097418249716849</v>
      </c>
      <c r="O20" s="5">
        <v>65694.5513287254</v>
      </c>
      <c r="P20" s="5">
        <v>30.9</v>
      </c>
      <c r="Q20" s="5">
        <v>10.327</v>
      </c>
      <c r="R20" s="5">
        <v>5.2774901390075701</v>
      </c>
      <c r="S20" s="5">
        <v>94.511688232421903</v>
      </c>
      <c r="T20" s="5">
        <v>157365</v>
      </c>
      <c r="U20" s="5">
        <v>11.09277126844191</v>
      </c>
      <c r="X20" s="56" t="str">
        <f>WB_correlations!D20</f>
        <v>Austria</v>
      </c>
      <c r="Y20" s="5">
        <f>WB_correlations!E20</f>
        <v>-0.57542304259752064</v>
      </c>
      <c r="Z20" s="5">
        <f>WB_correlations!F20</f>
        <v>-0.52749857173323933</v>
      </c>
      <c r="AA20" s="5">
        <f>WB_correlations!G20</f>
        <v>-1.0078514324032488</v>
      </c>
      <c r="AB20" s="5">
        <f>WB_correlations!H20</f>
        <v>-0.62656035172419999</v>
      </c>
      <c r="AC20" s="5">
        <f>WB_correlations!I20</f>
        <v>-0.57437687783102287</v>
      </c>
      <c r="AD20" s="5">
        <f>WB_correlations!J20</f>
        <v>-1.0974182492271285</v>
      </c>
      <c r="AE20" s="57">
        <f>WB_correlations!K20</f>
        <v>11.092771268004649</v>
      </c>
      <c r="AG20" s="62">
        <f t="shared" si="1"/>
        <v>0</v>
      </c>
      <c r="AH20" s="62">
        <f t="shared" si="2"/>
        <v>0</v>
      </c>
      <c r="AI20" s="62">
        <f t="shared" si="3"/>
        <v>-4.4975112523104599E-10</v>
      </c>
      <c r="AJ20" s="62">
        <f t="shared" si="4"/>
        <v>0</v>
      </c>
      <c r="AK20" s="62">
        <f t="shared" si="5"/>
        <v>0</v>
      </c>
      <c r="AL20" s="62">
        <f t="shared" si="6"/>
        <v>-4.8972048638518118E-10</v>
      </c>
      <c r="AM20" s="62">
        <f t="shared" si="7"/>
        <v>-4.3726089415940805E-10</v>
      </c>
    </row>
    <row r="21" spans="1:39" x14ac:dyDescent="0.3">
      <c r="A21" s="5" t="s">
        <v>51</v>
      </c>
      <c r="B21" s="5">
        <v>21246</v>
      </c>
      <c r="C21" s="5">
        <v>18271.560000000001</v>
      </c>
      <c r="D21" s="5">
        <v>980.81535395249011</v>
      </c>
      <c r="E21" s="5">
        <v>3.1194633482816938</v>
      </c>
      <c r="F21" s="5">
        <v>-1.6682809999999999</v>
      </c>
      <c r="G21" s="5">
        <v>-1.5291809999999999</v>
      </c>
      <c r="H21" s="5">
        <v>-0.13525735322087601</v>
      </c>
      <c r="I21" s="5">
        <v>-0.53479743588554929</v>
      </c>
      <c r="J21" s="5">
        <v>-0.49020643273219572</v>
      </c>
      <c r="K21" s="5">
        <v>-4.335917371665237E-2</v>
      </c>
      <c r="L21" s="5">
        <v>-1.905586035022077</v>
      </c>
      <c r="M21" s="5">
        <v>-1.7466997218221001</v>
      </c>
      <c r="N21" s="5">
        <v>-0.1544970681987925</v>
      </c>
      <c r="O21" s="5">
        <v>43405.021579744098</v>
      </c>
      <c r="P21" s="5">
        <v>28.9</v>
      </c>
      <c r="Q21" s="5">
        <v>10.56</v>
      </c>
      <c r="R21" s="5">
        <v>4.3137297630310103</v>
      </c>
      <c r="S21" s="5">
        <v>75.291107177734403</v>
      </c>
      <c r="T21" s="5">
        <v>967744</v>
      </c>
      <c r="U21" s="5">
        <v>10.67833041799763</v>
      </c>
      <c r="X21" s="56" t="str">
        <f>WB_correlations!D21</f>
        <v>Poland</v>
      </c>
      <c r="Y21" s="5">
        <f>WB_correlations!E21</f>
        <v>-0.53479743588554818</v>
      </c>
      <c r="Z21" s="5">
        <f>WB_correlations!F21</f>
        <v>-0.49020643273219466</v>
      </c>
      <c r="AA21" s="5">
        <f>WB_correlations!G21</f>
        <v>-4.3359173645846509E-2</v>
      </c>
      <c r="AB21" s="5">
        <f>WB_correlations!H21</f>
        <v>-1.9055860350220775</v>
      </c>
      <c r="AC21" s="5">
        <f>WB_correlations!I21</f>
        <v>-1.7466997218221003</v>
      </c>
      <c r="AD21" s="5">
        <f>WB_correlations!J21</f>
        <v>-0.15449706794649792</v>
      </c>
      <c r="AE21" s="57">
        <f>WB_correlations!K21</f>
        <v>10.678330418464306</v>
      </c>
      <c r="AG21" s="62">
        <f t="shared" si="1"/>
        <v>-1.1102230246251565E-15</v>
      </c>
      <c r="AH21" s="62">
        <f t="shared" si="2"/>
        <v>-1.0547118733938987E-15</v>
      </c>
      <c r="AI21" s="62">
        <f t="shared" si="3"/>
        <v>-7.080586117425014E-11</v>
      </c>
      <c r="AJ21" s="62">
        <f t="shared" si="4"/>
        <v>0</v>
      </c>
      <c r="AK21" s="62">
        <f t="shared" si="5"/>
        <v>0</v>
      </c>
      <c r="AL21" s="62">
        <f t="shared" si="6"/>
        <v>-2.5229457412123679E-10</v>
      </c>
      <c r="AM21" s="62">
        <f t="shared" si="7"/>
        <v>4.666755870630368E-10</v>
      </c>
    </row>
    <row r="22" spans="1:39" x14ac:dyDescent="0.3">
      <c r="A22" s="5" t="s">
        <v>52</v>
      </c>
      <c r="B22" s="5">
        <v>24818</v>
      </c>
      <c r="C22" s="5">
        <v>21343.48</v>
      </c>
      <c r="D22" s="5">
        <v>3836.355774657236</v>
      </c>
      <c r="E22" s="5">
        <v>1.7555693898966991</v>
      </c>
      <c r="F22" s="5">
        <v>-0.93916900000000003</v>
      </c>
      <c r="G22" s="5">
        <v>-0.83581300000000003</v>
      </c>
      <c r="H22" s="5">
        <v>-8.6890662453252707E-2</v>
      </c>
      <c r="I22" s="5">
        <v>-0.5349654678447443</v>
      </c>
      <c r="J22" s="5">
        <v>-0.47609226089843182</v>
      </c>
      <c r="K22" s="5">
        <v>-4.9494291113360948E-2</v>
      </c>
      <c r="L22" s="5">
        <v>-1.07276132193896</v>
      </c>
      <c r="M22" s="5">
        <v>-0.95470342267873798</v>
      </c>
      <c r="N22" s="5">
        <v>-9.9250445785053917E-2</v>
      </c>
      <c r="O22" s="5">
        <v>41070.861152974001</v>
      </c>
      <c r="P22" s="5">
        <v>36.299999999999997</v>
      </c>
      <c r="Q22" s="5">
        <v>19.183</v>
      </c>
      <c r="R22" s="5">
        <v>4.5516099929809597</v>
      </c>
      <c r="S22" s="5">
        <v>75.071479797363295</v>
      </c>
      <c r="T22" s="5">
        <v>68696</v>
      </c>
      <c r="U22" s="5">
        <v>10.623054174662951</v>
      </c>
      <c r="X22" s="56" t="str">
        <f>WB_correlations!D22</f>
        <v>Portugal</v>
      </c>
      <c r="Y22" s="5">
        <f>WB_correlations!E22</f>
        <v>-0.53496546784474375</v>
      </c>
      <c r="Z22" s="5">
        <f>WB_correlations!F22</f>
        <v>-0.47609226089843126</v>
      </c>
      <c r="AA22" s="5">
        <f>WB_correlations!G22</f>
        <v>-4.9494290855181006E-2</v>
      </c>
      <c r="AB22" s="5">
        <f>WB_correlations!H22</f>
        <v>-1.0727613219389596</v>
      </c>
      <c r="AC22" s="5">
        <f>WB_correlations!I22</f>
        <v>-0.95470342267873798</v>
      </c>
      <c r="AD22" s="5">
        <f>WB_correlations!J22</f>
        <v>-9.9250445267328152E-2</v>
      </c>
      <c r="AE22" s="57">
        <f>WB_correlations!K22</f>
        <v>10.623054175807942</v>
      </c>
      <c r="AG22" s="62">
        <f t="shared" si="1"/>
        <v>0</v>
      </c>
      <c r="AH22" s="62">
        <f t="shared" si="2"/>
        <v>-5.5511151231257827E-16</v>
      </c>
      <c r="AI22" s="62">
        <f t="shared" si="3"/>
        <v>-2.5817994270260769E-10</v>
      </c>
      <c r="AJ22" s="62">
        <f t="shared" si="4"/>
        <v>0</v>
      </c>
      <c r="AK22" s="62">
        <f t="shared" si="5"/>
        <v>0</v>
      </c>
      <c r="AL22" s="62">
        <f t="shared" si="6"/>
        <v>-5.1772576503683609E-10</v>
      </c>
      <c r="AM22" s="62">
        <f t="shared" si="7"/>
        <v>1.1449916570427376E-9</v>
      </c>
    </row>
    <row r="23" spans="1:39" x14ac:dyDescent="0.3">
      <c r="A23" s="5" t="s">
        <v>53</v>
      </c>
      <c r="B23" s="5">
        <v>21108</v>
      </c>
      <c r="C23" s="5">
        <v>18152.88</v>
      </c>
      <c r="D23" s="5">
        <v>907.66157078317599</v>
      </c>
      <c r="E23" s="5">
        <v>3.1969759781380058</v>
      </c>
      <c r="F23" s="5">
        <v>-1.711433</v>
      </c>
      <c r="G23" s="5">
        <v>-1.601542</v>
      </c>
      <c r="H23" s="5">
        <v>-0.36301851730712598</v>
      </c>
      <c r="I23" s="5">
        <v>-0.53532870178048031</v>
      </c>
      <c r="J23" s="5">
        <v>-0.50095528116316212</v>
      </c>
      <c r="K23" s="5">
        <v>-0.11355059274438351</v>
      </c>
      <c r="L23" s="5">
        <v>-1.9548762017165811</v>
      </c>
      <c r="M23" s="5">
        <v>-1.8293537297981139</v>
      </c>
      <c r="N23" s="5">
        <v>-0.41465617425054868</v>
      </c>
      <c r="O23" s="5">
        <v>39256.988883385202</v>
      </c>
      <c r="P23" s="5">
        <v>32.299999999999997</v>
      </c>
      <c r="Q23" s="5">
        <v>22.873999999999999</v>
      </c>
      <c r="R23" s="5">
        <v>3.2788200378418</v>
      </c>
      <c r="S23" s="5">
        <v>58.239040374755902</v>
      </c>
      <c r="T23" s="5">
        <v>89076</v>
      </c>
      <c r="U23" s="5">
        <v>10.57788476808282</v>
      </c>
      <c r="X23" s="56" t="str">
        <f>WB_correlations!D23</f>
        <v>Romania</v>
      </c>
      <c r="Y23" s="5">
        <f>WB_correlations!E23</f>
        <v>-0.53532870178047942</v>
      </c>
      <c r="Z23" s="5">
        <f>WB_correlations!F23</f>
        <v>-0.50095528116316124</v>
      </c>
      <c r="AA23" s="5">
        <f>WB_correlations!G23</f>
        <v>-0.1135505926483157</v>
      </c>
      <c r="AB23" s="5">
        <f>WB_correlations!H23</f>
        <v>-1.9548762017165808</v>
      </c>
      <c r="AC23" s="5">
        <f>WB_correlations!I23</f>
        <v>-1.8293537297981144</v>
      </c>
      <c r="AD23" s="5">
        <f>WB_correlations!J23</f>
        <v>-0.41465617389973547</v>
      </c>
      <c r="AE23" s="57">
        <f>WB_correlations!K23</f>
        <v>10.577884768506047</v>
      </c>
      <c r="AG23" s="62">
        <f t="shared" si="1"/>
        <v>-8.8817841970012523E-16</v>
      </c>
      <c r="AH23" s="62">
        <f t="shared" si="2"/>
        <v>-8.8817841970012523E-16</v>
      </c>
      <c r="AI23" s="62">
        <f t="shared" si="3"/>
        <v>-9.6067806487631913E-11</v>
      </c>
      <c r="AJ23" s="62">
        <f t="shared" si="4"/>
        <v>0</v>
      </c>
      <c r="AK23" s="62">
        <f t="shared" si="5"/>
        <v>0</v>
      </c>
      <c r="AL23" s="62">
        <f t="shared" si="6"/>
        <v>-3.5081321181351655E-10</v>
      </c>
      <c r="AM23" s="62">
        <f t="shared" si="7"/>
        <v>4.2322767512814607E-10</v>
      </c>
    </row>
    <row r="24" spans="1:39" x14ac:dyDescent="0.3">
      <c r="A24" s="5" t="s">
        <v>54</v>
      </c>
      <c r="B24" s="5">
        <v>35133</v>
      </c>
      <c r="C24" s="5">
        <v>30214.38</v>
      </c>
      <c r="D24" s="5">
        <v>7098.4662411320114</v>
      </c>
      <c r="E24" s="5">
        <v>1.1402135505429309</v>
      </c>
      <c r="F24" s="5">
        <v>-1.2795540000000001</v>
      </c>
      <c r="G24" s="5">
        <v>-1.1794230000000001</v>
      </c>
      <c r="H24" s="5">
        <v>-3.1075330595545201</v>
      </c>
      <c r="I24" s="5">
        <v>-1.122205572272597</v>
      </c>
      <c r="J24" s="5">
        <v>-1.034387812211492</v>
      </c>
      <c r="K24" s="5">
        <v>-2.7253956577474612</v>
      </c>
      <c r="L24" s="5">
        <v>-1.4615644687295719</v>
      </c>
      <c r="M24" s="5">
        <v>-1.3471903103756759</v>
      </c>
      <c r="N24" s="5">
        <v>-3.5495648524778041</v>
      </c>
      <c r="O24" s="5">
        <v>47050.067644164199</v>
      </c>
      <c r="P24" s="5">
        <v>24.3</v>
      </c>
      <c r="Q24" s="5">
        <v>10.14</v>
      </c>
      <c r="R24" s="5">
        <v>5.2806501388549796</v>
      </c>
      <c r="S24" s="5">
        <v>82.392257690429702</v>
      </c>
      <c r="T24" s="5">
        <v>9014</v>
      </c>
      <c r="U24" s="5">
        <v>10.758967582720549</v>
      </c>
      <c r="X24" s="56" t="str">
        <f>WB_correlations!D24</f>
        <v>Slovenia</v>
      </c>
      <c r="Y24" s="5">
        <f>WB_correlations!E24</f>
        <v>-1.122205572272597</v>
      </c>
      <c r="Z24" s="5">
        <f>WB_correlations!F24</f>
        <v>-1.0343878122114918</v>
      </c>
      <c r="AA24" s="5">
        <f>WB_correlations!G24</f>
        <v>-2.7253956581381598</v>
      </c>
      <c r="AB24" s="5">
        <f>WB_correlations!H24</f>
        <v>-1.4615644687295721</v>
      </c>
      <c r="AC24" s="5">
        <f>WB_correlations!I24</f>
        <v>-1.3471903103756764</v>
      </c>
      <c r="AD24" s="5">
        <f>WB_correlations!J24</f>
        <v>-3.5495648529866513</v>
      </c>
      <c r="AE24" s="57">
        <f>WB_correlations!K24</f>
        <v>10.758967581781889</v>
      </c>
      <c r="AG24" s="62">
        <f t="shared" si="1"/>
        <v>0</v>
      </c>
      <c r="AH24" s="62">
        <f t="shared" si="2"/>
        <v>0</v>
      </c>
      <c r="AI24" s="62">
        <f t="shared" si="3"/>
        <v>3.9069858459583884E-10</v>
      </c>
      <c r="AJ24" s="62">
        <f t="shared" si="4"/>
        <v>0</v>
      </c>
      <c r="AK24" s="62">
        <f t="shared" si="5"/>
        <v>0</v>
      </c>
      <c r="AL24" s="62">
        <f t="shared" si="6"/>
        <v>5.0884718660881845E-10</v>
      </c>
      <c r="AM24" s="62">
        <f t="shared" si="7"/>
        <v>-9.3866070471904095E-10</v>
      </c>
    </row>
    <row r="25" spans="1:39" x14ac:dyDescent="0.3">
      <c r="A25" s="5" t="s">
        <v>55</v>
      </c>
      <c r="B25" s="5">
        <v>20287</v>
      </c>
      <c r="C25" s="5">
        <v>17446.82</v>
      </c>
      <c r="D25" s="5">
        <v>527.15204792889438</v>
      </c>
      <c r="E25" s="5">
        <v>3.7403585449376369</v>
      </c>
      <c r="F25" s="5">
        <v>-1.5163260000000001</v>
      </c>
      <c r="G25" s="5">
        <v>-1.3976310000000001</v>
      </c>
      <c r="H25" s="5">
        <v>-1.5699388640032701</v>
      </c>
      <c r="I25" s="5">
        <v>-0.40539589501446632</v>
      </c>
      <c r="J25" s="5">
        <v>-0.37366230622238461</v>
      </c>
      <c r="K25" s="5">
        <v>-0.41972951125984792</v>
      </c>
      <c r="L25" s="5">
        <v>-1.732016159232699</v>
      </c>
      <c r="M25" s="5">
        <v>-1.596437360201274</v>
      </c>
      <c r="N25" s="5">
        <v>-1.793255198064988</v>
      </c>
      <c r="O25" s="5">
        <v>38664.907694985101</v>
      </c>
      <c r="P25" s="5">
        <v>24.1</v>
      </c>
      <c r="Q25" s="5">
        <v>19.923999999999999</v>
      </c>
      <c r="R25" s="5">
        <v>4.6568899154663104</v>
      </c>
      <c r="S25" s="5">
        <v>52.4959106445312</v>
      </c>
      <c r="T25" s="5">
        <v>92314</v>
      </c>
      <c r="U25" s="5">
        <v>10.56268768973872</v>
      </c>
      <c r="X25" s="56" t="str">
        <f>WB_correlations!D25</f>
        <v>Slovakia</v>
      </c>
      <c r="Y25" s="5">
        <f>WB_correlations!E25</f>
        <v>-0.40539589501446521</v>
      </c>
      <c r="Z25" s="5">
        <f>WB_correlations!F25</f>
        <v>-0.37366230622238361</v>
      </c>
      <c r="AA25" s="5">
        <f>WB_correlations!G25</f>
        <v>-0.41972951125897251</v>
      </c>
      <c r="AB25" s="5">
        <f>WB_correlations!H25</f>
        <v>-1.7320161592326992</v>
      </c>
      <c r="AC25" s="5">
        <f>WB_correlations!I25</f>
        <v>-1.5964373602012738</v>
      </c>
      <c r="AD25" s="5">
        <f>WB_correlations!J25</f>
        <v>-1.7932551980612526</v>
      </c>
      <c r="AE25" s="57">
        <f>WB_correlations!K25</f>
        <v>10.562687689868426</v>
      </c>
      <c r="AG25" s="62">
        <f t="shared" si="1"/>
        <v>-1.1102230246251565E-15</v>
      </c>
      <c r="AH25" s="62">
        <f t="shared" si="2"/>
        <v>-9.9920072216264089E-16</v>
      </c>
      <c r="AI25" s="62">
        <f t="shared" si="3"/>
        <v>-8.7541085491693593E-13</v>
      </c>
      <c r="AJ25" s="62">
        <f t="shared" si="4"/>
        <v>0</v>
      </c>
      <c r="AK25" s="62">
        <f t="shared" si="5"/>
        <v>0</v>
      </c>
      <c r="AL25" s="62">
        <f t="shared" si="6"/>
        <v>-3.7354563886538017E-12</v>
      </c>
      <c r="AM25" s="62">
        <f t="shared" si="7"/>
        <v>1.2970602369932749E-10</v>
      </c>
    </row>
    <row r="26" spans="1:39" x14ac:dyDescent="0.3">
      <c r="A26" s="5" t="s">
        <v>56</v>
      </c>
      <c r="B26" s="5">
        <v>49428</v>
      </c>
      <c r="C26" s="5">
        <v>42508.08</v>
      </c>
      <c r="D26" s="5">
        <v>8323.7499593169778</v>
      </c>
      <c r="E26" s="5">
        <v>0.9809794193231216</v>
      </c>
      <c r="F26" s="5">
        <v>-1.7563470000000001</v>
      </c>
      <c r="G26" s="5">
        <v>-1.6201289999999999</v>
      </c>
      <c r="H26" s="5">
        <v>-1.8170331582803301</v>
      </c>
      <c r="I26" s="5">
        <v>-1.790401475712798</v>
      </c>
      <c r="J26" s="5">
        <v>-1.6515422934335291</v>
      </c>
      <c r="K26" s="5">
        <v>-1.852264300849541</v>
      </c>
      <c r="L26" s="5">
        <v>-2.0061790045279668</v>
      </c>
      <c r="M26" s="5">
        <v>-1.850584642116216</v>
      </c>
      <c r="N26" s="5">
        <v>-2.075497480095414</v>
      </c>
      <c r="O26" s="5">
        <v>57068.3056478074</v>
      </c>
      <c r="P26" s="5">
        <v>27.9</v>
      </c>
      <c r="Q26" s="5">
        <v>14.138</v>
      </c>
      <c r="R26" s="5">
        <v>6.3757801055908203</v>
      </c>
      <c r="S26" s="5">
        <v>104.944221496582</v>
      </c>
      <c r="T26" s="5">
        <v>60353</v>
      </c>
      <c r="U26" s="5">
        <v>10.95200417407316</v>
      </c>
      <c r="X26" s="56" t="str">
        <f>WB_correlations!D26</f>
        <v>Finland</v>
      </c>
      <c r="Y26" s="5">
        <f>WB_correlations!E26</f>
        <v>-1.7904014757127975</v>
      </c>
      <c r="Z26" s="5">
        <f>WB_correlations!F26</f>
        <v>-1.6515422934335291</v>
      </c>
      <c r="AA26" s="5">
        <f>WB_correlations!G26</f>
        <v>-1.8522643005637751</v>
      </c>
      <c r="AB26" s="5">
        <f>WB_correlations!H26</f>
        <v>-2.0061790045279668</v>
      </c>
      <c r="AC26" s="5">
        <f>WB_correlations!I26</f>
        <v>-1.8505846421162162</v>
      </c>
      <c r="AD26" s="5">
        <f>WB_correlations!J26</f>
        <v>-2.0754974797752084</v>
      </c>
      <c r="AE26" s="57">
        <f>WB_correlations!K26</f>
        <v>10.952004173235437</v>
      </c>
      <c r="AG26" s="62">
        <f t="shared" si="1"/>
        <v>0</v>
      </c>
      <c r="AH26" s="62">
        <f t="shared" si="2"/>
        <v>0</v>
      </c>
      <c r="AI26" s="62">
        <f t="shared" si="3"/>
        <v>-2.8576585542339217E-10</v>
      </c>
      <c r="AJ26" s="62">
        <f t="shared" si="4"/>
        <v>0</v>
      </c>
      <c r="AK26" s="62">
        <f t="shared" si="5"/>
        <v>0</v>
      </c>
      <c r="AL26" s="62">
        <f t="shared" si="6"/>
        <v>-3.202056397810793E-10</v>
      </c>
      <c r="AM26" s="62">
        <f t="shared" si="7"/>
        <v>-8.3772278003380052E-10</v>
      </c>
    </row>
    <row r="27" spans="1:39" ht="15" thickBot="1" x14ac:dyDescent="0.35">
      <c r="A27" s="5" t="s">
        <v>57</v>
      </c>
      <c r="B27" s="5">
        <v>46525</v>
      </c>
      <c r="C27" s="5">
        <v>40011.5</v>
      </c>
      <c r="D27" s="5">
        <v>8202.1972584242012</v>
      </c>
      <c r="E27" s="5">
        <v>0.99569021215803666</v>
      </c>
      <c r="F27" s="5">
        <v>-0.96684899999999996</v>
      </c>
      <c r="G27" s="5">
        <v>-0.92725800000000003</v>
      </c>
      <c r="H27" s="5">
        <v>-0.62943313742285301</v>
      </c>
      <c r="I27" s="5">
        <v>-0.97103395031319339</v>
      </c>
      <c r="J27" s="5">
        <v>-0.93127158294574552</v>
      </c>
      <c r="K27" s="5">
        <v>-0.63215760257262521</v>
      </c>
      <c r="L27" s="5">
        <v>-1.1043786702450371</v>
      </c>
      <c r="M27" s="5">
        <v>-1.059156038858263</v>
      </c>
      <c r="N27" s="5">
        <v>-0.71896700654932888</v>
      </c>
      <c r="O27" s="5">
        <v>63088.423667873401</v>
      </c>
      <c r="P27" s="5">
        <v>31.6</v>
      </c>
      <c r="Q27" s="5">
        <v>21.597000000000001</v>
      </c>
      <c r="R27" s="5">
        <v>7.3190999031066903</v>
      </c>
      <c r="S27" s="5">
        <v>83.897613525390597</v>
      </c>
      <c r="T27" s="5">
        <v>58955</v>
      </c>
      <c r="U27" s="5">
        <v>11.052292571601351</v>
      </c>
      <c r="X27" s="58" t="str">
        <f>WB_correlations!D27</f>
        <v>Sweden</v>
      </c>
      <c r="Y27" s="59">
        <f>WB_correlations!E27</f>
        <v>-0.97103395031319339</v>
      </c>
      <c r="Z27" s="59">
        <f>WB_correlations!F27</f>
        <v>-0.93127158294574552</v>
      </c>
      <c r="AA27" s="59">
        <f>WB_correlations!G27</f>
        <v>-0.63215760214794192</v>
      </c>
      <c r="AB27" s="59">
        <f>WB_correlations!H27</f>
        <v>-1.1043786702450369</v>
      </c>
      <c r="AC27" s="59">
        <f>WB_correlations!I27</f>
        <v>-1.0591560388582628</v>
      </c>
      <c r="AD27" s="59">
        <f>WB_correlations!J27</f>
        <v>-0.71896700606632702</v>
      </c>
      <c r="AE27" s="60">
        <f>WB_correlations!K27</f>
        <v>11.052292572110581</v>
      </c>
      <c r="AG27" s="62">
        <f t="shared" si="1"/>
        <v>0</v>
      </c>
      <c r="AH27" s="62">
        <f t="shared" si="2"/>
        <v>0</v>
      </c>
      <c r="AI27" s="62">
        <f t="shared" si="3"/>
        <v>-4.2468328853573212E-10</v>
      </c>
      <c r="AJ27" s="62">
        <f t="shared" si="4"/>
        <v>0</v>
      </c>
      <c r="AK27" s="62">
        <f t="shared" si="5"/>
        <v>0</v>
      </c>
      <c r="AL27" s="62">
        <f t="shared" si="6"/>
        <v>-4.8300186072935958E-10</v>
      </c>
      <c r="AM27" s="62">
        <f t="shared" si="7"/>
        <v>5.092299915077092E-10</v>
      </c>
    </row>
    <row r="28" spans="1:39" x14ac:dyDescent="0.3">
      <c r="AM28" s="49"/>
    </row>
    <row r="30" spans="1:39" ht="43.2" x14ac:dyDescent="0.3">
      <c r="A30" s="52" t="s">
        <v>27</v>
      </c>
      <c r="B30" s="52" t="s">
        <v>357</v>
      </c>
      <c r="C30" s="52" t="s">
        <v>365</v>
      </c>
      <c r="F30" t="s">
        <v>332</v>
      </c>
    </row>
    <row r="31" spans="1:39" ht="15" thickBot="1" x14ac:dyDescent="0.35">
      <c r="A31" s="5" t="s">
        <v>32</v>
      </c>
      <c r="B31" s="5">
        <v>-0.63388504101012055</v>
      </c>
      <c r="C31" s="5">
        <v>6.2761101722717303</v>
      </c>
    </row>
    <row r="32" spans="1:39" x14ac:dyDescent="0.3">
      <c r="A32" s="5" t="s">
        <v>33</v>
      </c>
      <c r="B32" s="5">
        <v>-0.18856662106449959</v>
      </c>
      <c r="C32" s="5">
        <v>4.5010900497436497</v>
      </c>
      <c r="F32" s="20" t="s">
        <v>333</v>
      </c>
      <c r="G32" s="20"/>
    </row>
    <row r="33" spans="1:14" x14ac:dyDescent="0.3">
      <c r="A33" s="5" t="s">
        <v>34</v>
      </c>
      <c r="B33" s="5">
        <v>-0.57017626294183354</v>
      </c>
      <c r="C33" s="5">
        <v>4.3029198646545401</v>
      </c>
      <c r="F33" s="17" t="s">
        <v>334</v>
      </c>
      <c r="G33" s="17">
        <v>0.53439232491970279</v>
      </c>
    </row>
    <row r="34" spans="1:14" x14ac:dyDescent="0.3">
      <c r="A34" s="5" t="s">
        <v>35</v>
      </c>
      <c r="B34" s="5">
        <v>-1.1205085230931671</v>
      </c>
      <c r="C34" s="5">
        <v>6.3558602333068803</v>
      </c>
      <c r="F34" s="17" t="s">
        <v>335</v>
      </c>
      <c r="G34" s="17">
        <v>0.28557515693308522</v>
      </c>
    </row>
    <row r="35" spans="1:14" x14ac:dyDescent="0.3">
      <c r="A35" s="5" t="s">
        <v>36</v>
      </c>
      <c r="B35" s="5">
        <v>-0.70609267365304806</v>
      </c>
      <c r="C35" s="5">
        <v>5.2391600608825701</v>
      </c>
      <c r="F35" s="17" t="s">
        <v>336</v>
      </c>
      <c r="G35" s="17">
        <v>0.25310130043004364</v>
      </c>
    </row>
    <row r="36" spans="1:14" x14ac:dyDescent="0.3">
      <c r="A36" s="5" t="s">
        <v>37</v>
      </c>
      <c r="B36" s="5">
        <v>-0.94573664753723219</v>
      </c>
      <c r="C36" s="5">
        <v>5.2073397636413601</v>
      </c>
      <c r="F36" s="17" t="s">
        <v>337</v>
      </c>
      <c r="G36" s="17">
        <v>0.35132363895624935</v>
      </c>
    </row>
    <row r="37" spans="1:14" ht="15" thickBot="1" x14ac:dyDescent="0.35">
      <c r="A37" s="5" t="s">
        <v>39</v>
      </c>
      <c r="B37" s="5">
        <v>-0.1021454691363238</v>
      </c>
      <c r="C37" s="5">
        <v>3.3754799365997301</v>
      </c>
      <c r="F37" s="18" t="s">
        <v>338</v>
      </c>
      <c r="G37" s="18">
        <v>24</v>
      </c>
    </row>
    <row r="38" spans="1:14" x14ac:dyDescent="0.3">
      <c r="A38" s="5" t="s">
        <v>40</v>
      </c>
      <c r="B38" s="5">
        <v>-0.42916263777984398</v>
      </c>
      <c r="C38" s="5">
        <v>4.5855398178100604</v>
      </c>
    </row>
    <row r="39" spans="1:14" ht="15" thickBot="1" x14ac:dyDescent="0.35">
      <c r="A39" s="5" t="s">
        <v>41</v>
      </c>
      <c r="B39" s="5">
        <v>-0.58896453337097932</v>
      </c>
      <c r="C39" s="5">
        <v>5.3243498802185103</v>
      </c>
      <c r="F39" t="s">
        <v>339</v>
      </c>
    </row>
    <row r="40" spans="1:14" x14ac:dyDescent="0.3">
      <c r="A40" s="5" t="s">
        <v>43</v>
      </c>
      <c r="B40" s="5">
        <v>-0.77783219010851223</v>
      </c>
      <c r="C40" s="5">
        <v>4.0677599906921396</v>
      </c>
      <c r="F40" s="19"/>
      <c r="G40" s="19" t="s">
        <v>344</v>
      </c>
      <c r="H40" s="19" t="s">
        <v>345</v>
      </c>
      <c r="I40" s="19" t="s">
        <v>346</v>
      </c>
      <c r="J40" s="19" t="s">
        <v>26</v>
      </c>
      <c r="K40" s="19" t="s">
        <v>347</v>
      </c>
    </row>
    <row r="41" spans="1:14" x14ac:dyDescent="0.3">
      <c r="A41" s="5" t="s">
        <v>44</v>
      </c>
      <c r="B41" s="5">
        <v>-0.61298791098310434</v>
      </c>
      <c r="C41" s="5">
        <v>4.7421097755432102</v>
      </c>
      <c r="F41" s="17" t="s">
        <v>340</v>
      </c>
      <c r="G41" s="17">
        <v>1</v>
      </c>
      <c r="H41" s="17">
        <v>1.0854287028173024</v>
      </c>
      <c r="I41" s="17">
        <v>1.0854287028173024</v>
      </c>
      <c r="J41" s="17">
        <v>8.7940019352594465</v>
      </c>
      <c r="K41" s="17">
        <v>7.1431441989562167E-3</v>
      </c>
    </row>
    <row r="42" spans="1:14" x14ac:dyDescent="0.3">
      <c r="A42" s="5" t="s">
        <v>45</v>
      </c>
      <c r="B42" s="5">
        <v>-0.5757191638998489</v>
      </c>
      <c r="C42" s="5">
        <v>4.3196702003479004</v>
      </c>
      <c r="F42" s="17" t="s">
        <v>341</v>
      </c>
      <c r="G42" s="17">
        <v>22</v>
      </c>
      <c r="H42" s="17">
        <v>2.7154225843681425</v>
      </c>
      <c r="I42" s="17">
        <v>0.12342829928946103</v>
      </c>
      <c r="J42" s="17"/>
      <c r="K42" s="17"/>
    </row>
    <row r="43" spans="1:14" ht="15" thickBot="1" x14ac:dyDescent="0.35">
      <c r="A43" s="5" t="s">
        <v>46</v>
      </c>
      <c r="B43" s="5">
        <v>-1.560151501079664</v>
      </c>
      <c r="C43" s="5">
        <v>4.2528500556945801</v>
      </c>
      <c r="F43" s="18" t="s">
        <v>342</v>
      </c>
      <c r="G43" s="18">
        <v>23</v>
      </c>
      <c r="H43" s="18">
        <v>3.800851287185445</v>
      </c>
      <c r="I43" s="18"/>
      <c r="J43" s="18"/>
      <c r="K43" s="18"/>
    </row>
    <row r="44" spans="1:14" ht="15" thickBot="1" x14ac:dyDescent="0.35">
      <c r="A44" s="5" t="s">
        <v>47</v>
      </c>
      <c r="B44" s="5">
        <v>-0.53256139275791203</v>
      </c>
      <c r="C44" s="5">
        <v>3.7445199489593501</v>
      </c>
    </row>
    <row r="45" spans="1:14" x14ac:dyDescent="0.3">
      <c r="A45" s="5" t="s">
        <v>48</v>
      </c>
      <c r="B45" s="5">
        <v>-0.18071432402670409</v>
      </c>
      <c r="C45" s="5">
        <v>3.8011999130249001</v>
      </c>
      <c r="F45" s="19"/>
      <c r="G45" s="19" t="s">
        <v>348</v>
      </c>
      <c r="H45" s="19" t="s">
        <v>337</v>
      </c>
      <c r="I45" s="19" t="s">
        <v>349</v>
      </c>
      <c r="J45" s="19" t="s">
        <v>350</v>
      </c>
      <c r="K45" s="19" t="s">
        <v>351</v>
      </c>
      <c r="L45" s="19" t="s">
        <v>352</v>
      </c>
      <c r="M45" s="19" t="s">
        <v>353</v>
      </c>
      <c r="N45" s="19" t="s">
        <v>354</v>
      </c>
    </row>
    <row r="46" spans="1:14" x14ac:dyDescent="0.3">
      <c r="A46" s="5" t="s">
        <v>49</v>
      </c>
      <c r="B46" s="5">
        <v>-0.30390046509961371</v>
      </c>
      <c r="C46" s="5">
        <v>4.7125802040100098</v>
      </c>
      <c r="F46" s="17" t="s">
        <v>343</v>
      </c>
      <c r="G46" s="17">
        <v>0.37569776973476543</v>
      </c>
      <c r="H46" s="17">
        <v>0.36285434676970985</v>
      </c>
      <c r="I46" s="17">
        <v>1.0353955328891424</v>
      </c>
      <c r="J46" s="17">
        <v>0.31173195033784257</v>
      </c>
      <c r="K46" s="17">
        <v>-0.37681608760284402</v>
      </c>
      <c r="L46" s="17">
        <v>1.1282116270723748</v>
      </c>
      <c r="M46" s="17">
        <v>-0.37681608760284402</v>
      </c>
      <c r="N46" s="17">
        <v>1.1282116270723748</v>
      </c>
    </row>
    <row r="47" spans="1:14" ht="15" thickBot="1" x14ac:dyDescent="0.35">
      <c r="A47" s="5" t="s">
        <v>50</v>
      </c>
      <c r="B47" s="5">
        <v>-0.57542304259752064</v>
      </c>
      <c r="C47" s="5">
        <v>5.2774901390075701</v>
      </c>
      <c r="F47" s="18" t="s">
        <v>365</v>
      </c>
      <c r="G47" s="18">
        <v>-0.21849502097760867</v>
      </c>
      <c r="H47" s="18">
        <v>7.3679770828212643E-2</v>
      </c>
      <c r="I47" s="18">
        <v>-2.9654682489042838</v>
      </c>
      <c r="J47" s="18">
        <v>7.1431441989562444E-3</v>
      </c>
      <c r="K47" s="18">
        <v>-0.37129751334757954</v>
      </c>
      <c r="L47" s="18">
        <v>-6.5692528607637773E-2</v>
      </c>
      <c r="M47" s="18">
        <v>-0.37129751334757954</v>
      </c>
      <c r="N47" s="18">
        <v>-6.5692528607637773E-2</v>
      </c>
    </row>
    <row r="48" spans="1:14" x14ac:dyDescent="0.3">
      <c r="A48" s="5" t="s">
        <v>51</v>
      </c>
      <c r="B48" s="5">
        <v>-0.53479743588554929</v>
      </c>
      <c r="C48" s="5">
        <v>4.3137297630310103</v>
      </c>
    </row>
    <row r="49" spans="1:3" x14ac:dyDescent="0.3">
      <c r="A49" s="5" t="s">
        <v>52</v>
      </c>
      <c r="B49" s="5">
        <v>-0.5349654678447443</v>
      </c>
      <c r="C49" s="5">
        <v>4.5516099929809597</v>
      </c>
    </row>
    <row r="50" spans="1:3" x14ac:dyDescent="0.3">
      <c r="A50" s="5" t="s">
        <v>53</v>
      </c>
      <c r="B50" s="5">
        <v>-0.53532870178048031</v>
      </c>
      <c r="C50" s="5">
        <v>3.2788200378418</v>
      </c>
    </row>
    <row r="51" spans="1:3" x14ac:dyDescent="0.3">
      <c r="A51" s="5" t="s">
        <v>54</v>
      </c>
      <c r="B51" s="5">
        <v>-1.122205572272597</v>
      </c>
      <c r="C51" s="5">
        <v>5.2806501388549796</v>
      </c>
    </row>
    <row r="52" spans="1:3" x14ac:dyDescent="0.3">
      <c r="A52" s="5" t="s">
        <v>55</v>
      </c>
      <c r="B52" s="5">
        <v>-0.40539589501446632</v>
      </c>
      <c r="C52" s="5">
        <v>4.6568899154663104</v>
      </c>
    </row>
    <row r="53" spans="1:3" x14ac:dyDescent="0.3">
      <c r="A53" s="5" t="s">
        <v>56</v>
      </c>
      <c r="B53" s="5">
        <v>-1.790401475712798</v>
      </c>
      <c r="C53" s="5">
        <v>6.3757801055908203</v>
      </c>
    </row>
    <row r="54" spans="1:3" x14ac:dyDescent="0.3">
      <c r="A54" s="5" t="s">
        <v>57</v>
      </c>
      <c r="B54" s="5">
        <v>-0.97103395031319339</v>
      </c>
      <c r="C54" s="5">
        <v>7.3190999031066903</v>
      </c>
    </row>
  </sheetData>
  <mergeCells count="1">
    <mergeCell ref="AG2:AM2"/>
  </mergeCells>
  <conditionalFormatting sqref="AG3:AL27 AM3:AM28 AG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D6832-0553-46D6-AC5D-6B24777FBB70}">
  <dimension ref="A1:AG26"/>
  <sheetViews>
    <sheetView topLeftCell="I4" zoomScale="68" zoomScaleNormal="68" workbookViewId="0">
      <selection activeCell="T10" sqref="T10"/>
    </sheetView>
  </sheetViews>
  <sheetFormatPr defaultRowHeight="14.4" x14ac:dyDescent="0.3"/>
  <cols>
    <col min="2" max="2" width="9.21875" customWidth="1"/>
    <col min="3" max="3" width="14.77734375" customWidth="1"/>
    <col min="5" max="5" width="18.21875" customWidth="1"/>
    <col min="6" max="6" width="19.5546875" customWidth="1"/>
  </cols>
  <sheetData>
    <row r="1" spans="1:33" ht="28.8" x14ac:dyDescent="0.3">
      <c r="A1" s="67" t="str">
        <f>Elasticities!G2</f>
        <v>Country</v>
      </c>
      <c r="B1" s="67" t="str">
        <f>Elasticities!I2</f>
        <v>wage_gbp</v>
      </c>
      <c r="C1" s="67" t="str">
        <f>Elasticities!N2</f>
        <v xml:space="preserve"> Estimate_TWFE</v>
      </c>
      <c r="D1" s="67" t="str">
        <f>Elasticities!Q2</f>
        <v>k_i</v>
      </c>
      <c r="E1" s="67" t="str">
        <f>Elasticities!R2</f>
        <v>elasticity_TWFE_new</v>
      </c>
      <c r="F1" s="67" t="str">
        <f>Elasticities!U2</f>
        <v>elasticity_TWFE_old</v>
      </c>
      <c r="G1" s="68" t="s">
        <v>373</v>
      </c>
      <c r="H1" s="69" t="s">
        <v>374</v>
      </c>
      <c r="I1" s="69" t="s">
        <v>376</v>
      </c>
      <c r="J1" s="69" t="s">
        <v>375</v>
      </c>
      <c r="P1" s="36" t="s">
        <v>332</v>
      </c>
      <c r="Q1" s="37"/>
      <c r="R1" s="70" t="str">
        <f>F1</f>
        <v>elasticity_TWFE_old</v>
      </c>
      <c r="S1" s="37"/>
      <c r="T1" s="37"/>
      <c r="U1" s="38"/>
      <c r="V1" s="36" t="s">
        <v>332</v>
      </c>
      <c r="W1" s="37"/>
      <c r="X1" s="70" t="str">
        <f>E1</f>
        <v>elasticity_TWFE_new</v>
      </c>
      <c r="Y1" s="37"/>
      <c r="Z1" s="37"/>
      <c r="AA1" s="38"/>
      <c r="AB1" s="36" t="s">
        <v>332</v>
      </c>
      <c r="AC1" s="37"/>
      <c r="AD1" s="37" t="str">
        <f>J1</f>
        <v>eta_placebo</v>
      </c>
      <c r="AE1" s="37"/>
      <c r="AF1" s="37"/>
      <c r="AG1" s="38"/>
    </row>
    <row r="2" spans="1:33" ht="15" thickBot="1" x14ac:dyDescent="0.35">
      <c r="A2" s="68" t="str">
        <f>Elasticities!G3</f>
        <v>Belgium</v>
      </c>
      <c r="B2" s="68">
        <f>Elasticities!I3</f>
        <v>51283.519999999997</v>
      </c>
      <c r="C2" s="68">
        <f>Elasticities!N3</f>
        <v>-0.602657</v>
      </c>
      <c r="D2" s="68">
        <f>Elasticities!Q3</f>
        <v>0.95073548200418578</v>
      </c>
      <c r="E2" s="68">
        <f>Elasticities!R3</f>
        <v>-0.63388504101012055</v>
      </c>
      <c r="F2" s="68">
        <f>Elasticities!U3</f>
        <v>-0.68838209097166492</v>
      </c>
      <c r="G2" s="68">
        <f>VLOOKUP(A2,WB_correlations!$D$2:$K$27,8,FALSE)</f>
        <v>11.043909843484045</v>
      </c>
      <c r="H2" s="69">
        <f>LN(B2)</f>
        <v>10.845124731984455</v>
      </c>
      <c r="I2" s="69">
        <f>(H2-MIN($H$2:$H$26))/(MAX($H$2:$H$26)-MIN($H$2:$H$26))*(MAX($D$2:$D$26)-MIN($D$2:$D$26))+MIN($D$2:$D$26)</f>
        <v>8.2275725570318308</v>
      </c>
      <c r="J2" s="69">
        <f>C2/I2</f>
        <v>-7.3248457649264881E-2</v>
      </c>
      <c r="P2" s="39"/>
      <c r="Q2" s="40"/>
      <c r="R2" s="40"/>
      <c r="S2" s="40"/>
      <c r="T2" s="40"/>
      <c r="U2" s="41"/>
      <c r="V2" s="39"/>
      <c r="W2" s="40"/>
      <c r="X2" s="40"/>
      <c r="Y2" s="40"/>
      <c r="Z2" s="40"/>
      <c r="AA2" s="41"/>
      <c r="AB2" s="39"/>
      <c r="AC2" s="40"/>
      <c r="AD2" s="40"/>
      <c r="AE2" s="40"/>
      <c r="AF2" s="40"/>
      <c r="AG2" s="41"/>
    </row>
    <row r="3" spans="1:33" x14ac:dyDescent="0.3">
      <c r="A3" s="68" t="str">
        <f>Elasticities!G4</f>
        <v>Bulgaria</v>
      </c>
      <c r="B3" s="68">
        <f>Elasticities!I4</f>
        <v>13232.82</v>
      </c>
      <c r="C3" s="68">
        <f>Elasticities!N4</f>
        <v>-1.887146</v>
      </c>
      <c r="D3" s="68">
        <f>Elasticities!Q4</f>
        <v>10.00784756786037</v>
      </c>
      <c r="E3" s="68">
        <f>Elasticities!R4</f>
        <v>-0.18856662106449956</v>
      </c>
      <c r="F3" s="68">
        <f>Elasticities!U4</f>
        <v>-2.1555835399718473</v>
      </c>
      <c r="G3" s="68">
        <f>VLOOKUP(A3,WB_correlations!$D$2:$K$27,8,FALSE)</f>
        <v>10.386956173649853</v>
      </c>
      <c r="H3" s="69">
        <f t="shared" ref="H3:H26" si="0">LN(B3)</f>
        <v>9.490455386322795</v>
      </c>
      <c r="I3" s="69">
        <f t="shared" ref="I3:I26" si="1">(H3-MIN($H$2:$H$26))/(MAX($H$2:$H$26)-MIN($H$2:$H$26))*(MAX($D$2:$D$26)-MIN($D$2:$D$26))+MIN($D$2:$D$26)</f>
        <v>0.92551770876124451</v>
      </c>
      <c r="J3" s="69">
        <f t="shared" ref="J3:J26" si="2">C3/I3</f>
        <v>-2.0390166305146589</v>
      </c>
      <c r="P3" s="42" t="s">
        <v>333</v>
      </c>
      <c r="Q3" s="20"/>
      <c r="R3" s="40"/>
      <c r="S3" s="40"/>
      <c r="T3" s="40"/>
      <c r="U3" s="41"/>
      <c r="V3" s="42"/>
      <c r="W3" s="20"/>
      <c r="X3" s="40"/>
      <c r="Y3" s="40"/>
      <c r="Z3" s="40"/>
      <c r="AA3" s="41"/>
      <c r="AB3" s="42"/>
      <c r="AC3" s="20"/>
      <c r="AD3" s="40"/>
      <c r="AE3" s="40"/>
      <c r="AF3" s="40"/>
      <c r="AG3" s="41"/>
    </row>
    <row r="4" spans="1:33" x14ac:dyDescent="0.3">
      <c r="A4" s="68" t="str">
        <f>Elasticities!G5</f>
        <v>Czechia</v>
      </c>
      <c r="B4" s="68">
        <f>Elasticities!I5</f>
        <v>20638.28</v>
      </c>
      <c r="C4" s="68">
        <f>Elasticities!N5</f>
        <v>-1.1372009999999999</v>
      </c>
      <c r="D4" s="68">
        <f>Elasticities!Q5</f>
        <v>1.9944727164413951</v>
      </c>
      <c r="E4" s="68">
        <f>Elasticities!R5</f>
        <v>-0.57017626294183255</v>
      </c>
      <c r="F4" s="68">
        <f>Elasticities!U5</f>
        <v>-1.2989624317564854</v>
      </c>
      <c r="G4" s="68">
        <f>VLOOKUP(A4,WB_correlations!$D$2:$K$27,8,FALSE)</f>
        <v>10.787062134006746</v>
      </c>
      <c r="H4" s="69">
        <f t="shared" si="0"/>
        <v>9.9349028827897499</v>
      </c>
      <c r="I4" s="69">
        <f t="shared" si="1"/>
        <v>3.3212167084998954</v>
      </c>
      <c r="J4" s="69">
        <f t="shared" si="2"/>
        <v>-0.34240493765119084</v>
      </c>
      <c r="P4" s="43" t="s">
        <v>334</v>
      </c>
      <c r="Q4" s="17">
        <v>0.558979979367901</v>
      </c>
      <c r="R4" s="40"/>
      <c r="S4" s="40"/>
      <c r="T4" s="40"/>
      <c r="U4" s="41"/>
      <c r="V4" s="43" t="s">
        <v>334</v>
      </c>
      <c r="W4" s="17">
        <v>0.25187648383918387</v>
      </c>
      <c r="X4" s="40"/>
      <c r="Y4" s="40"/>
      <c r="Z4" s="40"/>
      <c r="AA4" s="41"/>
      <c r="AB4" s="43" t="s">
        <v>334</v>
      </c>
      <c r="AC4" s="17">
        <v>0.62545491490977601</v>
      </c>
      <c r="AD4" s="40"/>
      <c r="AE4" s="40"/>
      <c r="AF4" s="40"/>
      <c r="AG4" s="41"/>
    </row>
    <row r="5" spans="1:33" x14ac:dyDescent="0.3">
      <c r="A5" s="68" t="str">
        <f>Elasticities!G6</f>
        <v>Denmark</v>
      </c>
      <c r="B5" s="68">
        <f>Elasticities!I6</f>
        <v>61545.9</v>
      </c>
      <c r="C5" s="68">
        <f>Elasticities!N6</f>
        <v>-1.046503</v>
      </c>
      <c r="D5" s="68">
        <f>Elasticities!Q6</f>
        <v>0.93395362768961832</v>
      </c>
      <c r="E5" s="68">
        <f>Elasticities!R6</f>
        <v>-1.1205085230931673</v>
      </c>
      <c r="F5" s="68">
        <f>Elasticities!U6</f>
        <v>-1.1953630727729376</v>
      </c>
      <c r="G5" s="68">
        <f>VLOOKUP(A5,WB_correlations!$D$2:$K$27,8,FALSE)</f>
        <v>11.14872685913411</v>
      </c>
      <c r="H5" s="69">
        <f t="shared" si="0"/>
        <v>11.027538516883734</v>
      </c>
      <c r="I5" s="69">
        <f t="shared" si="1"/>
        <v>9.2108349794678954</v>
      </c>
      <c r="J5" s="69">
        <f t="shared" si="2"/>
        <v>-0.11361651819110713</v>
      </c>
      <c r="P5" s="43" t="s">
        <v>335</v>
      </c>
      <c r="Q5" s="17">
        <v>0.31245861733413899</v>
      </c>
      <c r="R5" s="40"/>
      <c r="S5" s="40"/>
      <c r="T5" s="40"/>
      <c r="U5" s="41"/>
      <c r="V5" s="43" t="s">
        <v>335</v>
      </c>
      <c r="W5" s="17">
        <v>6.3441763111190652E-2</v>
      </c>
      <c r="X5" s="40"/>
      <c r="Y5" s="40"/>
      <c r="Z5" s="40"/>
      <c r="AA5" s="41"/>
      <c r="AB5" s="43" t="s">
        <v>335</v>
      </c>
      <c r="AC5" s="17">
        <v>0.39119385058479511</v>
      </c>
      <c r="AD5" s="40"/>
      <c r="AE5" s="40"/>
      <c r="AF5" s="40"/>
      <c r="AG5" s="41"/>
    </row>
    <row r="6" spans="1:33" x14ac:dyDescent="0.3">
      <c r="A6" s="68" t="str">
        <f>Elasticities!G7</f>
        <v>Germany</v>
      </c>
      <c r="B6" s="68">
        <f>Elasticities!I7</f>
        <v>46260.26</v>
      </c>
      <c r="C6" s="68">
        <f>Elasticities!N7</f>
        <v>-0.68149999999999999</v>
      </c>
      <c r="D6" s="68">
        <f>Elasticities!Q7</f>
        <v>0.96517075651583362</v>
      </c>
      <c r="E6" s="68">
        <f>Elasticities!R7</f>
        <v>-0.70609267365304806</v>
      </c>
      <c r="F6" s="68">
        <f>Elasticities!U7</f>
        <v>-0.77844013260808331</v>
      </c>
      <c r="G6" s="68">
        <f>VLOOKUP(A6,WB_correlations!$D$2:$K$27,8,FALSE)</f>
        <v>11.061564383329532</v>
      </c>
      <c r="H6" s="69">
        <f t="shared" si="0"/>
        <v>10.742038556176034</v>
      </c>
      <c r="I6" s="69">
        <f t="shared" si="1"/>
        <v>7.6719086141942547</v>
      </c>
      <c r="J6" s="69">
        <f t="shared" si="2"/>
        <v>-8.8830568020468376E-2</v>
      </c>
      <c r="P6" s="43" t="s">
        <v>336</v>
      </c>
      <c r="Q6" s="17">
        <v>0.28256551373997107</v>
      </c>
      <c r="R6" s="40"/>
      <c r="S6" s="40"/>
      <c r="T6" s="40"/>
      <c r="U6" s="41"/>
      <c r="V6" s="43" t="s">
        <v>336</v>
      </c>
      <c r="W6" s="17">
        <v>2.2721839768198943E-2</v>
      </c>
      <c r="X6" s="40"/>
      <c r="Y6" s="40"/>
      <c r="Z6" s="40"/>
      <c r="AA6" s="41"/>
      <c r="AB6" s="43" t="s">
        <v>336</v>
      </c>
      <c r="AC6" s="17">
        <v>0.36472401800152532</v>
      </c>
      <c r="AD6" s="40"/>
      <c r="AE6" s="40"/>
      <c r="AF6" s="40"/>
      <c r="AG6" s="41"/>
    </row>
    <row r="7" spans="1:33" ht="15.6" customHeight="1" x14ac:dyDescent="0.3">
      <c r="A7" s="68" t="str">
        <f>Elasticities!G8</f>
        <v>Estonia</v>
      </c>
      <c r="B7" s="68">
        <f>Elasticities!I8</f>
        <v>22829.56</v>
      </c>
      <c r="C7" s="68">
        <f>Elasticities!N8</f>
        <v>-1.4474450000000001</v>
      </c>
      <c r="D7" s="68">
        <f>Elasticities!Q8</f>
        <v>1.530494777557001</v>
      </c>
      <c r="E7" s="68">
        <f>Elasticities!R8</f>
        <v>-0.94573664753723219</v>
      </c>
      <c r="F7" s="68">
        <f>Elasticities!U8</f>
        <v>-1.6533371646997905</v>
      </c>
      <c r="G7" s="68">
        <f>VLOOKUP(A7,WB_correlations!$D$2:$K$27,8,FALSE)</f>
        <v>10.671942389626349</v>
      </c>
      <c r="H7" s="69">
        <f t="shared" si="0"/>
        <v>10.035811466451564</v>
      </c>
      <c r="I7" s="69">
        <f t="shared" si="1"/>
        <v>3.8651428074550434</v>
      </c>
      <c r="J7" s="69">
        <f t="shared" si="2"/>
        <v>-0.37448680995904854</v>
      </c>
      <c r="P7" s="43" t="s">
        <v>337</v>
      </c>
      <c r="Q7" s="17">
        <v>0.48750556580469356</v>
      </c>
      <c r="R7" s="40"/>
      <c r="S7" s="40"/>
      <c r="T7" s="40"/>
      <c r="U7" s="41"/>
      <c r="V7" s="43" t="s">
        <v>337</v>
      </c>
      <c r="W7" s="17">
        <v>0.39374613839423134</v>
      </c>
      <c r="X7" s="40"/>
      <c r="Y7" s="40"/>
      <c r="Z7" s="40"/>
      <c r="AA7" s="41"/>
      <c r="AB7" s="43" t="s">
        <v>337</v>
      </c>
      <c r="AC7" s="17">
        <v>0.32300160527600802</v>
      </c>
      <c r="AD7" s="40"/>
      <c r="AE7" s="40"/>
      <c r="AF7" s="40"/>
      <c r="AG7" s="41"/>
    </row>
    <row r="8" spans="1:33" ht="15" thickBot="1" x14ac:dyDescent="0.35">
      <c r="A8" s="68" t="str">
        <f>Elasticities!G10</f>
        <v>Greece</v>
      </c>
      <c r="B8" s="68">
        <f>Elasticities!I10</f>
        <v>15440.44</v>
      </c>
      <c r="C8" s="68">
        <f>Elasticities!N10</f>
        <v>-0.86575000000000002</v>
      </c>
      <c r="D8" s="68">
        <f>Elasticities!Q10</f>
        <v>8.4756573866686491</v>
      </c>
      <c r="E8" s="68">
        <f>Elasticities!R10</f>
        <v>-0.10214546913632176</v>
      </c>
      <c r="F8" s="68">
        <f>Elasticities!U10</f>
        <v>-0.98889881849662231</v>
      </c>
      <c r="G8" s="68">
        <f>VLOOKUP(A8,WB_correlations!$D$2:$K$27,8,FALSE)</f>
        <v>10.486578325643295</v>
      </c>
      <c r="H8" s="69">
        <f t="shared" si="0"/>
        <v>9.6447453205820501</v>
      </c>
      <c r="I8" s="69">
        <f t="shared" si="1"/>
        <v>1.757184540305929</v>
      </c>
      <c r="J8" s="69">
        <f t="shared" si="2"/>
        <v>-0.49269156434148426</v>
      </c>
      <c r="P8" s="44" t="s">
        <v>338</v>
      </c>
      <c r="Q8" s="18">
        <v>25</v>
      </c>
      <c r="R8" s="40"/>
      <c r="S8" s="40"/>
      <c r="T8" s="40"/>
      <c r="U8" s="41"/>
      <c r="V8" s="44" t="s">
        <v>338</v>
      </c>
      <c r="W8" s="18">
        <v>25</v>
      </c>
      <c r="X8" s="40"/>
      <c r="Y8" s="40"/>
      <c r="Z8" s="40"/>
      <c r="AA8" s="41"/>
      <c r="AB8" s="44" t="s">
        <v>338</v>
      </c>
      <c r="AC8" s="18">
        <v>25</v>
      </c>
      <c r="AD8" s="40"/>
      <c r="AE8" s="40"/>
      <c r="AF8" s="40"/>
      <c r="AG8" s="41"/>
    </row>
    <row r="9" spans="1:33" x14ac:dyDescent="0.3">
      <c r="A9" s="68" t="str">
        <f>Elasticities!G11</f>
        <v>Spain</v>
      </c>
      <c r="B9" s="68">
        <f>Elasticities!I11</f>
        <v>28982</v>
      </c>
      <c r="C9" s="68">
        <f>Elasticities!N11</f>
        <v>-0.50770099999999996</v>
      </c>
      <c r="D9" s="68">
        <f>Elasticities!Q11</f>
        <v>1.183003727040294</v>
      </c>
      <c r="E9" s="68">
        <f>Elasticities!R11</f>
        <v>-0.4291626377798447</v>
      </c>
      <c r="F9" s="68">
        <f>Elasticities!U11</f>
        <v>-0.57991905174652447</v>
      </c>
      <c r="G9" s="68">
        <f>VLOOKUP(A9,WB_correlations!$D$2:$K$27,8,FALSE)</f>
        <v>10.752216124681279</v>
      </c>
      <c r="H9" s="69">
        <f t="shared" si="0"/>
        <v>10.274430226605869</v>
      </c>
      <c r="I9" s="69">
        <f t="shared" si="1"/>
        <v>5.1513661061907303</v>
      </c>
      <c r="J9" s="69">
        <f t="shared" si="2"/>
        <v>-9.8556575000534857E-2</v>
      </c>
      <c r="P9" s="39"/>
      <c r="Q9" s="40"/>
      <c r="R9" s="40"/>
      <c r="S9" s="40"/>
      <c r="T9" s="40"/>
      <c r="U9" s="41"/>
      <c r="V9" s="39"/>
      <c r="W9" s="40"/>
      <c r="X9" s="40"/>
      <c r="Y9" s="40"/>
      <c r="Z9" s="40"/>
      <c r="AA9" s="41"/>
      <c r="AB9" s="39"/>
      <c r="AC9" s="40"/>
      <c r="AD9" s="40"/>
      <c r="AE9" s="40"/>
      <c r="AF9" s="40"/>
      <c r="AG9" s="41"/>
    </row>
    <row r="10" spans="1:33" ht="15" thickBot="1" x14ac:dyDescent="0.35">
      <c r="A10" s="68" t="str">
        <f>Elasticities!G12</f>
        <v>France</v>
      </c>
      <c r="B10" s="68">
        <f>Elasticities!I12</f>
        <v>37659.4</v>
      </c>
      <c r="C10" s="68">
        <f>Elasticities!N12</f>
        <v>-0.59710600000000003</v>
      </c>
      <c r="D10" s="68">
        <f>Elasticities!Q12</f>
        <v>1.0138233563614136</v>
      </c>
      <c r="E10" s="68">
        <f>Elasticities!R12</f>
        <v>-0.58896453337097932</v>
      </c>
      <c r="F10" s="68">
        <f>Elasticities!U12</f>
        <v>-0.68204148763181538</v>
      </c>
      <c r="G10" s="68">
        <f>VLOOKUP(A10,WB_correlations!$D$2:$K$27,8,FALSE)</f>
        <v>10.890680520965711</v>
      </c>
      <c r="H10" s="69">
        <f t="shared" si="0"/>
        <v>10.53633787006086</v>
      </c>
      <c r="I10" s="69">
        <f t="shared" si="1"/>
        <v>6.5631231403439907</v>
      </c>
      <c r="J10" s="69">
        <f t="shared" si="2"/>
        <v>-9.0978942072493879E-2</v>
      </c>
      <c r="P10" s="39" t="s">
        <v>339</v>
      </c>
      <c r="Q10" s="40"/>
      <c r="R10" s="40"/>
      <c r="S10" s="40"/>
      <c r="T10" s="40"/>
      <c r="U10" s="41"/>
      <c r="V10" s="39" t="s">
        <v>339</v>
      </c>
      <c r="W10" s="40"/>
      <c r="X10" s="40"/>
      <c r="Y10" s="40"/>
      <c r="Z10" s="40"/>
      <c r="AA10" s="41"/>
      <c r="AB10" s="39" t="s">
        <v>339</v>
      </c>
      <c r="AC10" s="40"/>
      <c r="AD10" s="40"/>
      <c r="AE10" s="40"/>
      <c r="AF10" s="40"/>
      <c r="AG10" s="41"/>
    </row>
    <row r="11" spans="1:33" x14ac:dyDescent="0.3">
      <c r="A11" s="68" t="str">
        <f>Elasticities!G13</f>
        <v>Croatia</v>
      </c>
      <c r="B11" s="68">
        <f>Elasticities!I13</f>
        <v>20163.560000000001</v>
      </c>
      <c r="C11" s="68">
        <f>Elasticities!N13</f>
        <v>-1.6547449999999999</v>
      </c>
      <c r="D11" s="68">
        <f>Elasticities!Q13</f>
        <v>2.1728752353575382</v>
      </c>
      <c r="E11" s="68">
        <f>Elasticities!R13</f>
        <v>-0.76154625588878688</v>
      </c>
      <c r="F11" s="68">
        <f>Elasticities!U13</f>
        <v>-1.8901246034226893</v>
      </c>
      <c r="G11" s="68">
        <f>VLOOKUP(A11,WB_correlations!$D$2:$K$27,8,FALSE)</f>
        <v>10.593229193322637</v>
      </c>
      <c r="H11" s="69">
        <f t="shared" si="0"/>
        <v>9.9116322938971901</v>
      </c>
      <c r="I11" s="69">
        <f t="shared" si="1"/>
        <v>3.195781585169462</v>
      </c>
      <c r="J11" s="69">
        <f t="shared" si="2"/>
        <v>-0.51779039208408673</v>
      </c>
      <c r="P11" s="45"/>
      <c r="Q11" s="19" t="s">
        <v>344</v>
      </c>
      <c r="R11" s="19" t="s">
        <v>345</v>
      </c>
      <c r="S11" s="19" t="s">
        <v>346</v>
      </c>
      <c r="T11" s="19" t="s">
        <v>26</v>
      </c>
      <c r="U11" s="46" t="s">
        <v>347</v>
      </c>
      <c r="V11" s="45"/>
      <c r="W11" s="19" t="s">
        <v>344</v>
      </c>
      <c r="X11" s="19" t="s">
        <v>345</v>
      </c>
      <c r="Y11" s="19" t="s">
        <v>346</v>
      </c>
      <c r="Z11" s="19" t="s">
        <v>26</v>
      </c>
      <c r="AA11" s="46" t="s">
        <v>347</v>
      </c>
      <c r="AB11" s="45"/>
      <c r="AC11" s="19" t="s">
        <v>344</v>
      </c>
      <c r="AD11" s="19" t="s">
        <v>345</v>
      </c>
      <c r="AE11" s="19" t="s">
        <v>346</v>
      </c>
      <c r="AF11" s="19" t="s">
        <v>26</v>
      </c>
      <c r="AG11" s="46" t="s">
        <v>347</v>
      </c>
    </row>
    <row r="12" spans="1:33" x14ac:dyDescent="0.3">
      <c r="A12" s="68" t="str">
        <f>Elasticities!G14</f>
        <v>Italy</v>
      </c>
      <c r="B12" s="68">
        <f>Elasticities!I14</f>
        <v>28829.78</v>
      </c>
      <c r="C12" s="68">
        <f>Elasticities!N14</f>
        <v>-0.925037</v>
      </c>
      <c r="D12" s="68">
        <f>Elasticities!Q14</f>
        <v>1.1892500873111871</v>
      </c>
      <c r="E12" s="68">
        <f>Elasticities!R14</f>
        <v>-0.77783219010851223</v>
      </c>
      <c r="F12" s="68">
        <f>Elasticities!U14</f>
        <v>-1.0566191121751776</v>
      </c>
      <c r="G12" s="68">
        <f>VLOOKUP(A12,WB_correlations!$D$2:$K$27,8,FALSE)</f>
        <v>10.865388682286532</v>
      </c>
      <c r="H12" s="69">
        <f t="shared" si="0"/>
        <v>10.269164159663339</v>
      </c>
      <c r="I12" s="69">
        <f t="shared" si="1"/>
        <v>5.1229805006758733</v>
      </c>
      <c r="J12" s="69">
        <f t="shared" si="2"/>
        <v>-0.1805661762479791</v>
      </c>
      <c r="P12" s="43" t="s">
        <v>340</v>
      </c>
      <c r="Q12" s="17">
        <v>1</v>
      </c>
      <c r="R12" s="17">
        <v>2.4841662445023536</v>
      </c>
      <c r="S12" s="17">
        <v>2.4841662445023536</v>
      </c>
      <c r="T12" s="17">
        <v>10.452531847348883</v>
      </c>
      <c r="U12" s="47">
        <v>3.6763039189411572E-3</v>
      </c>
      <c r="V12" s="43" t="s">
        <v>340</v>
      </c>
      <c r="W12" s="17">
        <v>1</v>
      </c>
      <c r="X12" s="17">
        <v>0.24154658806401486</v>
      </c>
      <c r="Y12" s="17">
        <v>0.24154658806401486</v>
      </c>
      <c r="Z12" s="17">
        <v>1.5580030094066861</v>
      </c>
      <c r="AA12" s="47">
        <v>0.22451558238585151</v>
      </c>
      <c r="AB12" s="43" t="s">
        <v>340</v>
      </c>
      <c r="AC12" s="17">
        <v>1</v>
      </c>
      <c r="AD12" s="17">
        <v>1.5418786190485978</v>
      </c>
      <c r="AE12" s="17">
        <v>1.5418786190485978</v>
      </c>
      <c r="AF12" s="17">
        <v>14.778856245280849</v>
      </c>
      <c r="AG12" s="47">
        <v>8.2740912159184226E-4</v>
      </c>
    </row>
    <row r="13" spans="1:33" x14ac:dyDescent="0.3">
      <c r="A13" s="68" t="str">
        <f>Elasticities!G15</f>
        <v>Cyprus</v>
      </c>
      <c r="B13" s="68">
        <f>Elasticities!I15</f>
        <v>23745.46</v>
      </c>
      <c r="C13" s="68">
        <f>Elasticities!N15</f>
        <v>-0.90216300000000005</v>
      </c>
      <c r="D13" s="68">
        <f>Elasticities!Q15</f>
        <v>1.4717468058270828</v>
      </c>
      <c r="E13" s="68">
        <f>Elasticities!R15</f>
        <v>-0.61298791098310434</v>
      </c>
      <c r="F13" s="68">
        <f>Elasticities!U15</f>
        <v>-1.0304913945034575</v>
      </c>
      <c r="G13" s="68">
        <f>VLOOKUP(A13,WB_correlations!$D$2:$K$27,8,FALSE)</f>
        <v>10.832177039188178</v>
      </c>
      <c r="H13" s="69">
        <f t="shared" si="0"/>
        <v>10.075146633295052</v>
      </c>
      <c r="I13" s="69">
        <f t="shared" si="1"/>
        <v>4.0771705961378473</v>
      </c>
      <c r="J13" s="69">
        <f t="shared" si="2"/>
        <v>-0.22127183023800517</v>
      </c>
      <c r="P13" s="43" t="s">
        <v>341</v>
      </c>
      <c r="Q13" s="17">
        <v>23</v>
      </c>
      <c r="R13" s="17">
        <v>5.4662185638827516</v>
      </c>
      <c r="S13" s="17">
        <v>0.23766167669055441</v>
      </c>
      <c r="T13" s="17"/>
      <c r="U13" s="47"/>
      <c r="V13" s="43" t="s">
        <v>341</v>
      </c>
      <c r="W13" s="17">
        <v>23</v>
      </c>
      <c r="X13" s="17">
        <v>3.5658284945084908</v>
      </c>
      <c r="Y13" s="17">
        <v>0.15503602150036916</v>
      </c>
      <c r="Z13" s="17"/>
      <c r="AA13" s="47"/>
      <c r="AB13" s="43" t="s">
        <v>341</v>
      </c>
      <c r="AC13" s="17">
        <v>23</v>
      </c>
      <c r="AD13" s="17">
        <v>2.399590851250196</v>
      </c>
      <c r="AE13" s="17">
        <v>0.10433003701087809</v>
      </c>
      <c r="AF13" s="17"/>
      <c r="AG13" s="47"/>
    </row>
    <row r="14" spans="1:33" ht="15" thickBot="1" x14ac:dyDescent="0.35">
      <c r="A14" s="68" t="str">
        <f>Elasticities!G16</f>
        <v>Latvia</v>
      </c>
      <c r="B14" s="68">
        <f>Elasticities!I16</f>
        <v>19145.32</v>
      </c>
      <c r="C14" s="68">
        <f>Elasticities!N16</f>
        <v>-1.5115160000000001</v>
      </c>
      <c r="D14" s="68">
        <f>Elasticities!Q16</f>
        <v>2.6254397886656822</v>
      </c>
      <c r="E14" s="68">
        <f>Elasticities!R16</f>
        <v>-0.57571916389984801</v>
      </c>
      <c r="F14" s="68">
        <f>Elasticities!U16</f>
        <v>-1.7265219596173729</v>
      </c>
      <c r="G14" s="68">
        <f>VLOOKUP(A14,WB_correlations!$D$2:$K$27,8,FALSE)</f>
        <v>10.537911531496441</v>
      </c>
      <c r="H14" s="69">
        <f t="shared" si="0"/>
        <v>9.8598135783185867</v>
      </c>
      <c r="I14" s="69">
        <f t="shared" si="1"/>
        <v>2.9164639018294864</v>
      </c>
      <c r="J14" s="69">
        <f t="shared" si="2"/>
        <v>-0.51827008695421606</v>
      </c>
      <c r="P14" s="44" t="s">
        <v>342</v>
      </c>
      <c r="Q14" s="18">
        <v>24</v>
      </c>
      <c r="R14" s="18">
        <v>7.9503848083851052</v>
      </c>
      <c r="S14" s="18"/>
      <c r="T14" s="18"/>
      <c r="U14" s="48"/>
      <c r="V14" s="44" t="s">
        <v>342</v>
      </c>
      <c r="W14" s="18">
        <v>24</v>
      </c>
      <c r="X14" s="18">
        <v>3.8073750825725057</v>
      </c>
      <c r="Y14" s="18"/>
      <c r="Z14" s="18"/>
      <c r="AA14" s="48"/>
      <c r="AB14" s="44" t="s">
        <v>342</v>
      </c>
      <c r="AC14" s="18">
        <v>24</v>
      </c>
      <c r="AD14" s="18">
        <v>3.9414694702987938</v>
      </c>
      <c r="AE14" s="18"/>
      <c r="AF14" s="18"/>
      <c r="AG14" s="48"/>
    </row>
    <row r="15" spans="1:33" ht="15" thickBot="1" x14ac:dyDescent="0.35">
      <c r="A15" s="68" t="str">
        <f>Elasticities!G17</f>
        <v>Lithuania</v>
      </c>
      <c r="B15" s="68">
        <f>Elasticities!I17</f>
        <v>25029.439999999999</v>
      </c>
      <c r="C15" s="68">
        <f>Elasticities!N17</f>
        <v>-2.1731129999999999</v>
      </c>
      <c r="D15" s="68">
        <f>Elasticities!Q17</f>
        <v>1.3928858822339691</v>
      </c>
      <c r="E15" s="68">
        <f>Elasticities!R17</f>
        <v>-1.5601515010796645</v>
      </c>
      <c r="F15" s="68">
        <f>Elasticities!U17</f>
        <v>-2.4822279851685245</v>
      </c>
      <c r="G15" s="68">
        <f>VLOOKUP(A15,WB_correlations!$D$2:$K$27,8,FALSE)</f>
        <v>10.750454242378133</v>
      </c>
      <c r="H15" s="69">
        <f t="shared" si="0"/>
        <v>10.127808011023319</v>
      </c>
      <c r="I15" s="69">
        <f t="shared" si="1"/>
        <v>4.3610304692417756</v>
      </c>
      <c r="J15" s="69">
        <f t="shared" si="2"/>
        <v>-0.49830264093014354</v>
      </c>
      <c r="P15" s="39"/>
      <c r="Q15" s="40"/>
      <c r="R15" s="40"/>
      <c r="S15" s="40"/>
      <c r="T15" s="40"/>
      <c r="U15" s="41"/>
      <c r="V15" s="39"/>
      <c r="W15" s="40"/>
      <c r="X15" s="40"/>
      <c r="Y15" s="40"/>
      <c r="Z15" s="40"/>
      <c r="AA15" s="41"/>
      <c r="AB15" s="39"/>
      <c r="AC15" s="40"/>
      <c r="AD15" s="40"/>
      <c r="AE15" s="40"/>
      <c r="AF15" s="40"/>
      <c r="AG15" s="41"/>
    </row>
    <row r="16" spans="1:33" x14ac:dyDescent="0.3">
      <c r="A16" s="68" t="str">
        <f>Elasticities!G18</f>
        <v>Luxembourg</v>
      </c>
      <c r="B16" s="68">
        <f>Elasticities!I18</f>
        <v>71353.34</v>
      </c>
      <c r="C16" s="68">
        <f>Elasticities!N18</f>
        <v>-0.49289500000000003</v>
      </c>
      <c r="D16" s="68">
        <f>Elasticities!Q18</f>
        <v>0.92551770876124451</v>
      </c>
      <c r="E16" s="68">
        <f>Elasticities!R18</f>
        <v>-0.53256139275791203</v>
      </c>
      <c r="F16" s="68">
        <f>Elasticities!U18</f>
        <v>-0.56300696868945155</v>
      </c>
      <c r="G16" s="68">
        <f>VLOOKUP(A16,WB_correlations!$D$2:$K$27,8,FALSE)</f>
        <v>11.794872317444074</v>
      </c>
      <c r="H16" s="69">
        <f t="shared" si="0"/>
        <v>11.175399433302001</v>
      </c>
      <c r="I16" s="69">
        <f t="shared" si="1"/>
        <v>10.00784756786037</v>
      </c>
      <c r="J16" s="69">
        <f t="shared" si="2"/>
        <v>-4.9250850061196387E-2</v>
      </c>
      <c r="P16" s="45"/>
      <c r="Q16" s="19" t="s">
        <v>348</v>
      </c>
      <c r="R16" s="19" t="s">
        <v>337</v>
      </c>
      <c r="S16" s="19" t="s">
        <v>349</v>
      </c>
      <c r="T16" s="19" t="s">
        <v>350</v>
      </c>
      <c r="U16" s="46"/>
      <c r="V16" s="45"/>
      <c r="W16" s="19" t="s">
        <v>348</v>
      </c>
      <c r="X16" s="19" t="s">
        <v>337</v>
      </c>
      <c r="Y16" s="19" t="s">
        <v>349</v>
      </c>
      <c r="Z16" s="19" t="s">
        <v>350</v>
      </c>
      <c r="AA16" s="46"/>
      <c r="AB16" s="45"/>
      <c r="AC16" s="19" t="s">
        <v>348</v>
      </c>
      <c r="AD16" s="19" t="s">
        <v>337</v>
      </c>
      <c r="AE16" s="19" t="s">
        <v>349</v>
      </c>
      <c r="AF16" s="19" t="s">
        <v>350</v>
      </c>
      <c r="AG16" s="46"/>
    </row>
    <row r="17" spans="1:33" x14ac:dyDescent="0.3">
      <c r="A17" s="68" t="str">
        <f>Elasticities!G19</f>
        <v>Hungary</v>
      </c>
      <c r="B17" s="68">
        <f>Elasticities!I19</f>
        <v>15876.46</v>
      </c>
      <c r="C17" s="68">
        <f>Elasticities!N19</f>
        <v>-1.114468</v>
      </c>
      <c r="D17" s="68">
        <f>Elasticities!Q19</f>
        <v>6.1670152933495226</v>
      </c>
      <c r="E17" s="68">
        <f>Elasticities!R19</f>
        <v>-0.18071432402670326</v>
      </c>
      <c r="F17" s="68">
        <f>Elasticities!U19</f>
        <v>-1.2729957706639257</v>
      </c>
      <c r="G17" s="68">
        <f>VLOOKUP(A17,WB_correlations!$D$2:$K$27,8,FALSE)</f>
        <v>10.611793533223789</v>
      </c>
      <c r="H17" s="69">
        <f t="shared" si="0"/>
        <v>9.6725927880359865</v>
      </c>
      <c r="I17" s="69">
        <f t="shared" si="1"/>
        <v>1.9072903468522155</v>
      </c>
      <c r="J17" s="69">
        <f t="shared" si="2"/>
        <v>-0.58432005480409088</v>
      </c>
      <c r="P17" s="43" t="s">
        <v>343</v>
      </c>
      <c r="Q17" s="64">
        <v>-13.262931214682652</v>
      </c>
      <c r="R17" s="17">
        <v>3.7037251606149924</v>
      </c>
      <c r="S17" s="17">
        <v>-3.580970682090348</v>
      </c>
      <c r="T17" s="64">
        <v>1.5820764803568831E-3</v>
      </c>
      <c r="U17" s="47"/>
      <c r="V17" s="43" t="s">
        <v>343</v>
      </c>
      <c r="W17" s="64">
        <v>3.0501715673226473</v>
      </c>
      <c r="X17" s="17">
        <v>2.9914068309323638</v>
      </c>
      <c r="Y17" s="17">
        <v>1.0196445150096711</v>
      </c>
      <c r="Z17" s="64">
        <v>0.31850331293797413</v>
      </c>
      <c r="AA17" s="47">
        <v>-3.1380249393451169</v>
      </c>
      <c r="AB17" s="43" t="s">
        <v>343</v>
      </c>
      <c r="AC17" s="64">
        <v>-9.7991273374326173</v>
      </c>
      <c r="AD17" s="17">
        <v>2.4539395163727287</v>
      </c>
      <c r="AE17" s="17">
        <v>-3.9932228451649534</v>
      </c>
      <c r="AF17" s="64">
        <v>5.7208863704408047E-4</v>
      </c>
      <c r="AG17" s="47"/>
    </row>
    <row r="18" spans="1:33" ht="15" thickBot="1" x14ac:dyDescent="0.35">
      <c r="A18" s="68" t="str">
        <f>Elasticities!G20</f>
        <v>Malta</v>
      </c>
      <c r="B18" s="68">
        <f>Elasticities!I20</f>
        <v>28809.14</v>
      </c>
      <c r="C18" s="68">
        <f>Elasticities!N20</f>
        <v>-0.36167899999999997</v>
      </c>
      <c r="D18" s="68">
        <f>Elasticities!Q20</f>
        <v>1.1901232197240876</v>
      </c>
      <c r="E18" s="68">
        <f>Elasticities!R20</f>
        <v>-0.30390046509961371</v>
      </c>
      <c r="F18" s="68">
        <f>Elasticities!U20</f>
        <v>-0.41312611697954355</v>
      </c>
      <c r="G18" s="68">
        <f>VLOOKUP(A18,WB_correlations!$D$2:$K$27,8,FALSE)</f>
        <v>10.948030030949129</v>
      </c>
      <c r="H18" s="69">
        <f t="shared" si="0"/>
        <v>10.268447976886764</v>
      </c>
      <c r="I18" s="69">
        <f t="shared" si="1"/>
        <v>5.1191200708723317</v>
      </c>
      <c r="J18" s="69">
        <f t="shared" si="2"/>
        <v>-7.0652572120342455E-2</v>
      </c>
      <c r="P18" s="44" t="s">
        <v>373</v>
      </c>
      <c r="Q18" s="65">
        <v>1.106454456448495</v>
      </c>
      <c r="R18" s="18">
        <v>0.34223371575968398</v>
      </c>
      <c r="S18" s="18">
        <v>3.233037557367509</v>
      </c>
      <c r="T18" s="65">
        <v>3.6763039189411867E-3</v>
      </c>
      <c r="U18" s="48"/>
      <c r="V18" s="44" t="s">
        <v>373</v>
      </c>
      <c r="W18" s="65">
        <v>-0.34501952099522232</v>
      </c>
      <c r="X18" s="18">
        <v>0.2764136729111108</v>
      </c>
      <c r="Y18" s="18">
        <v>-1.2481999076296555</v>
      </c>
      <c r="Z18" s="65">
        <v>0.22451558238585242</v>
      </c>
      <c r="AA18" s="48">
        <v>-0.91682476908667332</v>
      </c>
      <c r="AB18" s="44" t="s">
        <v>373</v>
      </c>
      <c r="AC18" s="65">
        <v>0.87170253174507495</v>
      </c>
      <c r="AD18" s="18">
        <v>0.22675031286563152</v>
      </c>
      <c r="AE18" s="18">
        <v>3.8443278014863487</v>
      </c>
      <c r="AF18" s="65">
        <v>8.2740912159183912E-4</v>
      </c>
      <c r="AG18" s="48"/>
    </row>
    <row r="19" spans="1:33" x14ac:dyDescent="0.3">
      <c r="A19" s="68" t="str">
        <f>Elasticities!G21</f>
        <v>Austria</v>
      </c>
      <c r="B19" s="68">
        <f>Elasticities!I21</f>
        <v>50396</v>
      </c>
      <c r="C19" s="68">
        <f>Elasticities!N21</f>
        <v>-0.54853399999999997</v>
      </c>
      <c r="D19" s="68">
        <f>Elasticities!Q21</f>
        <v>0.95327082753561498</v>
      </c>
      <c r="E19" s="68">
        <f>Elasticities!R21</f>
        <v>-0.57542304259752064</v>
      </c>
      <c r="F19" s="68">
        <f>Elasticities!U21</f>
        <v>-0.62656035172419999</v>
      </c>
      <c r="G19" s="68">
        <f>VLOOKUP(A19,WB_correlations!$D$2:$K$27,8,FALSE)</f>
        <v>11.092771268004649</v>
      </c>
      <c r="H19" s="69">
        <f t="shared" si="0"/>
        <v>10.82766708583052</v>
      </c>
      <c r="I19" s="69">
        <f t="shared" si="1"/>
        <v>8.1334708560182314</v>
      </c>
      <c r="J19" s="69">
        <f t="shared" si="2"/>
        <v>-6.7441564580528496E-2</v>
      </c>
    </row>
    <row r="20" spans="1:33" x14ac:dyDescent="0.3">
      <c r="A20" s="68" t="str">
        <f>Elasticities!G22</f>
        <v>Poland</v>
      </c>
      <c r="B20" s="68">
        <f>Elasticities!I22</f>
        <v>18271.560000000001</v>
      </c>
      <c r="C20" s="68">
        <f>Elasticities!N22</f>
        <v>-1.6682809999999999</v>
      </c>
      <c r="D20" s="68">
        <f>Elasticities!Q22</f>
        <v>3.1194633482817</v>
      </c>
      <c r="E20" s="68">
        <f>Elasticities!R22</f>
        <v>-0.53479743588554818</v>
      </c>
      <c r="F20" s="68">
        <f>Elasticities!U22</f>
        <v>-1.9055860350220775</v>
      </c>
      <c r="G20" s="68">
        <f>VLOOKUP(A20,WB_correlations!$D$2:$K$27,8,FALSE)</f>
        <v>10.678330418464306</v>
      </c>
      <c r="H20" s="69">
        <f t="shared" si="0"/>
        <v>9.8131010316053757</v>
      </c>
      <c r="I20" s="69">
        <f t="shared" si="1"/>
        <v>2.6646699276802694</v>
      </c>
      <c r="J20" s="69">
        <f t="shared" si="2"/>
        <v>-0.62607416501011937</v>
      </c>
    </row>
    <row r="21" spans="1:33" x14ac:dyDescent="0.3">
      <c r="A21" s="68" t="str">
        <f>Elasticities!G23</f>
        <v>Portugal</v>
      </c>
      <c r="B21" s="68">
        <f>Elasticities!I23</f>
        <v>21343.48</v>
      </c>
      <c r="C21" s="68">
        <f>Elasticities!N23</f>
        <v>-0.93916900000000003</v>
      </c>
      <c r="D21" s="68">
        <f>Elasticities!Q23</f>
        <v>1.7555693898967011</v>
      </c>
      <c r="E21" s="68">
        <f>Elasticities!R23</f>
        <v>-0.53496546784474375</v>
      </c>
      <c r="F21" s="68">
        <f>Elasticities!U23</f>
        <v>-1.0727613219389596</v>
      </c>
      <c r="G21" s="68">
        <f>VLOOKUP(A21,WB_correlations!$D$2:$K$27,8,FALSE)</f>
        <v>10.623054175807942</v>
      </c>
      <c r="H21" s="69">
        <f t="shared" si="0"/>
        <v>9.9685015855999808</v>
      </c>
      <c r="I21" s="69">
        <f t="shared" si="1"/>
        <v>3.5023233169403616</v>
      </c>
      <c r="J21" s="69">
        <f t="shared" si="2"/>
        <v>-0.26815599675145368</v>
      </c>
    </row>
    <row r="22" spans="1:33" x14ac:dyDescent="0.3">
      <c r="A22" s="68" t="str">
        <f>Elasticities!G24</f>
        <v>Romania</v>
      </c>
      <c r="B22" s="68">
        <f>Elasticities!I24</f>
        <v>18152.88</v>
      </c>
      <c r="C22" s="68">
        <f>Elasticities!N24</f>
        <v>-1.711433</v>
      </c>
      <c r="D22" s="68">
        <f>Elasticities!Q24</f>
        <v>3.1969759781380116</v>
      </c>
      <c r="E22" s="68">
        <f>Elasticities!R24</f>
        <v>-0.53532870178047942</v>
      </c>
      <c r="F22" s="68">
        <f>Elasticities!U24</f>
        <v>-1.9548762017165808</v>
      </c>
      <c r="G22" s="68">
        <f>VLOOKUP(A22,WB_correlations!$D$2:$K$27,8,FALSE)</f>
        <v>10.577884768506047</v>
      </c>
      <c r="H22" s="69">
        <f t="shared" si="0"/>
        <v>9.8065845047909743</v>
      </c>
      <c r="I22" s="69">
        <f t="shared" si="1"/>
        <v>2.629543986157068</v>
      </c>
      <c r="J22" s="69">
        <f t="shared" si="2"/>
        <v>-0.65084783103444643</v>
      </c>
    </row>
    <row r="23" spans="1:33" x14ac:dyDescent="0.3">
      <c r="A23" s="68" t="str">
        <f>Elasticities!G25</f>
        <v>Slovenia</v>
      </c>
      <c r="B23" s="68">
        <f>Elasticities!I25</f>
        <v>30214.38</v>
      </c>
      <c r="C23" s="68">
        <f>Elasticities!N25</f>
        <v>-1.2795540000000001</v>
      </c>
      <c r="D23" s="68">
        <f>Elasticities!Q25</f>
        <v>1.1402135505429314</v>
      </c>
      <c r="E23" s="68">
        <f>Elasticities!R25</f>
        <v>-1.122205572272597</v>
      </c>
      <c r="F23" s="68">
        <f>Elasticities!U25</f>
        <v>-1.4615644687295721</v>
      </c>
      <c r="G23" s="68">
        <f>VLOOKUP(A23,WB_correlations!$D$2:$K$27,8,FALSE)</f>
        <v>10.758967581781889</v>
      </c>
      <c r="H23" s="69">
        <f t="shared" si="0"/>
        <v>10.316073248975663</v>
      </c>
      <c r="I23" s="69">
        <f t="shared" si="1"/>
        <v>5.3758338955932219</v>
      </c>
      <c r="J23" s="69">
        <f t="shared" si="2"/>
        <v>-0.23801963097276868</v>
      </c>
    </row>
    <row r="24" spans="1:33" x14ac:dyDescent="0.3">
      <c r="A24" s="68" t="str">
        <f>Elasticities!G26</f>
        <v>Slovakia</v>
      </c>
      <c r="B24" s="68">
        <f>Elasticities!I26</f>
        <v>17446.82</v>
      </c>
      <c r="C24" s="68">
        <f>Elasticities!N26</f>
        <v>-1.5163260000000001</v>
      </c>
      <c r="D24" s="68">
        <f>Elasticities!Q26</f>
        <v>3.7403585449376466</v>
      </c>
      <c r="E24" s="68">
        <f>Elasticities!R26</f>
        <v>-0.40539589501446521</v>
      </c>
      <c r="F24" s="68">
        <f>Elasticities!U26</f>
        <v>-1.7320161592326992</v>
      </c>
      <c r="G24" s="68">
        <f>VLOOKUP(A24,WB_correlations!$D$2:$K$27,8,FALSE)</f>
        <v>10.562687689868426</v>
      </c>
      <c r="H24" s="69">
        <f t="shared" si="0"/>
        <v>9.7669126760667453</v>
      </c>
      <c r="I24" s="69">
        <f t="shared" si="1"/>
        <v>2.4157014937413077</v>
      </c>
      <c r="J24" s="69">
        <f t="shared" si="2"/>
        <v>-0.62769593177325744</v>
      </c>
    </row>
    <row r="25" spans="1:33" x14ac:dyDescent="0.3">
      <c r="A25" s="68" t="str">
        <f>Elasticities!G27</f>
        <v>Finland</v>
      </c>
      <c r="B25" s="68">
        <f>Elasticities!I27</f>
        <v>42508.08</v>
      </c>
      <c r="C25" s="68">
        <f>Elasticities!N27</f>
        <v>-1.7563470000000001</v>
      </c>
      <c r="D25" s="68">
        <f>Elasticities!Q27</f>
        <v>0.9809794193231216</v>
      </c>
      <c r="E25" s="68">
        <f>Elasticities!R27</f>
        <v>-1.7904014757127975</v>
      </c>
      <c r="F25" s="68">
        <f>Elasticities!U27</f>
        <v>-2.0061790045279668</v>
      </c>
      <c r="G25" s="68">
        <f>VLOOKUP(A25,WB_correlations!$D$2:$K$27,8,FALSE)</f>
        <v>10.952004173235437</v>
      </c>
      <c r="H25" s="69">
        <f t="shared" si="0"/>
        <v>10.657449454489498</v>
      </c>
      <c r="I25" s="69">
        <f t="shared" si="1"/>
        <v>7.2159491861174851</v>
      </c>
      <c r="J25" s="69">
        <f t="shared" si="2"/>
        <v>-0.24339791685049214</v>
      </c>
    </row>
    <row r="26" spans="1:33" x14ac:dyDescent="0.3">
      <c r="A26" s="68" t="str">
        <f>Elasticities!G28</f>
        <v>Sweden</v>
      </c>
      <c r="B26" s="68">
        <f>Elasticities!I28</f>
        <v>40011.5</v>
      </c>
      <c r="C26" s="68">
        <f>Elasticities!N28</f>
        <v>-0.96684899999999996</v>
      </c>
      <c r="D26" s="68">
        <f>Elasticities!Q28</f>
        <v>0.99569021215803666</v>
      </c>
      <c r="E26" s="68">
        <f>Elasticities!R28</f>
        <v>-0.97103395031319339</v>
      </c>
      <c r="F26" s="68">
        <f>Elasticities!U28</f>
        <v>-1.1043786702450369</v>
      </c>
      <c r="G26" s="68">
        <f>VLOOKUP(A26,WB_correlations!$D$2:$K$27,8,FALSE)</f>
        <v>11.052292572110581</v>
      </c>
      <c r="H26" s="69">
        <f t="shared" si="0"/>
        <v>10.596922191775867</v>
      </c>
      <c r="I26" s="69">
        <f t="shared" si="1"/>
        <v>6.8896899453912965</v>
      </c>
      <c r="J26" s="69">
        <f t="shared" si="2"/>
        <v>-0.14033273016106507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aggregate_level</vt:lpstr>
      <vt:lpstr>Country_PV</vt:lpstr>
      <vt:lpstr>Elasticities</vt:lpstr>
      <vt:lpstr>WB_correlations</vt:lpstr>
      <vt:lpstr>WB_R_excel_check</vt:lpstr>
      <vt:lpstr>placebo_denominator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Stoycho Rusinov</dc:creator>
  <cp:lastModifiedBy>Stoycho Rusinov</cp:lastModifiedBy>
  <dcterms:created xsi:type="dcterms:W3CDTF">2026-07-02T13:55:24Z</dcterms:created>
  <dcterms:modified xsi:type="dcterms:W3CDTF">2026-07-03T16:55:20Z</dcterms:modified>
</cp:coreProperties>
</file>