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/Users/stoycho/Desktop/"/>
    </mc:Choice>
  </mc:AlternateContent>
  <xr:revisionPtr revIDLastSave="0" documentId="13_ncr:1_{461820F1-EC18-EC4F-B981-4003F1567BA1}" xr6:coauthVersionLast="47" xr6:coauthVersionMax="47" xr10:uidLastSave="{00000000-0000-0000-0000-000000000000}"/>
  <bookViews>
    <workbookView xWindow="0" yWindow="500" windowWidth="28800" windowHeight="15900" activeTab="4" xr2:uid="{00000000-000D-0000-FFFF-FFFF00000000}"/>
  </bookViews>
  <sheets>
    <sheet name="2021-2022" sheetId="1" r:id="rId1"/>
    <sheet name="2025-26" sheetId="2" r:id="rId2"/>
    <sheet name="checks" sheetId="3" r:id="rId3"/>
    <sheet name="Wages" sheetId="4" r:id="rId4"/>
    <sheet name="Wage to treshold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9" i="5" l="1"/>
  <c r="I29" i="5" s="1"/>
  <c r="F29" i="5"/>
  <c r="H29" i="5" s="1"/>
  <c r="G28" i="5"/>
  <c r="I28" i="5" s="1"/>
  <c r="F28" i="5"/>
  <c r="H28" i="5" s="1"/>
  <c r="G27" i="5"/>
  <c r="I27" i="5" s="1"/>
  <c r="F27" i="5"/>
  <c r="H27" i="5" s="1"/>
  <c r="G26" i="5"/>
  <c r="I26" i="5" s="1"/>
  <c r="F26" i="5"/>
  <c r="H26" i="5" s="1"/>
  <c r="G25" i="5"/>
  <c r="I25" i="5" s="1"/>
  <c r="F25" i="5"/>
  <c r="H25" i="5" s="1"/>
  <c r="G24" i="5"/>
  <c r="I24" i="5" s="1"/>
  <c r="F24" i="5"/>
  <c r="H24" i="5" s="1"/>
  <c r="G23" i="5"/>
  <c r="I23" i="5" s="1"/>
  <c r="F23" i="5"/>
  <c r="H23" i="5" s="1"/>
  <c r="G22" i="5"/>
  <c r="I22" i="5" s="1"/>
  <c r="F22" i="5"/>
  <c r="H22" i="5" s="1"/>
  <c r="G21" i="5"/>
  <c r="I21" i="5" s="1"/>
  <c r="F21" i="5"/>
  <c r="H21" i="5" s="1"/>
  <c r="G20" i="5"/>
  <c r="I20" i="5" s="1"/>
  <c r="F20" i="5"/>
  <c r="H20" i="5" s="1"/>
  <c r="G19" i="5"/>
  <c r="I19" i="5" s="1"/>
  <c r="F19" i="5"/>
  <c r="H19" i="5" s="1"/>
  <c r="G18" i="5"/>
  <c r="I18" i="5" s="1"/>
  <c r="F18" i="5"/>
  <c r="H18" i="5" s="1"/>
  <c r="G17" i="5"/>
  <c r="I17" i="5" s="1"/>
  <c r="F17" i="5"/>
  <c r="H17" i="5" s="1"/>
  <c r="G16" i="5"/>
  <c r="I16" i="5" s="1"/>
  <c r="F16" i="5"/>
  <c r="H16" i="5" s="1"/>
  <c r="G15" i="5"/>
  <c r="I15" i="5" s="1"/>
  <c r="F15" i="5"/>
  <c r="H15" i="5" s="1"/>
  <c r="G14" i="5"/>
  <c r="I14" i="5" s="1"/>
  <c r="F14" i="5"/>
  <c r="H14" i="5" s="1"/>
  <c r="G13" i="5"/>
  <c r="I13" i="5" s="1"/>
  <c r="F13" i="5"/>
  <c r="H13" i="5" s="1"/>
  <c r="G12" i="5"/>
  <c r="I12" i="5" s="1"/>
  <c r="F12" i="5"/>
  <c r="H12" i="5" s="1"/>
  <c r="G11" i="5"/>
  <c r="I11" i="5" s="1"/>
  <c r="F11" i="5"/>
  <c r="H11" i="5" s="1"/>
  <c r="G9" i="5"/>
  <c r="I9" i="5" s="1"/>
  <c r="F9" i="5"/>
  <c r="H9" i="5" s="1"/>
  <c r="G8" i="5"/>
  <c r="I8" i="5" s="1"/>
  <c r="F8" i="5"/>
  <c r="H8" i="5" s="1"/>
  <c r="G7" i="5"/>
  <c r="I7" i="5" s="1"/>
  <c r="F7" i="5"/>
  <c r="H7" i="5" s="1"/>
  <c r="G6" i="5"/>
  <c r="I6" i="5" s="1"/>
  <c r="F6" i="5"/>
  <c r="H6" i="5" s="1"/>
  <c r="G5" i="5"/>
  <c r="I5" i="5" s="1"/>
  <c r="F5" i="5"/>
  <c r="H5" i="5" s="1"/>
  <c r="G4" i="5"/>
  <c r="I4" i="5" s="1"/>
  <c r="F4" i="5"/>
  <c r="H4" i="5" s="1"/>
  <c r="F29" i="4"/>
  <c r="E29" i="4"/>
  <c r="F28" i="4"/>
  <c r="E28" i="4"/>
  <c r="F27" i="4"/>
  <c r="E27" i="4"/>
  <c r="F26" i="4"/>
  <c r="E26" i="4"/>
  <c r="F25" i="4"/>
  <c r="E25" i="4"/>
  <c r="F24" i="4"/>
  <c r="E24" i="4"/>
  <c r="F23" i="4"/>
  <c r="E23" i="4"/>
  <c r="F22" i="4"/>
  <c r="E22" i="4"/>
  <c r="F21" i="4"/>
  <c r="E21" i="4"/>
  <c r="F20" i="4"/>
  <c r="E20" i="4"/>
  <c r="F19" i="4"/>
  <c r="E19" i="4"/>
  <c r="F18" i="4"/>
  <c r="E18" i="4"/>
  <c r="F17" i="4"/>
  <c r="E17" i="4"/>
  <c r="F16" i="4"/>
  <c r="E16" i="4"/>
  <c r="F15" i="4"/>
  <c r="E15" i="4"/>
  <c r="F14" i="4"/>
  <c r="E14" i="4"/>
  <c r="F13" i="4"/>
  <c r="E13" i="4"/>
  <c r="F12" i="4"/>
  <c r="E12" i="4"/>
  <c r="F11" i="4"/>
  <c r="E11" i="4"/>
  <c r="F10" i="4"/>
  <c r="E10" i="4"/>
  <c r="F9" i="4"/>
  <c r="E9" i="4"/>
  <c r="F8" i="4"/>
  <c r="E8" i="4"/>
  <c r="F7" i="4"/>
  <c r="E7" i="4"/>
  <c r="F6" i="4"/>
  <c r="E6" i="4"/>
  <c r="F5" i="4"/>
  <c r="E5" i="4"/>
  <c r="F4" i="4"/>
  <c r="E4" i="4"/>
  <c r="F3" i="4"/>
  <c r="E3" i="4"/>
  <c r="F2" i="4"/>
  <c r="E2" i="4"/>
  <c r="F35" i="3"/>
  <c r="E35" i="3"/>
  <c r="D35" i="3"/>
  <c r="C35" i="3"/>
  <c r="F34" i="3"/>
  <c r="E34" i="3"/>
  <c r="D34" i="3"/>
  <c r="C34" i="3"/>
  <c r="F33" i="3"/>
  <c r="E33" i="3"/>
  <c r="D33" i="3"/>
  <c r="C33" i="3"/>
  <c r="F32" i="3"/>
  <c r="E32" i="3"/>
  <c r="D32" i="3"/>
  <c r="C32" i="3"/>
  <c r="F31" i="3"/>
  <c r="E31" i="3"/>
  <c r="D31" i="3"/>
  <c r="C31" i="3"/>
  <c r="F30" i="3"/>
  <c r="E30" i="3"/>
  <c r="D30" i="3"/>
  <c r="C30" i="3"/>
  <c r="F29" i="3"/>
  <c r="E29" i="3"/>
  <c r="D29" i="3"/>
  <c r="C29" i="3"/>
  <c r="F28" i="3"/>
  <c r="E28" i="3"/>
  <c r="D28" i="3"/>
  <c r="C28" i="3"/>
  <c r="F27" i="3"/>
  <c r="E27" i="3"/>
  <c r="D27" i="3"/>
  <c r="C27" i="3"/>
  <c r="F26" i="3"/>
  <c r="E26" i="3"/>
  <c r="D26" i="3"/>
  <c r="C26" i="3"/>
  <c r="F25" i="3"/>
  <c r="E25" i="3"/>
  <c r="D25" i="3"/>
  <c r="C25" i="3"/>
  <c r="F24" i="3"/>
  <c r="E24" i="3"/>
  <c r="D24" i="3"/>
  <c r="C24" i="3"/>
  <c r="F23" i="3"/>
  <c r="E23" i="3"/>
  <c r="D23" i="3"/>
  <c r="C23" i="3"/>
  <c r="F22" i="3"/>
  <c r="E22" i="3"/>
  <c r="D22" i="3"/>
  <c r="C22" i="3"/>
  <c r="F21" i="3"/>
  <c r="E21" i="3"/>
  <c r="D21" i="3"/>
  <c r="C21" i="3"/>
  <c r="F20" i="3"/>
  <c r="E20" i="3"/>
  <c r="D20" i="3"/>
  <c r="C20" i="3"/>
  <c r="F19" i="3"/>
  <c r="E19" i="3"/>
  <c r="D19" i="3"/>
  <c r="C19" i="3"/>
  <c r="F18" i="3"/>
  <c r="E18" i="3"/>
  <c r="D18" i="3"/>
  <c r="C18" i="3"/>
  <c r="F17" i="3"/>
  <c r="E17" i="3"/>
  <c r="D17" i="3"/>
  <c r="C17" i="3"/>
  <c r="F16" i="3"/>
  <c r="E16" i="3"/>
  <c r="D16" i="3"/>
  <c r="C16" i="3"/>
  <c r="F15" i="3"/>
  <c r="E15" i="3"/>
  <c r="D15" i="3"/>
  <c r="C15" i="3"/>
  <c r="F14" i="3"/>
  <c r="E14" i="3"/>
  <c r="D14" i="3"/>
  <c r="C14" i="3"/>
  <c r="F13" i="3"/>
  <c r="E13" i="3"/>
  <c r="D13" i="3"/>
  <c r="C13" i="3"/>
  <c r="F12" i="3"/>
  <c r="E12" i="3"/>
  <c r="D12" i="3"/>
  <c r="C12" i="3"/>
  <c r="F11" i="3"/>
  <c r="E11" i="3"/>
  <c r="D11" i="3"/>
  <c r="C11" i="3"/>
  <c r="F10" i="3"/>
  <c r="E10" i="3"/>
  <c r="D10" i="3"/>
  <c r="C10" i="3"/>
</calcChain>
</file>

<file path=xl/sharedStrings.xml><?xml version="1.0" encoding="utf-8"?>
<sst xmlns="http://schemas.openxmlformats.org/spreadsheetml/2006/main" count="3186" uniqueCount="797">
  <si>
    <t>Country</t>
  </si>
  <si>
    <t>Wage_EURO_2021</t>
  </si>
  <si>
    <t>Wage_EURO_2024</t>
  </si>
  <si>
    <t xml:space="preserve">check </t>
  </si>
  <si>
    <t>TIME</t>
  </si>
  <si>
    <t>European Union - 27 countries (from 2020)</t>
  </si>
  <si>
    <t>2021 tresholds in £</t>
  </si>
  <si>
    <t>2025 tresholds £</t>
  </si>
  <si>
    <t>Countries</t>
  </si>
  <si>
    <t>Lower threshold</t>
  </si>
  <si>
    <t>Upper threshold</t>
  </si>
  <si>
    <t>Bulgaria, Romania</t>
  </si>
  <si>
    <t>Currency</t>
  </si>
  <si>
    <t>Euro area – 20 countries (2023-2025)</t>
  </si>
  <si>
    <t>£10,920</t>
  </si>
  <si>
    <t>Exchange rate</t>
  </si>
  <si>
    <t>£19,655</t>
  </si>
  <si>
    <t>Belgium</t>
  </si>
  <si>
    <t>£11,390</t>
  </si>
  <si>
    <t>£20,500</t>
  </si>
  <si>
    <t>Lower earnings threshold (GBP)</t>
  </si>
  <si>
    <t>Croatia, Czechia, Hungary, Latvia, Lithuania, Poland, Slovakia</t>
  </si>
  <si>
    <t>Upper earnings threshold (GBP)</t>
  </si>
  <si>
    <t>Bulgaria</t>
  </si>
  <si>
    <t>£16,380</t>
  </si>
  <si>
    <t>Fixed monthly repayment (GBP)</t>
  </si>
  <si>
    <t>£29,480</t>
  </si>
  <si>
    <t>Croatia, Czechia, Greece, Hungary, Latvia, Lithuania, Poland, Portugal, Slovakia</t>
  </si>
  <si>
    <t>£17,085</t>
  </si>
  <si>
    <t>£30,750</t>
  </si>
  <si>
    <t>Czechia</t>
  </si>
  <si>
    <t>Cyprus, Estonia, Greece, Italy, Malta, Portugal, Slovenia, Spain</t>
  </si>
  <si>
    <t>https://www.gov.uk/government/publications/overseas-earnings-thresholds-for-plan-2-student-loans/overseas-earnings-thresholds-for-plan-2-student-loans-2024-25?utm_source=chatgpt.com</t>
  </si>
  <si>
    <t>£21,840</t>
  </si>
  <si>
    <t>Denmark</t>
  </si>
  <si>
    <t>£39,305</t>
  </si>
  <si>
    <t>Cyprus, Estonia, France, Italy, Malta, Slovenia, Spain</t>
  </si>
  <si>
    <t>£22,780</t>
  </si>
  <si>
    <t>Germany</t>
  </si>
  <si>
    <t>£41,000</t>
  </si>
  <si>
    <t>Austria, Belgium, Finland, France, Germany, Luxembourg, Netherlands, Sweden</t>
  </si>
  <si>
    <t>Estonia</t>
  </si>
  <si>
    <t>£27,295</t>
  </si>
  <si>
    <t>£49,130</t>
  </si>
  <si>
    <t>Austria, Belgium, Denmark, Finland, Germany, Luxembourg, Netherlands, Sweden</t>
  </si>
  <si>
    <t>£28,470</t>
  </si>
  <si>
    <t>£51,245</t>
  </si>
  <si>
    <t>Ireland</t>
  </si>
  <si>
    <t>£32,755</t>
  </si>
  <si>
    <t>£58,960</t>
  </si>
  <si>
    <t>Greece</t>
  </si>
  <si>
    <t>Spain</t>
  </si>
  <si>
    <t>France</t>
  </si>
  <si>
    <t>Croatia</t>
  </si>
  <si>
    <t>ISO2</t>
  </si>
  <si>
    <t>Italy</t>
  </si>
  <si>
    <t>Lower_2021_22</t>
  </si>
  <si>
    <t>Upper_2021_22</t>
  </si>
  <si>
    <t>Cyprus</t>
  </si>
  <si>
    <t>Lower_2025_26</t>
  </si>
  <si>
    <t>Upper_2025_26</t>
  </si>
  <si>
    <t>Link</t>
  </si>
  <si>
    <t>Latvia</t>
  </si>
  <si>
    <t>Lithuania</t>
  </si>
  <si>
    <t>BG</t>
  </si>
  <si>
    <t>Luxembourg</t>
  </si>
  <si>
    <t>Afghanistan</t>
  </si>
  <si>
    <t>Hungary</t>
  </si>
  <si>
    <t>Malta</t>
  </si>
  <si>
    <t>Country of residence</t>
  </si>
  <si>
    <t>Afghanis</t>
  </si>
  <si>
    <t>Austria</t>
  </si>
  <si>
    <t>0.010752</t>
  </si>
  <si>
    <t>Poland</t>
  </si>
  <si>
    <t>£5,695.00</t>
  </si>
  <si>
    <t>£10,250.00</t>
  </si>
  <si>
    <t>Portugal</t>
  </si>
  <si>
    <t>£77.20</t>
  </si>
  <si>
    <t>Romania</t>
  </si>
  <si>
    <t>Slovenia</t>
  </si>
  <si>
    <t>Aland Islands</t>
  </si>
  <si>
    <t>Slovakia</t>
  </si>
  <si>
    <t>Euro</t>
  </si>
  <si>
    <t>0.848248</t>
  </si>
  <si>
    <t>Finland</t>
  </si>
  <si>
    <t>£28,470.00</t>
  </si>
  <si>
    <t>https://web.archive.org/web/20220404134127/https://www.gov.uk/government/publications/overseas-earnings-thresholds-for-plan-2-student-loans/overseas-earnings-thresholds-for-plan-2-student-loans-2020-21</t>
  </si>
  <si>
    <t>Sweden</t>
  </si>
  <si>
    <t>£51,245.00</t>
  </si>
  <si>
    <t>£386.00</t>
  </si>
  <si>
    <t>Albania</t>
  </si>
  <si>
    <t>Leke</t>
  </si>
  <si>
    <t>0.0084</t>
  </si>
  <si>
    <t>£11,390.00</t>
  </si>
  <si>
    <t>£20,500.00</t>
  </si>
  <si>
    <t>£154.40</t>
  </si>
  <si>
    <t>Algeria</t>
  </si>
  <si>
    <t>Algerian Dinar</t>
  </si>
  <si>
    <t>0.005828</t>
  </si>
  <si>
    <t>£5,460.00</t>
  </si>
  <si>
    <t>£9,830.00</t>
  </si>
  <si>
    <t>£40.20</t>
  </si>
  <si>
    <t>0.007178</t>
  </si>
  <si>
    <t>American Samoa</t>
  </si>
  <si>
    <t>£10,920.00</t>
  </si>
  <si>
    <t>U.S. Dollar</t>
  </si>
  <si>
    <t>£19,655.00</t>
  </si>
  <si>
    <t>£80.40</t>
  </si>
  <si>
    <t>0.782044</t>
  </si>
  <si>
    <t>£34,165.00</t>
  </si>
  <si>
    <t>£61,495.00</t>
  </si>
  <si>
    <t>0.006227</t>
  </si>
  <si>
    <t>£463.20</t>
  </si>
  <si>
    <t>Andorra</t>
  </si>
  <si>
    <t>0.783249</t>
  </si>
  <si>
    <t>£22,780.00</t>
  </si>
  <si>
    <t>£32,755.00</t>
  </si>
  <si>
    <t>£58,960.00</t>
  </si>
  <si>
    <t>£41,000.00</t>
  </si>
  <si>
    <t>£241.20</t>
  </si>
  <si>
    <t>£308.80</t>
  </si>
  <si>
    <t>Angola</t>
  </si>
  <si>
    <t>0.885798</t>
  </si>
  <si>
    <t>Kwanza</t>
  </si>
  <si>
    <t>£27,295.00</t>
  </si>
  <si>
    <t>0.000893</t>
  </si>
  <si>
    <t>£49,130.00</t>
  </si>
  <si>
    <t>£201.00</t>
  </si>
  <si>
    <t>0.00139</t>
  </si>
  <si>
    <t>Anguilla</t>
  </si>
  <si>
    <t>East Caribbean Dollar</t>
  </si>
  <si>
    <t>0.289452</t>
  </si>
  <si>
    <t>0.290093</t>
  </si>
  <si>
    <t>Antarctica</t>
  </si>
  <si>
    <t>Antigua and Barbuda</t>
  </si>
  <si>
    <t>Argentina</t>
  </si>
  <si>
    <t>Argentine Peso</t>
  </si>
  <si>
    <t>0.000869</t>
  </si>
  <si>
    <t>£17,085.00</t>
  </si>
  <si>
    <t>£30,750.00</t>
  </si>
  <si>
    <t>RO</t>
  </si>
  <si>
    <t>£231.60</t>
  </si>
  <si>
    <t>£21,840.00</t>
  </si>
  <si>
    <t>Armenia</t>
  </si>
  <si>
    <t>Dram</t>
  </si>
  <si>
    <t>£39,305.00</t>
  </si>
  <si>
    <t>0.001993</t>
  </si>
  <si>
    <t>£160.80</t>
  </si>
  <si>
    <t>0.011345</t>
  </si>
  <si>
    <t>Aruba</t>
  </si>
  <si>
    <t>Aruban Guilder</t>
  </si>
  <si>
    <t>£16,380.00</t>
  </si>
  <si>
    <t>0.43691</t>
  </si>
  <si>
    <t>£29,480.00</t>
  </si>
  <si>
    <t>£120.60</t>
  </si>
  <si>
    <t>Australia</t>
  </si>
  <si>
    <t>Australian Dollar</t>
  </si>
  <si>
    <t>0.001615</t>
  </si>
  <si>
    <t>0.518403</t>
  </si>
  <si>
    <t>0.437573</t>
  </si>
  <si>
    <t>Azerbaijan</t>
  </si>
  <si>
    <t>Azerbaijanian Manat</t>
  </si>
  <si>
    <t>0.459939</t>
  </si>
  <si>
    <t>0.533862</t>
  </si>
  <si>
    <t>Bahamas</t>
  </si>
  <si>
    <t>Bahamian Dollar</t>
  </si>
  <si>
    <t>HR</t>
  </si>
  <si>
    <t>Bahrain</t>
  </si>
  <si>
    <t>Bahrain Dinar</t>
  </si>
  <si>
    <t>0.461398</t>
  </si>
  <si>
    <t>2.079867</t>
  </si>
  <si>
    <t>Bangladesh</t>
  </si>
  <si>
    <t>Taka</t>
  </si>
  <si>
    <t>0.006806</t>
  </si>
  <si>
    <t>Barbados</t>
  </si>
  <si>
    <t>2.080191</t>
  </si>
  <si>
    <t>Barbados Dollar</t>
  </si>
  <si>
    <t>0.391037</t>
  </si>
  <si>
    <t>£39,860.00</t>
  </si>
  <si>
    <t>£71,745.00</t>
  </si>
  <si>
    <t>£540.40</t>
  </si>
  <si>
    <t>Belarus</t>
  </si>
  <si>
    <t>0.009225</t>
  </si>
  <si>
    <t>Belarusian Ruble</t>
  </si>
  <si>
    <t>0.23888</t>
  </si>
  <si>
    <t>0.391626</t>
  </si>
  <si>
    <t>0.327272</t>
  </si>
  <si>
    <t>Belize</t>
  </si>
  <si>
    <t>Belizean Dollar</t>
  </si>
  <si>
    <t>0.387342</t>
  </si>
  <si>
    <t>CZ</t>
  </si>
  <si>
    <t>Benin</t>
  </si>
  <si>
    <t>CFA Franc (BEAC)</t>
  </si>
  <si>
    <t>0.001293</t>
  </si>
  <si>
    <t>0.00135</t>
  </si>
  <si>
    <t>Bermuda</t>
  </si>
  <si>
    <t>Bermudian Dollar</t>
  </si>
  <si>
    <t>Bhutan</t>
  </si>
  <si>
    <t>Bhutanese Ngultrum</t>
  </si>
  <si>
    <t>0.009361</t>
  </si>
  <si>
    <t>0.010595</t>
  </si>
  <si>
    <t>HU</t>
  </si>
  <si>
    <t>Bolivia</t>
  </si>
  <si>
    <t>Boliviano</t>
  </si>
  <si>
    <t>0.113228</t>
  </si>
  <si>
    <t>0.113351</t>
  </si>
  <si>
    <t>Bonaire, Saint Eustatius and Saba</t>
  </si>
  <si>
    <t>Bosnia and Herzegovina</t>
  </si>
  <si>
    <t>Convertible Marka</t>
  </si>
  <si>
    <t>0.433727</t>
  </si>
  <si>
    <t>Botswana</t>
  </si>
  <si>
    <t>Pula</t>
  </si>
  <si>
    <t>0.454439</t>
  </si>
  <si>
    <t>0.057813</t>
  </si>
  <si>
    <t>Bouvet Island</t>
  </si>
  <si>
    <t>Norwegian Krone</t>
  </si>
  <si>
    <t>0.068532</t>
  </si>
  <si>
    <t>0.073267</t>
  </si>
  <si>
    <t>Brazil</t>
  </si>
  <si>
    <t>Brazilian Real</t>
  </si>
  <si>
    <t>0.147826</t>
  </si>
  <si>
    <t>0.082531</t>
  </si>
  <si>
    <t>British Indian Ocean Territory</t>
  </si>
  <si>
    <t>0.154046</t>
  </si>
  <si>
    <t>Brunei</t>
  </si>
  <si>
    <t>Brunei Dollar</t>
  </si>
  <si>
    <t>0.58548</t>
  </si>
  <si>
    <t>Bulgarian Lev</t>
  </si>
  <si>
    <t>0.566869</t>
  </si>
  <si>
    <t>Burkina Faso</t>
  </si>
  <si>
    <t>0.452882</t>
  </si>
  <si>
    <t>Burundi</t>
  </si>
  <si>
    <t>LV</t>
  </si>
  <si>
    <t>Burundi Franc</t>
  </si>
  <si>
    <t>0.000272</t>
  </si>
  <si>
    <t>Cambodia</t>
  </si>
  <si>
    <t>Riel</t>
  </si>
  <si>
    <t>0.00041</t>
  </si>
  <si>
    <t>0.000192</t>
  </si>
  <si>
    <t>Cameroon</t>
  </si>
  <si>
    <t>Canada</t>
  </si>
  <si>
    <t>Canadian Dollar</t>
  </si>
  <si>
    <t>0.572705</t>
  </si>
  <si>
    <t>Cape Verde</t>
  </si>
  <si>
    <t>Cape Verde Escudo</t>
  </si>
  <si>
    <t>0.581858</t>
  </si>
  <si>
    <t>0.007693</t>
  </si>
  <si>
    <t>Cayman Islands</t>
  </si>
  <si>
    <t>Cayman Islands Dollar</t>
  </si>
  <si>
    <t>0.951656</t>
  </si>
  <si>
    <t>0.007139</t>
  </si>
  <si>
    <t>Central African Republic</t>
  </si>
  <si>
    <t>0.955194</t>
  </si>
  <si>
    <t>Chad</t>
  </si>
  <si>
    <t>Channel Islands</t>
  </si>
  <si>
    <t>British Pound</t>
  </si>
  <si>
    <t>Chile</t>
  </si>
  <si>
    <t>Chilean Peso</t>
  </si>
  <si>
    <t>0.000836</t>
  </si>
  <si>
    <t>China</t>
  </si>
  <si>
    <t>LT</t>
  </si>
  <si>
    <t>Yuan Renminbi</t>
  </si>
  <si>
    <t>0.10879</t>
  </si>
  <si>
    <t>0.000988</t>
  </si>
  <si>
    <t>Christmas Island</t>
  </si>
  <si>
    <t>0.113173</t>
  </si>
  <si>
    <t>Cocos (Keeling) Islands</t>
  </si>
  <si>
    <t>Colombia</t>
  </si>
  <si>
    <t>Colombian Peso</t>
  </si>
  <si>
    <t>0.000194</t>
  </si>
  <si>
    <t>Comoros</t>
  </si>
  <si>
    <t>Comorian Franc</t>
  </si>
  <si>
    <t>0.001724</t>
  </si>
  <si>
    <t>0.000211</t>
  </si>
  <si>
    <t>Congo</t>
  </si>
  <si>
    <t>Congolese Franc</t>
  </si>
  <si>
    <t>0.000279</t>
  </si>
  <si>
    <t>0.001801</t>
  </si>
  <si>
    <t>Congo, Democratic Republic of</t>
  </si>
  <si>
    <t>0.000428</t>
  </si>
  <si>
    <t>Cook Islands</t>
  </si>
  <si>
    <t>New Zealand Dollar</t>
  </si>
  <si>
    <t>0.476372</t>
  </si>
  <si>
    <t>0.50445</t>
  </si>
  <si>
    <t>Costa Rica</t>
  </si>
  <si>
    <t>Costa Rican Colon</t>
  </si>
  <si>
    <t>0.001348</t>
  </si>
  <si>
    <t>0.001519</t>
  </si>
  <si>
    <t>PL</t>
  </si>
  <si>
    <t>Cote d’Ivoire</t>
  </si>
  <si>
    <t>Kuna</t>
  </si>
  <si>
    <t>0.11767</t>
  </si>
  <si>
    <t>Cuba</t>
  </si>
  <si>
    <t>Cuban Peso</t>
  </si>
  <si>
    <t>0.032163</t>
  </si>
  <si>
    <t>Curacao</t>
  </si>
  <si>
    <t>Antillean Guilder</t>
  </si>
  <si>
    <t>Czech Republic</t>
  </si>
  <si>
    <t>Czech Koruna</t>
  </si>
  <si>
    <t>0.033833</t>
  </si>
  <si>
    <t>Danish Krone</t>
  </si>
  <si>
    <t>0.113724</t>
  </si>
  <si>
    <t>0.033501</t>
  </si>
  <si>
    <t>Djibouti</t>
  </si>
  <si>
    <t>Djiboutian Franc</t>
  </si>
  <si>
    <t>0.004396</t>
  </si>
  <si>
    <t>Dominica</t>
  </si>
  <si>
    <t>Dominican Republic</t>
  </si>
  <si>
    <t>Dominican Peso</t>
  </si>
  <si>
    <t>0.013221</t>
  </si>
  <si>
    <t>Ecuador</t>
  </si>
  <si>
    <t>SK</t>
  </si>
  <si>
    <t>Egypt</t>
  </si>
  <si>
    <t>Egyptian Pound</t>
  </si>
  <si>
    <t>0.017795</t>
  </si>
  <si>
    <t>El Salvador</t>
  </si>
  <si>
    <t>Equatorial Guinea</t>
  </si>
  <si>
    <t>Eritrea</t>
  </si>
  <si>
    <t>Nafka</t>
  </si>
  <si>
    <t>0.052138</t>
  </si>
  <si>
    <t>0.118782</t>
  </si>
  <si>
    <t>Ethiopia</t>
  </si>
  <si>
    <t>Ethiopian Birr</t>
  </si>
  <si>
    <t>0.010126</t>
  </si>
  <si>
    <t>0.004407</t>
  </si>
  <si>
    <t>Faeroe Islands</t>
  </si>
  <si>
    <t>Falkland Islands</t>
  </si>
  <si>
    <t>Falkland Pound</t>
  </si>
  <si>
    <t>Federated States of Micronesia</t>
  </si>
  <si>
    <t>CY</t>
  </si>
  <si>
    <t>Fiji</t>
  </si>
  <si>
    <t>0.013941</t>
  </si>
  <si>
    <t>Fiji Dollar</t>
  </si>
  <si>
    <t>0.348663</t>
  </si>
  <si>
    <t>0.049495</t>
  </si>
  <si>
    <t>French Guiana</t>
  </si>
  <si>
    <t>French Polynesia</t>
  </si>
  <si>
    <t>CFP Franc</t>
  </si>
  <si>
    <t>0.007109</t>
  </si>
  <si>
    <t>French Southern Territories</t>
  </si>
  <si>
    <t>0.052228</t>
  </si>
  <si>
    <t>Gabon</t>
  </si>
  <si>
    <t>0.022719</t>
  </si>
  <si>
    <t>Gambia</t>
  </si>
  <si>
    <t>Dalasi</t>
  </si>
  <si>
    <t>0.011399</t>
  </si>
  <si>
    <t>Georgia</t>
  </si>
  <si>
    <t>EE</t>
  </si>
  <si>
    <t>Lari</t>
  </si>
  <si>
    <t>0.288825</t>
  </si>
  <si>
    <t>0.359637</t>
  </si>
  <si>
    <t>Ghana</t>
  </si>
  <si>
    <t>Ghanaian Cedi</t>
  </si>
  <si>
    <t>0.054724</t>
  </si>
  <si>
    <t>Gibraltar</t>
  </si>
  <si>
    <t>0.007423</t>
  </si>
  <si>
    <t>Greenland</t>
  </si>
  <si>
    <t>0.01515</t>
  </si>
  <si>
    <t>GR</t>
  </si>
  <si>
    <t>Grenada</t>
  </si>
  <si>
    <t>0.254094</t>
  </si>
  <si>
    <t>Guadeloupe</t>
  </si>
  <si>
    <t>0.136836</t>
  </si>
  <si>
    <t>Guam</t>
  </si>
  <si>
    <t>Guatemala</t>
  </si>
  <si>
    <t>Quetzal</t>
  </si>
  <si>
    <t>0.100714</t>
  </si>
  <si>
    <t>Guinea</t>
  </si>
  <si>
    <t>Guinean Franc</t>
  </si>
  <si>
    <t>0.000091</t>
  </si>
  <si>
    <t>Guinea-Bissau</t>
  </si>
  <si>
    <t>CFA Franc (BCEAO)</t>
  </si>
  <si>
    <t>Guyana</t>
  </si>
  <si>
    <t>Guyanese Dollar</t>
  </si>
  <si>
    <t>0.003746</t>
  </si>
  <si>
    <t>IT</t>
  </si>
  <si>
    <t>Haiti</t>
  </si>
  <si>
    <t>Gourde</t>
  </si>
  <si>
    <t>0.101638</t>
  </si>
  <si>
    <t>0.005918</t>
  </si>
  <si>
    <t>Heard and McDonald Islands</t>
  </si>
  <si>
    <t>0.000081</t>
  </si>
  <si>
    <t>Holy See (Vatican City State)</t>
  </si>
  <si>
    <t>Honduras</t>
  </si>
  <si>
    <t>Lempira</t>
  </si>
  <si>
    <t>0.031562</t>
  </si>
  <si>
    <t>0.003748</t>
  </si>
  <si>
    <t>Hong Kong</t>
  </si>
  <si>
    <t>Hong Kong Dollar</t>
  </si>
  <si>
    <t>0.100195</t>
  </si>
  <si>
    <t>0.008322</t>
  </si>
  <si>
    <t>Forint</t>
  </si>
  <si>
    <t>0.002158</t>
  </si>
  <si>
    <t>MT</t>
  </si>
  <si>
    <t>Iceland</t>
  </si>
  <si>
    <t>Icelandic Krona</t>
  </si>
  <si>
    <t>0.00567</t>
  </si>
  <si>
    <t>India</t>
  </si>
  <si>
    <t>Indian Rupee</t>
  </si>
  <si>
    <t>Indonesia</t>
  </si>
  <si>
    <t>Indonesian Rupiah</t>
  </si>
  <si>
    <t>0.000049</t>
  </si>
  <si>
    <t>0.031824</t>
  </si>
  <si>
    <t>Iran</t>
  </si>
  <si>
    <t>Iranian Rial</t>
  </si>
  <si>
    <t>0.100962</t>
  </si>
  <si>
    <t>0.000025</t>
  </si>
  <si>
    <t>Iraq</t>
  </si>
  <si>
    <t>0.002535</t>
  </si>
  <si>
    <t>Iraqi Dinar</t>
  </si>
  <si>
    <t>0.000598</t>
  </si>
  <si>
    <t>0.005788</t>
  </si>
  <si>
    <t>PT</t>
  </si>
  <si>
    <t>Isle of Man</t>
  </si>
  <si>
    <t>Israel</t>
  </si>
  <si>
    <t>New Israeli Shekel</t>
  </si>
  <si>
    <t>0.210398</t>
  </si>
  <si>
    <t>0.000054</t>
  </si>
  <si>
    <t>Jamaica</t>
  </si>
  <si>
    <t>Jamaican Dollar</t>
  </si>
  <si>
    <t>0.005003</t>
  </si>
  <si>
    <t>0.000658</t>
  </si>
  <si>
    <t>Japan</t>
  </si>
  <si>
    <t>Yen</t>
  </si>
  <si>
    <t>0.005171</t>
  </si>
  <si>
    <t>Jordan</t>
  </si>
  <si>
    <t>Jordanian Dinar</t>
  </si>
  <si>
    <t>1.103022</t>
  </si>
  <si>
    <t>Kazakhstan</t>
  </si>
  <si>
    <t>SI</t>
  </si>
  <si>
    <t>Tenge</t>
  </si>
  <si>
    <t>0.001683</t>
  </si>
  <si>
    <t>Kenya</t>
  </si>
  <si>
    <t>Kenya Schilling</t>
  </si>
  <si>
    <t>0.225929</t>
  </si>
  <si>
    <t>0.005749</t>
  </si>
  <si>
    <t>Kiribati</t>
  </si>
  <si>
    <t>Korea, Democratic People’s Republic of</t>
  </si>
  <si>
    <t>Won Korea Dem. Rep</t>
  </si>
  <si>
    <t>0.466523</t>
  </si>
  <si>
    <t>Korea, Republic of</t>
  </si>
  <si>
    <t>Won Korea Rep</t>
  </si>
  <si>
    <t>0.000577</t>
  </si>
  <si>
    <t>0.005512</t>
  </si>
  <si>
    <t>Kosovo</t>
  </si>
  <si>
    <t>0.007301</t>
  </si>
  <si>
    <t>Kuwait</t>
  </si>
  <si>
    <t>Kuwaiti Dinar</t>
  </si>
  <si>
    <t>Tresholds_2021</t>
  </si>
  <si>
    <t>2.54842</t>
  </si>
  <si>
    <t>Treshold_2025</t>
  </si>
  <si>
    <t>Wage_POUNDS_2021</t>
  </si>
  <si>
    <t>WAGE_POUNDS_2025</t>
  </si>
  <si>
    <t>wage/tau_2021</t>
  </si>
  <si>
    <t>wage/tau_2025</t>
  </si>
  <si>
    <t>1.104728</t>
  </si>
  <si>
    <t>Kyrgyztan Republic</t>
  </si>
  <si>
    <t>ES</t>
  </si>
  <si>
    <t>Kyrgyzstan Som</t>
  </si>
  <si>
    <t>0.008955</t>
  </si>
  <si>
    <t>0.0019</t>
  </si>
  <si>
    <t>Lao PDR</t>
  </si>
  <si>
    <t>Kip</t>
  </si>
  <si>
    <t>0.000036</t>
  </si>
  <si>
    <t>0.007395</t>
  </si>
  <si>
    <t>Lebanon</t>
  </si>
  <si>
    <t>Lebanese Pound</t>
  </si>
  <si>
    <t>0.000011</t>
  </si>
  <si>
    <t>Lesotho</t>
  </si>
  <si>
    <t>Loti</t>
  </si>
  <si>
    <t>0.042708</t>
  </si>
  <si>
    <t>Liberia</t>
  </si>
  <si>
    <t>Liberian Dollar (US Dollar in use)</t>
  </si>
  <si>
    <t>0.000662</t>
  </si>
  <si>
    <t>0.004064</t>
  </si>
  <si>
    <t>2.553411</t>
  </si>
  <si>
    <t>Libya</t>
  </si>
  <si>
    <t>Libyan Dinar</t>
  </si>
  <si>
    <t>0.162243</t>
  </si>
  <si>
    <t>0.010289</t>
  </si>
  <si>
    <t>Liechtenstein</t>
  </si>
  <si>
    <t>AT</t>
  </si>
  <si>
    <t>Swiss Franc</t>
  </si>
  <si>
    <t>0.000087</t>
  </si>
  <si>
    <t>0.889996</t>
  </si>
  <si>
    <t>0.000518</t>
  </si>
  <si>
    <t>Macau</t>
  </si>
  <si>
    <t>Patacas</t>
  </si>
  <si>
    <t>0.097277</t>
  </si>
  <si>
    <t>0.047794</t>
  </si>
  <si>
    <t>Macedonia (Former Yugoslav Republic)</t>
  </si>
  <si>
    <t>Macedonian Denar</t>
  </si>
  <si>
    <t>0.013782</t>
  </si>
  <si>
    <t>Madagascar</t>
  </si>
  <si>
    <t>0.563259</t>
  </si>
  <si>
    <t>Malagasy Ariary</t>
  </si>
  <si>
    <t>0.000173</t>
  </si>
  <si>
    <t>Malawi</t>
  </si>
  <si>
    <t>Malawi Kwacha</t>
  </si>
  <si>
    <t>0.000455</t>
  </si>
  <si>
    <t>0.826953</t>
  </si>
  <si>
    <t>Malaysia</t>
  </si>
  <si>
    <t>Ringgit</t>
  </si>
  <si>
    <t>BE</t>
  </si>
  <si>
    <t>0.170077</t>
  </si>
  <si>
    <t>Maldives</t>
  </si>
  <si>
    <t>Rufiyaa</t>
  </si>
  <si>
    <t>0.050762</t>
  </si>
  <si>
    <t>Mali</t>
  </si>
  <si>
    <t>0.098029</t>
  </si>
  <si>
    <t>0.014385</t>
  </si>
  <si>
    <t>Marshall Islands</t>
  </si>
  <si>
    <t>0.000206</t>
  </si>
  <si>
    <t>Martinique</t>
  </si>
  <si>
    <t>0.001055</t>
  </si>
  <si>
    <t>Mauritania</t>
  </si>
  <si>
    <t>Ouguiyas</t>
  </si>
  <si>
    <t>0.019738</t>
  </si>
  <si>
    <t>0.186079</t>
  </si>
  <si>
    <t>Mauritius</t>
  </si>
  <si>
    <t>Mauritius Rupee</t>
  </si>
  <si>
    <t>0.017043</t>
  </si>
  <si>
    <t>0.050794</t>
  </si>
  <si>
    <t>Mayotte</t>
  </si>
  <si>
    <t>FI</t>
  </si>
  <si>
    <t>Mexico</t>
  </si>
  <si>
    <t>Mexican Peso</t>
  </si>
  <si>
    <t>0.043315</t>
  </si>
  <si>
    <t>Moldova</t>
  </si>
  <si>
    <t>Moldovan Leu</t>
  </si>
  <si>
    <t>0.044117</t>
  </si>
  <si>
    <t>Monaco</t>
  </si>
  <si>
    <t>Mongolia</t>
  </si>
  <si>
    <t>Tugrik</t>
  </si>
  <si>
    <t>0.00023</t>
  </si>
  <si>
    <t>Montenegro</t>
  </si>
  <si>
    <t>0.021175</t>
  </si>
  <si>
    <t>Montserrat</t>
  </si>
  <si>
    <t>FR</t>
  </si>
  <si>
    <t>Morocco</t>
  </si>
  <si>
    <t>Moroccan Dirham</t>
  </si>
  <si>
    <t>0.078658</t>
  </si>
  <si>
    <t>Mozambique</t>
  </si>
  <si>
    <t>Metical</t>
  </si>
  <si>
    <t>0.012249</t>
  </si>
  <si>
    <t>Myanmar</t>
  </si>
  <si>
    <t>Kyat</t>
  </si>
  <si>
    <t>0.000373</t>
  </si>
  <si>
    <t>Namibia</t>
  </si>
  <si>
    <t>Namibian Dollar</t>
  </si>
  <si>
    <t>Nauru</t>
  </si>
  <si>
    <t>Nepal</t>
  </si>
  <si>
    <t>Nepalese Rupee</t>
  </si>
  <si>
    <t>0.005848</t>
  </si>
  <si>
    <t>Netherlands</t>
  </si>
  <si>
    <t>New Caledonia</t>
  </si>
  <si>
    <t>DE</t>
  </si>
  <si>
    <t>New Zealand</t>
  </si>
  <si>
    <t>Nicaragua</t>
  </si>
  <si>
    <t>Gold Cordoba</t>
  </si>
  <si>
    <t>0.021269</t>
  </si>
  <si>
    <t>Niger</t>
  </si>
  <si>
    <t>Number of countries below the treshold in 2021</t>
  </si>
  <si>
    <t>Nigeria</t>
  </si>
  <si>
    <t>Nigerian Naira</t>
  </si>
  <si>
    <t>0.00055</t>
  </si>
  <si>
    <t>0.020025</t>
  </si>
  <si>
    <t>Number of countries below the treshold in 2025</t>
  </si>
  <si>
    <t>Niue</t>
  </si>
  <si>
    <t>Norfolk Island</t>
  </si>
  <si>
    <t>Northern Mariana Islands</t>
  </si>
  <si>
    <t>0.03655</t>
  </si>
  <si>
    <t>Norway</t>
  </si>
  <si>
    <t>0.045193</t>
  </si>
  <si>
    <t>Oman</t>
  </si>
  <si>
    <t>Rial Omani</t>
  </si>
  <si>
    <t>2.031694</t>
  </si>
  <si>
    <t>LU</t>
  </si>
  <si>
    <t>Pakistan</t>
  </si>
  <si>
    <t>Pakistan Rupee</t>
  </si>
  <si>
    <t>0.002804</t>
  </si>
  <si>
    <t>Palau</t>
  </si>
  <si>
    <t>Palestine (Occupied Territory)</t>
  </si>
  <si>
    <t>0.082299</t>
  </si>
  <si>
    <t>Panama</t>
  </si>
  <si>
    <t>Balboas</t>
  </si>
  <si>
    <t>0.011414</t>
  </si>
  <si>
    <t>Papua New Guinea</t>
  </si>
  <si>
    <t>Kina</t>
  </si>
  <si>
    <t>0.203434</t>
  </si>
  <si>
    <t>Paraguay</t>
  </si>
  <si>
    <t>Guarani</t>
  </si>
  <si>
    <t>0.000104</t>
  </si>
  <si>
    <t>0.000561</t>
  </si>
  <si>
    <t>Peru</t>
  </si>
  <si>
    <t>New Sol</t>
  </si>
  <si>
    <t>0.208368</t>
  </si>
  <si>
    <t>Philippines</t>
  </si>
  <si>
    <t>Philippine Peso</t>
  </si>
  <si>
    <t>0.013692</t>
  </si>
  <si>
    <t>0.05493</t>
  </si>
  <si>
    <t>Pitcairn</t>
  </si>
  <si>
    <t>NL</t>
  </si>
  <si>
    <t>Zloty</t>
  </si>
  <si>
    <t>0.196321</t>
  </si>
  <si>
    <t>Puerto Rico</t>
  </si>
  <si>
    <t>0.006622</t>
  </si>
  <si>
    <t>Qatar</t>
  </si>
  <si>
    <t>Qatar Riyal</t>
  </si>
  <si>
    <t>0.214855</t>
  </si>
  <si>
    <t>Reunion</t>
  </si>
  <si>
    <t>Romanian Leu</t>
  </si>
  <si>
    <t>0.170523</t>
  </si>
  <si>
    <t>Russian Federation</t>
  </si>
  <si>
    <t>Russian Ruble</t>
  </si>
  <si>
    <t>0.00853</t>
  </si>
  <si>
    <t>Rwanda</t>
  </si>
  <si>
    <t>Rwanda Franc</t>
  </si>
  <si>
    <t>Saint Helena</t>
  </si>
  <si>
    <t>Saint Helena Pound</t>
  </si>
  <si>
    <t>0.022856</t>
  </si>
  <si>
    <t>Saint Kitts and Nevis</t>
  </si>
  <si>
    <t>SE</t>
  </si>
  <si>
    <t>Saint Lucia</t>
  </si>
  <si>
    <t>Saint Martin (French part)</t>
  </si>
  <si>
    <t>Saint Pierre and Miquelon</t>
  </si>
  <si>
    <t>0.002068</t>
  </si>
  <si>
    <t>Saint Vincent and Grenadines</t>
  </si>
  <si>
    <t>Saint-Barthelemy</t>
  </si>
  <si>
    <t>Samoa</t>
  </si>
  <si>
    <t>Tala</t>
  </si>
  <si>
    <t>0.285111</t>
  </si>
  <si>
    <t>San Marino</t>
  </si>
  <si>
    <t>Sao Tome and Principe</t>
  </si>
  <si>
    <t>Dobras</t>
  </si>
  <si>
    <t>0.000035</t>
  </si>
  <si>
    <t>Saudi Arabia</t>
  </si>
  <si>
    <t>Saudi Riyal</t>
  </si>
  <si>
    <t>0.208551</t>
  </si>
  <si>
    <t>Senegal</t>
  </si>
  <si>
    <t>DK</t>
  </si>
  <si>
    <t>Serbia</t>
  </si>
  <si>
    <t>Serbian Dinar</t>
  </si>
  <si>
    <t>0.007243</t>
  </si>
  <si>
    <t>Seychelles</t>
  </si>
  <si>
    <t>Seychelles Rupee</t>
  </si>
  <si>
    <t>0.057161</t>
  </si>
  <si>
    <t>2.034174</t>
  </si>
  <si>
    <t>Sierra Leone</t>
  </si>
  <si>
    <t>Leone</t>
  </si>
  <si>
    <t>0.000063</t>
  </si>
  <si>
    <t>0.004865</t>
  </si>
  <si>
    <t>Singapore</t>
  </si>
  <si>
    <t>Singapore Dollar</t>
  </si>
  <si>
    <t>Sint Maarten (Dutch part)</t>
  </si>
  <si>
    <t>Antilles Guilder</t>
  </si>
  <si>
    <t>Solomon Islands</t>
  </si>
  <si>
    <t>0.226723</t>
  </si>
  <si>
    <t>Solomon Islands Dollar</t>
  </si>
  <si>
    <t>0.09383</t>
  </si>
  <si>
    <t>Somalia</t>
  </si>
  <si>
    <t>Somali Shilling</t>
  </si>
  <si>
    <t>0.001371</t>
  </si>
  <si>
    <t>South Africa</t>
  </si>
  <si>
    <t>Rand</t>
  </si>
  <si>
    <t>0.000116</t>
  </si>
  <si>
    <t>South Georgia and the South Sandwich Islands</t>
  </si>
  <si>
    <t>South Sudan</t>
  </si>
  <si>
    <t>Sudanese Pound</t>
  </si>
  <si>
    <t>0.001306</t>
  </si>
  <si>
    <t>0.225696</t>
  </si>
  <si>
    <t>0.015727</t>
  </si>
  <si>
    <t>Sri Lanka</t>
  </si>
  <si>
    <t>Sri Lankan Rupee</t>
  </si>
  <si>
    <t>0.002563</t>
  </si>
  <si>
    <t>Sudan</t>
  </si>
  <si>
    <t>0.199844</t>
  </si>
  <si>
    <t>Suriname</t>
  </si>
  <si>
    <t>Surinam Dollar</t>
  </si>
  <si>
    <t>0.023439</t>
  </si>
  <si>
    <t>Svalbard and Jan Mayen Islands</t>
  </si>
  <si>
    <t>Swaziland</t>
  </si>
  <si>
    <t>Lilangeni</t>
  </si>
  <si>
    <t>0.215117</t>
  </si>
  <si>
    <t>Swedish Krona</t>
  </si>
  <si>
    <t>0.074389</t>
  </si>
  <si>
    <t>Switzerland</t>
  </si>
  <si>
    <t>0.183288</t>
  </si>
  <si>
    <t>Syria</t>
  </si>
  <si>
    <t>Syrian Pound</t>
  </si>
  <si>
    <t>0.00399</t>
  </si>
  <si>
    <t>Taiwan</t>
  </si>
  <si>
    <t>0.010954</t>
  </si>
  <si>
    <t>Taiwan Dollar</t>
  </si>
  <si>
    <t>0.024403</t>
  </si>
  <si>
    <t>Tajikistan</t>
  </si>
  <si>
    <t>0.000824</t>
  </si>
  <si>
    <t>Somoni</t>
  </si>
  <si>
    <t>0.12336</t>
  </si>
  <si>
    <t>Thailand</t>
  </si>
  <si>
    <t>Thai Baht</t>
  </si>
  <si>
    <t>0.022122</t>
  </si>
  <si>
    <t>Timor-Leste</t>
  </si>
  <si>
    <t>Togo</t>
  </si>
  <si>
    <t>Tokelau</t>
  </si>
  <si>
    <t>Tonga</t>
  </si>
  <si>
    <t>Pa’anga</t>
  </si>
  <si>
    <t>0.330666</t>
  </si>
  <si>
    <t>Trinidad and Tobago</t>
  </si>
  <si>
    <t>Trinidad &amp; Tobago Dollar</t>
  </si>
  <si>
    <t>0.115287</t>
  </si>
  <si>
    <t>Tunisia</t>
  </si>
  <si>
    <t>Tunisian Dinar</t>
  </si>
  <si>
    <t>0.251724</t>
  </si>
  <si>
    <t>Turkey</t>
  </si>
  <si>
    <t>Turkish New Lira</t>
  </si>
  <si>
    <t>0.024065</t>
  </si>
  <si>
    <t>0.294294</t>
  </si>
  <si>
    <t>Turkmenistan</t>
  </si>
  <si>
    <t>Turkmenistan New Manat</t>
  </si>
  <si>
    <t>0.223599</t>
  </si>
  <si>
    <t>Turks and Caicos Islands</t>
  </si>
  <si>
    <t>Tuvalu</t>
  </si>
  <si>
    <t>0.208774</t>
  </si>
  <si>
    <t>Uganda</t>
  </si>
  <si>
    <t>Ugandan New Shilling</t>
  </si>
  <si>
    <t>0.000208</t>
  </si>
  <si>
    <t>Ukraine</t>
  </si>
  <si>
    <t>Hryvnia</t>
  </si>
  <si>
    <t>0.019541</t>
  </si>
  <si>
    <t>United Arab Emirates</t>
  </si>
  <si>
    <t>U.A.E. Dirham</t>
  </si>
  <si>
    <t>0.212952</t>
  </si>
  <si>
    <t>United Kingdom</t>
  </si>
  <si>
    <t>0.007534</t>
  </si>
  <si>
    <t>United republic of Tanzania</t>
  </si>
  <si>
    <t>Tanzanian Shilling</t>
  </si>
  <si>
    <t>0.046067</t>
  </si>
  <si>
    <t>0.000298</t>
  </si>
  <si>
    <t>0.000079</t>
  </si>
  <si>
    <t>United States of America</t>
  </si>
  <si>
    <t>Uruguay</t>
  </si>
  <si>
    <t>Uruguayan Peso</t>
  </si>
  <si>
    <t>0.019606</t>
  </si>
  <si>
    <t>Uzbekistan</t>
  </si>
  <si>
    <t>Uzbekistan Sum</t>
  </si>
  <si>
    <t>0.000062</t>
  </si>
  <si>
    <t>Vanuatu</t>
  </si>
  <si>
    <t>Vatu</t>
  </si>
  <si>
    <t>0.006529</t>
  </si>
  <si>
    <t>Venezuela</t>
  </si>
  <si>
    <t>Bolivar Fuerte</t>
  </si>
  <si>
    <t>0.01443</t>
  </si>
  <si>
    <t>Vietnam</t>
  </si>
  <si>
    <t>Dong</t>
  </si>
  <si>
    <t>0.000031</t>
  </si>
  <si>
    <t>0.095347</t>
  </si>
  <si>
    <t>Virgin Islands (British)</t>
  </si>
  <si>
    <t>0.001344</t>
  </si>
  <si>
    <t>Virgin Islands (US)</t>
  </si>
  <si>
    <t>Wallis and Futuna Islands</t>
  </si>
  <si>
    <t>0.047789</t>
  </si>
  <si>
    <t>Western Sahara</t>
  </si>
  <si>
    <t>Yemen</t>
  </si>
  <si>
    <t>Yemeni Rial</t>
  </si>
  <si>
    <t>0.014679</t>
  </si>
  <si>
    <t>0.003124</t>
  </si>
  <si>
    <t>Zambia</t>
  </si>
  <si>
    <t>Zambian Kwacha</t>
  </si>
  <si>
    <t>0.03029</t>
  </si>
  <si>
    <t>Zimbabwe</t>
  </si>
  <si>
    <t>Zimbabwean Gold</t>
  </si>
  <si>
    <t>0.030848</t>
  </si>
  <si>
    <t>0.004229</t>
  </si>
  <si>
    <t>0.0854</t>
  </si>
  <si>
    <t>0.08424</t>
  </si>
  <si>
    <t>£38,215.00</t>
  </si>
  <si>
    <t>£68,785.00</t>
  </si>
  <si>
    <t>£281.40</t>
  </si>
  <si>
    <t>0.026477</t>
  </si>
  <si>
    <t>0.025049</t>
  </si>
  <si>
    <t>0.116003</t>
  </si>
  <si>
    <t>0.277844</t>
  </si>
  <si>
    <t>0.114084</t>
  </si>
  <si>
    <t>0.223408</t>
  </si>
  <si>
    <t>0.029356</t>
  </si>
  <si>
    <t>0.213263</t>
  </si>
  <si>
    <t>0.000339</t>
  </si>
  <si>
    <t>0.018758</t>
  </si>
  <si>
    <t>0.000078</t>
  </si>
  <si>
    <t>0.006708</t>
  </si>
  <si>
    <t>0.000003</t>
  </si>
  <si>
    <t>0.000034</t>
  </si>
  <si>
    <t>0.003132</t>
  </si>
  <si>
    <t>0.044011</t>
  </si>
  <si>
    <t>Zimbabwean Dollar</t>
  </si>
  <si>
    <t>0.002164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</si>
</sst>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7">
    <font>
      <sz val="10"/>
      <color rgb="FF000000"/>
      <name val="Arial"/>
      <scheme val="minor"/>
    </font>
    <font>
      <sz val="11"/>
      <color rgb="FF000000"/>
      <name val="Calibri"/>
      <family val="2"/>
    </font>
    <font>
      <sz val="10"/>
      <color theme="1"/>
      <name val="Arial"/>
      <family val="2"/>
      <scheme val="minor"/>
    </font>
    <font>
      <b/>
      <sz val="9"/>
      <color rgb="FFFFFFFF"/>
      <name val="Arial"/>
      <family val="2"/>
    </font>
    <font>
      <b/>
      <sz val="10"/>
      <color theme="1"/>
      <name val="&quot;Times New Roman&quot;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sz val="9"/>
      <color theme="1"/>
      <name val="Arial"/>
      <family val="2"/>
    </font>
    <font>
      <sz val="10"/>
      <color theme="1"/>
      <name val="&quot;Times New Roman&quot;"/>
    </font>
    <font>
      <b/>
      <sz val="10"/>
      <color theme="1"/>
      <name val="&quot;GDS Transport&quot;"/>
    </font>
    <font>
      <u/>
      <sz val="10"/>
      <color rgb="FF0000FF"/>
      <name val="Arial"/>
      <family val="2"/>
    </font>
    <font>
      <sz val="10"/>
      <color rgb="FF0B0C0C"/>
      <name val="&quot;GDS Transport&quot;"/>
    </font>
    <font>
      <b/>
      <sz val="14"/>
      <color theme="1"/>
      <name val="&quot;GDS Transport&quot;"/>
    </font>
    <font>
      <u/>
      <sz val="10"/>
      <color rgb="FF0000FF"/>
      <name val="Arial"/>
      <family val="2"/>
    </font>
    <font>
      <sz val="14"/>
      <color rgb="FF0B0C0C"/>
      <name val="&quot;GDS Transport&quot;"/>
    </font>
    <font>
      <sz val="10"/>
      <color rgb="FF0B0C0C"/>
      <name val="Arial"/>
      <family val="2"/>
    </font>
    <font>
      <sz val="14"/>
      <color rgb="FF0B0C0C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4669AF"/>
        <bgColor rgb="FF4669AF"/>
      </patternFill>
    </fill>
    <fill>
      <patternFill patternType="solid">
        <fgColor rgb="FFDCE6F1"/>
        <bgColor rgb="FFDCE6F1"/>
      </patternFill>
    </fill>
    <fill>
      <patternFill patternType="solid">
        <fgColor rgb="FFF6F6F6"/>
        <bgColor rgb="FFF6F6F6"/>
      </patternFill>
    </fill>
    <fill>
      <patternFill patternType="solid">
        <fgColor rgb="FFFF9900"/>
        <bgColor rgb="FFFF9900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/>
      <bottom style="thin">
        <color rgb="FFCECECE"/>
      </bottom>
      <diagonal/>
    </border>
    <border>
      <left/>
      <right/>
      <top/>
      <bottom style="thin">
        <color rgb="FFB1B4B6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4" fontId="1" fillId="0" borderId="0" xfId="0" applyNumberFormat="1" applyFont="1"/>
    <xf numFmtId="0" fontId="2" fillId="0" borderId="0" xfId="0" applyFont="1"/>
    <xf numFmtId="0" fontId="3" fillId="2" borderId="1" xfId="0" applyFont="1" applyFill="1" applyBorder="1" applyAlignment="1">
      <alignment horizontal="right"/>
    </xf>
    <xf numFmtId="0" fontId="3" fillId="2" borderId="1" xfId="0" applyFont="1" applyFill="1" applyBorder="1" applyAlignment="1">
      <alignment horizontal="left"/>
    </xf>
    <xf numFmtId="4" fontId="1" fillId="0" borderId="0" xfId="0" applyNumberFormat="1" applyFont="1" applyAlignment="1">
      <alignment horizontal="right"/>
    </xf>
    <xf numFmtId="0" fontId="4" fillId="0" borderId="0" xfId="0" applyFont="1" applyAlignment="1">
      <alignment horizontal="center"/>
    </xf>
    <xf numFmtId="4" fontId="2" fillId="0" borderId="0" xfId="0" applyNumberFormat="1" applyFont="1"/>
    <xf numFmtId="0" fontId="5" fillId="3" borderId="1" xfId="0" applyFont="1" applyFill="1" applyBorder="1" applyAlignment="1">
      <alignment horizontal="left"/>
    </xf>
    <xf numFmtId="0" fontId="6" fillId="0" borderId="0" xfId="0" applyFont="1" applyAlignment="1">
      <alignment horizontal="left" vertical="top" wrapText="1"/>
    </xf>
    <xf numFmtId="0" fontId="7" fillId="4" borderId="0" xfId="0" applyFont="1" applyFill="1" applyAlignment="1">
      <alignment horizontal="right"/>
    </xf>
    <xf numFmtId="0" fontId="8" fillId="5" borderId="0" xfId="0" applyFont="1" applyFill="1"/>
    <xf numFmtId="0" fontId="9" fillId="0" borderId="0" xfId="0" applyFont="1" applyAlignment="1">
      <alignment horizontal="left" vertical="top" wrapText="1"/>
    </xf>
    <xf numFmtId="0" fontId="8" fillId="5" borderId="0" xfId="0" applyFont="1" applyFill="1" applyAlignment="1">
      <alignment horizontal="right"/>
    </xf>
    <xf numFmtId="0" fontId="7" fillId="0" borderId="0" xfId="0" applyFont="1" applyAlignment="1">
      <alignment horizontal="right"/>
    </xf>
    <xf numFmtId="0" fontId="8" fillId="6" borderId="0" xfId="0" applyFont="1" applyFill="1"/>
    <xf numFmtId="0" fontId="8" fillId="6" borderId="0" xfId="0" applyFont="1" applyFill="1" applyAlignment="1">
      <alignment horizontal="right"/>
    </xf>
    <xf numFmtId="0" fontId="2" fillId="0" borderId="0" xfId="0" applyFont="1" applyAlignment="1">
      <alignment wrapText="1"/>
    </xf>
    <xf numFmtId="0" fontId="8" fillId="7" borderId="0" xfId="0" applyFont="1" applyFill="1"/>
    <xf numFmtId="0" fontId="8" fillId="7" borderId="0" xfId="0" applyFont="1" applyFill="1" applyAlignment="1">
      <alignment horizontal="right"/>
    </xf>
    <xf numFmtId="0" fontId="8" fillId="8" borderId="0" xfId="0" applyFont="1" applyFill="1"/>
    <xf numFmtId="0" fontId="8" fillId="8" borderId="0" xfId="0" applyFont="1" applyFill="1" applyAlignment="1">
      <alignment horizontal="right"/>
    </xf>
    <xf numFmtId="0" fontId="8" fillId="0" borderId="0" xfId="0" applyFont="1"/>
    <xf numFmtId="0" fontId="8" fillId="0" borderId="0" xfId="0" applyFont="1" applyAlignment="1">
      <alignment horizontal="right"/>
    </xf>
    <xf numFmtId="0" fontId="2" fillId="0" borderId="0" xfId="0" applyFont="1" applyAlignment="1">
      <alignment horizontal="left" vertical="center"/>
    </xf>
    <xf numFmtId="0" fontId="10" fillId="8" borderId="0" xfId="0" applyFont="1" applyFill="1" applyAlignment="1">
      <alignment wrapText="1"/>
    </xf>
    <xf numFmtId="0" fontId="2" fillId="8" borderId="0" xfId="0" applyFont="1" applyFill="1" applyAlignment="1">
      <alignment wrapText="1"/>
    </xf>
    <xf numFmtId="0" fontId="2" fillId="5" borderId="0" xfId="0" applyFont="1" applyFill="1" applyAlignment="1">
      <alignment vertical="center"/>
    </xf>
    <xf numFmtId="0" fontId="11" fillId="9" borderId="2" xfId="0" applyFont="1" applyFill="1" applyBorder="1" applyAlignment="1">
      <alignment vertical="top"/>
    </xf>
    <xf numFmtId="0" fontId="12" fillId="0" borderId="0" xfId="0" applyFont="1" applyAlignment="1">
      <alignment horizontal="center" vertical="center" wrapText="1"/>
    </xf>
    <xf numFmtId="0" fontId="13" fillId="8" borderId="0" xfId="0" applyFont="1" applyFill="1"/>
    <xf numFmtId="0" fontId="2" fillId="8" borderId="0" xfId="0" applyFont="1" applyFill="1"/>
    <xf numFmtId="0" fontId="14" fillId="9" borderId="3" xfId="0" applyFont="1" applyFill="1" applyBorder="1" applyAlignment="1">
      <alignment horizontal="center" vertical="top"/>
    </xf>
    <xf numFmtId="0" fontId="15" fillId="9" borderId="2" xfId="0" applyFont="1" applyFill="1" applyBorder="1" applyAlignment="1">
      <alignment vertical="top"/>
    </xf>
    <xf numFmtId="0" fontId="16" fillId="9" borderId="3" xfId="0" applyFont="1" applyFill="1" applyBorder="1" applyAlignment="1">
      <alignment horizontal="center" vertical="top"/>
    </xf>
    <xf numFmtId="0" fontId="11" fillId="5" borderId="2" xfId="0" applyFont="1" applyFill="1" applyBorder="1" applyAlignment="1">
      <alignment vertical="top"/>
    </xf>
    <xf numFmtId="0" fontId="15" fillId="5" borderId="2" xfId="0" applyFont="1" applyFill="1" applyBorder="1" applyAlignment="1">
      <alignment vertical="top"/>
    </xf>
    <xf numFmtId="0" fontId="2" fillId="6" borderId="0" xfId="0" applyFont="1" applyFill="1" applyAlignment="1">
      <alignment vertical="center"/>
    </xf>
    <xf numFmtId="0" fontId="2" fillId="7" borderId="0" xfId="0" applyFont="1" applyFill="1" applyAlignment="1">
      <alignment vertical="center"/>
    </xf>
    <xf numFmtId="0" fontId="2" fillId="8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horizontal="center"/>
    </xf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</cellXfs>
  <cellStyles count="1">
    <cellStyle name="Normal" xfId="0" builtinId="0"/>
  </cellStyles>
  <dxfs count="16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4">
    <tableStyle name="2025-26-style" pivot="0" count="4" xr9:uid="{00000000-0011-0000-FFFF-FFFF00000000}">
      <tableStyleElement type="wholeTable" size="0" dxfId="12"/>
      <tableStyleElement type="headerRow" dxfId="15"/>
      <tableStyleElement type="firstRowStripe" dxfId="14"/>
      <tableStyleElement type="secondRowStripe" dxfId="13"/>
    </tableStyle>
    <tableStyle name="2021-2022-style" pivot="0" count="4" xr9:uid="{00000000-0011-0000-FFFF-FFFF01000000}">
      <tableStyleElement type="wholeTable" size="0" dxfId="8"/>
      <tableStyleElement type="headerRow" dxfId="11"/>
      <tableStyleElement type="firstRowStripe" dxfId="10"/>
      <tableStyleElement type="secondRowStripe" dxfId="9"/>
    </tableStyle>
    <tableStyle name="checks-style" pivot="0" count="4" xr9:uid="{00000000-0011-0000-FFFF-FFFF02000000}">
      <tableStyleElement type="wholeTable" size="0" dxfId="4"/>
      <tableStyleElement type="headerRow" dxfId="7"/>
      <tableStyleElement type="firstRowStripe" dxfId="6"/>
      <tableStyleElement type="secondRowStripe" dxfId="5"/>
    </tableStyle>
    <tableStyle name="Wage to tresholds-style" pivot="0" count="4" xr9:uid="{00000000-0011-0000-FFFF-FFFF03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GB" b="0">
                <a:solidFill>
                  <a:srgbClr val="757575"/>
                </a:solidFill>
                <a:latin typeface="+mn-lt"/>
              </a:rPr>
              <a:t>wage/tau_2021 </a:t>
            </a:r>
            <a:r>
              <a:rPr lang="bg-BG" b="0">
                <a:solidFill>
                  <a:srgbClr val="757575"/>
                </a:solidFill>
                <a:latin typeface="+mn-lt"/>
              </a:rPr>
              <a:t>и </a:t>
            </a:r>
            <a:r>
              <a:rPr lang="en-GB" b="0">
                <a:solidFill>
                  <a:srgbClr val="757575"/>
                </a:solidFill>
                <a:latin typeface="+mn-lt"/>
              </a:rPr>
              <a:t>wage/tau_2025</a:t>
            </a:r>
          </a:p>
        </c:rich>
      </c:tx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strRef>
              <c:f>'Wage to tresholds'!$A$31</c:f>
              <c:strCache>
                <c:ptCount val="1"/>
                <c:pt idx="0">
                  <c:v>wage/tau_2021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yVal>
            <c:numRef>
              <c:f>'Wage to tresholds'!$A$32:$A$56</c:f>
              <c:numCache>
                <c:formatCode>General</c:formatCode>
                <c:ptCount val="25"/>
                <c:pt idx="0">
                  <c:v>0.64966631703296696</c:v>
                </c:pt>
                <c:pt idx="1">
                  <c:v>0.71566854285714288</c:v>
                </c:pt>
                <c:pt idx="2">
                  <c:v>0.76282457802197801</c:v>
                </c:pt>
                <c:pt idx="3">
                  <c:v>0.80512711071428567</c:v>
                </c:pt>
                <c:pt idx="4">
                  <c:v>0.83915570604395595</c:v>
                </c:pt>
                <c:pt idx="5">
                  <c:v>0.8576503895604396</c:v>
                </c:pt>
                <c:pt idx="6">
                  <c:v>0.87833523296703298</c:v>
                </c:pt>
                <c:pt idx="7">
                  <c:v>0.90027739038461529</c:v>
                </c:pt>
                <c:pt idx="8">
                  <c:v>0.91975899780219772</c:v>
                </c:pt>
                <c:pt idx="9">
                  <c:v>0.92029977802197804</c:v>
                </c:pt>
                <c:pt idx="10">
                  <c:v>1.0207226648351648</c:v>
                </c:pt>
                <c:pt idx="11">
                  <c:v>1.0743951016483517</c:v>
                </c:pt>
                <c:pt idx="12">
                  <c:v>1.1489822134615384</c:v>
                </c:pt>
                <c:pt idx="13">
                  <c:v>1.1625287579670329</c:v>
                </c:pt>
                <c:pt idx="14">
                  <c:v>1.1745205593406594</c:v>
                </c:pt>
                <c:pt idx="15">
                  <c:v>1.1917308898351648</c:v>
                </c:pt>
                <c:pt idx="16">
                  <c:v>1.245917067857143</c:v>
                </c:pt>
                <c:pt idx="17">
                  <c:v>1.2611465864810403</c:v>
                </c:pt>
                <c:pt idx="18">
                  <c:v>1.4717649788605973</c:v>
                </c:pt>
                <c:pt idx="19">
                  <c:v>1.4836751406484703</c:v>
                </c:pt>
                <c:pt idx="20">
                  <c:v>1.5350478548452096</c:v>
                </c:pt>
                <c:pt idx="21">
                  <c:v>1.5631194895768454</c:v>
                </c:pt>
                <c:pt idx="22">
                  <c:v>1.613096735226232</c:v>
                </c:pt>
                <c:pt idx="23">
                  <c:v>1.7048805774385591</c:v>
                </c:pt>
                <c:pt idx="24">
                  <c:v>2.3224490958783659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DE6-B24D-ACDE-8DEC95A42680}"/>
            </c:ext>
          </c:extLst>
        </c:ser>
        <c:ser>
          <c:idx val="1"/>
          <c:order val="1"/>
          <c:tx>
            <c:strRef>
              <c:f>'Wage to tresholds'!$B$31</c:f>
              <c:strCache>
                <c:ptCount val="1"/>
                <c:pt idx="0">
                  <c:v>wage/tau_2025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yVal>
            <c:numRef>
              <c:f>'Wage to tresholds'!$B$32:$B$56</c:f>
              <c:numCache>
                <c:formatCode>General</c:formatCode>
                <c:ptCount val="25"/>
                <c:pt idx="0">
                  <c:v>0.89139271829089839</c:v>
                </c:pt>
                <c:pt idx="1">
                  <c:v>0.91656460801872985</c:v>
                </c:pt>
                <c:pt idx="2">
                  <c:v>1.0548362310798947</c:v>
                </c:pt>
                <c:pt idx="3">
                  <c:v>1.2321813792215395</c:v>
                </c:pt>
                <c:pt idx="4">
                  <c:v>1.1459167669885864</c:v>
                </c:pt>
                <c:pt idx="5">
                  <c:v>0.98848074661984198</c:v>
                </c:pt>
                <c:pt idx="6">
                  <c:v>1.0072231299970735</c:v>
                </c:pt>
                <c:pt idx="7">
                  <c:v>1.0281376438981562</c:v>
                </c:pt>
                <c:pt idx="8">
                  <c:v>1.1640633659935615</c:v>
                </c:pt>
                <c:pt idx="9">
                  <c:v>1.1052793079309335</c:v>
                </c:pt>
                <c:pt idx="10">
                  <c:v>1.1914694471173544</c:v>
                </c:pt>
                <c:pt idx="11">
                  <c:v>1.5719770661984196</c:v>
                </c:pt>
                <c:pt idx="12">
                  <c:v>1.2473862928884987</c:v>
                </c:pt>
                <c:pt idx="13">
                  <c:v>1.30823077190518</c:v>
                </c:pt>
                <c:pt idx="14">
                  <c:v>1.4449756975124377</c:v>
                </c:pt>
                <c:pt idx="15">
                  <c:v>1.2548708340649692</c:v>
                </c:pt>
                <c:pt idx="16">
                  <c:v>1.2482799694468834</c:v>
                </c:pt>
                <c:pt idx="17">
                  <c:v>1.6305873538191396</c:v>
                </c:pt>
                <c:pt idx="18">
                  <c:v>1.4726800893572183</c:v>
                </c:pt>
                <c:pt idx="19">
                  <c:v>1.6026732760098348</c:v>
                </c:pt>
                <c:pt idx="20">
                  <c:v>1.3861868001404987</c:v>
                </c:pt>
                <c:pt idx="21">
                  <c:v>1.7459547874956094</c:v>
                </c:pt>
                <c:pt idx="22">
                  <c:v>1.776702660203723</c:v>
                </c:pt>
                <c:pt idx="23">
                  <c:v>2.1322398356164385</c:v>
                </c:pt>
                <c:pt idx="24">
                  <c:v>2.4720157468212154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DE6-B24D-ACDE-8DEC95A426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4910642"/>
        <c:axId val="627920590"/>
      </c:scatterChart>
      <c:valAx>
        <c:axId val="161491064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BG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BG"/>
          </a:p>
        </c:txPr>
        <c:crossAx val="627920590"/>
        <c:crosses val="autoZero"/>
        <c:crossBetween val="midCat"/>
      </c:valAx>
      <c:valAx>
        <c:axId val="62792059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BG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BG"/>
          </a:p>
        </c:txPr>
        <c:crossAx val="1614910642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BG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809625</xdr:colOff>
      <xdr:row>33</xdr:row>
      <xdr:rowOff>95250</xdr:rowOff>
    </xdr:from>
    <xdr:ext cx="5715000" cy="3533775"/>
    <xdr:graphicFrame macro="">
      <xdr:nvGraphicFramePr>
        <xdr:cNvPr id="2" name="Chart 1" title="Диаграма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Таблица1" displayName="Таблица1" ref="A1:F247">
  <tableColumns count="6">
    <tableColumn id="1" xr3:uid="{00000000-0010-0000-0000-000001000000}" name="Country of residence"/>
    <tableColumn id="2" xr3:uid="{00000000-0010-0000-0000-000002000000}" name="Currency"/>
    <tableColumn id="3" xr3:uid="{00000000-0010-0000-0000-000003000000}" name="Exchange rate"/>
    <tableColumn id="4" xr3:uid="{00000000-0010-0000-0000-000004000000}" name="Lower earnings threshold (GBP)"/>
    <tableColumn id="5" xr3:uid="{00000000-0010-0000-0000-000005000000}" name="Upper earnings threshold (GBP)"/>
    <tableColumn id="6" xr3:uid="{00000000-0010-0000-0000-000006000000}" name="Fixed monthly repayment (GBP)"/>
  </tableColumns>
  <tableStyleInfo name="2021-2022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Таблица2" displayName="Таблица2" ref="A1:F249">
  <tableColumns count="6">
    <tableColumn id="1" xr3:uid="{00000000-0010-0000-0100-000001000000}" name="Country"/>
    <tableColumn id="2" xr3:uid="{00000000-0010-0000-0100-000002000000}" name="Currency"/>
    <tableColumn id="3" xr3:uid="{00000000-0010-0000-0100-000003000000}" name="Exchange rate"/>
    <tableColumn id="4" xr3:uid="{00000000-0010-0000-0100-000004000000}" name="Lower earnings threshold (GBP)"/>
    <tableColumn id="5" xr3:uid="{00000000-0010-0000-0100-000005000000}" name="Upper earnings threshold (GBP)"/>
    <tableColumn id="6" xr3:uid="{00000000-0010-0000-0100-000006000000}" name="Fixed monthly repayment (GBP)"/>
  </tableColumns>
  <tableStyleInfo name="2025-26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omparisons_" displayName="comparisons_" ref="A9:F35">
  <tableColumns count="6">
    <tableColumn id="1" xr3:uid="{00000000-0010-0000-0200-000001000000}" name="Country"/>
    <tableColumn id="2" xr3:uid="{00000000-0010-0000-0200-000002000000}" name="ISO2"/>
    <tableColumn id="3" xr3:uid="{00000000-0010-0000-0200-000003000000}" name="Lower_2021_22"/>
    <tableColumn id="4" xr3:uid="{00000000-0010-0000-0200-000004000000}" name="Upper_2021_22"/>
    <tableColumn id="5" xr3:uid="{00000000-0010-0000-0200-000005000000}" name="Lower_2025_26"/>
    <tableColumn id="6" xr3:uid="{00000000-0010-0000-0200-000006000000}" name="Upper_2025_26"/>
  </tableColumns>
  <tableStyleInfo name="checks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Таблица3" displayName="Таблица3" ref="A31:B56">
  <tableColumns count="2">
    <tableColumn id="1" xr3:uid="{00000000-0010-0000-0300-000001000000}" name="wage/tau_2021"/>
    <tableColumn id="2" xr3:uid="{00000000-0010-0000-0300-000002000000}" name="wage/tau_2025"/>
  </tableColumns>
  <tableStyleInfo name="Wage to treshold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247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/>
  <cols>
    <col min="1" max="1" width="24.1640625" customWidth="1"/>
    <col min="2" max="2" width="25.1640625" customWidth="1"/>
    <col min="4" max="4" width="19.5" customWidth="1"/>
    <col min="5" max="5" width="18.6640625" customWidth="1"/>
    <col min="6" max="6" width="15.5" customWidth="1"/>
  </cols>
  <sheetData>
    <row r="1" spans="1:9" ht="57" customHeight="1">
      <c r="A1" s="30" t="s">
        <v>69</v>
      </c>
      <c r="B1" s="30" t="s">
        <v>12</v>
      </c>
      <c r="C1" s="30" t="s">
        <v>15</v>
      </c>
      <c r="D1" s="30" t="s">
        <v>20</v>
      </c>
      <c r="E1" s="30" t="s">
        <v>22</v>
      </c>
      <c r="F1" s="30" t="s">
        <v>25</v>
      </c>
      <c r="H1" s="31" t="s">
        <v>86</v>
      </c>
      <c r="I1" s="32" t="s">
        <v>61</v>
      </c>
    </row>
    <row r="2" spans="1:9" ht="22.5" customHeight="1">
      <c r="A2" s="33" t="s">
        <v>66</v>
      </c>
      <c r="B2" s="33" t="s">
        <v>70</v>
      </c>
      <c r="C2" s="33" t="s">
        <v>72</v>
      </c>
      <c r="D2" s="33" t="s">
        <v>99</v>
      </c>
      <c r="E2" s="33" t="s">
        <v>100</v>
      </c>
      <c r="F2" s="33" t="s">
        <v>101</v>
      </c>
    </row>
    <row r="3" spans="1:9" ht="22.5" customHeight="1">
      <c r="A3" s="33" t="s">
        <v>90</v>
      </c>
      <c r="B3" s="33" t="s">
        <v>91</v>
      </c>
      <c r="C3" s="33" t="s">
        <v>102</v>
      </c>
      <c r="D3" s="33" t="s">
        <v>104</v>
      </c>
      <c r="E3" s="33" t="s">
        <v>106</v>
      </c>
      <c r="F3" s="33" t="s">
        <v>107</v>
      </c>
    </row>
    <row r="4" spans="1:9" ht="22.5" customHeight="1">
      <c r="A4" s="33" t="s">
        <v>96</v>
      </c>
      <c r="B4" s="33" t="s">
        <v>97</v>
      </c>
      <c r="C4" s="33" t="s">
        <v>111</v>
      </c>
      <c r="D4" s="33" t="s">
        <v>104</v>
      </c>
      <c r="E4" s="33" t="s">
        <v>106</v>
      </c>
      <c r="F4" s="33" t="s">
        <v>107</v>
      </c>
    </row>
    <row r="5" spans="1:9" ht="22.5" customHeight="1">
      <c r="A5" s="33" t="s">
        <v>103</v>
      </c>
      <c r="B5" s="33" t="s">
        <v>105</v>
      </c>
      <c r="C5" s="33" t="s">
        <v>114</v>
      </c>
      <c r="D5" s="33" t="s">
        <v>116</v>
      </c>
      <c r="E5" s="33" t="s">
        <v>117</v>
      </c>
      <c r="F5" s="33" t="s">
        <v>119</v>
      </c>
    </row>
    <row r="6" spans="1:9" ht="22.5" customHeight="1">
      <c r="A6" s="33" t="s">
        <v>113</v>
      </c>
      <c r="B6" s="33" t="s">
        <v>82</v>
      </c>
      <c r="C6" s="33" t="s">
        <v>122</v>
      </c>
      <c r="D6" s="33" t="s">
        <v>124</v>
      </c>
      <c r="E6" s="33" t="s">
        <v>126</v>
      </c>
      <c r="F6" s="33" t="s">
        <v>127</v>
      </c>
    </row>
    <row r="7" spans="1:9" ht="22.5" customHeight="1">
      <c r="A7" s="33" t="s">
        <v>121</v>
      </c>
      <c r="B7" s="33" t="s">
        <v>123</v>
      </c>
      <c r="C7" s="33" t="s">
        <v>128</v>
      </c>
      <c r="D7" s="33" t="s">
        <v>104</v>
      </c>
      <c r="E7" s="33" t="s">
        <v>106</v>
      </c>
      <c r="F7" s="33" t="s">
        <v>107</v>
      </c>
    </row>
    <row r="8" spans="1:9" ht="22.5" customHeight="1">
      <c r="A8" s="33" t="s">
        <v>129</v>
      </c>
      <c r="B8" s="33" t="s">
        <v>130</v>
      </c>
      <c r="C8" s="33" t="s">
        <v>132</v>
      </c>
      <c r="D8" s="33" t="s">
        <v>124</v>
      </c>
      <c r="E8" s="33" t="s">
        <v>126</v>
      </c>
      <c r="F8" s="33" t="s">
        <v>127</v>
      </c>
    </row>
    <row r="9" spans="1:9" ht="22.5" customHeight="1">
      <c r="A9" s="33" t="s">
        <v>133</v>
      </c>
      <c r="B9" s="33" t="s">
        <v>105</v>
      </c>
      <c r="C9" s="33" t="s">
        <v>114</v>
      </c>
      <c r="D9" s="33" t="s">
        <v>116</v>
      </c>
      <c r="E9" s="33" t="s">
        <v>117</v>
      </c>
      <c r="F9" s="33" t="s">
        <v>119</v>
      </c>
    </row>
    <row r="10" spans="1:9" ht="22.5" customHeight="1">
      <c r="A10" s="33" t="s">
        <v>134</v>
      </c>
      <c r="B10" s="33" t="s">
        <v>130</v>
      </c>
      <c r="C10" s="33" t="s">
        <v>132</v>
      </c>
      <c r="D10" s="35" t="s">
        <v>142</v>
      </c>
      <c r="E10" s="33" t="s">
        <v>145</v>
      </c>
      <c r="F10" s="33" t="s">
        <v>147</v>
      </c>
    </row>
    <row r="11" spans="1:9" ht="22.5" customHeight="1">
      <c r="A11" s="33" t="s">
        <v>135</v>
      </c>
      <c r="B11" s="33" t="s">
        <v>136</v>
      </c>
      <c r="C11" s="33" t="s">
        <v>148</v>
      </c>
      <c r="D11" s="33" t="s">
        <v>151</v>
      </c>
      <c r="E11" s="33" t="s">
        <v>153</v>
      </c>
      <c r="F11" s="33" t="s">
        <v>154</v>
      </c>
    </row>
    <row r="12" spans="1:9" ht="22.5" customHeight="1">
      <c r="A12" s="33" t="s">
        <v>143</v>
      </c>
      <c r="B12" s="33" t="s">
        <v>144</v>
      </c>
      <c r="C12" s="33" t="s">
        <v>157</v>
      </c>
      <c r="D12" s="33" t="s">
        <v>104</v>
      </c>
      <c r="E12" s="33" t="s">
        <v>106</v>
      </c>
      <c r="F12" s="33" t="s">
        <v>107</v>
      </c>
    </row>
    <row r="13" spans="1:9" ht="22.5" customHeight="1">
      <c r="A13" s="33" t="s">
        <v>149</v>
      </c>
      <c r="B13" s="33" t="s">
        <v>150</v>
      </c>
      <c r="C13" s="33" t="s">
        <v>159</v>
      </c>
      <c r="D13" s="33" t="s">
        <v>124</v>
      </c>
      <c r="E13" s="33" t="s">
        <v>126</v>
      </c>
      <c r="F13" s="33" t="s">
        <v>127</v>
      </c>
    </row>
    <row r="14" spans="1:9" ht="22.5" customHeight="1">
      <c r="A14" s="33" t="s">
        <v>155</v>
      </c>
      <c r="B14" s="33" t="s">
        <v>156</v>
      </c>
      <c r="C14" s="33" t="s">
        <v>163</v>
      </c>
      <c r="D14" s="33" t="s">
        <v>116</v>
      </c>
      <c r="E14" s="33" t="s">
        <v>117</v>
      </c>
      <c r="F14" s="33" t="s">
        <v>119</v>
      </c>
    </row>
    <row r="15" spans="1:9" ht="22.5" customHeight="1">
      <c r="A15" s="33" t="s">
        <v>71</v>
      </c>
      <c r="B15" s="33" t="s">
        <v>82</v>
      </c>
      <c r="C15" s="35">
        <v>0.88579799999999997</v>
      </c>
      <c r="D15" s="33" t="s">
        <v>124</v>
      </c>
      <c r="E15" s="33" t="s">
        <v>126</v>
      </c>
      <c r="F15" s="33" t="s">
        <v>127</v>
      </c>
    </row>
    <row r="16" spans="1:9" ht="22.5" customHeight="1">
      <c r="A16" s="33" t="s">
        <v>160</v>
      </c>
      <c r="B16" s="33" t="s">
        <v>161</v>
      </c>
      <c r="C16" s="33" t="s">
        <v>169</v>
      </c>
      <c r="D16" s="33" t="s">
        <v>104</v>
      </c>
      <c r="E16" s="33" t="s">
        <v>106</v>
      </c>
      <c r="F16" s="33" t="s">
        <v>107</v>
      </c>
    </row>
    <row r="17" spans="1:6" ht="22.5" customHeight="1">
      <c r="A17" s="33" t="s">
        <v>164</v>
      </c>
      <c r="B17" s="33" t="s">
        <v>165</v>
      </c>
      <c r="C17" s="33" t="s">
        <v>114</v>
      </c>
      <c r="D17" s="33" t="s">
        <v>124</v>
      </c>
      <c r="E17" s="33" t="s">
        <v>126</v>
      </c>
      <c r="F17" s="33" t="s">
        <v>127</v>
      </c>
    </row>
    <row r="18" spans="1:6" ht="22.5" customHeight="1">
      <c r="A18" s="33" t="s">
        <v>167</v>
      </c>
      <c r="B18" s="33" t="s">
        <v>168</v>
      </c>
      <c r="C18" s="33" t="s">
        <v>175</v>
      </c>
      <c r="D18" s="33" t="s">
        <v>151</v>
      </c>
      <c r="E18" s="33" t="s">
        <v>153</v>
      </c>
      <c r="F18" s="33" t="s">
        <v>154</v>
      </c>
    </row>
    <row r="19" spans="1:6" ht="22.5" customHeight="1">
      <c r="A19" s="33" t="s">
        <v>171</v>
      </c>
      <c r="B19" s="33" t="s">
        <v>172</v>
      </c>
      <c r="C19" s="33" t="s">
        <v>182</v>
      </c>
      <c r="D19" s="33" t="s">
        <v>104</v>
      </c>
      <c r="E19" s="33" t="s">
        <v>106</v>
      </c>
      <c r="F19" s="33" t="s">
        <v>107</v>
      </c>
    </row>
    <row r="20" spans="1:6" ht="22.5" customHeight="1">
      <c r="A20" s="33" t="s">
        <v>174</v>
      </c>
      <c r="B20" s="33" t="s">
        <v>176</v>
      </c>
      <c r="C20" s="33" t="s">
        <v>185</v>
      </c>
      <c r="D20" s="33" t="s">
        <v>116</v>
      </c>
      <c r="E20" s="33" t="s">
        <v>117</v>
      </c>
      <c r="F20" s="33" t="s">
        <v>119</v>
      </c>
    </row>
    <row r="21" spans="1:6" ht="22.5" customHeight="1">
      <c r="A21" s="33" t="s">
        <v>181</v>
      </c>
      <c r="B21" s="33" t="s">
        <v>183</v>
      </c>
      <c r="C21" s="33" t="s">
        <v>186</v>
      </c>
      <c r="D21" s="33" t="s">
        <v>104</v>
      </c>
      <c r="E21" s="33" t="s">
        <v>106</v>
      </c>
      <c r="F21" s="33" t="s">
        <v>107</v>
      </c>
    </row>
    <row r="22" spans="1:6" ht="22.5" customHeight="1">
      <c r="A22" s="33" t="s">
        <v>17</v>
      </c>
      <c r="B22" s="33" t="s">
        <v>82</v>
      </c>
      <c r="C22" s="33" t="s">
        <v>122</v>
      </c>
      <c r="D22" s="33" t="s">
        <v>124</v>
      </c>
      <c r="E22" s="33" t="s">
        <v>126</v>
      </c>
      <c r="F22" s="33" t="s">
        <v>127</v>
      </c>
    </row>
    <row r="23" spans="1:6" ht="22.5" customHeight="1">
      <c r="A23" s="33" t="s">
        <v>187</v>
      </c>
      <c r="B23" s="33" t="s">
        <v>188</v>
      </c>
      <c r="C23" s="33" t="s">
        <v>185</v>
      </c>
      <c r="D23" s="33" t="s">
        <v>142</v>
      </c>
      <c r="E23" s="33" t="s">
        <v>145</v>
      </c>
      <c r="F23" s="33" t="s">
        <v>147</v>
      </c>
    </row>
    <row r="24" spans="1:6" ht="22.5" customHeight="1">
      <c r="A24" s="33" t="s">
        <v>191</v>
      </c>
      <c r="B24" s="33" t="s">
        <v>192</v>
      </c>
      <c r="C24" s="33" t="s">
        <v>194</v>
      </c>
      <c r="D24" s="33" t="s">
        <v>104</v>
      </c>
      <c r="E24" s="33" t="s">
        <v>106</v>
      </c>
      <c r="F24" s="33" t="s">
        <v>107</v>
      </c>
    </row>
    <row r="25" spans="1:6" ht="22.5" customHeight="1">
      <c r="A25" s="33" t="s">
        <v>195</v>
      </c>
      <c r="B25" s="33" t="s">
        <v>196</v>
      </c>
      <c r="C25" s="33" t="s">
        <v>114</v>
      </c>
      <c r="D25" s="33" t="s">
        <v>124</v>
      </c>
      <c r="E25" s="33" t="s">
        <v>126</v>
      </c>
      <c r="F25" s="33" t="s">
        <v>127</v>
      </c>
    </row>
    <row r="26" spans="1:6" ht="22.5" customHeight="1">
      <c r="A26" s="33" t="s">
        <v>197</v>
      </c>
      <c r="B26" s="33" t="s">
        <v>198</v>
      </c>
      <c r="C26" s="33" t="s">
        <v>200</v>
      </c>
      <c r="D26" s="33" t="s">
        <v>104</v>
      </c>
      <c r="E26" s="33" t="s">
        <v>106</v>
      </c>
      <c r="F26" s="33" t="s">
        <v>107</v>
      </c>
    </row>
    <row r="27" spans="1:6" ht="22.5" customHeight="1">
      <c r="A27" s="33" t="s">
        <v>202</v>
      </c>
      <c r="B27" s="33" t="s">
        <v>203</v>
      </c>
      <c r="C27" s="33" t="s">
        <v>205</v>
      </c>
      <c r="D27" s="33" t="s">
        <v>104</v>
      </c>
      <c r="E27" s="33" t="s">
        <v>106</v>
      </c>
      <c r="F27" s="33" t="s">
        <v>107</v>
      </c>
    </row>
    <row r="28" spans="1:6" ht="22.5" customHeight="1">
      <c r="A28" s="33" t="s">
        <v>206</v>
      </c>
      <c r="B28" s="33" t="s">
        <v>105</v>
      </c>
      <c r="C28" s="33" t="s">
        <v>114</v>
      </c>
      <c r="D28" s="33" t="s">
        <v>124</v>
      </c>
      <c r="E28" s="33" t="s">
        <v>126</v>
      </c>
      <c r="F28" s="33" t="s">
        <v>127</v>
      </c>
    </row>
    <row r="29" spans="1:6" ht="22.5" customHeight="1">
      <c r="A29" s="33" t="s">
        <v>207</v>
      </c>
      <c r="B29" s="33" t="s">
        <v>208</v>
      </c>
      <c r="C29" s="33" t="s">
        <v>212</v>
      </c>
      <c r="D29" s="33" t="s">
        <v>104</v>
      </c>
      <c r="E29" s="33" t="s">
        <v>106</v>
      </c>
      <c r="F29" s="33" t="s">
        <v>107</v>
      </c>
    </row>
    <row r="30" spans="1:6" ht="22.5" customHeight="1">
      <c r="A30" s="33" t="s">
        <v>210</v>
      </c>
      <c r="B30" s="33" t="s">
        <v>211</v>
      </c>
      <c r="C30" s="33" t="s">
        <v>216</v>
      </c>
      <c r="D30" s="33" t="s">
        <v>104</v>
      </c>
      <c r="E30" s="33" t="s">
        <v>106</v>
      </c>
      <c r="F30" s="33" t="s">
        <v>107</v>
      </c>
    </row>
    <row r="31" spans="1:6" ht="22.5" customHeight="1">
      <c r="A31" s="33" t="s">
        <v>214</v>
      </c>
      <c r="B31" s="33" t="s">
        <v>215</v>
      </c>
      <c r="C31" s="33" t="s">
        <v>221</v>
      </c>
      <c r="D31" s="33" t="s">
        <v>116</v>
      </c>
      <c r="E31" s="33" t="s">
        <v>117</v>
      </c>
      <c r="F31" s="33" t="s">
        <v>119</v>
      </c>
    </row>
    <row r="32" spans="1:6" ht="22.5" customHeight="1">
      <c r="A32" s="33" t="s">
        <v>218</v>
      </c>
      <c r="B32" s="33" t="s">
        <v>219</v>
      </c>
      <c r="C32" s="33" t="s">
        <v>223</v>
      </c>
      <c r="D32" s="33" t="s">
        <v>151</v>
      </c>
      <c r="E32" s="33" t="s">
        <v>153</v>
      </c>
      <c r="F32" s="33" t="s">
        <v>154</v>
      </c>
    </row>
    <row r="33" spans="1:6" ht="22.5" customHeight="1">
      <c r="A33" s="33" t="s">
        <v>222</v>
      </c>
      <c r="B33" s="33" t="s">
        <v>105</v>
      </c>
      <c r="C33" s="33" t="s">
        <v>114</v>
      </c>
      <c r="D33" s="33" t="s">
        <v>124</v>
      </c>
      <c r="E33" s="33" t="s">
        <v>126</v>
      </c>
      <c r="F33" s="33" t="s">
        <v>127</v>
      </c>
    </row>
    <row r="34" spans="1:6" ht="22.5" customHeight="1">
      <c r="A34" s="33" t="s">
        <v>224</v>
      </c>
      <c r="B34" s="33" t="s">
        <v>225</v>
      </c>
      <c r="C34" s="33" t="s">
        <v>228</v>
      </c>
      <c r="D34" s="33" t="s">
        <v>151</v>
      </c>
      <c r="E34" s="33" t="s">
        <v>153</v>
      </c>
      <c r="F34" s="33" t="s">
        <v>154</v>
      </c>
    </row>
    <row r="35" spans="1:6" ht="22.5" customHeight="1">
      <c r="A35" s="33" t="s">
        <v>23</v>
      </c>
      <c r="B35" s="33" t="s">
        <v>227</v>
      </c>
      <c r="C35" s="33" t="s">
        <v>230</v>
      </c>
      <c r="D35" s="33" t="s">
        <v>104</v>
      </c>
      <c r="E35" s="33" t="s">
        <v>106</v>
      </c>
      <c r="F35" s="33" t="s">
        <v>107</v>
      </c>
    </row>
    <row r="36" spans="1:6" ht="22.5" customHeight="1">
      <c r="A36" s="33" t="s">
        <v>229</v>
      </c>
      <c r="B36" s="33" t="s">
        <v>192</v>
      </c>
      <c r="C36" s="33" t="s">
        <v>194</v>
      </c>
      <c r="D36" s="33" t="s">
        <v>104</v>
      </c>
      <c r="E36" s="33" t="s">
        <v>106</v>
      </c>
      <c r="F36" s="33" t="s">
        <v>107</v>
      </c>
    </row>
    <row r="37" spans="1:6" ht="22.5" customHeight="1">
      <c r="A37" s="33" t="s">
        <v>231</v>
      </c>
      <c r="B37" s="33" t="s">
        <v>233</v>
      </c>
      <c r="C37" s="33" t="s">
        <v>237</v>
      </c>
      <c r="D37" s="33" t="s">
        <v>104</v>
      </c>
      <c r="E37" s="33" t="s">
        <v>106</v>
      </c>
      <c r="F37" s="33" t="s">
        <v>107</v>
      </c>
    </row>
    <row r="38" spans="1:6" ht="22.5" customHeight="1">
      <c r="A38" s="33" t="s">
        <v>235</v>
      </c>
      <c r="B38" s="33" t="s">
        <v>236</v>
      </c>
      <c r="C38" s="33" t="s">
        <v>238</v>
      </c>
      <c r="D38" s="33" t="s">
        <v>104</v>
      </c>
      <c r="E38" s="33" t="s">
        <v>106</v>
      </c>
      <c r="F38" s="33" t="s">
        <v>107</v>
      </c>
    </row>
    <row r="39" spans="1:6" ht="22.5" customHeight="1">
      <c r="A39" s="33" t="s">
        <v>239</v>
      </c>
      <c r="B39" s="33" t="s">
        <v>192</v>
      </c>
      <c r="C39" s="33" t="s">
        <v>194</v>
      </c>
      <c r="D39" s="33" t="s">
        <v>104</v>
      </c>
      <c r="E39" s="33" t="s">
        <v>106</v>
      </c>
      <c r="F39" s="33" t="s">
        <v>107</v>
      </c>
    </row>
    <row r="40" spans="1:6" ht="22.5" customHeight="1">
      <c r="A40" s="33" t="s">
        <v>240</v>
      </c>
      <c r="B40" s="33" t="s">
        <v>241</v>
      </c>
      <c r="C40" s="33" t="s">
        <v>245</v>
      </c>
      <c r="D40" s="33" t="s">
        <v>124</v>
      </c>
      <c r="E40" s="33" t="s">
        <v>126</v>
      </c>
      <c r="F40" s="33" t="s">
        <v>127</v>
      </c>
    </row>
    <row r="41" spans="1:6" ht="22.5" customHeight="1">
      <c r="A41" s="33" t="s">
        <v>243</v>
      </c>
      <c r="B41" s="33" t="s">
        <v>244</v>
      </c>
      <c r="C41" s="33" t="s">
        <v>250</v>
      </c>
      <c r="D41" s="33" t="s">
        <v>151</v>
      </c>
      <c r="E41" s="33" t="s">
        <v>153</v>
      </c>
      <c r="F41" s="33" t="s">
        <v>154</v>
      </c>
    </row>
    <row r="42" spans="1:6" ht="22.5" customHeight="1">
      <c r="A42" s="33" t="s">
        <v>247</v>
      </c>
      <c r="B42" s="33" t="s">
        <v>248</v>
      </c>
      <c r="C42" s="33" t="s">
        <v>252</v>
      </c>
      <c r="D42" s="33" t="s">
        <v>116</v>
      </c>
      <c r="E42" s="33" t="s">
        <v>117</v>
      </c>
      <c r="F42" s="33" t="s">
        <v>119</v>
      </c>
    </row>
    <row r="43" spans="1:6" ht="22.5" customHeight="1">
      <c r="A43" s="33" t="s">
        <v>251</v>
      </c>
      <c r="B43" s="33" t="s">
        <v>192</v>
      </c>
      <c r="C43" s="33" t="s">
        <v>194</v>
      </c>
      <c r="D43" s="33" t="s">
        <v>151</v>
      </c>
      <c r="E43" s="33" t="s">
        <v>153</v>
      </c>
      <c r="F43" s="33" t="s">
        <v>154</v>
      </c>
    </row>
    <row r="44" spans="1:6" ht="22.5" customHeight="1">
      <c r="A44" s="33" t="s">
        <v>253</v>
      </c>
      <c r="B44" s="33" t="s">
        <v>192</v>
      </c>
      <c r="C44" s="33" t="s">
        <v>194</v>
      </c>
      <c r="D44" s="33" t="s">
        <v>104</v>
      </c>
      <c r="E44" s="33" t="s">
        <v>106</v>
      </c>
      <c r="F44" s="33" t="s">
        <v>107</v>
      </c>
    </row>
    <row r="45" spans="1:6" ht="22.5" customHeight="1">
      <c r="A45" s="33" t="s">
        <v>254</v>
      </c>
      <c r="B45" s="33" t="s">
        <v>255</v>
      </c>
      <c r="C45" s="33">
        <v>1</v>
      </c>
      <c r="D45" s="33" t="s">
        <v>124</v>
      </c>
      <c r="E45" s="33" t="s">
        <v>126</v>
      </c>
      <c r="F45" s="33" t="s">
        <v>127</v>
      </c>
    </row>
    <row r="46" spans="1:6" ht="22.5" customHeight="1">
      <c r="A46" s="33" t="s">
        <v>256</v>
      </c>
      <c r="B46" s="33" t="s">
        <v>257</v>
      </c>
      <c r="C46" s="33" t="s">
        <v>263</v>
      </c>
      <c r="D46" s="33" t="s">
        <v>151</v>
      </c>
      <c r="E46" s="33" t="s">
        <v>153</v>
      </c>
      <c r="F46" s="33" t="s">
        <v>154</v>
      </c>
    </row>
    <row r="47" spans="1:6" ht="22.5" customHeight="1">
      <c r="A47" s="33" t="s">
        <v>259</v>
      </c>
      <c r="B47" s="33" t="s">
        <v>261</v>
      </c>
      <c r="C47" s="33" t="s">
        <v>265</v>
      </c>
      <c r="D47" s="33" t="s">
        <v>142</v>
      </c>
      <c r="E47" s="33" t="s">
        <v>145</v>
      </c>
      <c r="F47" s="33" t="s">
        <v>147</v>
      </c>
    </row>
    <row r="48" spans="1:6" ht="22.5" customHeight="1">
      <c r="A48" s="33" t="s">
        <v>264</v>
      </c>
      <c r="B48" s="33" t="s">
        <v>156</v>
      </c>
      <c r="C48" s="33" t="s">
        <v>163</v>
      </c>
      <c r="D48" s="33" t="s">
        <v>116</v>
      </c>
      <c r="E48" s="33" t="s">
        <v>117</v>
      </c>
      <c r="F48" s="33" t="s">
        <v>119</v>
      </c>
    </row>
    <row r="49" spans="1:6" ht="22.5" customHeight="1">
      <c r="A49" s="33" t="s">
        <v>266</v>
      </c>
      <c r="B49" s="33" t="s">
        <v>156</v>
      </c>
      <c r="C49" s="33" t="s">
        <v>163</v>
      </c>
      <c r="D49" s="33" t="s">
        <v>116</v>
      </c>
      <c r="E49" s="33" t="s">
        <v>117</v>
      </c>
      <c r="F49" s="33" t="s">
        <v>119</v>
      </c>
    </row>
    <row r="50" spans="1:6" ht="22.5" customHeight="1">
      <c r="A50" s="33" t="s">
        <v>267</v>
      </c>
      <c r="B50" s="33" t="s">
        <v>268</v>
      </c>
      <c r="C50" s="33" t="s">
        <v>273</v>
      </c>
      <c r="D50" s="33" t="s">
        <v>104</v>
      </c>
      <c r="E50" s="33" t="s">
        <v>106</v>
      </c>
      <c r="F50" s="33" t="s">
        <v>107</v>
      </c>
    </row>
    <row r="51" spans="1:6" ht="22.5" customHeight="1">
      <c r="A51" s="33" t="s">
        <v>270</v>
      </c>
      <c r="B51" s="33" t="s">
        <v>271</v>
      </c>
      <c r="C51" s="33" t="s">
        <v>277</v>
      </c>
      <c r="D51" s="33" t="s">
        <v>151</v>
      </c>
      <c r="E51" s="33" t="s">
        <v>153</v>
      </c>
      <c r="F51" s="33" t="s">
        <v>154</v>
      </c>
    </row>
    <row r="52" spans="1:6" ht="22.5" customHeight="1">
      <c r="A52" s="33" t="s">
        <v>274</v>
      </c>
      <c r="B52" s="33" t="s">
        <v>275</v>
      </c>
      <c r="C52" s="33" t="s">
        <v>279</v>
      </c>
      <c r="D52" s="33" t="s">
        <v>151</v>
      </c>
      <c r="E52" s="33" t="s">
        <v>153</v>
      </c>
      <c r="F52" s="33" t="s">
        <v>154</v>
      </c>
    </row>
    <row r="53" spans="1:6" ht="22.5" customHeight="1">
      <c r="A53" s="33" t="s">
        <v>278</v>
      </c>
      <c r="B53" s="33" t="s">
        <v>275</v>
      </c>
      <c r="C53" s="33" t="s">
        <v>279</v>
      </c>
      <c r="D53" s="33" t="s">
        <v>151</v>
      </c>
      <c r="E53" s="33" t="s">
        <v>153</v>
      </c>
      <c r="F53" s="33" t="s">
        <v>154</v>
      </c>
    </row>
    <row r="54" spans="1:6" ht="22.5" customHeight="1">
      <c r="A54" s="33" t="s">
        <v>280</v>
      </c>
      <c r="B54" s="33" t="s">
        <v>281</v>
      </c>
      <c r="C54" s="33" t="s">
        <v>283</v>
      </c>
      <c r="D54" s="33" t="s">
        <v>116</v>
      </c>
      <c r="E54" s="33" t="s">
        <v>117</v>
      </c>
      <c r="F54" s="33" t="s">
        <v>119</v>
      </c>
    </row>
    <row r="55" spans="1:6" ht="22.5" customHeight="1">
      <c r="A55" s="33" t="s">
        <v>284</v>
      </c>
      <c r="B55" s="33" t="s">
        <v>285</v>
      </c>
      <c r="C55" s="33" t="s">
        <v>286</v>
      </c>
      <c r="D55" s="33" t="s">
        <v>151</v>
      </c>
      <c r="E55" s="33" t="s">
        <v>153</v>
      </c>
      <c r="F55" s="33" t="s">
        <v>154</v>
      </c>
    </row>
    <row r="56" spans="1:6" ht="22.5" customHeight="1">
      <c r="A56" s="33" t="s">
        <v>289</v>
      </c>
      <c r="B56" s="33" t="s">
        <v>192</v>
      </c>
      <c r="C56" s="33" t="s">
        <v>194</v>
      </c>
      <c r="D56" s="33" t="s">
        <v>104</v>
      </c>
      <c r="E56" s="33" t="s">
        <v>106</v>
      </c>
      <c r="F56" s="33" t="s">
        <v>107</v>
      </c>
    </row>
    <row r="57" spans="1:6" ht="22.5" customHeight="1">
      <c r="A57" s="33" t="s">
        <v>53</v>
      </c>
      <c r="B57" s="33" t="s">
        <v>290</v>
      </c>
      <c r="C57" s="33" t="s">
        <v>291</v>
      </c>
      <c r="D57" s="33" t="s">
        <v>151</v>
      </c>
      <c r="E57" s="33" t="s">
        <v>153</v>
      </c>
      <c r="F57" s="33" t="s">
        <v>154</v>
      </c>
    </row>
    <row r="58" spans="1:6" ht="22.5" customHeight="1">
      <c r="A58" s="33" t="s">
        <v>292</v>
      </c>
      <c r="B58" s="33" t="s">
        <v>293</v>
      </c>
      <c r="C58" s="33" t="s">
        <v>114</v>
      </c>
      <c r="D58" s="33" t="s">
        <v>151</v>
      </c>
      <c r="E58" s="33" t="s">
        <v>153</v>
      </c>
      <c r="F58" s="33" t="s">
        <v>154</v>
      </c>
    </row>
    <row r="59" spans="1:6" ht="22.5" customHeight="1">
      <c r="A59" s="33" t="s">
        <v>295</v>
      </c>
      <c r="B59" s="33" t="s">
        <v>296</v>
      </c>
      <c r="C59" s="33" t="s">
        <v>159</v>
      </c>
      <c r="D59" s="33" t="s">
        <v>124</v>
      </c>
      <c r="E59" s="33" t="s">
        <v>126</v>
      </c>
      <c r="F59" s="33" t="s">
        <v>127</v>
      </c>
    </row>
    <row r="60" spans="1:6" ht="22.5" customHeight="1">
      <c r="A60" s="33" t="s">
        <v>58</v>
      </c>
      <c r="B60" s="33" t="s">
        <v>82</v>
      </c>
      <c r="C60" s="33" t="s">
        <v>122</v>
      </c>
      <c r="D60" s="33" t="s">
        <v>142</v>
      </c>
      <c r="E60" s="33" t="s">
        <v>145</v>
      </c>
      <c r="F60" s="33" t="s">
        <v>147</v>
      </c>
    </row>
    <row r="61" spans="1:6" ht="22.5" customHeight="1">
      <c r="A61" s="33" t="s">
        <v>297</v>
      </c>
      <c r="B61" s="33" t="s">
        <v>298</v>
      </c>
      <c r="C61" s="33" t="s">
        <v>302</v>
      </c>
      <c r="D61" s="33" t="s">
        <v>151</v>
      </c>
      <c r="E61" s="33" t="s">
        <v>153</v>
      </c>
      <c r="F61" s="33" t="s">
        <v>154</v>
      </c>
    </row>
    <row r="62" spans="1:6" ht="22.5" customHeight="1">
      <c r="A62" s="33" t="s">
        <v>34</v>
      </c>
      <c r="B62" s="33" t="s">
        <v>300</v>
      </c>
      <c r="C62" s="33" t="s">
        <v>320</v>
      </c>
      <c r="D62" s="33" t="s">
        <v>116</v>
      </c>
      <c r="E62" s="33" t="s">
        <v>117</v>
      </c>
      <c r="F62" s="33" t="s">
        <v>119</v>
      </c>
    </row>
    <row r="63" spans="1:6" ht="22.5" customHeight="1">
      <c r="A63" s="33" t="s">
        <v>303</v>
      </c>
      <c r="B63" s="33" t="s">
        <v>304</v>
      </c>
      <c r="C63" s="33" t="s">
        <v>324</v>
      </c>
      <c r="D63" s="33" t="s">
        <v>151</v>
      </c>
      <c r="E63" s="33" t="s">
        <v>153</v>
      </c>
      <c r="F63" s="33" t="s">
        <v>154</v>
      </c>
    </row>
    <row r="64" spans="1:6" ht="22.5" customHeight="1">
      <c r="A64" s="33" t="s">
        <v>306</v>
      </c>
      <c r="B64" s="33" t="s">
        <v>130</v>
      </c>
      <c r="C64" s="33" t="s">
        <v>132</v>
      </c>
      <c r="D64" s="33" t="s">
        <v>142</v>
      </c>
      <c r="E64" s="33" t="s">
        <v>145</v>
      </c>
      <c r="F64" s="33" t="s">
        <v>147</v>
      </c>
    </row>
    <row r="65" spans="1:6" ht="22.5" customHeight="1">
      <c r="A65" s="33" t="s">
        <v>307</v>
      </c>
      <c r="B65" s="33" t="s">
        <v>308</v>
      </c>
      <c r="C65" s="33" t="s">
        <v>331</v>
      </c>
      <c r="D65" s="33" t="s">
        <v>104</v>
      </c>
      <c r="E65" s="33" t="s">
        <v>106</v>
      </c>
      <c r="F65" s="33" t="s">
        <v>107</v>
      </c>
    </row>
    <row r="66" spans="1:6" ht="22.5" customHeight="1">
      <c r="A66" s="33" t="s">
        <v>310</v>
      </c>
      <c r="B66" s="33" t="s">
        <v>105</v>
      </c>
      <c r="C66" s="33" t="s">
        <v>114</v>
      </c>
      <c r="D66" s="33" t="s">
        <v>151</v>
      </c>
      <c r="E66" s="33" t="s">
        <v>153</v>
      </c>
      <c r="F66" s="33" t="s">
        <v>154</v>
      </c>
    </row>
    <row r="67" spans="1:6" ht="22.5" customHeight="1">
      <c r="A67" s="33" t="s">
        <v>312</v>
      </c>
      <c r="B67" s="33" t="s">
        <v>313</v>
      </c>
      <c r="C67" s="33" t="s">
        <v>334</v>
      </c>
      <c r="D67" s="33" t="s">
        <v>99</v>
      </c>
      <c r="E67" s="33" t="s">
        <v>100</v>
      </c>
      <c r="F67" s="33" t="s">
        <v>101</v>
      </c>
    </row>
    <row r="68" spans="1:6" ht="22.5" customHeight="1">
      <c r="A68" s="33" t="s">
        <v>315</v>
      </c>
      <c r="B68" s="33" t="s">
        <v>105</v>
      </c>
      <c r="C68" s="33" t="s">
        <v>114</v>
      </c>
      <c r="D68" s="33" t="s">
        <v>151</v>
      </c>
      <c r="E68" s="33" t="s">
        <v>153</v>
      </c>
      <c r="F68" s="33" t="s">
        <v>154</v>
      </c>
    </row>
    <row r="69" spans="1:6" ht="22.5" customHeight="1">
      <c r="A69" s="33" t="s">
        <v>316</v>
      </c>
      <c r="B69" s="33" t="s">
        <v>192</v>
      </c>
      <c r="C69" s="33" t="s">
        <v>194</v>
      </c>
      <c r="D69" s="33" t="s">
        <v>104</v>
      </c>
      <c r="E69" s="33" t="s">
        <v>106</v>
      </c>
      <c r="F69" s="33" t="s">
        <v>107</v>
      </c>
    </row>
    <row r="70" spans="1:6" ht="22.5" customHeight="1">
      <c r="A70" s="33" t="s">
        <v>317</v>
      </c>
      <c r="B70" s="33" t="s">
        <v>318</v>
      </c>
      <c r="C70" s="33" t="s">
        <v>340</v>
      </c>
      <c r="D70" s="33" t="s">
        <v>104</v>
      </c>
      <c r="E70" s="33" t="s">
        <v>106</v>
      </c>
      <c r="F70" s="33" t="s">
        <v>107</v>
      </c>
    </row>
    <row r="71" spans="1:6" ht="22.5" customHeight="1">
      <c r="A71" s="33" t="s">
        <v>41</v>
      </c>
      <c r="B71" s="33" t="s">
        <v>82</v>
      </c>
      <c r="C71" s="33" t="s">
        <v>122</v>
      </c>
      <c r="D71" s="33" t="s">
        <v>142</v>
      </c>
      <c r="E71" s="33" t="s">
        <v>145</v>
      </c>
      <c r="F71" s="33" t="s">
        <v>147</v>
      </c>
    </row>
    <row r="72" spans="1:6" ht="22.5" customHeight="1">
      <c r="A72" s="33" t="s">
        <v>321</v>
      </c>
      <c r="B72" s="33" t="s">
        <v>322</v>
      </c>
      <c r="C72" s="33" t="s">
        <v>342</v>
      </c>
      <c r="D72" s="33" t="s">
        <v>104</v>
      </c>
      <c r="E72" s="33" t="s">
        <v>106</v>
      </c>
      <c r="F72" s="33" t="s">
        <v>107</v>
      </c>
    </row>
    <row r="73" spans="1:6" ht="22.5" customHeight="1">
      <c r="A73" s="33" t="s">
        <v>325</v>
      </c>
      <c r="B73" s="33" t="s">
        <v>300</v>
      </c>
      <c r="C73" s="33" t="s">
        <v>320</v>
      </c>
      <c r="D73" s="33" t="s">
        <v>116</v>
      </c>
      <c r="E73" s="33" t="s">
        <v>117</v>
      </c>
      <c r="F73" s="33" t="s">
        <v>119</v>
      </c>
    </row>
    <row r="74" spans="1:6" ht="22.5" customHeight="1">
      <c r="A74" s="33" t="s">
        <v>326</v>
      </c>
      <c r="B74" s="33" t="s">
        <v>327</v>
      </c>
      <c r="C74" s="33">
        <v>1</v>
      </c>
      <c r="D74" s="33" t="s">
        <v>116</v>
      </c>
      <c r="E74" s="33" t="s">
        <v>117</v>
      </c>
      <c r="F74" s="33" t="s">
        <v>119</v>
      </c>
    </row>
    <row r="75" spans="1:6" ht="22.5" customHeight="1">
      <c r="A75" s="33" t="s">
        <v>328</v>
      </c>
      <c r="B75" s="33" t="s">
        <v>105</v>
      </c>
      <c r="C75" s="33" t="s">
        <v>114</v>
      </c>
      <c r="D75" s="33" t="s">
        <v>124</v>
      </c>
      <c r="E75" s="33" t="s">
        <v>126</v>
      </c>
      <c r="F75" s="33" t="s">
        <v>127</v>
      </c>
    </row>
    <row r="76" spans="1:6" ht="22.5" customHeight="1">
      <c r="A76" s="33" t="s">
        <v>330</v>
      </c>
      <c r="B76" s="33" t="s">
        <v>332</v>
      </c>
      <c r="C76" s="33" t="s">
        <v>350</v>
      </c>
      <c r="D76" s="33" t="s">
        <v>104</v>
      </c>
      <c r="E76" s="33" t="s">
        <v>106</v>
      </c>
      <c r="F76" s="33" t="s">
        <v>107</v>
      </c>
    </row>
    <row r="77" spans="1:6" ht="22.5" customHeight="1">
      <c r="A77" s="33" t="s">
        <v>84</v>
      </c>
      <c r="B77" s="33" t="s">
        <v>82</v>
      </c>
      <c r="C77" s="33" t="s">
        <v>122</v>
      </c>
      <c r="D77" s="33" t="s">
        <v>124</v>
      </c>
      <c r="E77" s="33" t="s">
        <v>126</v>
      </c>
      <c r="F77" s="33" t="s">
        <v>127</v>
      </c>
    </row>
    <row r="78" spans="1:6" ht="22.5" customHeight="1">
      <c r="A78" s="33" t="s">
        <v>52</v>
      </c>
      <c r="B78" s="33" t="s">
        <v>82</v>
      </c>
      <c r="C78" s="33" t="s">
        <v>122</v>
      </c>
      <c r="D78" s="33" t="s">
        <v>124</v>
      </c>
      <c r="E78" s="33" t="s">
        <v>126</v>
      </c>
      <c r="F78" s="33" t="s">
        <v>127</v>
      </c>
    </row>
    <row r="79" spans="1:6" ht="22.5" customHeight="1">
      <c r="A79" s="33" t="s">
        <v>335</v>
      </c>
      <c r="B79" s="33" t="s">
        <v>82</v>
      </c>
      <c r="C79" s="33" t="s">
        <v>122</v>
      </c>
      <c r="D79" s="33" t="s">
        <v>124</v>
      </c>
      <c r="E79" s="33" t="s">
        <v>126</v>
      </c>
      <c r="F79" s="33" t="s">
        <v>127</v>
      </c>
    </row>
    <row r="80" spans="1:6" ht="22.5" customHeight="1">
      <c r="A80" s="33" t="s">
        <v>336</v>
      </c>
      <c r="B80" s="33" t="s">
        <v>337</v>
      </c>
      <c r="C80" s="33" t="s">
        <v>355</v>
      </c>
      <c r="D80" s="33" t="s">
        <v>124</v>
      </c>
      <c r="E80" s="33" t="s">
        <v>126</v>
      </c>
      <c r="F80" s="33" t="s">
        <v>127</v>
      </c>
    </row>
    <row r="81" spans="1:6" ht="22.5" customHeight="1">
      <c r="A81" s="33" t="s">
        <v>339</v>
      </c>
      <c r="B81" s="33" t="s">
        <v>82</v>
      </c>
      <c r="C81" s="33" t="s">
        <v>122</v>
      </c>
      <c r="D81" s="33" t="s">
        <v>124</v>
      </c>
      <c r="E81" s="33" t="s">
        <v>126</v>
      </c>
      <c r="F81" s="33" t="s">
        <v>127</v>
      </c>
    </row>
    <row r="82" spans="1:6" ht="22.5" customHeight="1">
      <c r="A82" s="33" t="s">
        <v>341</v>
      </c>
      <c r="B82" s="33" t="s">
        <v>192</v>
      </c>
      <c r="C82" s="33" t="s">
        <v>194</v>
      </c>
      <c r="D82" s="33" t="s">
        <v>151</v>
      </c>
      <c r="E82" s="33" t="s">
        <v>153</v>
      </c>
      <c r="F82" s="33" t="s">
        <v>154</v>
      </c>
    </row>
    <row r="83" spans="1:6" ht="22.5" customHeight="1">
      <c r="A83" s="33" t="s">
        <v>343</v>
      </c>
      <c r="B83" s="33" t="s">
        <v>344</v>
      </c>
      <c r="C83" s="33" t="s">
        <v>357</v>
      </c>
      <c r="D83" s="33" t="s">
        <v>104</v>
      </c>
      <c r="E83" s="33" t="s">
        <v>106</v>
      </c>
      <c r="F83" s="33" t="s">
        <v>107</v>
      </c>
    </row>
    <row r="84" spans="1:6" ht="22.5" customHeight="1">
      <c r="A84" s="33" t="s">
        <v>346</v>
      </c>
      <c r="B84" s="33" t="s">
        <v>348</v>
      </c>
      <c r="C84" s="33" t="s">
        <v>360</v>
      </c>
      <c r="D84" s="33" t="s">
        <v>104</v>
      </c>
      <c r="E84" s="33" t="s">
        <v>106</v>
      </c>
      <c r="F84" s="33" t="s">
        <v>107</v>
      </c>
    </row>
    <row r="85" spans="1:6" ht="22.5" customHeight="1">
      <c r="A85" s="33" t="s">
        <v>38</v>
      </c>
      <c r="B85" s="33" t="s">
        <v>82</v>
      </c>
      <c r="C85" s="33" t="s">
        <v>122</v>
      </c>
      <c r="D85" s="33" t="s">
        <v>124</v>
      </c>
      <c r="E85" s="33" t="s">
        <v>126</v>
      </c>
      <c r="F85" s="33" t="s">
        <v>127</v>
      </c>
    </row>
    <row r="86" spans="1:6" ht="22.5" customHeight="1">
      <c r="A86" s="33" t="s">
        <v>351</v>
      </c>
      <c r="B86" s="33" t="s">
        <v>352</v>
      </c>
      <c r="C86" s="33" t="s">
        <v>362</v>
      </c>
      <c r="D86" s="33" t="s">
        <v>104</v>
      </c>
      <c r="E86" s="33" t="s">
        <v>106</v>
      </c>
      <c r="F86" s="33" t="s">
        <v>107</v>
      </c>
    </row>
    <row r="87" spans="1:6" ht="22.5" customHeight="1">
      <c r="A87" s="33" t="s">
        <v>354</v>
      </c>
      <c r="B87" s="33" t="s">
        <v>255</v>
      </c>
      <c r="C87" s="33">
        <v>1</v>
      </c>
      <c r="D87" s="33" t="s">
        <v>116</v>
      </c>
      <c r="E87" s="33" t="s">
        <v>117</v>
      </c>
      <c r="F87" s="33" t="s">
        <v>119</v>
      </c>
    </row>
    <row r="88" spans="1:6" ht="22.5" customHeight="1">
      <c r="A88" s="33" t="s">
        <v>50</v>
      </c>
      <c r="B88" s="33" t="s">
        <v>82</v>
      </c>
      <c r="C88" s="33" t="s">
        <v>122</v>
      </c>
      <c r="D88" s="33" t="s">
        <v>142</v>
      </c>
      <c r="E88" s="33" t="s">
        <v>145</v>
      </c>
      <c r="F88" s="33" t="s">
        <v>147</v>
      </c>
    </row>
    <row r="89" spans="1:6" ht="22.5" customHeight="1">
      <c r="A89" s="33" t="s">
        <v>356</v>
      </c>
      <c r="B89" s="33" t="s">
        <v>300</v>
      </c>
      <c r="C89" s="33" t="s">
        <v>320</v>
      </c>
      <c r="D89" s="33" t="s">
        <v>116</v>
      </c>
      <c r="E89" s="33" t="s">
        <v>117</v>
      </c>
      <c r="F89" s="33" t="s">
        <v>119</v>
      </c>
    </row>
    <row r="90" spans="1:6" ht="22.5" customHeight="1">
      <c r="A90" s="33" t="s">
        <v>359</v>
      </c>
      <c r="B90" s="33" t="s">
        <v>130</v>
      </c>
      <c r="C90" s="33" t="s">
        <v>132</v>
      </c>
      <c r="D90" s="33" t="s">
        <v>142</v>
      </c>
      <c r="E90" s="33" t="s">
        <v>145</v>
      </c>
      <c r="F90" s="33" t="s">
        <v>147</v>
      </c>
    </row>
    <row r="91" spans="1:6" ht="22.5" customHeight="1">
      <c r="A91" s="33" t="s">
        <v>361</v>
      </c>
      <c r="B91" s="33" t="s">
        <v>82</v>
      </c>
      <c r="C91" s="33" t="s">
        <v>122</v>
      </c>
      <c r="D91" s="33" t="s">
        <v>124</v>
      </c>
      <c r="E91" s="33" t="s">
        <v>126</v>
      </c>
      <c r="F91" s="33" t="s">
        <v>127</v>
      </c>
    </row>
    <row r="92" spans="1:6" ht="22.5" customHeight="1">
      <c r="A92" s="33" t="s">
        <v>363</v>
      </c>
      <c r="B92" s="33" t="s">
        <v>105</v>
      </c>
      <c r="C92" s="33" t="s">
        <v>114</v>
      </c>
      <c r="D92" s="33" t="s">
        <v>116</v>
      </c>
      <c r="E92" s="33" t="s">
        <v>117</v>
      </c>
      <c r="F92" s="33" t="s">
        <v>119</v>
      </c>
    </row>
    <row r="93" spans="1:6" ht="22.5" customHeight="1">
      <c r="A93" s="33" t="s">
        <v>364</v>
      </c>
      <c r="B93" s="33" t="s">
        <v>365</v>
      </c>
      <c r="C93" s="33" t="s">
        <v>378</v>
      </c>
      <c r="D93" s="33" t="s">
        <v>151</v>
      </c>
      <c r="E93" s="33" t="s">
        <v>153</v>
      </c>
      <c r="F93" s="33" t="s">
        <v>154</v>
      </c>
    </row>
    <row r="94" spans="1:6" ht="22.5" customHeight="1">
      <c r="A94" s="33" t="s">
        <v>367</v>
      </c>
      <c r="B94" s="33" t="s">
        <v>368</v>
      </c>
      <c r="C94" s="33" t="s">
        <v>381</v>
      </c>
      <c r="D94" s="33" t="s">
        <v>104</v>
      </c>
      <c r="E94" s="33" t="s">
        <v>106</v>
      </c>
      <c r="F94" s="33" t="s">
        <v>107</v>
      </c>
    </row>
    <row r="95" spans="1:6" ht="22.5" customHeight="1">
      <c r="A95" s="33" t="s">
        <v>370</v>
      </c>
      <c r="B95" s="33" t="s">
        <v>371</v>
      </c>
      <c r="C95" s="33" t="s">
        <v>194</v>
      </c>
      <c r="D95" s="33" t="s">
        <v>104</v>
      </c>
      <c r="E95" s="33" t="s">
        <v>106</v>
      </c>
      <c r="F95" s="33" t="s">
        <v>107</v>
      </c>
    </row>
    <row r="96" spans="1:6" ht="22.5" customHeight="1">
      <c r="A96" s="33" t="s">
        <v>372</v>
      </c>
      <c r="B96" s="33" t="s">
        <v>373</v>
      </c>
      <c r="C96" s="33" t="s">
        <v>386</v>
      </c>
      <c r="D96" s="33" t="s">
        <v>151</v>
      </c>
      <c r="E96" s="33" t="s">
        <v>153</v>
      </c>
      <c r="F96" s="33" t="s">
        <v>154</v>
      </c>
    </row>
    <row r="97" spans="1:6" ht="22.5" customHeight="1">
      <c r="A97" s="33" t="s">
        <v>376</v>
      </c>
      <c r="B97" s="33" t="s">
        <v>377</v>
      </c>
      <c r="C97" s="33" t="s">
        <v>390</v>
      </c>
      <c r="D97" s="33" t="s">
        <v>104</v>
      </c>
      <c r="E97" s="33" t="s">
        <v>106</v>
      </c>
      <c r="F97" s="33" t="s">
        <v>107</v>
      </c>
    </row>
    <row r="98" spans="1:6" ht="22.5" customHeight="1">
      <c r="A98" s="33" t="s">
        <v>380</v>
      </c>
      <c r="B98" s="33" t="s">
        <v>156</v>
      </c>
      <c r="C98" s="33" t="s">
        <v>163</v>
      </c>
      <c r="D98" s="33" t="s">
        <v>116</v>
      </c>
      <c r="E98" s="33" t="s">
        <v>117</v>
      </c>
      <c r="F98" s="33" t="s">
        <v>119</v>
      </c>
    </row>
    <row r="99" spans="1:6" ht="22.5" customHeight="1">
      <c r="A99" s="33" t="s">
        <v>382</v>
      </c>
      <c r="B99" s="33" t="s">
        <v>82</v>
      </c>
      <c r="C99" s="33" t="s">
        <v>122</v>
      </c>
      <c r="D99" s="33" t="s">
        <v>142</v>
      </c>
      <c r="E99" s="33" t="s">
        <v>145</v>
      </c>
      <c r="F99" s="33" t="s">
        <v>147</v>
      </c>
    </row>
    <row r="100" spans="1:6" ht="22.5" customHeight="1">
      <c r="A100" s="33" t="s">
        <v>383</v>
      </c>
      <c r="B100" s="33" t="s">
        <v>384</v>
      </c>
      <c r="C100" s="33" t="s">
        <v>402</v>
      </c>
      <c r="D100" s="33" t="s">
        <v>104</v>
      </c>
      <c r="E100" s="33" t="s">
        <v>106</v>
      </c>
      <c r="F100" s="33" t="s">
        <v>107</v>
      </c>
    </row>
    <row r="101" spans="1:6" ht="22.5" customHeight="1">
      <c r="A101" s="33" t="s">
        <v>387</v>
      </c>
      <c r="B101" s="33" t="s">
        <v>388</v>
      </c>
      <c r="C101" s="33" t="s">
        <v>405</v>
      </c>
      <c r="D101" s="33" t="s">
        <v>124</v>
      </c>
      <c r="E101" s="33" t="s">
        <v>126</v>
      </c>
      <c r="F101" s="33" t="s">
        <v>127</v>
      </c>
    </row>
    <row r="102" spans="1:6" ht="22.5" customHeight="1">
      <c r="A102" s="33" t="s">
        <v>67</v>
      </c>
      <c r="B102" s="33" t="s">
        <v>391</v>
      </c>
      <c r="C102" s="33" t="s">
        <v>408</v>
      </c>
      <c r="D102" s="33" t="s">
        <v>151</v>
      </c>
      <c r="E102" s="33" t="s">
        <v>153</v>
      </c>
      <c r="F102" s="33" t="s">
        <v>154</v>
      </c>
    </row>
    <row r="103" spans="1:6" ht="22.5" customHeight="1">
      <c r="A103" s="33" t="s">
        <v>394</v>
      </c>
      <c r="B103" s="33" t="s">
        <v>395</v>
      </c>
      <c r="C103" s="33" t="s">
        <v>411</v>
      </c>
      <c r="D103" s="33" t="s">
        <v>116</v>
      </c>
      <c r="E103" s="33" t="s">
        <v>117</v>
      </c>
      <c r="F103" s="33" t="s">
        <v>119</v>
      </c>
    </row>
    <row r="104" spans="1:6" ht="22.5" customHeight="1">
      <c r="A104" s="33" t="s">
        <v>397</v>
      </c>
      <c r="B104" s="33" t="s">
        <v>398</v>
      </c>
      <c r="C104" s="33" t="s">
        <v>200</v>
      </c>
      <c r="D104" s="33" t="s">
        <v>104</v>
      </c>
      <c r="E104" s="33" t="s">
        <v>106</v>
      </c>
      <c r="F104" s="33" t="s">
        <v>107</v>
      </c>
    </row>
    <row r="105" spans="1:6" ht="22.5" customHeight="1">
      <c r="A105" s="33" t="s">
        <v>399</v>
      </c>
      <c r="B105" s="33" t="s">
        <v>400</v>
      </c>
      <c r="C105" s="33" t="s">
        <v>417</v>
      </c>
      <c r="D105" s="33" t="s">
        <v>104</v>
      </c>
      <c r="E105" s="33" t="s">
        <v>106</v>
      </c>
      <c r="F105" s="33" t="s">
        <v>107</v>
      </c>
    </row>
    <row r="106" spans="1:6" ht="22.5" customHeight="1">
      <c r="A106" s="33" t="s">
        <v>403</v>
      </c>
      <c r="B106" s="33" t="s">
        <v>404</v>
      </c>
      <c r="C106" s="33" t="s">
        <v>406</v>
      </c>
      <c r="D106" s="33" t="s">
        <v>104</v>
      </c>
      <c r="E106" s="33" t="s">
        <v>106</v>
      </c>
      <c r="F106" s="33" t="s">
        <v>107</v>
      </c>
    </row>
    <row r="107" spans="1:6" ht="22.5" customHeight="1">
      <c r="A107" s="33" t="s">
        <v>407</v>
      </c>
      <c r="B107" s="33" t="s">
        <v>409</v>
      </c>
      <c r="C107" s="33" t="s">
        <v>421</v>
      </c>
      <c r="D107" s="33" t="s">
        <v>151</v>
      </c>
      <c r="E107" s="33" t="s">
        <v>153</v>
      </c>
      <c r="F107" s="33" t="s">
        <v>154</v>
      </c>
    </row>
    <row r="108" spans="1:6" ht="22.5" customHeight="1">
      <c r="A108" s="33" t="s">
        <v>47</v>
      </c>
      <c r="B108" s="33" t="s">
        <v>82</v>
      </c>
      <c r="C108" s="33" t="s">
        <v>122</v>
      </c>
      <c r="D108" s="33" t="s">
        <v>124</v>
      </c>
      <c r="E108" s="33" t="s">
        <v>126</v>
      </c>
      <c r="F108" s="33" t="s">
        <v>127</v>
      </c>
    </row>
    <row r="109" spans="1:6" ht="22.5" customHeight="1">
      <c r="A109" s="33" t="s">
        <v>413</v>
      </c>
      <c r="B109" s="33" t="s">
        <v>255</v>
      </c>
      <c r="C109" s="33">
        <v>1</v>
      </c>
      <c r="D109" s="33" t="s">
        <v>116</v>
      </c>
      <c r="E109" s="33" t="s">
        <v>117</v>
      </c>
      <c r="F109" s="33" t="s">
        <v>119</v>
      </c>
    </row>
    <row r="110" spans="1:6" ht="22.5" customHeight="1">
      <c r="A110" s="33" t="s">
        <v>414</v>
      </c>
      <c r="B110" s="33" t="s">
        <v>415</v>
      </c>
      <c r="C110" s="33" t="s">
        <v>434</v>
      </c>
      <c r="D110" s="33" t="s">
        <v>116</v>
      </c>
      <c r="E110" s="33" t="s">
        <v>117</v>
      </c>
      <c r="F110" s="33" t="s">
        <v>119</v>
      </c>
    </row>
    <row r="111" spans="1:6" ht="22.5" customHeight="1">
      <c r="A111" s="33" t="s">
        <v>55</v>
      </c>
      <c r="B111" s="33" t="s">
        <v>82</v>
      </c>
      <c r="C111" s="33" t="s">
        <v>122</v>
      </c>
      <c r="D111" s="33" t="s">
        <v>142</v>
      </c>
      <c r="E111" s="33" t="s">
        <v>145</v>
      </c>
      <c r="F111" s="33" t="s">
        <v>147</v>
      </c>
    </row>
    <row r="112" spans="1:6" ht="22.5" customHeight="1">
      <c r="A112" s="33" t="s">
        <v>418</v>
      </c>
      <c r="B112" s="33" t="s">
        <v>419</v>
      </c>
      <c r="C112" s="33" t="s">
        <v>443</v>
      </c>
      <c r="D112" s="33" t="s">
        <v>151</v>
      </c>
      <c r="E112" s="33" t="s">
        <v>153</v>
      </c>
      <c r="F112" s="33" t="s">
        <v>154</v>
      </c>
    </row>
    <row r="113" spans="1:6" ht="22.5" customHeight="1">
      <c r="A113" s="33" t="s">
        <v>422</v>
      </c>
      <c r="B113" s="33" t="s">
        <v>423</v>
      </c>
      <c r="C113" s="33" t="s">
        <v>445</v>
      </c>
      <c r="D113" s="33" t="s">
        <v>124</v>
      </c>
      <c r="E113" s="33" t="s">
        <v>126</v>
      </c>
      <c r="F113" s="33" t="s">
        <v>127</v>
      </c>
    </row>
    <row r="114" spans="1:6" ht="22.5" customHeight="1">
      <c r="A114" s="33" t="s">
        <v>425</v>
      </c>
      <c r="B114" s="33" t="s">
        <v>426</v>
      </c>
      <c r="C114" s="33" t="s">
        <v>455</v>
      </c>
      <c r="D114" s="33" t="s">
        <v>104</v>
      </c>
      <c r="E114" s="33" t="s">
        <v>106</v>
      </c>
      <c r="F114" s="33" t="s">
        <v>107</v>
      </c>
    </row>
    <row r="115" spans="1:6" ht="22.5" customHeight="1">
      <c r="A115" s="33" t="s">
        <v>428</v>
      </c>
      <c r="B115" s="33" t="s">
        <v>430</v>
      </c>
      <c r="C115" s="33" t="s">
        <v>460</v>
      </c>
      <c r="D115" s="33" t="s">
        <v>104</v>
      </c>
      <c r="E115" s="33" t="s">
        <v>106</v>
      </c>
      <c r="F115" s="33" t="s">
        <v>107</v>
      </c>
    </row>
    <row r="116" spans="1:6" ht="22.5" customHeight="1">
      <c r="A116" s="33" t="s">
        <v>432</v>
      </c>
      <c r="B116" s="33" t="s">
        <v>433</v>
      </c>
      <c r="C116" s="33" t="s">
        <v>464</v>
      </c>
      <c r="D116" s="33" t="s">
        <v>104</v>
      </c>
      <c r="E116" s="33" t="s">
        <v>106</v>
      </c>
      <c r="F116" s="33" t="s">
        <v>107</v>
      </c>
    </row>
    <row r="117" spans="1:6" ht="22.5" customHeight="1">
      <c r="A117" s="33" t="s">
        <v>436</v>
      </c>
      <c r="B117" s="33" t="s">
        <v>156</v>
      </c>
      <c r="C117" s="33" t="s">
        <v>163</v>
      </c>
      <c r="D117" s="33" t="s">
        <v>142</v>
      </c>
      <c r="E117" s="33" t="s">
        <v>145</v>
      </c>
      <c r="F117" s="33" t="s">
        <v>147</v>
      </c>
    </row>
    <row r="118" spans="1:6" ht="22.5" customHeight="1">
      <c r="A118" s="33" t="s">
        <v>437</v>
      </c>
      <c r="B118" s="33" t="s">
        <v>438</v>
      </c>
      <c r="C118" s="33" t="s">
        <v>439</v>
      </c>
      <c r="D118" s="33" t="s">
        <v>104</v>
      </c>
      <c r="E118" s="33" t="s">
        <v>106</v>
      </c>
      <c r="F118" s="33" t="s">
        <v>107</v>
      </c>
    </row>
    <row r="119" spans="1:6" ht="22.5" customHeight="1">
      <c r="A119" s="33" t="s">
        <v>440</v>
      </c>
      <c r="B119" s="33" t="s">
        <v>441</v>
      </c>
      <c r="C119" s="33" t="s">
        <v>473</v>
      </c>
      <c r="D119" s="33" t="s">
        <v>142</v>
      </c>
      <c r="E119" s="33" t="s">
        <v>145</v>
      </c>
      <c r="F119" s="33" t="s">
        <v>147</v>
      </c>
    </row>
    <row r="120" spans="1:6" ht="22.5" customHeight="1">
      <c r="A120" s="33" t="s">
        <v>446</v>
      </c>
      <c r="B120" s="33" t="s">
        <v>447</v>
      </c>
      <c r="C120" s="33" t="s">
        <v>475</v>
      </c>
      <c r="D120" s="33" t="s">
        <v>142</v>
      </c>
      <c r="E120" s="33" t="s">
        <v>145</v>
      </c>
      <c r="F120" s="33" t="s">
        <v>147</v>
      </c>
    </row>
    <row r="121" spans="1:6" ht="22.5" customHeight="1">
      <c r="A121" s="33" t="s">
        <v>456</v>
      </c>
      <c r="B121" s="33" t="s">
        <v>458</v>
      </c>
      <c r="C121" s="33" t="s">
        <v>479</v>
      </c>
      <c r="D121" s="33" t="s">
        <v>99</v>
      </c>
      <c r="E121" s="33" t="s">
        <v>100</v>
      </c>
      <c r="F121" s="33" t="s">
        <v>101</v>
      </c>
    </row>
    <row r="122" spans="1:6" ht="22.5" customHeight="1">
      <c r="A122" s="33" t="s">
        <v>461</v>
      </c>
      <c r="B122" s="33" t="s">
        <v>462</v>
      </c>
      <c r="C122" s="33" t="s">
        <v>483</v>
      </c>
      <c r="D122" s="33" t="s">
        <v>104</v>
      </c>
      <c r="E122" s="33" t="s">
        <v>106</v>
      </c>
      <c r="F122" s="33" t="s">
        <v>107</v>
      </c>
    </row>
    <row r="123" spans="1:6" ht="22.5" customHeight="1">
      <c r="A123" s="33" t="s">
        <v>62</v>
      </c>
      <c r="B123" s="33" t="s">
        <v>82</v>
      </c>
      <c r="C123" s="33" t="s">
        <v>122</v>
      </c>
      <c r="D123" s="33" t="s">
        <v>151</v>
      </c>
      <c r="E123" s="33" t="s">
        <v>153</v>
      </c>
      <c r="F123" s="33" t="s">
        <v>154</v>
      </c>
    </row>
    <row r="124" spans="1:6" ht="22.5" customHeight="1">
      <c r="A124" s="33" t="s">
        <v>465</v>
      </c>
      <c r="B124" s="33" t="s">
        <v>466</v>
      </c>
      <c r="C124" s="33" t="s">
        <v>485</v>
      </c>
      <c r="D124" s="33" t="s">
        <v>151</v>
      </c>
      <c r="E124" s="33" t="s">
        <v>153</v>
      </c>
      <c r="F124" s="33" t="s">
        <v>154</v>
      </c>
    </row>
    <row r="125" spans="1:6" ht="22.5" customHeight="1">
      <c r="A125" s="33" t="s">
        <v>468</v>
      </c>
      <c r="B125" s="33" t="s">
        <v>469</v>
      </c>
      <c r="C125" s="33" t="s">
        <v>489</v>
      </c>
      <c r="D125" s="33" t="s">
        <v>104</v>
      </c>
      <c r="E125" s="33" t="s">
        <v>106</v>
      </c>
      <c r="F125" s="33" t="s">
        <v>107</v>
      </c>
    </row>
    <row r="126" spans="1:6" ht="22.5" customHeight="1">
      <c r="A126" s="33" t="s">
        <v>471</v>
      </c>
      <c r="B126" s="33" t="s">
        <v>472</v>
      </c>
      <c r="C126" s="33" t="s">
        <v>114</v>
      </c>
      <c r="D126" s="33" t="s">
        <v>104</v>
      </c>
      <c r="E126" s="33" t="s">
        <v>106</v>
      </c>
      <c r="F126" s="33" t="s">
        <v>107</v>
      </c>
    </row>
    <row r="127" spans="1:6" ht="22.5" customHeight="1">
      <c r="A127" s="33" t="s">
        <v>476</v>
      </c>
      <c r="B127" s="33" t="s">
        <v>477</v>
      </c>
      <c r="C127" s="33" t="s">
        <v>494</v>
      </c>
      <c r="D127" s="33" t="s">
        <v>151</v>
      </c>
      <c r="E127" s="33" t="s">
        <v>153</v>
      </c>
      <c r="F127" s="33" t="s">
        <v>154</v>
      </c>
    </row>
    <row r="128" spans="1:6" ht="22.5" customHeight="1">
      <c r="A128" s="33" t="s">
        <v>480</v>
      </c>
      <c r="B128" s="33" t="s">
        <v>482</v>
      </c>
      <c r="C128" s="33" t="s">
        <v>500</v>
      </c>
      <c r="D128" s="33" t="s">
        <v>124</v>
      </c>
      <c r="E128" s="33" t="s">
        <v>126</v>
      </c>
      <c r="F128" s="33" t="s">
        <v>127</v>
      </c>
    </row>
    <row r="129" spans="1:6" ht="22.5" customHeight="1">
      <c r="A129" s="33" t="s">
        <v>63</v>
      </c>
      <c r="B129" s="33" t="s">
        <v>82</v>
      </c>
      <c r="C129" s="33" t="s">
        <v>122</v>
      </c>
      <c r="D129" s="33" t="s">
        <v>151</v>
      </c>
      <c r="E129" s="33" t="s">
        <v>153</v>
      </c>
      <c r="F129" s="33" t="s">
        <v>154</v>
      </c>
    </row>
    <row r="130" spans="1:6" ht="22.5" customHeight="1">
      <c r="A130" s="33" t="s">
        <v>65</v>
      </c>
      <c r="B130" s="33" t="s">
        <v>82</v>
      </c>
      <c r="C130" s="33" t="s">
        <v>122</v>
      </c>
      <c r="D130" s="33" t="s">
        <v>124</v>
      </c>
      <c r="E130" s="33" t="s">
        <v>126</v>
      </c>
      <c r="F130" s="33" t="s">
        <v>127</v>
      </c>
    </row>
    <row r="131" spans="1:6" ht="22.5" customHeight="1">
      <c r="A131" s="33" t="s">
        <v>486</v>
      </c>
      <c r="B131" s="33" t="s">
        <v>487</v>
      </c>
      <c r="C131" s="33" t="s">
        <v>509</v>
      </c>
      <c r="D131" s="33" t="s">
        <v>142</v>
      </c>
      <c r="E131" s="33" t="s">
        <v>145</v>
      </c>
      <c r="F131" s="33" t="s">
        <v>147</v>
      </c>
    </row>
    <row r="132" spans="1:6" ht="22.5" customHeight="1">
      <c r="A132" s="33" t="s">
        <v>490</v>
      </c>
      <c r="B132" s="33" t="s">
        <v>491</v>
      </c>
      <c r="C132" s="33" t="s">
        <v>510</v>
      </c>
      <c r="D132" s="33" t="s">
        <v>104</v>
      </c>
      <c r="E132" s="33" t="s">
        <v>106</v>
      </c>
      <c r="F132" s="33" t="s">
        <v>107</v>
      </c>
    </row>
    <row r="133" spans="1:6" ht="22.5" customHeight="1">
      <c r="A133" s="33" t="s">
        <v>493</v>
      </c>
      <c r="B133" s="33" t="s">
        <v>495</v>
      </c>
      <c r="C133" s="33" t="s">
        <v>512</v>
      </c>
      <c r="D133" s="33" t="s">
        <v>104</v>
      </c>
      <c r="E133" s="33" t="s">
        <v>106</v>
      </c>
      <c r="F133" s="33" t="s">
        <v>107</v>
      </c>
    </row>
    <row r="134" spans="1:6" ht="22.5" customHeight="1">
      <c r="A134" s="33" t="s">
        <v>497</v>
      </c>
      <c r="B134" s="33" t="s">
        <v>498</v>
      </c>
      <c r="C134" s="33" t="s">
        <v>514</v>
      </c>
      <c r="D134" s="33" t="s">
        <v>104</v>
      </c>
      <c r="E134" s="33" t="s">
        <v>106</v>
      </c>
      <c r="F134" s="33" t="s">
        <v>107</v>
      </c>
    </row>
    <row r="135" spans="1:6" ht="22.5" customHeight="1">
      <c r="A135" s="33" t="s">
        <v>501</v>
      </c>
      <c r="B135" s="33" t="s">
        <v>502</v>
      </c>
      <c r="C135" s="33" t="s">
        <v>518</v>
      </c>
      <c r="D135" s="33" t="s">
        <v>104</v>
      </c>
      <c r="E135" s="33" t="s">
        <v>106</v>
      </c>
      <c r="F135" s="33" t="s">
        <v>107</v>
      </c>
    </row>
    <row r="136" spans="1:6" ht="22.5" customHeight="1">
      <c r="A136" s="33" t="s">
        <v>505</v>
      </c>
      <c r="B136" s="33" t="s">
        <v>506</v>
      </c>
      <c r="C136" s="33" t="s">
        <v>522</v>
      </c>
      <c r="D136" s="33" t="s">
        <v>151</v>
      </c>
      <c r="E136" s="33" t="s">
        <v>153</v>
      </c>
      <c r="F136" s="33" t="s">
        <v>154</v>
      </c>
    </row>
    <row r="137" spans="1:6" ht="22.5" customHeight="1">
      <c r="A137" s="33" t="s">
        <v>508</v>
      </c>
      <c r="B137" s="33" t="s">
        <v>371</v>
      </c>
      <c r="C137" s="33" t="s">
        <v>194</v>
      </c>
      <c r="D137" s="33" t="s">
        <v>104</v>
      </c>
      <c r="E137" s="33" t="s">
        <v>106</v>
      </c>
      <c r="F137" s="33" t="s">
        <v>107</v>
      </c>
    </row>
    <row r="138" spans="1:6" ht="22.5" customHeight="1">
      <c r="A138" s="33" t="s">
        <v>68</v>
      </c>
      <c r="B138" s="33" t="s">
        <v>82</v>
      </c>
      <c r="C138" s="33" t="s">
        <v>122</v>
      </c>
      <c r="D138" s="33" t="s">
        <v>142</v>
      </c>
      <c r="E138" s="33" t="s">
        <v>145</v>
      </c>
      <c r="F138" s="33" t="s">
        <v>147</v>
      </c>
    </row>
    <row r="139" spans="1:6" ht="22.5" customHeight="1">
      <c r="A139" s="33" t="s">
        <v>511</v>
      </c>
      <c r="B139" s="33" t="s">
        <v>105</v>
      </c>
      <c r="C139" s="33" t="s">
        <v>114</v>
      </c>
      <c r="D139" s="33" t="s">
        <v>124</v>
      </c>
      <c r="E139" s="33" t="s">
        <v>126</v>
      </c>
      <c r="F139" s="33" t="s">
        <v>127</v>
      </c>
    </row>
    <row r="140" spans="1:6" ht="22.5" customHeight="1">
      <c r="A140" s="33" t="s">
        <v>513</v>
      </c>
      <c r="B140" s="33" t="s">
        <v>82</v>
      </c>
      <c r="C140" s="33" t="s">
        <v>122</v>
      </c>
      <c r="D140" s="33" t="s">
        <v>124</v>
      </c>
      <c r="E140" s="33" t="s">
        <v>126</v>
      </c>
      <c r="F140" s="33" t="s">
        <v>127</v>
      </c>
    </row>
    <row r="141" spans="1:6" ht="22.5" customHeight="1">
      <c r="A141" s="33" t="s">
        <v>515</v>
      </c>
      <c r="B141" s="33" t="s">
        <v>516</v>
      </c>
      <c r="C141" s="33" t="s">
        <v>536</v>
      </c>
      <c r="D141" s="33" t="s">
        <v>104</v>
      </c>
      <c r="E141" s="33" t="s">
        <v>106</v>
      </c>
      <c r="F141" s="33" t="s">
        <v>107</v>
      </c>
    </row>
    <row r="142" spans="1:6" ht="22.5" customHeight="1">
      <c r="A142" s="33" t="s">
        <v>519</v>
      </c>
      <c r="B142" s="33" t="s">
        <v>520</v>
      </c>
      <c r="C142" s="33" t="s">
        <v>566</v>
      </c>
      <c r="D142" s="33" t="s">
        <v>151</v>
      </c>
      <c r="E142" s="33" t="s">
        <v>153</v>
      </c>
      <c r="F142" s="33" t="s">
        <v>154</v>
      </c>
    </row>
    <row r="143" spans="1:6" ht="22.5" customHeight="1">
      <c r="A143" s="33" t="s">
        <v>523</v>
      </c>
      <c r="B143" s="33" t="s">
        <v>82</v>
      </c>
      <c r="C143" s="33" t="s">
        <v>122</v>
      </c>
      <c r="D143" s="33" t="s">
        <v>124</v>
      </c>
      <c r="E143" s="33" t="s">
        <v>126</v>
      </c>
      <c r="F143" s="33" t="s">
        <v>127</v>
      </c>
    </row>
    <row r="144" spans="1:6" ht="22.5" customHeight="1">
      <c r="A144" s="33" t="s">
        <v>525</v>
      </c>
      <c r="B144" s="33" t="s">
        <v>526</v>
      </c>
      <c r="C144" s="33" t="s">
        <v>571</v>
      </c>
      <c r="D144" s="33" t="s">
        <v>151</v>
      </c>
      <c r="E144" s="33" t="s">
        <v>153</v>
      </c>
      <c r="F144" s="33" t="s">
        <v>154</v>
      </c>
    </row>
    <row r="145" spans="1:6" ht="22.5" customHeight="1">
      <c r="A145" s="33" t="s">
        <v>528</v>
      </c>
      <c r="B145" s="33" t="s">
        <v>529</v>
      </c>
      <c r="C145" s="33" t="s">
        <v>573</v>
      </c>
      <c r="D145" s="33" t="s">
        <v>104</v>
      </c>
      <c r="E145" s="33" t="s">
        <v>106</v>
      </c>
      <c r="F145" s="33" t="s">
        <v>107</v>
      </c>
    </row>
    <row r="146" spans="1:6" ht="22.5" customHeight="1">
      <c r="A146" s="33" t="s">
        <v>531</v>
      </c>
      <c r="B146" s="33" t="s">
        <v>82</v>
      </c>
      <c r="C146" s="33" t="s">
        <v>122</v>
      </c>
      <c r="D146" s="33" t="s">
        <v>124</v>
      </c>
      <c r="E146" s="33" t="s">
        <v>126</v>
      </c>
      <c r="F146" s="33" t="s">
        <v>127</v>
      </c>
    </row>
    <row r="147" spans="1:6" ht="22.5" customHeight="1">
      <c r="A147" s="33" t="s">
        <v>532</v>
      </c>
      <c r="B147" s="33" t="s">
        <v>533</v>
      </c>
      <c r="C147" s="33" t="s">
        <v>276</v>
      </c>
      <c r="D147" s="33" t="s">
        <v>104</v>
      </c>
      <c r="E147" s="33" t="s">
        <v>106</v>
      </c>
      <c r="F147" s="33" t="s">
        <v>107</v>
      </c>
    </row>
    <row r="148" spans="1:6" ht="22.5" customHeight="1">
      <c r="A148" s="33" t="s">
        <v>535</v>
      </c>
      <c r="B148" s="33" t="s">
        <v>82</v>
      </c>
      <c r="C148" s="33" t="s">
        <v>122</v>
      </c>
      <c r="D148" s="33" t="s">
        <v>104</v>
      </c>
      <c r="E148" s="33" t="s">
        <v>106</v>
      </c>
      <c r="F148" s="33" t="s">
        <v>107</v>
      </c>
    </row>
    <row r="149" spans="1:6" ht="22.5" customHeight="1">
      <c r="A149" s="33" t="s">
        <v>537</v>
      </c>
      <c r="B149" s="33" t="s">
        <v>130</v>
      </c>
      <c r="C149" s="33" t="s">
        <v>132</v>
      </c>
      <c r="D149" s="33" t="s">
        <v>124</v>
      </c>
      <c r="E149" s="33" t="s">
        <v>126</v>
      </c>
      <c r="F149" s="33" t="s">
        <v>127</v>
      </c>
    </row>
    <row r="150" spans="1:6" ht="22.5" customHeight="1">
      <c r="A150" s="33" t="s">
        <v>539</v>
      </c>
      <c r="B150" s="33" t="s">
        <v>540</v>
      </c>
      <c r="C150" s="33" t="s">
        <v>583</v>
      </c>
      <c r="D150" s="33" t="s">
        <v>104</v>
      </c>
      <c r="E150" s="33" t="s">
        <v>106</v>
      </c>
      <c r="F150" s="33" t="s">
        <v>107</v>
      </c>
    </row>
    <row r="151" spans="1:6" ht="22.5" customHeight="1">
      <c r="A151" s="33" t="s">
        <v>542</v>
      </c>
      <c r="B151" s="33" t="s">
        <v>543</v>
      </c>
      <c r="C151" s="33" t="s">
        <v>586</v>
      </c>
      <c r="D151" s="33" t="s">
        <v>104</v>
      </c>
      <c r="E151" s="33" t="s">
        <v>106</v>
      </c>
      <c r="F151" s="33" t="s">
        <v>107</v>
      </c>
    </row>
    <row r="152" spans="1:6" ht="22.5" customHeight="1">
      <c r="A152" s="33" t="s">
        <v>545</v>
      </c>
      <c r="B152" s="33" t="s">
        <v>546</v>
      </c>
      <c r="C152" s="33" t="s">
        <v>593</v>
      </c>
      <c r="D152" s="33" t="s">
        <v>104</v>
      </c>
      <c r="E152" s="33" t="s">
        <v>106</v>
      </c>
      <c r="F152" s="33" t="s">
        <v>107</v>
      </c>
    </row>
    <row r="153" spans="1:6" ht="22.5" customHeight="1">
      <c r="A153" s="33" t="s">
        <v>548</v>
      </c>
      <c r="B153" s="33" t="s">
        <v>549</v>
      </c>
      <c r="C153" s="33" t="s">
        <v>600</v>
      </c>
      <c r="D153" s="33" t="s">
        <v>151</v>
      </c>
      <c r="E153" s="33" t="s">
        <v>153</v>
      </c>
      <c r="F153" s="33" t="s">
        <v>154</v>
      </c>
    </row>
    <row r="154" spans="1:6" ht="22.5" customHeight="1">
      <c r="A154" s="33" t="s">
        <v>550</v>
      </c>
      <c r="B154" s="33" t="s">
        <v>156</v>
      </c>
      <c r="C154" s="33" t="s">
        <v>163</v>
      </c>
      <c r="D154" s="33" t="s">
        <v>142</v>
      </c>
      <c r="E154" s="33" t="s">
        <v>145</v>
      </c>
      <c r="F154" s="33" t="s">
        <v>147</v>
      </c>
    </row>
    <row r="155" spans="1:6" ht="22.5" customHeight="1">
      <c r="A155" s="33" t="s">
        <v>551</v>
      </c>
      <c r="B155" s="33" t="s">
        <v>552</v>
      </c>
      <c r="C155" s="33" t="s">
        <v>606</v>
      </c>
      <c r="D155" s="33" t="s">
        <v>104</v>
      </c>
      <c r="E155" s="33" t="s">
        <v>106</v>
      </c>
      <c r="F155" s="33" t="s">
        <v>107</v>
      </c>
    </row>
    <row r="156" spans="1:6" ht="22.5" customHeight="1">
      <c r="A156" s="33" t="s">
        <v>554</v>
      </c>
      <c r="B156" s="33" t="s">
        <v>82</v>
      </c>
      <c r="C156" s="33" t="s">
        <v>122</v>
      </c>
      <c r="D156" s="33" t="s">
        <v>124</v>
      </c>
      <c r="E156" s="33" t="s">
        <v>126</v>
      </c>
      <c r="F156" s="33" t="s">
        <v>127</v>
      </c>
    </row>
    <row r="157" spans="1:6" ht="22.5" customHeight="1">
      <c r="A157" s="33" t="s">
        <v>555</v>
      </c>
      <c r="B157" s="33" t="s">
        <v>337</v>
      </c>
      <c r="C157" s="33" t="s">
        <v>355</v>
      </c>
      <c r="D157" s="33" t="s">
        <v>124</v>
      </c>
      <c r="E157" s="33" t="s">
        <v>126</v>
      </c>
      <c r="F157" s="33" t="s">
        <v>127</v>
      </c>
    </row>
    <row r="158" spans="1:6" ht="22.5" customHeight="1">
      <c r="A158" s="33" t="s">
        <v>557</v>
      </c>
      <c r="B158" s="33" t="s">
        <v>281</v>
      </c>
      <c r="C158" s="33" t="s">
        <v>283</v>
      </c>
      <c r="D158" s="33" t="s">
        <v>116</v>
      </c>
      <c r="E158" s="33" t="s">
        <v>117</v>
      </c>
      <c r="F158" s="33" t="s">
        <v>119</v>
      </c>
    </row>
    <row r="159" spans="1:6" ht="22.5" customHeight="1">
      <c r="A159" s="33" t="s">
        <v>558</v>
      </c>
      <c r="B159" s="33" t="s">
        <v>559</v>
      </c>
      <c r="C159" s="33" t="s">
        <v>620</v>
      </c>
      <c r="D159" s="33" t="s">
        <v>104</v>
      </c>
      <c r="E159" s="33" t="s">
        <v>106</v>
      </c>
      <c r="F159" s="33" t="s">
        <v>107</v>
      </c>
    </row>
    <row r="160" spans="1:6" ht="22.5" customHeight="1">
      <c r="A160" s="33" t="s">
        <v>561</v>
      </c>
      <c r="B160" s="33" t="s">
        <v>371</v>
      </c>
      <c r="C160" s="33" t="s">
        <v>194</v>
      </c>
      <c r="D160" s="33" t="s">
        <v>151</v>
      </c>
      <c r="E160" s="33" t="s">
        <v>153</v>
      </c>
      <c r="F160" s="33" t="s">
        <v>154</v>
      </c>
    </row>
    <row r="161" spans="1:6" ht="22.5" customHeight="1">
      <c r="A161" s="33" t="s">
        <v>563</v>
      </c>
      <c r="B161" s="33" t="s">
        <v>564</v>
      </c>
      <c r="C161" s="33" t="s">
        <v>626</v>
      </c>
      <c r="D161" s="33" t="s">
        <v>104</v>
      </c>
      <c r="E161" s="33" t="s">
        <v>106</v>
      </c>
      <c r="F161" s="33" t="s">
        <v>107</v>
      </c>
    </row>
    <row r="162" spans="1:6" ht="22.5" customHeight="1">
      <c r="A162" s="33" t="s">
        <v>568</v>
      </c>
      <c r="B162" s="33" t="s">
        <v>281</v>
      </c>
      <c r="C162" s="33" t="s">
        <v>283</v>
      </c>
      <c r="D162" s="33" t="s">
        <v>116</v>
      </c>
      <c r="E162" s="33" t="s">
        <v>117</v>
      </c>
      <c r="F162" s="33" t="s">
        <v>119</v>
      </c>
    </row>
    <row r="163" spans="1:6" ht="22.5" customHeight="1">
      <c r="A163" s="33" t="s">
        <v>569</v>
      </c>
      <c r="B163" s="33" t="s">
        <v>156</v>
      </c>
      <c r="C163" s="33" t="s">
        <v>163</v>
      </c>
      <c r="D163" s="33" t="s">
        <v>116</v>
      </c>
      <c r="E163" s="33" t="s">
        <v>117</v>
      </c>
      <c r="F163" s="33" t="s">
        <v>119</v>
      </c>
    </row>
    <row r="164" spans="1:6" ht="22.5" customHeight="1">
      <c r="A164" s="33" t="s">
        <v>570</v>
      </c>
      <c r="B164" s="33" t="s">
        <v>105</v>
      </c>
      <c r="C164" s="33" t="s">
        <v>114</v>
      </c>
      <c r="D164" s="33" t="s">
        <v>116</v>
      </c>
      <c r="E164" s="33" t="s">
        <v>117</v>
      </c>
      <c r="F164" s="33" t="s">
        <v>119</v>
      </c>
    </row>
    <row r="165" spans="1:6" ht="22.5" customHeight="1">
      <c r="A165" s="33" t="s">
        <v>572</v>
      </c>
      <c r="B165" s="33" t="s">
        <v>215</v>
      </c>
      <c r="C165" s="33" t="s">
        <v>221</v>
      </c>
      <c r="D165" s="33" t="s">
        <v>116</v>
      </c>
      <c r="E165" s="33" t="s">
        <v>117</v>
      </c>
      <c r="F165" s="33" t="s">
        <v>119</v>
      </c>
    </row>
    <row r="166" spans="1:6" ht="22.5" customHeight="1">
      <c r="A166" s="33" t="s">
        <v>574</v>
      </c>
      <c r="B166" s="33" t="s">
        <v>575</v>
      </c>
      <c r="C166" s="33" t="s">
        <v>647</v>
      </c>
      <c r="D166" s="33" t="s">
        <v>151</v>
      </c>
      <c r="E166" s="33" t="s">
        <v>153</v>
      </c>
      <c r="F166" s="33" t="s">
        <v>154</v>
      </c>
    </row>
    <row r="167" spans="1:6" ht="22.5" customHeight="1">
      <c r="A167" s="33" t="s">
        <v>578</v>
      </c>
      <c r="B167" s="33" t="s">
        <v>579</v>
      </c>
      <c r="C167" s="33" t="s">
        <v>651</v>
      </c>
      <c r="D167" s="33" t="s">
        <v>104</v>
      </c>
      <c r="E167" s="33" t="s">
        <v>106</v>
      </c>
      <c r="F167" s="33" t="s">
        <v>107</v>
      </c>
    </row>
    <row r="168" spans="1:6" ht="22.5" customHeight="1">
      <c r="A168" s="33" t="s">
        <v>581</v>
      </c>
      <c r="B168" s="33" t="s">
        <v>105</v>
      </c>
      <c r="C168" s="33" t="s">
        <v>114</v>
      </c>
      <c r="D168" s="33" t="s">
        <v>124</v>
      </c>
      <c r="E168" s="33" t="s">
        <v>126</v>
      </c>
      <c r="F168" s="33" t="s">
        <v>127</v>
      </c>
    </row>
    <row r="169" spans="1:6" ht="22.5" customHeight="1">
      <c r="A169" s="33" t="s">
        <v>582</v>
      </c>
      <c r="B169" s="33" t="s">
        <v>415</v>
      </c>
      <c r="C169" s="33" t="s">
        <v>434</v>
      </c>
      <c r="D169" s="33" t="s">
        <v>151</v>
      </c>
      <c r="E169" s="33" t="s">
        <v>153</v>
      </c>
      <c r="F169" s="33" t="s">
        <v>154</v>
      </c>
    </row>
    <row r="170" spans="1:6" ht="22.5" customHeight="1">
      <c r="A170" s="33" t="s">
        <v>584</v>
      </c>
      <c r="B170" s="33" t="s">
        <v>585</v>
      </c>
      <c r="C170" s="33" t="s">
        <v>114</v>
      </c>
      <c r="D170" s="33" t="s">
        <v>151</v>
      </c>
      <c r="E170" s="33" t="s">
        <v>153</v>
      </c>
      <c r="F170" s="33" t="s">
        <v>154</v>
      </c>
    </row>
    <row r="171" spans="1:6" ht="22.5" customHeight="1">
      <c r="A171" s="33" t="s">
        <v>587</v>
      </c>
      <c r="B171" s="33" t="s">
        <v>588</v>
      </c>
      <c r="C171" s="33" t="s">
        <v>657</v>
      </c>
      <c r="D171" s="33" t="s">
        <v>142</v>
      </c>
      <c r="E171" s="33" t="s">
        <v>145</v>
      </c>
      <c r="F171" s="33" t="s">
        <v>147</v>
      </c>
    </row>
    <row r="172" spans="1:6" ht="22.5" customHeight="1">
      <c r="A172" s="33" t="s">
        <v>590</v>
      </c>
      <c r="B172" s="33" t="s">
        <v>591</v>
      </c>
      <c r="C172" s="33" t="s">
        <v>665</v>
      </c>
      <c r="D172" s="33" t="s">
        <v>104</v>
      </c>
      <c r="E172" s="33" t="s">
        <v>106</v>
      </c>
      <c r="F172" s="33" t="s">
        <v>107</v>
      </c>
    </row>
    <row r="173" spans="1:6" ht="22.5" customHeight="1">
      <c r="A173" s="33" t="s">
        <v>594</v>
      </c>
      <c r="B173" s="33" t="s">
        <v>595</v>
      </c>
      <c r="C173" s="33" t="s">
        <v>670</v>
      </c>
      <c r="D173" s="33" t="s">
        <v>151</v>
      </c>
      <c r="E173" s="33" t="s">
        <v>153</v>
      </c>
      <c r="F173" s="33" t="s">
        <v>154</v>
      </c>
    </row>
    <row r="174" spans="1:6" ht="22.5" customHeight="1">
      <c r="A174" s="33" t="s">
        <v>597</v>
      </c>
      <c r="B174" s="33" t="s">
        <v>598</v>
      </c>
      <c r="C174" s="33" t="s">
        <v>671</v>
      </c>
      <c r="D174" s="33" t="s">
        <v>104</v>
      </c>
      <c r="E174" s="33" t="s">
        <v>106</v>
      </c>
      <c r="F174" s="33" t="s">
        <v>107</v>
      </c>
    </row>
    <row r="175" spans="1:6" ht="22.5" customHeight="1">
      <c r="A175" s="33" t="s">
        <v>601</v>
      </c>
      <c r="B175" s="33" t="s">
        <v>281</v>
      </c>
      <c r="C175" s="33" t="s">
        <v>283</v>
      </c>
      <c r="D175" s="33" t="s">
        <v>124</v>
      </c>
      <c r="E175" s="33" t="s">
        <v>126</v>
      </c>
      <c r="F175" s="33" t="s">
        <v>127</v>
      </c>
    </row>
    <row r="176" spans="1:6" ht="22.5" customHeight="1">
      <c r="A176" s="33" t="s">
        <v>73</v>
      </c>
      <c r="B176" s="33" t="s">
        <v>603</v>
      </c>
      <c r="C176" s="33" t="s">
        <v>676</v>
      </c>
      <c r="D176" s="33" t="s">
        <v>151</v>
      </c>
      <c r="E176" s="33" t="s">
        <v>153</v>
      </c>
      <c r="F176" s="33" t="s">
        <v>154</v>
      </c>
    </row>
    <row r="177" spans="1:6" ht="22.5" customHeight="1">
      <c r="A177" s="33" t="s">
        <v>76</v>
      </c>
      <c r="B177" s="33" t="s">
        <v>82</v>
      </c>
      <c r="C177" s="33" t="s">
        <v>122</v>
      </c>
      <c r="D177" s="33" t="s">
        <v>142</v>
      </c>
      <c r="E177" s="33" t="s">
        <v>145</v>
      </c>
      <c r="F177" s="33" t="s">
        <v>147</v>
      </c>
    </row>
    <row r="178" spans="1:6" ht="22.5" customHeight="1">
      <c r="A178" s="33" t="s">
        <v>605</v>
      </c>
      <c r="B178" s="33" t="s">
        <v>105</v>
      </c>
      <c r="C178" s="33" t="s">
        <v>114</v>
      </c>
      <c r="D178" s="33" t="s">
        <v>116</v>
      </c>
      <c r="E178" s="33" t="s">
        <v>117</v>
      </c>
      <c r="F178" s="33" t="s">
        <v>119</v>
      </c>
    </row>
    <row r="179" spans="1:6" ht="22.5" customHeight="1">
      <c r="A179" s="33" t="s">
        <v>607</v>
      </c>
      <c r="B179" s="33" t="s">
        <v>608</v>
      </c>
      <c r="C179" s="33" t="s">
        <v>683</v>
      </c>
      <c r="D179" s="33" t="s">
        <v>142</v>
      </c>
      <c r="E179" s="33" t="s">
        <v>145</v>
      </c>
      <c r="F179" s="33" t="s">
        <v>147</v>
      </c>
    </row>
    <row r="180" spans="1:6" ht="22.5" customHeight="1">
      <c r="A180" s="33" t="s">
        <v>610</v>
      </c>
      <c r="B180" s="33" t="s">
        <v>82</v>
      </c>
      <c r="C180" s="33" t="s">
        <v>122</v>
      </c>
      <c r="D180" s="33" t="s">
        <v>124</v>
      </c>
      <c r="E180" s="33" t="s">
        <v>126</v>
      </c>
      <c r="F180" s="33" t="s">
        <v>127</v>
      </c>
    </row>
    <row r="181" spans="1:6" ht="22.5" customHeight="1">
      <c r="A181" s="33" t="s">
        <v>78</v>
      </c>
      <c r="B181" s="33" t="s">
        <v>611</v>
      </c>
      <c r="C181" s="33" t="s">
        <v>687</v>
      </c>
      <c r="D181" s="33" t="s">
        <v>104</v>
      </c>
      <c r="E181" s="33" t="s">
        <v>106</v>
      </c>
      <c r="F181" s="33" t="s">
        <v>107</v>
      </c>
    </row>
    <row r="182" spans="1:6" ht="22.5" customHeight="1">
      <c r="A182" s="33" t="s">
        <v>613</v>
      </c>
      <c r="B182" s="33" t="s">
        <v>614</v>
      </c>
      <c r="C182" s="33" t="s">
        <v>692</v>
      </c>
      <c r="D182" s="33" t="s">
        <v>104</v>
      </c>
      <c r="E182" s="33" t="s">
        <v>106</v>
      </c>
      <c r="F182" s="33" t="s">
        <v>107</v>
      </c>
    </row>
    <row r="183" spans="1:6" ht="22.5" customHeight="1">
      <c r="A183" s="33" t="s">
        <v>616</v>
      </c>
      <c r="B183" s="33" t="s">
        <v>617</v>
      </c>
      <c r="C183" s="33" t="s">
        <v>696</v>
      </c>
      <c r="D183" s="33" t="s">
        <v>104</v>
      </c>
      <c r="E183" s="33" t="s">
        <v>106</v>
      </c>
      <c r="F183" s="33" t="s">
        <v>107</v>
      </c>
    </row>
    <row r="184" spans="1:6" ht="22.5" customHeight="1">
      <c r="A184" s="33" t="s">
        <v>618</v>
      </c>
      <c r="B184" s="33" t="s">
        <v>619</v>
      </c>
      <c r="C184" s="33">
        <v>1</v>
      </c>
      <c r="D184" s="33" t="s">
        <v>124</v>
      </c>
      <c r="E184" s="33" t="s">
        <v>126</v>
      </c>
      <c r="F184" s="33" t="s">
        <v>127</v>
      </c>
    </row>
    <row r="185" spans="1:6" ht="22.5" customHeight="1">
      <c r="A185" s="33" t="s">
        <v>621</v>
      </c>
      <c r="B185" s="33" t="s">
        <v>130</v>
      </c>
      <c r="C185" s="33" t="s">
        <v>132</v>
      </c>
      <c r="D185" s="33" t="s">
        <v>142</v>
      </c>
      <c r="E185" s="33" t="s">
        <v>145</v>
      </c>
      <c r="F185" s="33" t="s">
        <v>147</v>
      </c>
    </row>
    <row r="186" spans="1:6" ht="22.5" customHeight="1">
      <c r="A186" s="33" t="s">
        <v>623</v>
      </c>
      <c r="B186" s="33" t="s">
        <v>130</v>
      </c>
      <c r="C186" s="33" t="s">
        <v>132</v>
      </c>
      <c r="D186" s="33" t="s">
        <v>142</v>
      </c>
      <c r="E186" s="33" t="s">
        <v>145</v>
      </c>
      <c r="F186" s="33" t="s">
        <v>147</v>
      </c>
    </row>
    <row r="187" spans="1:6" ht="22.5" customHeight="1">
      <c r="A187" s="33" t="s">
        <v>624</v>
      </c>
      <c r="B187" s="33" t="s">
        <v>82</v>
      </c>
      <c r="C187" s="33" t="s">
        <v>122</v>
      </c>
      <c r="D187" s="33" t="s">
        <v>124</v>
      </c>
      <c r="E187" s="33" t="s">
        <v>126</v>
      </c>
      <c r="F187" s="33" t="s">
        <v>127</v>
      </c>
    </row>
    <row r="188" spans="1:6" ht="22.5" customHeight="1">
      <c r="A188" s="33" t="s">
        <v>625</v>
      </c>
      <c r="B188" s="33" t="s">
        <v>82</v>
      </c>
      <c r="C188" s="33" t="s">
        <v>122</v>
      </c>
      <c r="D188" s="33" t="s">
        <v>124</v>
      </c>
      <c r="E188" s="33" t="s">
        <v>126</v>
      </c>
      <c r="F188" s="33" t="s">
        <v>127</v>
      </c>
    </row>
    <row r="189" spans="1:6" ht="22.5" customHeight="1">
      <c r="A189" s="33" t="s">
        <v>627</v>
      </c>
      <c r="B189" s="33" t="s">
        <v>130</v>
      </c>
      <c r="C189" s="33" t="s">
        <v>132</v>
      </c>
      <c r="D189" s="33" t="s">
        <v>151</v>
      </c>
      <c r="E189" s="33" t="s">
        <v>153</v>
      </c>
      <c r="F189" s="33" t="s">
        <v>154</v>
      </c>
    </row>
    <row r="190" spans="1:6" ht="22.5" customHeight="1">
      <c r="A190" s="33" t="s">
        <v>628</v>
      </c>
      <c r="B190" s="33" t="s">
        <v>82</v>
      </c>
      <c r="C190" s="33" t="s">
        <v>122</v>
      </c>
      <c r="D190" s="33" t="s">
        <v>124</v>
      </c>
      <c r="E190" s="33" t="s">
        <v>126</v>
      </c>
      <c r="F190" s="33" t="s">
        <v>127</v>
      </c>
    </row>
    <row r="191" spans="1:6" ht="22.5" customHeight="1">
      <c r="A191" s="33" t="s">
        <v>629</v>
      </c>
      <c r="B191" s="33" t="s">
        <v>630</v>
      </c>
      <c r="C191" s="33" t="s">
        <v>717</v>
      </c>
      <c r="D191" s="33" t="s">
        <v>142</v>
      </c>
      <c r="E191" s="33" t="s">
        <v>145</v>
      </c>
      <c r="F191" s="33" t="s">
        <v>147</v>
      </c>
    </row>
    <row r="192" spans="1:6" ht="22.5" customHeight="1">
      <c r="A192" s="33" t="s">
        <v>632</v>
      </c>
      <c r="B192" s="33" t="s">
        <v>82</v>
      </c>
      <c r="C192" s="33" t="s">
        <v>122</v>
      </c>
      <c r="D192" s="33" t="s">
        <v>142</v>
      </c>
      <c r="E192" s="33" t="s">
        <v>145</v>
      </c>
      <c r="F192" s="33" t="s">
        <v>147</v>
      </c>
    </row>
    <row r="193" spans="1:6" ht="22.5" customHeight="1">
      <c r="A193" s="33" t="s">
        <v>633</v>
      </c>
      <c r="B193" s="33" t="s">
        <v>634</v>
      </c>
      <c r="C193" s="33" t="s">
        <v>463</v>
      </c>
      <c r="D193" s="33" t="s">
        <v>151</v>
      </c>
      <c r="E193" s="33" t="s">
        <v>153</v>
      </c>
      <c r="F193" s="33" t="s">
        <v>154</v>
      </c>
    </row>
    <row r="194" spans="1:6" ht="22.5" customHeight="1">
      <c r="A194" s="33" t="s">
        <v>636</v>
      </c>
      <c r="B194" s="33" t="s">
        <v>637</v>
      </c>
      <c r="C194" s="33" t="s">
        <v>723</v>
      </c>
      <c r="D194" s="33" t="s">
        <v>151</v>
      </c>
      <c r="E194" s="33" t="s">
        <v>153</v>
      </c>
      <c r="F194" s="33" t="s">
        <v>154</v>
      </c>
    </row>
    <row r="195" spans="1:6" ht="22.5" customHeight="1">
      <c r="A195" s="33" t="s">
        <v>639</v>
      </c>
      <c r="B195" s="33" t="s">
        <v>192</v>
      </c>
      <c r="C195" s="33" t="s">
        <v>194</v>
      </c>
      <c r="D195" s="33" t="s">
        <v>104</v>
      </c>
      <c r="E195" s="33" t="s">
        <v>106</v>
      </c>
      <c r="F195" s="33" t="s">
        <v>107</v>
      </c>
    </row>
    <row r="196" spans="1:6" ht="22.5" customHeight="1">
      <c r="A196" s="33" t="s">
        <v>641</v>
      </c>
      <c r="B196" s="33" t="s">
        <v>642</v>
      </c>
      <c r="C196" s="33" t="s">
        <v>734</v>
      </c>
      <c r="D196" s="33" t="s">
        <v>104</v>
      </c>
      <c r="E196" s="33" t="s">
        <v>106</v>
      </c>
      <c r="F196" s="33" t="s">
        <v>107</v>
      </c>
    </row>
    <row r="197" spans="1:6" ht="22.5" customHeight="1">
      <c r="A197" s="33" t="s">
        <v>644</v>
      </c>
      <c r="B197" s="33" t="s">
        <v>645</v>
      </c>
      <c r="C197" s="33" t="s">
        <v>737</v>
      </c>
      <c r="D197" s="33" t="s">
        <v>151</v>
      </c>
      <c r="E197" s="33" t="s">
        <v>153</v>
      </c>
      <c r="F197" s="33" t="s">
        <v>154</v>
      </c>
    </row>
    <row r="198" spans="1:6" ht="22.5" customHeight="1">
      <c r="A198" s="33" t="s">
        <v>648</v>
      </c>
      <c r="B198" s="33" t="s">
        <v>649</v>
      </c>
      <c r="C198" s="33" t="s">
        <v>739</v>
      </c>
      <c r="D198" s="33" t="s">
        <v>104</v>
      </c>
      <c r="E198" s="33" t="s">
        <v>106</v>
      </c>
      <c r="F198" s="33" t="s">
        <v>107</v>
      </c>
    </row>
    <row r="199" spans="1:6" ht="22.5" customHeight="1">
      <c r="A199" s="33" t="s">
        <v>652</v>
      </c>
      <c r="B199" s="33" t="s">
        <v>653</v>
      </c>
      <c r="C199" s="33" t="s">
        <v>228</v>
      </c>
      <c r="D199" s="33" t="s">
        <v>142</v>
      </c>
      <c r="E199" s="33" t="s">
        <v>145</v>
      </c>
      <c r="F199" s="33" t="s">
        <v>147</v>
      </c>
    </row>
    <row r="200" spans="1:6" ht="22.5" customHeight="1">
      <c r="A200" s="33" t="s">
        <v>654</v>
      </c>
      <c r="B200" s="33" t="s">
        <v>655</v>
      </c>
      <c r="C200" s="33" t="s">
        <v>159</v>
      </c>
      <c r="D200" s="33" t="s">
        <v>124</v>
      </c>
      <c r="E200" s="33" t="s">
        <v>126</v>
      </c>
      <c r="F200" s="33" t="s">
        <v>127</v>
      </c>
    </row>
    <row r="201" spans="1:6" ht="22.5" customHeight="1">
      <c r="A201" s="33" t="s">
        <v>81</v>
      </c>
      <c r="B201" s="33" t="s">
        <v>82</v>
      </c>
      <c r="C201" s="33" t="s">
        <v>122</v>
      </c>
      <c r="D201" s="33" t="s">
        <v>151</v>
      </c>
      <c r="E201" s="33" t="s">
        <v>153</v>
      </c>
      <c r="F201" s="33" t="s">
        <v>154</v>
      </c>
    </row>
    <row r="202" spans="1:6" ht="22.5" customHeight="1">
      <c r="A202" s="33" t="s">
        <v>79</v>
      </c>
      <c r="B202" s="33" t="s">
        <v>82</v>
      </c>
      <c r="C202" s="33" t="s">
        <v>122</v>
      </c>
      <c r="D202" s="33" t="s">
        <v>142</v>
      </c>
      <c r="E202" s="33" t="s">
        <v>145</v>
      </c>
      <c r="F202" s="33" t="s">
        <v>147</v>
      </c>
    </row>
    <row r="203" spans="1:6" ht="22.5" customHeight="1">
      <c r="A203" s="33" t="s">
        <v>656</v>
      </c>
      <c r="B203" s="33" t="s">
        <v>658</v>
      </c>
      <c r="C203" s="33" t="s">
        <v>756</v>
      </c>
      <c r="D203" s="33" t="s">
        <v>124</v>
      </c>
      <c r="E203" s="33" t="s">
        <v>126</v>
      </c>
      <c r="F203" s="33" t="s">
        <v>127</v>
      </c>
    </row>
    <row r="204" spans="1:6" ht="22.5" customHeight="1">
      <c r="A204" s="33" t="s">
        <v>660</v>
      </c>
      <c r="B204" s="33" t="s">
        <v>661</v>
      </c>
      <c r="C204" s="33" t="s">
        <v>758</v>
      </c>
      <c r="D204" s="33" t="s">
        <v>104</v>
      </c>
      <c r="E204" s="33" t="s">
        <v>106</v>
      </c>
      <c r="F204" s="33" t="s">
        <v>107</v>
      </c>
    </row>
    <row r="205" spans="1:6" ht="22.5" customHeight="1">
      <c r="A205" s="33" t="s">
        <v>663</v>
      </c>
      <c r="B205" s="33" t="s">
        <v>664</v>
      </c>
      <c r="C205" s="33" t="s">
        <v>761</v>
      </c>
      <c r="D205" s="33" t="s">
        <v>151</v>
      </c>
      <c r="E205" s="33" t="s">
        <v>153</v>
      </c>
      <c r="F205" s="33" t="s">
        <v>154</v>
      </c>
    </row>
    <row r="206" spans="1:6" ht="22.5" customHeight="1">
      <c r="A206" s="33" t="s">
        <v>666</v>
      </c>
      <c r="B206" s="33" t="s">
        <v>255</v>
      </c>
      <c r="C206" s="33">
        <v>1</v>
      </c>
      <c r="D206" s="33" t="s">
        <v>124</v>
      </c>
      <c r="E206" s="33" t="s">
        <v>126</v>
      </c>
      <c r="F206" s="33" t="s">
        <v>127</v>
      </c>
    </row>
    <row r="207" spans="1:6" ht="22.5" customHeight="1">
      <c r="A207" s="33" t="s">
        <v>667</v>
      </c>
      <c r="B207" s="33" t="s">
        <v>668</v>
      </c>
      <c r="C207" s="33" t="s">
        <v>765</v>
      </c>
      <c r="D207" s="33" t="s">
        <v>104</v>
      </c>
      <c r="E207" s="33" t="s">
        <v>106</v>
      </c>
      <c r="F207" s="33" t="s">
        <v>107</v>
      </c>
    </row>
    <row r="208" spans="1:6" ht="22.5" customHeight="1">
      <c r="A208" s="33" t="s">
        <v>51</v>
      </c>
      <c r="B208" s="33" t="s">
        <v>82</v>
      </c>
      <c r="C208" s="33" t="s">
        <v>122</v>
      </c>
      <c r="D208" s="33" t="s">
        <v>142</v>
      </c>
      <c r="E208" s="33" t="s">
        <v>145</v>
      </c>
      <c r="F208" s="33" t="s">
        <v>147</v>
      </c>
    </row>
    <row r="209" spans="1:6" ht="22.5" customHeight="1">
      <c r="A209" s="33" t="s">
        <v>672</v>
      </c>
      <c r="B209" s="33" t="s">
        <v>673</v>
      </c>
      <c r="C209" s="33" t="s">
        <v>773</v>
      </c>
      <c r="D209" s="33" t="s">
        <v>104</v>
      </c>
      <c r="E209" s="33" t="s">
        <v>106</v>
      </c>
      <c r="F209" s="33" t="s">
        <v>107</v>
      </c>
    </row>
    <row r="210" spans="1:6" ht="22.5" customHeight="1">
      <c r="A210" s="33" t="s">
        <v>675</v>
      </c>
      <c r="B210" s="33" t="s">
        <v>668</v>
      </c>
      <c r="C210" s="33" t="s">
        <v>765</v>
      </c>
      <c r="D210" s="33" t="s">
        <v>99</v>
      </c>
      <c r="E210" s="33" t="s">
        <v>100</v>
      </c>
      <c r="F210" s="33" t="s">
        <v>101</v>
      </c>
    </row>
    <row r="211" spans="1:6" ht="22.5" customHeight="1">
      <c r="A211" s="33" t="s">
        <v>677</v>
      </c>
      <c r="B211" s="33" t="s">
        <v>678</v>
      </c>
      <c r="C211" s="33" t="s">
        <v>774</v>
      </c>
      <c r="D211" s="33" t="s">
        <v>104</v>
      </c>
      <c r="E211" s="33" t="s">
        <v>106</v>
      </c>
      <c r="F211" s="33" t="s">
        <v>107</v>
      </c>
    </row>
    <row r="212" spans="1:6" ht="22.5" customHeight="1">
      <c r="A212" s="33" t="s">
        <v>680</v>
      </c>
      <c r="B212" s="33" t="s">
        <v>215</v>
      </c>
      <c r="C212" s="33" t="s">
        <v>221</v>
      </c>
      <c r="D212" s="33" t="s">
        <v>116</v>
      </c>
      <c r="E212" s="33" t="s">
        <v>117</v>
      </c>
      <c r="F212" s="33" t="s">
        <v>119</v>
      </c>
    </row>
    <row r="213" spans="1:6" ht="22.5" customHeight="1">
      <c r="A213" s="33" t="s">
        <v>681</v>
      </c>
      <c r="B213" s="33" t="s">
        <v>682</v>
      </c>
      <c r="C213" s="33" t="s">
        <v>489</v>
      </c>
      <c r="D213" s="33" t="s">
        <v>104</v>
      </c>
      <c r="E213" s="33" t="s">
        <v>106</v>
      </c>
      <c r="F213" s="33" t="s">
        <v>107</v>
      </c>
    </row>
    <row r="214" spans="1:6" ht="22.5" customHeight="1">
      <c r="A214" s="33" t="s">
        <v>87</v>
      </c>
      <c r="B214" s="33" t="s">
        <v>684</v>
      </c>
      <c r="C214" s="33" t="s">
        <v>775</v>
      </c>
      <c r="D214" s="33" t="s">
        <v>124</v>
      </c>
      <c r="E214" s="33" t="s">
        <v>126</v>
      </c>
      <c r="F214" s="33" t="s">
        <v>127</v>
      </c>
    </row>
    <row r="215" spans="1:6" ht="22.5" customHeight="1">
      <c r="A215" s="33" t="s">
        <v>686</v>
      </c>
      <c r="B215" s="33" t="s">
        <v>482</v>
      </c>
      <c r="C215" s="33" t="s">
        <v>500</v>
      </c>
      <c r="D215" s="33" t="s">
        <v>776</v>
      </c>
      <c r="E215" s="33" t="s">
        <v>777</v>
      </c>
      <c r="F215" s="33" t="s">
        <v>778</v>
      </c>
    </row>
    <row r="216" spans="1:6" ht="22.5" customHeight="1">
      <c r="A216" s="33" t="s">
        <v>688</v>
      </c>
      <c r="B216" s="33" t="s">
        <v>689</v>
      </c>
      <c r="C216" s="33" t="s">
        <v>690</v>
      </c>
      <c r="D216" s="33" t="s">
        <v>104</v>
      </c>
      <c r="E216" s="33" t="s">
        <v>106</v>
      </c>
      <c r="F216" s="33" t="s">
        <v>107</v>
      </c>
    </row>
    <row r="217" spans="1:6" ht="22.5" customHeight="1">
      <c r="A217" s="33" t="s">
        <v>691</v>
      </c>
      <c r="B217" s="33" t="s">
        <v>693</v>
      </c>
      <c r="C217" s="33" t="s">
        <v>779</v>
      </c>
      <c r="D217" s="33" t="s">
        <v>124</v>
      </c>
      <c r="E217" s="33" t="s">
        <v>126</v>
      </c>
      <c r="F217" s="33" t="s">
        <v>127</v>
      </c>
    </row>
    <row r="218" spans="1:6" ht="22.5" customHeight="1">
      <c r="A218" s="33" t="s">
        <v>695</v>
      </c>
      <c r="B218" s="33" t="s">
        <v>697</v>
      </c>
      <c r="C218" s="33" t="s">
        <v>698</v>
      </c>
      <c r="D218" s="33" t="s">
        <v>99</v>
      </c>
      <c r="E218" s="33" t="s">
        <v>100</v>
      </c>
      <c r="F218" s="33" t="s">
        <v>101</v>
      </c>
    </row>
    <row r="219" spans="1:6" ht="22.5" customHeight="1">
      <c r="A219" s="33" t="s">
        <v>699</v>
      </c>
      <c r="B219" s="33" t="s">
        <v>700</v>
      </c>
      <c r="C219" s="33" t="s">
        <v>780</v>
      </c>
      <c r="D219" s="33" t="s">
        <v>104</v>
      </c>
      <c r="E219" s="33" t="s">
        <v>106</v>
      </c>
      <c r="F219" s="33" t="s">
        <v>107</v>
      </c>
    </row>
    <row r="220" spans="1:6" ht="22.5" customHeight="1">
      <c r="A220" s="33" t="s">
        <v>702</v>
      </c>
      <c r="B220" s="33" t="s">
        <v>105</v>
      </c>
      <c r="C220" s="33" t="s">
        <v>114</v>
      </c>
      <c r="D220" s="33" t="s">
        <v>104</v>
      </c>
      <c r="E220" s="33" t="s">
        <v>106</v>
      </c>
      <c r="F220" s="33" t="s">
        <v>107</v>
      </c>
    </row>
    <row r="221" spans="1:6" ht="22.5" customHeight="1">
      <c r="A221" s="33" t="s">
        <v>703</v>
      </c>
      <c r="B221" s="33" t="s">
        <v>192</v>
      </c>
      <c r="C221" s="33" t="s">
        <v>194</v>
      </c>
      <c r="D221" s="33" t="s">
        <v>104</v>
      </c>
      <c r="E221" s="33" t="s">
        <v>106</v>
      </c>
      <c r="F221" s="33" t="s">
        <v>107</v>
      </c>
    </row>
    <row r="222" spans="1:6" ht="22.5" customHeight="1">
      <c r="A222" s="33" t="s">
        <v>704</v>
      </c>
      <c r="B222" s="33" t="s">
        <v>281</v>
      </c>
      <c r="C222" s="33" t="s">
        <v>283</v>
      </c>
      <c r="D222" s="33" t="s">
        <v>116</v>
      </c>
      <c r="E222" s="33" t="s">
        <v>117</v>
      </c>
      <c r="F222" s="33" t="s">
        <v>119</v>
      </c>
    </row>
    <row r="223" spans="1:6" ht="22.5" customHeight="1">
      <c r="A223" s="33" t="s">
        <v>705</v>
      </c>
      <c r="B223" s="33" t="s">
        <v>706</v>
      </c>
      <c r="C223" s="33" t="s">
        <v>163</v>
      </c>
      <c r="D223" s="33" t="s">
        <v>142</v>
      </c>
      <c r="E223" s="33" t="s">
        <v>145</v>
      </c>
      <c r="F223" s="33" t="s">
        <v>147</v>
      </c>
    </row>
    <row r="224" spans="1:6" ht="22.5" customHeight="1">
      <c r="A224" s="33" t="s">
        <v>708</v>
      </c>
      <c r="B224" s="33" t="s">
        <v>709</v>
      </c>
      <c r="C224" s="33" t="s">
        <v>781</v>
      </c>
      <c r="D224" s="33" t="s">
        <v>142</v>
      </c>
      <c r="E224" s="33" t="s">
        <v>145</v>
      </c>
      <c r="F224" s="33" t="s">
        <v>147</v>
      </c>
    </row>
    <row r="225" spans="1:6" ht="22.5" customHeight="1">
      <c r="A225" s="33" t="s">
        <v>711</v>
      </c>
      <c r="B225" s="33" t="s">
        <v>712</v>
      </c>
      <c r="C225" s="33" t="s">
        <v>782</v>
      </c>
      <c r="D225" s="33" t="s">
        <v>104</v>
      </c>
      <c r="E225" s="33" t="s">
        <v>106</v>
      </c>
      <c r="F225" s="33" t="s">
        <v>107</v>
      </c>
    </row>
    <row r="226" spans="1:6" ht="22.5" customHeight="1">
      <c r="A226" s="33" t="s">
        <v>714</v>
      </c>
      <c r="B226" s="33" t="s">
        <v>715</v>
      </c>
      <c r="C226" s="33" t="s">
        <v>783</v>
      </c>
      <c r="D226" s="33" t="s">
        <v>104</v>
      </c>
      <c r="E226" s="33" t="s">
        <v>106</v>
      </c>
      <c r="F226" s="33" t="s">
        <v>107</v>
      </c>
    </row>
    <row r="227" spans="1:6" ht="22.5" customHeight="1">
      <c r="A227" s="33" t="s">
        <v>718</v>
      </c>
      <c r="B227" s="33" t="s">
        <v>719</v>
      </c>
      <c r="C227" s="33" t="s">
        <v>784</v>
      </c>
      <c r="D227" s="33" t="s">
        <v>151</v>
      </c>
      <c r="E227" s="33" t="s">
        <v>153</v>
      </c>
      <c r="F227" s="33" t="s">
        <v>154</v>
      </c>
    </row>
    <row r="228" spans="1:6" ht="22.5" customHeight="1">
      <c r="A228" s="33" t="s">
        <v>721</v>
      </c>
      <c r="B228" s="33" t="s">
        <v>105</v>
      </c>
      <c r="C228" s="33" t="s">
        <v>114</v>
      </c>
      <c r="D228" s="33" t="s">
        <v>124</v>
      </c>
      <c r="E228" s="33" t="s">
        <v>126</v>
      </c>
      <c r="F228" s="33" t="s">
        <v>127</v>
      </c>
    </row>
    <row r="229" spans="1:6" ht="22.5" customHeight="1">
      <c r="A229" s="33" t="s">
        <v>722</v>
      </c>
      <c r="B229" s="33" t="s">
        <v>156</v>
      </c>
      <c r="C229" s="33" t="s">
        <v>163</v>
      </c>
      <c r="D229" s="33" t="s">
        <v>124</v>
      </c>
      <c r="E229" s="33" t="s">
        <v>126</v>
      </c>
      <c r="F229" s="33" t="s">
        <v>127</v>
      </c>
    </row>
    <row r="230" spans="1:6" ht="22.5" customHeight="1">
      <c r="A230" s="33" t="s">
        <v>724</v>
      </c>
      <c r="B230" s="33" t="s">
        <v>725</v>
      </c>
      <c r="C230" s="33" t="s">
        <v>273</v>
      </c>
      <c r="D230" s="33" t="s">
        <v>104</v>
      </c>
      <c r="E230" s="33" t="s">
        <v>106</v>
      </c>
      <c r="F230" s="33" t="s">
        <v>107</v>
      </c>
    </row>
    <row r="231" spans="1:6" ht="22.5" customHeight="1">
      <c r="A231" s="33" t="s">
        <v>727</v>
      </c>
      <c r="B231" s="33" t="s">
        <v>728</v>
      </c>
      <c r="C231" s="33" t="s">
        <v>785</v>
      </c>
      <c r="D231" s="33" t="s">
        <v>104</v>
      </c>
      <c r="E231" s="33" t="s">
        <v>106</v>
      </c>
      <c r="F231" s="33" t="s">
        <v>107</v>
      </c>
    </row>
    <row r="232" spans="1:6" ht="22.5" customHeight="1">
      <c r="A232" s="33" t="s">
        <v>730</v>
      </c>
      <c r="B232" s="33" t="s">
        <v>731</v>
      </c>
      <c r="C232" s="33" t="s">
        <v>786</v>
      </c>
      <c r="D232" s="33" t="s">
        <v>142</v>
      </c>
      <c r="E232" s="33" t="s">
        <v>145</v>
      </c>
      <c r="F232" s="33" t="s">
        <v>147</v>
      </c>
    </row>
    <row r="233" spans="1:6" ht="22.5" customHeight="1">
      <c r="A233" s="33" t="s">
        <v>733</v>
      </c>
      <c r="B233" s="33" t="s">
        <v>255</v>
      </c>
      <c r="C233" s="33">
        <v>1</v>
      </c>
      <c r="D233" s="33" t="s">
        <v>124</v>
      </c>
      <c r="E233" s="33" t="s">
        <v>126</v>
      </c>
      <c r="F233" s="33" t="s">
        <v>127</v>
      </c>
    </row>
    <row r="234" spans="1:6" ht="22.5" customHeight="1">
      <c r="A234" s="33" t="s">
        <v>735</v>
      </c>
      <c r="B234" s="33" t="s">
        <v>736</v>
      </c>
      <c r="C234" s="33" t="s">
        <v>787</v>
      </c>
      <c r="D234" s="33" t="s">
        <v>104</v>
      </c>
      <c r="E234" s="33" t="s">
        <v>106</v>
      </c>
      <c r="F234" s="33" t="s">
        <v>107</v>
      </c>
    </row>
    <row r="235" spans="1:6" ht="22.5" customHeight="1">
      <c r="A235" s="33" t="s">
        <v>740</v>
      </c>
      <c r="B235" s="33" t="s">
        <v>105</v>
      </c>
      <c r="C235" s="33" t="s">
        <v>114</v>
      </c>
      <c r="D235" s="33" t="s">
        <v>116</v>
      </c>
      <c r="E235" s="33" t="s">
        <v>117</v>
      </c>
      <c r="F235" s="33" t="s">
        <v>119</v>
      </c>
    </row>
    <row r="236" spans="1:6" ht="22.5" customHeight="1">
      <c r="A236" s="33" t="s">
        <v>741</v>
      </c>
      <c r="B236" s="33" t="s">
        <v>742</v>
      </c>
      <c r="C236" s="33" t="s">
        <v>788</v>
      </c>
      <c r="D236" s="33" t="s">
        <v>142</v>
      </c>
      <c r="E236" s="33" t="s">
        <v>145</v>
      </c>
      <c r="F236" s="33" t="s">
        <v>147</v>
      </c>
    </row>
    <row r="237" spans="1:6" ht="22.5" customHeight="1">
      <c r="A237" s="33" t="s">
        <v>744</v>
      </c>
      <c r="B237" s="33" t="s">
        <v>745</v>
      </c>
      <c r="C237" s="33" t="s">
        <v>789</v>
      </c>
      <c r="D237" s="33" t="s">
        <v>99</v>
      </c>
      <c r="E237" s="33" t="s">
        <v>100</v>
      </c>
      <c r="F237" s="33" t="s">
        <v>101</v>
      </c>
    </row>
    <row r="238" spans="1:6" ht="22.5" customHeight="1">
      <c r="A238" s="33" t="s">
        <v>747</v>
      </c>
      <c r="B238" s="33" t="s">
        <v>748</v>
      </c>
      <c r="C238" s="33" t="s">
        <v>790</v>
      </c>
      <c r="D238" s="33" t="s">
        <v>124</v>
      </c>
      <c r="E238" s="33" t="s">
        <v>126</v>
      </c>
      <c r="F238" s="33" t="s">
        <v>127</v>
      </c>
    </row>
    <row r="239" spans="1:6" ht="22.5" customHeight="1">
      <c r="A239" s="33" t="s">
        <v>750</v>
      </c>
      <c r="B239" s="33" t="s">
        <v>751</v>
      </c>
      <c r="C239" s="33" t="s">
        <v>791</v>
      </c>
      <c r="D239" s="33" t="s">
        <v>151</v>
      </c>
      <c r="E239" s="33" t="s">
        <v>153</v>
      </c>
      <c r="F239" s="33" t="s">
        <v>154</v>
      </c>
    </row>
    <row r="240" spans="1:6" ht="22.5" customHeight="1">
      <c r="A240" s="33" t="s">
        <v>753</v>
      </c>
      <c r="B240" s="33" t="s">
        <v>754</v>
      </c>
      <c r="C240" s="33" t="s">
        <v>792</v>
      </c>
      <c r="D240" s="33" t="s">
        <v>104</v>
      </c>
      <c r="E240" s="33" t="s">
        <v>106</v>
      </c>
      <c r="F240" s="33" t="s">
        <v>107</v>
      </c>
    </row>
    <row r="241" spans="1:6" ht="22.5" customHeight="1">
      <c r="A241" s="33" t="s">
        <v>757</v>
      </c>
      <c r="B241" s="33" t="s">
        <v>105</v>
      </c>
      <c r="C241" s="33" t="s">
        <v>114</v>
      </c>
      <c r="D241" s="33" t="s">
        <v>124</v>
      </c>
      <c r="E241" s="33" t="s">
        <v>126</v>
      </c>
      <c r="F241" s="33" t="s">
        <v>127</v>
      </c>
    </row>
    <row r="242" spans="1:6" ht="22.5" customHeight="1">
      <c r="A242" s="33" t="s">
        <v>759</v>
      </c>
      <c r="B242" s="33" t="s">
        <v>105</v>
      </c>
      <c r="C242" s="33" t="s">
        <v>114</v>
      </c>
      <c r="D242" s="33" t="s">
        <v>116</v>
      </c>
      <c r="E242" s="33" t="s">
        <v>117</v>
      </c>
      <c r="F242" s="33" t="s">
        <v>119</v>
      </c>
    </row>
    <row r="243" spans="1:6" ht="22.5" customHeight="1">
      <c r="A243" s="33" t="s">
        <v>760</v>
      </c>
      <c r="B243" s="33" t="s">
        <v>337</v>
      </c>
      <c r="C243" s="33" t="s">
        <v>355</v>
      </c>
      <c r="D243" s="33" t="s">
        <v>124</v>
      </c>
      <c r="E243" s="33" t="s">
        <v>126</v>
      </c>
      <c r="F243" s="33" t="s">
        <v>127</v>
      </c>
    </row>
    <row r="244" spans="1:6" ht="22.5" customHeight="1">
      <c r="A244" s="33" t="s">
        <v>762</v>
      </c>
      <c r="B244" s="33" t="s">
        <v>540</v>
      </c>
      <c r="C244" s="33" t="s">
        <v>583</v>
      </c>
      <c r="D244" s="33" t="s">
        <v>104</v>
      </c>
      <c r="E244" s="33" t="s">
        <v>106</v>
      </c>
      <c r="F244" s="33" t="s">
        <v>107</v>
      </c>
    </row>
    <row r="245" spans="1:6" ht="22.5" customHeight="1">
      <c r="A245" s="33" t="s">
        <v>763</v>
      </c>
      <c r="B245" s="33" t="s">
        <v>764</v>
      </c>
      <c r="C245" s="33" t="s">
        <v>793</v>
      </c>
      <c r="D245" s="33" t="s">
        <v>104</v>
      </c>
      <c r="E245" s="33" t="s">
        <v>106</v>
      </c>
      <c r="F245" s="33" t="s">
        <v>107</v>
      </c>
    </row>
    <row r="246" spans="1:6" ht="22.5" customHeight="1">
      <c r="A246" s="33" t="s">
        <v>767</v>
      </c>
      <c r="B246" s="33" t="s">
        <v>768</v>
      </c>
      <c r="C246" s="33" t="s">
        <v>794</v>
      </c>
      <c r="D246" s="33" t="s">
        <v>104</v>
      </c>
      <c r="E246" s="33" t="s">
        <v>106</v>
      </c>
      <c r="F246" s="33" t="s">
        <v>107</v>
      </c>
    </row>
    <row r="247" spans="1:6" ht="22.5" customHeight="1">
      <c r="A247" s="33" t="s">
        <v>770</v>
      </c>
      <c r="B247" s="33" t="s">
        <v>795</v>
      </c>
      <c r="C247" s="33" t="s">
        <v>796</v>
      </c>
      <c r="D247" s="33" t="s">
        <v>151</v>
      </c>
      <c r="E247" s="33" t="s">
        <v>153</v>
      </c>
      <c r="F247" s="33" t="s">
        <v>154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249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/>
  <cols>
    <col min="1" max="1" width="17.83203125" customWidth="1"/>
    <col min="2" max="2" width="18.5" customWidth="1"/>
    <col min="3" max="3" width="16.33203125" customWidth="1"/>
    <col min="4" max="4" width="15.33203125" customWidth="1"/>
    <col min="5" max="5" width="15.6640625" customWidth="1"/>
  </cols>
  <sheetData>
    <row r="1" spans="1:26" ht="67.5" customHeight="1">
      <c r="A1" s="10" t="s">
        <v>0</v>
      </c>
      <c r="B1" s="13" t="s">
        <v>12</v>
      </c>
      <c r="C1" s="13" t="s">
        <v>15</v>
      </c>
      <c r="D1" s="13" t="s">
        <v>20</v>
      </c>
      <c r="E1" s="13" t="s">
        <v>22</v>
      </c>
      <c r="F1" s="13" t="s">
        <v>25</v>
      </c>
      <c r="G1" s="18"/>
      <c r="H1" s="26" t="s">
        <v>32</v>
      </c>
      <c r="I1" s="27" t="s">
        <v>61</v>
      </c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spans="1:26" ht="22.5" customHeight="1">
      <c r="A2" s="29" t="s">
        <v>66</v>
      </c>
      <c r="B2" s="29" t="s">
        <v>70</v>
      </c>
      <c r="C2" s="29" t="s">
        <v>72</v>
      </c>
      <c r="D2" s="29" t="s">
        <v>74</v>
      </c>
      <c r="E2" s="29" t="s">
        <v>75</v>
      </c>
      <c r="F2" s="29" t="s">
        <v>77</v>
      </c>
      <c r="G2" s="29"/>
    </row>
    <row r="3" spans="1:26" ht="22.5" customHeight="1">
      <c r="A3" s="29" t="s">
        <v>80</v>
      </c>
      <c r="B3" s="29" t="s">
        <v>82</v>
      </c>
      <c r="C3" s="29" t="s">
        <v>83</v>
      </c>
      <c r="D3" s="29" t="s">
        <v>85</v>
      </c>
      <c r="E3" s="29" t="s">
        <v>88</v>
      </c>
      <c r="F3" s="29" t="s">
        <v>89</v>
      </c>
      <c r="G3" s="29"/>
    </row>
    <row r="4" spans="1:26" ht="22.5" customHeight="1">
      <c r="A4" s="29" t="s">
        <v>90</v>
      </c>
      <c r="B4" s="29" t="s">
        <v>91</v>
      </c>
      <c r="C4" s="29" t="s">
        <v>92</v>
      </c>
      <c r="D4" s="29" t="s">
        <v>93</v>
      </c>
      <c r="E4" s="29" t="s">
        <v>94</v>
      </c>
      <c r="F4" s="29" t="s">
        <v>95</v>
      </c>
      <c r="G4" s="29"/>
    </row>
    <row r="5" spans="1:26" ht="22.5" customHeight="1">
      <c r="A5" s="29" t="s">
        <v>96</v>
      </c>
      <c r="B5" s="29" t="s">
        <v>97</v>
      </c>
      <c r="C5" s="29" t="s">
        <v>98</v>
      </c>
      <c r="D5" s="29" t="s">
        <v>93</v>
      </c>
      <c r="E5" s="29" t="s">
        <v>94</v>
      </c>
      <c r="F5" s="29" t="s">
        <v>95</v>
      </c>
      <c r="G5" s="29"/>
    </row>
    <row r="6" spans="1:26" ht="22.5" customHeight="1">
      <c r="A6" s="29" t="s">
        <v>103</v>
      </c>
      <c r="B6" s="29" t="s">
        <v>105</v>
      </c>
      <c r="C6" s="29" t="s">
        <v>108</v>
      </c>
      <c r="D6" s="29" t="s">
        <v>109</v>
      </c>
      <c r="E6" s="29" t="s">
        <v>110</v>
      </c>
      <c r="F6" s="29" t="s">
        <v>112</v>
      </c>
      <c r="G6" s="29"/>
    </row>
    <row r="7" spans="1:26" ht="22.5" customHeight="1">
      <c r="A7" s="29" t="s">
        <v>113</v>
      </c>
      <c r="B7" s="29" t="s">
        <v>82</v>
      </c>
      <c r="C7" s="29" t="s">
        <v>83</v>
      </c>
      <c r="D7" s="34" t="s">
        <v>115</v>
      </c>
      <c r="E7" s="29" t="s">
        <v>118</v>
      </c>
      <c r="F7" s="29" t="s">
        <v>120</v>
      </c>
      <c r="G7" s="29"/>
    </row>
    <row r="8" spans="1:26" ht="22.5" customHeight="1">
      <c r="A8" s="29" t="s">
        <v>121</v>
      </c>
      <c r="B8" s="29" t="s">
        <v>123</v>
      </c>
      <c r="C8" s="29" t="s">
        <v>125</v>
      </c>
      <c r="D8" s="29" t="s">
        <v>93</v>
      </c>
      <c r="E8" s="29" t="s">
        <v>94</v>
      </c>
      <c r="F8" s="29" t="s">
        <v>95</v>
      </c>
      <c r="G8" s="29"/>
    </row>
    <row r="9" spans="1:26" ht="22.5" customHeight="1">
      <c r="A9" s="29" t="s">
        <v>129</v>
      </c>
      <c r="B9" s="29" t="s">
        <v>130</v>
      </c>
      <c r="C9" s="29" t="s">
        <v>131</v>
      </c>
      <c r="D9" s="29" t="s">
        <v>85</v>
      </c>
      <c r="E9" s="29" t="s">
        <v>88</v>
      </c>
      <c r="F9" s="29" t="s">
        <v>89</v>
      </c>
      <c r="G9" s="29"/>
    </row>
    <row r="10" spans="1:26" ht="22.5" customHeight="1">
      <c r="A10" s="29" t="s">
        <v>133</v>
      </c>
      <c r="B10" s="29" t="s">
        <v>105</v>
      </c>
      <c r="C10" s="29" t="s">
        <v>108</v>
      </c>
      <c r="D10" s="29" t="s">
        <v>85</v>
      </c>
      <c r="E10" s="29" t="s">
        <v>88</v>
      </c>
      <c r="F10" s="29" t="s">
        <v>89</v>
      </c>
      <c r="G10" s="29"/>
    </row>
    <row r="11" spans="1:26" ht="22.5" customHeight="1">
      <c r="A11" s="29" t="s">
        <v>134</v>
      </c>
      <c r="B11" s="29" t="s">
        <v>130</v>
      </c>
      <c r="C11" s="29" t="s">
        <v>131</v>
      </c>
      <c r="D11" s="29" t="s">
        <v>115</v>
      </c>
      <c r="E11" s="29" t="s">
        <v>118</v>
      </c>
      <c r="F11" s="29" t="s">
        <v>120</v>
      </c>
      <c r="G11" s="29"/>
    </row>
    <row r="12" spans="1:26" ht="22.5" customHeight="1">
      <c r="A12" s="29" t="s">
        <v>135</v>
      </c>
      <c r="B12" s="29" t="s">
        <v>136</v>
      </c>
      <c r="C12" s="29" t="s">
        <v>137</v>
      </c>
      <c r="D12" s="29" t="s">
        <v>138</v>
      </c>
      <c r="E12" s="29" t="s">
        <v>139</v>
      </c>
      <c r="F12" s="29" t="s">
        <v>141</v>
      </c>
      <c r="G12" s="29"/>
    </row>
    <row r="13" spans="1:26" ht="22.5" customHeight="1">
      <c r="A13" s="29" t="s">
        <v>143</v>
      </c>
      <c r="B13" s="29" t="s">
        <v>144</v>
      </c>
      <c r="C13" s="29" t="s">
        <v>146</v>
      </c>
      <c r="D13" s="29" t="s">
        <v>93</v>
      </c>
      <c r="E13" s="29" t="s">
        <v>94</v>
      </c>
      <c r="F13" s="29" t="s">
        <v>95</v>
      </c>
      <c r="G13" s="29"/>
    </row>
    <row r="14" spans="1:26" ht="22.5" customHeight="1">
      <c r="A14" s="29" t="s">
        <v>149</v>
      </c>
      <c r="B14" s="29" t="s">
        <v>150</v>
      </c>
      <c r="C14" s="29" t="s">
        <v>152</v>
      </c>
      <c r="D14" s="29" t="s">
        <v>85</v>
      </c>
      <c r="E14" s="29" t="s">
        <v>88</v>
      </c>
      <c r="F14" s="29" t="s">
        <v>89</v>
      </c>
      <c r="G14" s="29"/>
    </row>
    <row r="15" spans="1:26" ht="22.5" customHeight="1">
      <c r="A15" s="29" t="s">
        <v>155</v>
      </c>
      <c r="B15" s="29" t="s">
        <v>156</v>
      </c>
      <c r="C15" s="29" t="s">
        <v>158</v>
      </c>
      <c r="D15" s="29" t="s">
        <v>109</v>
      </c>
      <c r="E15" s="29" t="s">
        <v>110</v>
      </c>
      <c r="F15" s="29" t="s">
        <v>112</v>
      </c>
      <c r="G15" s="29"/>
    </row>
    <row r="16" spans="1:26" ht="22.5" customHeight="1">
      <c r="A16" s="29" t="s">
        <v>71</v>
      </c>
      <c r="B16" s="36" t="s">
        <v>82</v>
      </c>
      <c r="C16" s="37">
        <v>0.848248</v>
      </c>
      <c r="D16" s="29" t="s">
        <v>85</v>
      </c>
      <c r="E16" s="29" t="s">
        <v>88</v>
      </c>
      <c r="F16" s="29" t="s">
        <v>89</v>
      </c>
      <c r="G16" s="29"/>
    </row>
    <row r="17" spans="1:7" ht="22.5" customHeight="1">
      <c r="A17" s="29" t="s">
        <v>160</v>
      </c>
      <c r="B17" s="29" t="s">
        <v>161</v>
      </c>
      <c r="C17" s="29" t="s">
        <v>162</v>
      </c>
      <c r="D17" s="29" t="s">
        <v>93</v>
      </c>
      <c r="E17" s="29" t="s">
        <v>94</v>
      </c>
      <c r="F17" s="29" t="s">
        <v>95</v>
      </c>
      <c r="G17" s="29"/>
    </row>
    <row r="18" spans="1:7" ht="22.5" customHeight="1">
      <c r="A18" s="29" t="s">
        <v>164</v>
      </c>
      <c r="B18" s="29" t="s">
        <v>165</v>
      </c>
      <c r="C18" s="29" t="s">
        <v>108</v>
      </c>
      <c r="D18" s="29" t="s">
        <v>109</v>
      </c>
      <c r="E18" s="29" t="s">
        <v>110</v>
      </c>
      <c r="F18" s="29" t="s">
        <v>112</v>
      </c>
      <c r="G18" s="29"/>
    </row>
    <row r="19" spans="1:7" ht="22.5" customHeight="1">
      <c r="A19" s="29" t="s">
        <v>167</v>
      </c>
      <c r="B19" s="29" t="s">
        <v>168</v>
      </c>
      <c r="C19" s="29" t="s">
        <v>170</v>
      </c>
      <c r="D19" s="29" t="s">
        <v>138</v>
      </c>
      <c r="E19" s="29" t="s">
        <v>139</v>
      </c>
      <c r="F19" s="29" t="s">
        <v>141</v>
      </c>
      <c r="G19" s="29"/>
    </row>
    <row r="20" spans="1:7" ht="22.5" customHeight="1">
      <c r="A20" s="29" t="s">
        <v>171</v>
      </c>
      <c r="B20" s="29" t="s">
        <v>172</v>
      </c>
      <c r="C20" s="29" t="s">
        <v>173</v>
      </c>
      <c r="D20" s="29" t="s">
        <v>93</v>
      </c>
      <c r="E20" s="29" t="s">
        <v>94</v>
      </c>
      <c r="F20" s="29" t="s">
        <v>95</v>
      </c>
      <c r="G20" s="29"/>
    </row>
    <row r="21" spans="1:7" ht="22.5" customHeight="1">
      <c r="A21" s="29" t="s">
        <v>174</v>
      </c>
      <c r="B21" s="29" t="s">
        <v>176</v>
      </c>
      <c r="C21" s="29" t="s">
        <v>177</v>
      </c>
      <c r="D21" s="29" t="s">
        <v>178</v>
      </c>
      <c r="E21" s="29" t="s">
        <v>179</v>
      </c>
      <c r="F21" s="29" t="s">
        <v>180</v>
      </c>
      <c r="G21" s="29"/>
    </row>
    <row r="22" spans="1:7" ht="22.5" customHeight="1">
      <c r="A22" s="29" t="s">
        <v>181</v>
      </c>
      <c r="B22" s="29" t="s">
        <v>183</v>
      </c>
      <c r="C22" s="29" t="s">
        <v>184</v>
      </c>
      <c r="D22" s="29" t="s">
        <v>93</v>
      </c>
      <c r="E22" s="29" t="s">
        <v>94</v>
      </c>
      <c r="F22" s="29" t="s">
        <v>95</v>
      </c>
      <c r="G22" s="29"/>
    </row>
    <row r="23" spans="1:7" ht="22.5" customHeight="1">
      <c r="A23" s="29" t="s">
        <v>17</v>
      </c>
      <c r="B23" s="29" t="s">
        <v>82</v>
      </c>
      <c r="C23" s="29" t="s">
        <v>83</v>
      </c>
      <c r="D23" s="29" t="s">
        <v>85</v>
      </c>
      <c r="E23" s="29" t="s">
        <v>88</v>
      </c>
      <c r="F23" s="29" t="s">
        <v>89</v>
      </c>
      <c r="G23" s="29"/>
    </row>
    <row r="24" spans="1:7" ht="22.5" customHeight="1">
      <c r="A24" s="29" t="s">
        <v>187</v>
      </c>
      <c r="B24" s="29" t="s">
        <v>188</v>
      </c>
      <c r="C24" s="29" t="s">
        <v>189</v>
      </c>
      <c r="D24" s="29" t="s">
        <v>138</v>
      </c>
      <c r="E24" s="29" t="s">
        <v>139</v>
      </c>
      <c r="F24" s="29" t="s">
        <v>141</v>
      </c>
      <c r="G24" s="29"/>
    </row>
    <row r="25" spans="1:7" ht="22.5" customHeight="1">
      <c r="A25" s="29" t="s">
        <v>191</v>
      </c>
      <c r="B25" s="29" t="s">
        <v>192</v>
      </c>
      <c r="C25" s="29" t="s">
        <v>193</v>
      </c>
      <c r="D25" s="29" t="s">
        <v>93</v>
      </c>
      <c r="E25" s="29" t="s">
        <v>94</v>
      </c>
      <c r="F25" s="29" t="s">
        <v>95</v>
      </c>
      <c r="G25" s="29"/>
    </row>
    <row r="26" spans="1:7" ht="22.5" customHeight="1">
      <c r="A26" s="29" t="s">
        <v>195</v>
      </c>
      <c r="B26" s="29" t="s">
        <v>196</v>
      </c>
      <c r="C26" s="29" t="s">
        <v>108</v>
      </c>
      <c r="D26" s="29" t="s">
        <v>178</v>
      </c>
      <c r="E26" s="29" t="s">
        <v>179</v>
      </c>
      <c r="F26" s="29" t="s">
        <v>180</v>
      </c>
      <c r="G26" s="29"/>
    </row>
    <row r="27" spans="1:7" ht="22.5" customHeight="1">
      <c r="A27" s="29" t="s">
        <v>197</v>
      </c>
      <c r="B27" s="29" t="s">
        <v>198</v>
      </c>
      <c r="C27" s="29" t="s">
        <v>199</v>
      </c>
      <c r="D27" s="29" t="s">
        <v>93</v>
      </c>
      <c r="E27" s="29" t="s">
        <v>94</v>
      </c>
      <c r="F27" s="29" t="s">
        <v>95</v>
      </c>
      <c r="G27" s="29"/>
    </row>
    <row r="28" spans="1:7" ht="22.5" customHeight="1">
      <c r="A28" s="29" t="s">
        <v>202</v>
      </c>
      <c r="B28" s="29" t="s">
        <v>203</v>
      </c>
      <c r="C28" s="29" t="s">
        <v>204</v>
      </c>
      <c r="D28" s="29" t="s">
        <v>93</v>
      </c>
      <c r="E28" s="29" t="s">
        <v>94</v>
      </c>
      <c r="F28" s="29" t="s">
        <v>95</v>
      </c>
      <c r="G28" s="29"/>
    </row>
    <row r="29" spans="1:7" ht="22.5" customHeight="1">
      <c r="A29" s="29" t="s">
        <v>206</v>
      </c>
      <c r="B29" s="29" t="s">
        <v>105</v>
      </c>
      <c r="C29" s="29" t="s">
        <v>108</v>
      </c>
      <c r="D29" s="29" t="s">
        <v>85</v>
      </c>
      <c r="E29" s="29" t="s">
        <v>88</v>
      </c>
      <c r="F29" s="29" t="s">
        <v>89</v>
      </c>
      <c r="G29" s="29"/>
    </row>
    <row r="30" spans="1:7" ht="22.5" customHeight="1">
      <c r="A30" s="29" t="s">
        <v>207</v>
      </c>
      <c r="B30" s="29" t="s">
        <v>208</v>
      </c>
      <c r="C30" s="29" t="s">
        <v>209</v>
      </c>
      <c r="D30" s="29" t="s">
        <v>93</v>
      </c>
      <c r="E30" s="29" t="s">
        <v>94</v>
      </c>
      <c r="F30" s="29" t="s">
        <v>95</v>
      </c>
      <c r="G30" s="29"/>
    </row>
    <row r="31" spans="1:7" ht="22.5" customHeight="1">
      <c r="A31" s="29" t="s">
        <v>210</v>
      </c>
      <c r="B31" s="29" t="s">
        <v>211</v>
      </c>
      <c r="C31" s="29" t="s">
        <v>213</v>
      </c>
      <c r="D31" s="29" t="s">
        <v>93</v>
      </c>
      <c r="E31" s="29" t="s">
        <v>94</v>
      </c>
      <c r="F31" s="29" t="s">
        <v>95</v>
      </c>
      <c r="G31" s="29"/>
    </row>
    <row r="32" spans="1:7" ht="22.5" customHeight="1">
      <c r="A32" s="29" t="s">
        <v>214</v>
      </c>
      <c r="B32" s="29" t="s">
        <v>215</v>
      </c>
      <c r="C32" s="29" t="s">
        <v>217</v>
      </c>
      <c r="D32" s="29" t="s">
        <v>85</v>
      </c>
      <c r="E32" s="29" t="s">
        <v>88</v>
      </c>
      <c r="F32" s="29" t="s">
        <v>89</v>
      </c>
      <c r="G32" s="29"/>
    </row>
    <row r="33" spans="1:7" ht="22.5" customHeight="1">
      <c r="A33" s="29" t="s">
        <v>218</v>
      </c>
      <c r="B33" s="29" t="s">
        <v>219</v>
      </c>
      <c r="C33" s="29" t="s">
        <v>220</v>
      </c>
      <c r="D33" s="29" t="s">
        <v>138</v>
      </c>
      <c r="E33" s="29" t="s">
        <v>139</v>
      </c>
      <c r="F33" s="29" t="s">
        <v>141</v>
      </c>
      <c r="G33" s="29"/>
    </row>
    <row r="34" spans="1:7" ht="22.5" customHeight="1">
      <c r="A34" s="29" t="s">
        <v>222</v>
      </c>
      <c r="B34" s="29" t="s">
        <v>105</v>
      </c>
      <c r="C34" s="29" t="s">
        <v>108</v>
      </c>
      <c r="D34" s="29" t="s">
        <v>85</v>
      </c>
      <c r="E34" s="29" t="s">
        <v>88</v>
      </c>
      <c r="F34" s="29" t="s">
        <v>89</v>
      </c>
      <c r="G34" s="29"/>
    </row>
    <row r="35" spans="1:7" ht="22.5" customHeight="1">
      <c r="A35" s="29" t="s">
        <v>224</v>
      </c>
      <c r="B35" s="29" t="s">
        <v>225</v>
      </c>
      <c r="C35" s="29" t="s">
        <v>226</v>
      </c>
      <c r="D35" s="29" t="s">
        <v>93</v>
      </c>
      <c r="E35" s="29" t="s">
        <v>94</v>
      </c>
      <c r="F35" s="29" t="s">
        <v>95</v>
      </c>
      <c r="G35" s="29"/>
    </row>
    <row r="36" spans="1:7" ht="22.5" customHeight="1">
      <c r="A36" s="29" t="s">
        <v>23</v>
      </c>
      <c r="B36" s="29" t="s">
        <v>227</v>
      </c>
      <c r="C36" s="29" t="s">
        <v>209</v>
      </c>
      <c r="D36" s="29" t="s">
        <v>93</v>
      </c>
      <c r="E36" s="29" t="s">
        <v>94</v>
      </c>
      <c r="F36" s="29" t="s">
        <v>95</v>
      </c>
      <c r="G36" s="29"/>
    </row>
    <row r="37" spans="1:7" ht="22.5" customHeight="1">
      <c r="A37" s="29" t="s">
        <v>229</v>
      </c>
      <c r="B37" s="29" t="s">
        <v>192</v>
      </c>
      <c r="C37" s="29" t="s">
        <v>193</v>
      </c>
      <c r="D37" s="29" t="s">
        <v>93</v>
      </c>
      <c r="E37" s="29" t="s">
        <v>94</v>
      </c>
      <c r="F37" s="29" t="s">
        <v>95</v>
      </c>
      <c r="G37" s="29"/>
    </row>
    <row r="38" spans="1:7" ht="22.5" customHeight="1">
      <c r="A38" s="29" t="s">
        <v>231</v>
      </c>
      <c r="B38" s="29" t="s">
        <v>233</v>
      </c>
      <c r="C38" s="29" t="s">
        <v>234</v>
      </c>
      <c r="D38" s="29" t="s">
        <v>74</v>
      </c>
      <c r="E38" s="29" t="s">
        <v>75</v>
      </c>
      <c r="F38" s="29" t="s">
        <v>77</v>
      </c>
      <c r="G38" s="29"/>
    </row>
    <row r="39" spans="1:7" ht="22.5" customHeight="1">
      <c r="A39" s="29" t="s">
        <v>235</v>
      </c>
      <c r="B39" s="29" t="s">
        <v>236</v>
      </c>
      <c r="C39" s="29" t="s">
        <v>238</v>
      </c>
      <c r="D39" s="29" t="s">
        <v>93</v>
      </c>
      <c r="E39" s="29" t="s">
        <v>94</v>
      </c>
      <c r="F39" s="29" t="s">
        <v>95</v>
      </c>
      <c r="G39" s="29"/>
    </row>
    <row r="40" spans="1:7" ht="22.5" customHeight="1">
      <c r="A40" s="29" t="s">
        <v>239</v>
      </c>
      <c r="B40" s="29" t="s">
        <v>192</v>
      </c>
      <c r="C40" s="29" t="s">
        <v>193</v>
      </c>
      <c r="D40" s="29" t="s">
        <v>93</v>
      </c>
      <c r="E40" s="29" t="s">
        <v>94</v>
      </c>
      <c r="F40" s="29" t="s">
        <v>95</v>
      </c>
      <c r="G40" s="29"/>
    </row>
    <row r="41" spans="1:7" ht="22.5" customHeight="1">
      <c r="A41" s="29" t="s">
        <v>240</v>
      </c>
      <c r="B41" s="29" t="s">
        <v>241</v>
      </c>
      <c r="C41" s="29" t="s">
        <v>242</v>
      </c>
      <c r="D41" s="29" t="s">
        <v>85</v>
      </c>
      <c r="E41" s="29" t="s">
        <v>88</v>
      </c>
      <c r="F41" s="29" t="s">
        <v>89</v>
      </c>
      <c r="G41" s="29"/>
    </row>
    <row r="42" spans="1:7" ht="22.5" customHeight="1">
      <c r="A42" s="29" t="s">
        <v>243</v>
      </c>
      <c r="B42" s="29" t="s">
        <v>244</v>
      </c>
      <c r="C42" s="29" t="s">
        <v>246</v>
      </c>
      <c r="D42" s="29" t="s">
        <v>138</v>
      </c>
      <c r="E42" s="29" t="s">
        <v>139</v>
      </c>
      <c r="F42" s="29" t="s">
        <v>141</v>
      </c>
      <c r="G42" s="29"/>
    </row>
    <row r="43" spans="1:7" ht="22.5" customHeight="1">
      <c r="A43" s="29" t="s">
        <v>247</v>
      </c>
      <c r="B43" s="29" t="s">
        <v>248</v>
      </c>
      <c r="C43" s="29" t="s">
        <v>249</v>
      </c>
      <c r="D43" s="29" t="s">
        <v>178</v>
      </c>
      <c r="E43" s="29" t="s">
        <v>179</v>
      </c>
      <c r="F43" s="29" t="s">
        <v>180</v>
      </c>
      <c r="G43" s="29"/>
    </row>
    <row r="44" spans="1:7" ht="22.5" customHeight="1">
      <c r="A44" s="29" t="s">
        <v>251</v>
      </c>
      <c r="B44" s="29" t="s">
        <v>192</v>
      </c>
      <c r="C44" s="29" t="s">
        <v>193</v>
      </c>
      <c r="D44" s="29" t="s">
        <v>93</v>
      </c>
      <c r="E44" s="29" t="s">
        <v>94</v>
      </c>
      <c r="F44" s="29" t="s">
        <v>95</v>
      </c>
      <c r="G44" s="29"/>
    </row>
    <row r="45" spans="1:7" ht="22.5" customHeight="1">
      <c r="A45" s="29" t="s">
        <v>253</v>
      </c>
      <c r="B45" s="29" t="s">
        <v>192</v>
      </c>
      <c r="C45" s="29" t="s">
        <v>193</v>
      </c>
      <c r="D45" s="29" t="s">
        <v>93</v>
      </c>
      <c r="E45" s="29" t="s">
        <v>94</v>
      </c>
      <c r="F45" s="29" t="s">
        <v>95</v>
      </c>
      <c r="G45" s="29"/>
    </row>
    <row r="46" spans="1:7" ht="22.5" customHeight="1">
      <c r="A46" s="29" t="s">
        <v>254</v>
      </c>
      <c r="B46" s="29" t="s">
        <v>255</v>
      </c>
      <c r="C46" s="29">
        <v>1</v>
      </c>
      <c r="D46" s="29" t="s">
        <v>85</v>
      </c>
      <c r="E46" s="29" t="s">
        <v>88</v>
      </c>
      <c r="F46" s="29" t="s">
        <v>89</v>
      </c>
      <c r="G46" s="29"/>
    </row>
    <row r="47" spans="1:7" ht="22.5" customHeight="1">
      <c r="A47" s="29" t="s">
        <v>256</v>
      </c>
      <c r="B47" s="29" t="s">
        <v>257</v>
      </c>
      <c r="C47" s="29" t="s">
        <v>258</v>
      </c>
      <c r="D47" s="29" t="s">
        <v>138</v>
      </c>
      <c r="E47" s="29" t="s">
        <v>139</v>
      </c>
      <c r="F47" s="29" t="s">
        <v>141</v>
      </c>
      <c r="G47" s="29"/>
    </row>
    <row r="48" spans="1:7" ht="22.5" customHeight="1">
      <c r="A48" s="29" t="s">
        <v>259</v>
      </c>
      <c r="B48" s="29" t="s">
        <v>261</v>
      </c>
      <c r="C48" s="29" t="s">
        <v>262</v>
      </c>
      <c r="D48" s="29" t="s">
        <v>138</v>
      </c>
      <c r="E48" s="29" t="s">
        <v>139</v>
      </c>
      <c r="F48" s="29" t="s">
        <v>141</v>
      </c>
      <c r="G48" s="29"/>
    </row>
    <row r="49" spans="1:7" ht="22.5" customHeight="1">
      <c r="A49" s="29" t="s">
        <v>264</v>
      </c>
      <c r="B49" s="29" t="s">
        <v>156</v>
      </c>
      <c r="C49" s="29" t="s">
        <v>158</v>
      </c>
      <c r="D49" s="29" t="s">
        <v>109</v>
      </c>
      <c r="E49" s="29" t="s">
        <v>110</v>
      </c>
      <c r="F49" s="29" t="s">
        <v>112</v>
      </c>
      <c r="G49" s="29"/>
    </row>
    <row r="50" spans="1:7" ht="22.5" customHeight="1">
      <c r="A50" s="29" t="s">
        <v>266</v>
      </c>
      <c r="B50" s="29" t="s">
        <v>156</v>
      </c>
      <c r="C50" s="29" t="s">
        <v>158</v>
      </c>
      <c r="D50" s="29" t="s">
        <v>109</v>
      </c>
      <c r="E50" s="29" t="s">
        <v>110</v>
      </c>
      <c r="F50" s="29" t="s">
        <v>112</v>
      </c>
      <c r="G50" s="29"/>
    </row>
    <row r="51" spans="1:7" ht="22.5" customHeight="1">
      <c r="A51" s="29" t="s">
        <v>267</v>
      </c>
      <c r="B51" s="29" t="s">
        <v>268</v>
      </c>
      <c r="C51" s="29" t="s">
        <v>269</v>
      </c>
      <c r="D51" s="29" t="s">
        <v>93</v>
      </c>
      <c r="E51" s="29" t="s">
        <v>94</v>
      </c>
      <c r="F51" s="29" t="s">
        <v>95</v>
      </c>
      <c r="G51" s="29"/>
    </row>
    <row r="52" spans="1:7" ht="22.5" customHeight="1">
      <c r="A52" s="29" t="s">
        <v>270</v>
      </c>
      <c r="B52" s="29" t="s">
        <v>271</v>
      </c>
      <c r="C52" s="29" t="s">
        <v>272</v>
      </c>
      <c r="D52" s="29" t="s">
        <v>93</v>
      </c>
      <c r="E52" s="29" t="s">
        <v>94</v>
      </c>
      <c r="F52" s="29" t="s">
        <v>95</v>
      </c>
      <c r="G52" s="29"/>
    </row>
    <row r="53" spans="1:7" ht="22.5" customHeight="1">
      <c r="A53" s="29" t="s">
        <v>274</v>
      </c>
      <c r="B53" s="29" t="s">
        <v>275</v>
      </c>
      <c r="C53" s="29" t="s">
        <v>276</v>
      </c>
      <c r="D53" s="29" t="s">
        <v>93</v>
      </c>
      <c r="E53" s="29" t="s">
        <v>94</v>
      </c>
      <c r="F53" s="29" t="s">
        <v>95</v>
      </c>
      <c r="G53" s="29"/>
    </row>
    <row r="54" spans="1:7" ht="22.5" customHeight="1">
      <c r="A54" s="29" t="s">
        <v>278</v>
      </c>
      <c r="B54" s="29" t="s">
        <v>275</v>
      </c>
      <c r="C54" s="29" t="s">
        <v>276</v>
      </c>
      <c r="D54" s="29" t="s">
        <v>93</v>
      </c>
      <c r="E54" s="29" t="s">
        <v>94</v>
      </c>
      <c r="F54" s="29" t="s">
        <v>95</v>
      </c>
      <c r="G54" s="29"/>
    </row>
    <row r="55" spans="1:7" ht="22.5" customHeight="1">
      <c r="A55" s="29" t="s">
        <v>280</v>
      </c>
      <c r="B55" s="29" t="s">
        <v>281</v>
      </c>
      <c r="C55" s="29" t="s">
        <v>282</v>
      </c>
      <c r="D55" s="29" t="s">
        <v>85</v>
      </c>
      <c r="E55" s="29" t="s">
        <v>88</v>
      </c>
      <c r="F55" s="29" t="s">
        <v>89</v>
      </c>
      <c r="G55" s="29"/>
    </row>
    <row r="56" spans="1:7" ht="22.5" customHeight="1">
      <c r="A56" s="29" t="s">
        <v>284</v>
      </c>
      <c r="B56" s="29" t="s">
        <v>285</v>
      </c>
      <c r="C56" s="29" t="s">
        <v>287</v>
      </c>
      <c r="D56" s="29" t="s">
        <v>115</v>
      </c>
      <c r="E56" s="29" t="s">
        <v>118</v>
      </c>
      <c r="F56" s="29" t="s">
        <v>120</v>
      </c>
      <c r="G56" s="29"/>
    </row>
    <row r="57" spans="1:7" ht="22.5" customHeight="1">
      <c r="A57" s="29" t="s">
        <v>289</v>
      </c>
      <c r="B57" s="29" t="s">
        <v>192</v>
      </c>
      <c r="C57" s="29" t="s">
        <v>193</v>
      </c>
      <c r="D57" s="29" t="s">
        <v>93</v>
      </c>
      <c r="E57" s="29" t="s">
        <v>94</v>
      </c>
      <c r="F57" s="29" t="s">
        <v>95</v>
      </c>
      <c r="G57" s="29"/>
    </row>
    <row r="58" spans="1:7" ht="22.5" customHeight="1">
      <c r="A58" s="29" t="s">
        <v>53</v>
      </c>
      <c r="B58" s="29" t="s">
        <v>82</v>
      </c>
      <c r="C58" s="29" t="s">
        <v>83</v>
      </c>
      <c r="D58" s="29" t="s">
        <v>138</v>
      </c>
      <c r="E58" s="29" t="s">
        <v>139</v>
      </c>
      <c r="F58" s="29" t="s">
        <v>141</v>
      </c>
      <c r="G58" s="29"/>
    </row>
    <row r="59" spans="1:7" ht="22.5" customHeight="1">
      <c r="A59" s="29" t="s">
        <v>292</v>
      </c>
      <c r="B59" s="29" t="s">
        <v>293</v>
      </c>
      <c r="C59" s="29" t="s">
        <v>294</v>
      </c>
      <c r="D59" s="29" t="s">
        <v>138</v>
      </c>
      <c r="E59" s="29" t="s">
        <v>139</v>
      </c>
      <c r="F59" s="29" t="s">
        <v>141</v>
      </c>
      <c r="G59" s="29"/>
    </row>
    <row r="60" spans="1:7" ht="22.5" customHeight="1">
      <c r="A60" s="29" t="s">
        <v>295</v>
      </c>
      <c r="B60" s="29" t="s">
        <v>296</v>
      </c>
      <c r="C60" s="29" t="s">
        <v>159</v>
      </c>
      <c r="D60" s="29" t="s">
        <v>85</v>
      </c>
      <c r="E60" s="29" t="s">
        <v>88</v>
      </c>
      <c r="F60" s="29" t="s">
        <v>89</v>
      </c>
      <c r="G60" s="29"/>
    </row>
    <row r="61" spans="1:7" ht="22.5" customHeight="1">
      <c r="A61" s="29" t="s">
        <v>58</v>
      </c>
      <c r="B61" s="29" t="s">
        <v>82</v>
      </c>
      <c r="C61" s="29" t="s">
        <v>83</v>
      </c>
      <c r="D61" s="29" t="s">
        <v>115</v>
      </c>
      <c r="E61" s="29" t="s">
        <v>118</v>
      </c>
      <c r="F61" s="29" t="s">
        <v>120</v>
      </c>
      <c r="G61" s="29"/>
    </row>
    <row r="62" spans="1:7" ht="22.5" customHeight="1">
      <c r="A62" s="34" t="s">
        <v>297</v>
      </c>
      <c r="B62" s="29" t="s">
        <v>298</v>
      </c>
      <c r="C62" s="29" t="s">
        <v>299</v>
      </c>
      <c r="D62" s="29" t="s">
        <v>138</v>
      </c>
      <c r="E62" s="29" t="s">
        <v>139</v>
      </c>
      <c r="F62" s="29" t="s">
        <v>141</v>
      </c>
      <c r="G62" s="29"/>
    </row>
    <row r="63" spans="1:7" ht="22.5" customHeight="1">
      <c r="A63" s="29" t="s">
        <v>34</v>
      </c>
      <c r="B63" s="29" t="s">
        <v>300</v>
      </c>
      <c r="C63" s="29" t="s">
        <v>301</v>
      </c>
      <c r="D63" s="29" t="s">
        <v>85</v>
      </c>
      <c r="E63" s="29" t="s">
        <v>88</v>
      </c>
      <c r="F63" s="29" t="s">
        <v>89</v>
      </c>
      <c r="G63" s="29"/>
    </row>
    <row r="64" spans="1:7" ht="22.5" customHeight="1">
      <c r="A64" s="29" t="s">
        <v>303</v>
      </c>
      <c r="B64" s="29" t="s">
        <v>304</v>
      </c>
      <c r="C64" s="29" t="s">
        <v>305</v>
      </c>
      <c r="D64" s="29" t="s">
        <v>138</v>
      </c>
      <c r="E64" s="29" t="s">
        <v>139</v>
      </c>
      <c r="F64" s="29" t="s">
        <v>141</v>
      </c>
      <c r="G64" s="29"/>
    </row>
    <row r="65" spans="1:7" ht="22.5" customHeight="1">
      <c r="A65" s="29" t="s">
        <v>306</v>
      </c>
      <c r="B65" s="29" t="s">
        <v>130</v>
      </c>
      <c r="C65" s="29" t="s">
        <v>131</v>
      </c>
      <c r="D65" s="29" t="s">
        <v>138</v>
      </c>
      <c r="E65" s="29" t="s">
        <v>139</v>
      </c>
      <c r="F65" s="29" t="s">
        <v>141</v>
      </c>
      <c r="G65" s="29"/>
    </row>
    <row r="66" spans="1:7" ht="22.5" customHeight="1">
      <c r="A66" s="29" t="s">
        <v>307</v>
      </c>
      <c r="B66" s="29" t="s">
        <v>308</v>
      </c>
      <c r="C66" s="29" t="s">
        <v>309</v>
      </c>
      <c r="D66" s="29" t="s">
        <v>138</v>
      </c>
      <c r="E66" s="29" t="s">
        <v>139</v>
      </c>
      <c r="F66" s="29" t="s">
        <v>141</v>
      </c>
      <c r="G66" s="29"/>
    </row>
    <row r="67" spans="1:7" ht="22.5" customHeight="1">
      <c r="A67" s="29" t="s">
        <v>310</v>
      </c>
      <c r="B67" s="29" t="s">
        <v>105</v>
      </c>
      <c r="C67" s="29" t="s">
        <v>108</v>
      </c>
      <c r="D67" s="29" t="s">
        <v>93</v>
      </c>
      <c r="E67" s="29" t="s">
        <v>94</v>
      </c>
      <c r="F67" s="29" t="s">
        <v>95</v>
      </c>
      <c r="G67" s="29"/>
    </row>
    <row r="68" spans="1:7" ht="22.5" customHeight="1">
      <c r="A68" s="29" t="s">
        <v>312</v>
      </c>
      <c r="B68" s="29" t="s">
        <v>313</v>
      </c>
      <c r="C68" s="29" t="s">
        <v>314</v>
      </c>
      <c r="D68" s="29" t="s">
        <v>74</v>
      </c>
      <c r="E68" s="29" t="s">
        <v>75</v>
      </c>
      <c r="F68" s="29" t="s">
        <v>77</v>
      </c>
      <c r="G68" s="29"/>
    </row>
    <row r="69" spans="1:7" ht="22.5" customHeight="1">
      <c r="A69" s="29" t="s">
        <v>315</v>
      </c>
      <c r="B69" s="29" t="s">
        <v>105</v>
      </c>
      <c r="C69" s="29" t="s">
        <v>108</v>
      </c>
      <c r="D69" s="29" t="s">
        <v>138</v>
      </c>
      <c r="E69" s="29" t="s">
        <v>139</v>
      </c>
      <c r="F69" s="29" t="s">
        <v>141</v>
      </c>
      <c r="G69" s="29"/>
    </row>
    <row r="70" spans="1:7" ht="22.5" customHeight="1">
      <c r="A70" s="29" t="s">
        <v>316</v>
      </c>
      <c r="B70" s="29" t="s">
        <v>192</v>
      </c>
      <c r="C70" s="29" t="s">
        <v>193</v>
      </c>
      <c r="D70" s="29" t="s">
        <v>93</v>
      </c>
      <c r="E70" s="29" t="s">
        <v>94</v>
      </c>
      <c r="F70" s="29" t="s">
        <v>95</v>
      </c>
      <c r="G70" s="29"/>
    </row>
    <row r="71" spans="1:7" ht="22.5" customHeight="1">
      <c r="A71" s="29" t="s">
        <v>317</v>
      </c>
      <c r="B71" s="29" t="s">
        <v>318</v>
      </c>
      <c r="C71" s="29" t="s">
        <v>319</v>
      </c>
      <c r="D71" s="29" t="s">
        <v>93</v>
      </c>
      <c r="E71" s="29" t="s">
        <v>94</v>
      </c>
      <c r="F71" s="29" t="s">
        <v>95</v>
      </c>
      <c r="G71" s="29"/>
    </row>
    <row r="72" spans="1:7" ht="22.5" customHeight="1">
      <c r="A72" s="29" t="s">
        <v>41</v>
      </c>
      <c r="B72" s="29" t="s">
        <v>82</v>
      </c>
      <c r="C72" s="29" t="s">
        <v>83</v>
      </c>
      <c r="D72" s="29" t="s">
        <v>115</v>
      </c>
      <c r="E72" s="29" t="s">
        <v>118</v>
      </c>
      <c r="F72" s="29" t="s">
        <v>120</v>
      </c>
      <c r="G72" s="29"/>
    </row>
    <row r="73" spans="1:7" ht="22.5" customHeight="1">
      <c r="A73" s="29" t="s">
        <v>321</v>
      </c>
      <c r="B73" s="29" t="s">
        <v>322</v>
      </c>
      <c r="C73" s="29" t="s">
        <v>323</v>
      </c>
      <c r="D73" s="29" t="s">
        <v>138</v>
      </c>
      <c r="E73" s="29" t="s">
        <v>139</v>
      </c>
      <c r="F73" s="29" t="s">
        <v>141</v>
      </c>
      <c r="G73" s="29"/>
    </row>
    <row r="74" spans="1:7" ht="22.5" customHeight="1">
      <c r="A74" s="29" t="s">
        <v>325</v>
      </c>
      <c r="B74" s="29" t="s">
        <v>300</v>
      </c>
      <c r="C74" s="29" t="s">
        <v>301</v>
      </c>
      <c r="D74" s="29" t="s">
        <v>85</v>
      </c>
      <c r="E74" s="29" t="s">
        <v>88</v>
      </c>
      <c r="F74" s="29" t="s">
        <v>89</v>
      </c>
      <c r="G74" s="29"/>
    </row>
    <row r="75" spans="1:7" ht="22.5" customHeight="1">
      <c r="A75" s="29" t="s">
        <v>326</v>
      </c>
      <c r="B75" s="29" t="s">
        <v>327</v>
      </c>
      <c r="C75" s="29">
        <v>1</v>
      </c>
      <c r="D75" s="29" t="s">
        <v>85</v>
      </c>
      <c r="E75" s="29" t="s">
        <v>88</v>
      </c>
      <c r="F75" s="29" t="s">
        <v>89</v>
      </c>
      <c r="G75" s="29"/>
    </row>
    <row r="76" spans="1:7" ht="22.5" customHeight="1">
      <c r="A76" s="29" t="s">
        <v>328</v>
      </c>
      <c r="B76" s="29" t="s">
        <v>105</v>
      </c>
      <c r="C76" s="29" t="s">
        <v>108</v>
      </c>
      <c r="D76" s="29" t="s">
        <v>109</v>
      </c>
      <c r="E76" s="29" t="s">
        <v>110</v>
      </c>
      <c r="F76" s="29" t="s">
        <v>112</v>
      </c>
      <c r="G76" s="29"/>
    </row>
    <row r="77" spans="1:7" ht="22.5" customHeight="1">
      <c r="A77" s="29" t="s">
        <v>330</v>
      </c>
      <c r="B77" s="29" t="s">
        <v>332</v>
      </c>
      <c r="C77" s="29" t="s">
        <v>333</v>
      </c>
      <c r="D77" s="29" t="s">
        <v>93</v>
      </c>
      <c r="E77" s="29" t="s">
        <v>94</v>
      </c>
      <c r="F77" s="29" t="s">
        <v>95</v>
      </c>
      <c r="G77" s="29"/>
    </row>
    <row r="78" spans="1:7" ht="22.5" customHeight="1">
      <c r="A78" s="29" t="s">
        <v>84</v>
      </c>
      <c r="B78" s="29" t="s">
        <v>82</v>
      </c>
      <c r="C78" s="29" t="s">
        <v>83</v>
      </c>
      <c r="D78" s="29" t="s">
        <v>85</v>
      </c>
      <c r="E78" s="29" t="s">
        <v>88</v>
      </c>
      <c r="F78" s="29" t="s">
        <v>89</v>
      </c>
      <c r="G78" s="29"/>
    </row>
    <row r="79" spans="1:7" ht="22.5" customHeight="1">
      <c r="A79" s="29" t="s">
        <v>52</v>
      </c>
      <c r="B79" s="29" t="s">
        <v>82</v>
      </c>
      <c r="C79" s="29" t="s">
        <v>83</v>
      </c>
      <c r="D79" s="29" t="s">
        <v>115</v>
      </c>
      <c r="E79" s="29" t="s">
        <v>118</v>
      </c>
      <c r="F79" s="29" t="s">
        <v>120</v>
      </c>
      <c r="G79" s="29"/>
    </row>
    <row r="80" spans="1:7" ht="22.5" customHeight="1">
      <c r="A80" s="29" t="s">
        <v>335</v>
      </c>
      <c r="B80" s="29" t="s">
        <v>82</v>
      </c>
      <c r="C80" s="29" t="s">
        <v>83</v>
      </c>
      <c r="D80" s="29" t="s">
        <v>115</v>
      </c>
      <c r="E80" s="29" t="s">
        <v>118</v>
      </c>
      <c r="F80" s="29" t="s">
        <v>120</v>
      </c>
      <c r="G80" s="29"/>
    </row>
    <row r="81" spans="1:7" ht="22.5" customHeight="1">
      <c r="A81" s="29" t="s">
        <v>336</v>
      </c>
      <c r="B81" s="29" t="s">
        <v>337</v>
      </c>
      <c r="C81" s="29" t="s">
        <v>338</v>
      </c>
      <c r="D81" s="29" t="s">
        <v>85</v>
      </c>
      <c r="E81" s="29" t="s">
        <v>88</v>
      </c>
      <c r="F81" s="29" t="s">
        <v>89</v>
      </c>
      <c r="G81" s="29"/>
    </row>
    <row r="82" spans="1:7" ht="22.5" customHeight="1">
      <c r="A82" s="29" t="s">
        <v>339</v>
      </c>
      <c r="B82" s="29" t="s">
        <v>82</v>
      </c>
      <c r="C82" s="29" t="s">
        <v>83</v>
      </c>
      <c r="D82" s="29" t="s">
        <v>115</v>
      </c>
      <c r="E82" s="29" t="s">
        <v>118</v>
      </c>
      <c r="F82" s="29" t="s">
        <v>120</v>
      </c>
      <c r="G82" s="29"/>
    </row>
    <row r="83" spans="1:7" ht="22.5" customHeight="1">
      <c r="A83" s="29" t="s">
        <v>341</v>
      </c>
      <c r="B83" s="29" t="s">
        <v>192</v>
      </c>
      <c r="C83" s="29" t="s">
        <v>193</v>
      </c>
      <c r="D83" s="29" t="s">
        <v>93</v>
      </c>
      <c r="E83" s="29" t="s">
        <v>94</v>
      </c>
      <c r="F83" s="29" t="s">
        <v>95</v>
      </c>
      <c r="G83" s="29"/>
    </row>
    <row r="84" spans="1:7" ht="22.5" customHeight="1">
      <c r="A84" s="29" t="s">
        <v>343</v>
      </c>
      <c r="B84" s="29" t="s">
        <v>344</v>
      </c>
      <c r="C84" s="29" t="s">
        <v>345</v>
      </c>
      <c r="D84" s="29" t="s">
        <v>93</v>
      </c>
      <c r="E84" s="29" t="s">
        <v>94</v>
      </c>
      <c r="F84" s="29" t="s">
        <v>95</v>
      </c>
      <c r="G84" s="29"/>
    </row>
    <row r="85" spans="1:7" ht="22.5" customHeight="1">
      <c r="A85" s="29" t="s">
        <v>346</v>
      </c>
      <c r="B85" s="29" t="s">
        <v>348</v>
      </c>
      <c r="C85" s="29" t="s">
        <v>349</v>
      </c>
      <c r="D85" s="29" t="s">
        <v>93</v>
      </c>
      <c r="E85" s="29" t="s">
        <v>94</v>
      </c>
      <c r="F85" s="29" t="s">
        <v>95</v>
      </c>
      <c r="G85" s="29"/>
    </row>
    <row r="86" spans="1:7" ht="22.5" customHeight="1">
      <c r="A86" s="29" t="s">
        <v>38</v>
      </c>
      <c r="B86" s="29" t="s">
        <v>82</v>
      </c>
      <c r="C86" s="29" t="s">
        <v>83</v>
      </c>
      <c r="D86" s="29" t="s">
        <v>85</v>
      </c>
      <c r="E86" s="29" t="s">
        <v>88</v>
      </c>
      <c r="F86" s="29" t="s">
        <v>89</v>
      </c>
      <c r="G86" s="29"/>
    </row>
    <row r="87" spans="1:7" ht="22.5" customHeight="1">
      <c r="A87" s="29" t="s">
        <v>351</v>
      </c>
      <c r="B87" s="29" t="s">
        <v>352</v>
      </c>
      <c r="C87" s="29" t="s">
        <v>353</v>
      </c>
      <c r="D87" s="29" t="s">
        <v>93</v>
      </c>
      <c r="E87" s="29" t="s">
        <v>94</v>
      </c>
      <c r="F87" s="29" t="s">
        <v>95</v>
      </c>
      <c r="G87" s="29"/>
    </row>
    <row r="88" spans="1:7" ht="22.5" customHeight="1">
      <c r="A88" s="29" t="s">
        <v>354</v>
      </c>
      <c r="B88" s="29" t="s">
        <v>255</v>
      </c>
      <c r="C88" s="29">
        <v>1</v>
      </c>
      <c r="D88" s="29" t="s">
        <v>85</v>
      </c>
      <c r="E88" s="29" t="s">
        <v>88</v>
      </c>
      <c r="F88" s="29" t="s">
        <v>89</v>
      </c>
      <c r="G88" s="29"/>
    </row>
    <row r="89" spans="1:7" ht="22.5" customHeight="1">
      <c r="A89" s="29" t="s">
        <v>50</v>
      </c>
      <c r="B89" s="29" t="s">
        <v>82</v>
      </c>
      <c r="C89" s="29" t="s">
        <v>83</v>
      </c>
      <c r="D89" s="29" t="s">
        <v>138</v>
      </c>
      <c r="E89" s="29" t="s">
        <v>139</v>
      </c>
      <c r="F89" s="29" t="s">
        <v>141</v>
      </c>
      <c r="G89" s="29"/>
    </row>
    <row r="90" spans="1:7" ht="22.5" customHeight="1">
      <c r="A90" s="29" t="s">
        <v>356</v>
      </c>
      <c r="B90" s="29" t="s">
        <v>300</v>
      </c>
      <c r="C90" s="29" t="s">
        <v>301</v>
      </c>
      <c r="D90" s="29" t="s">
        <v>85</v>
      </c>
      <c r="E90" s="29" t="s">
        <v>88</v>
      </c>
      <c r="F90" s="29" t="s">
        <v>89</v>
      </c>
      <c r="G90" s="29"/>
    </row>
    <row r="91" spans="1:7" ht="22.5" customHeight="1">
      <c r="A91" s="29" t="s">
        <v>359</v>
      </c>
      <c r="B91" s="29" t="s">
        <v>130</v>
      </c>
      <c r="C91" s="29" t="s">
        <v>131</v>
      </c>
      <c r="D91" s="29" t="s">
        <v>115</v>
      </c>
      <c r="E91" s="29" t="s">
        <v>118</v>
      </c>
      <c r="F91" s="29" t="s">
        <v>120</v>
      </c>
      <c r="G91" s="29"/>
    </row>
    <row r="92" spans="1:7" ht="22.5" customHeight="1">
      <c r="A92" s="29" t="s">
        <v>361</v>
      </c>
      <c r="B92" s="29" t="s">
        <v>82</v>
      </c>
      <c r="C92" s="29" t="s">
        <v>83</v>
      </c>
      <c r="D92" s="29" t="s">
        <v>115</v>
      </c>
      <c r="E92" s="29" t="s">
        <v>118</v>
      </c>
      <c r="F92" s="29" t="s">
        <v>120</v>
      </c>
      <c r="G92" s="29"/>
    </row>
    <row r="93" spans="1:7" ht="22.5" customHeight="1">
      <c r="A93" s="29" t="s">
        <v>363</v>
      </c>
      <c r="B93" s="29" t="s">
        <v>105</v>
      </c>
      <c r="C93" s="29" t="s">
        <v>108</v>
      </c>
      <c r="D93" s="29" t="s">
        <v>109</v>
      </c>
      <c r="E93" s="29" t="s">
        <v>110</v>
      </c>
      <c r="F93" s="29" t="s">
        <v>112</v>
      </c>
      <c r="G93" s="29"/>
    </row>
    <row r="94" spans="1:7" ht="22.5" customHeight="1">
      <c r="A94" s="29" t="s">
        <v>364</v>
      </c>
      <c r="B94" s="29" t="s">
        <v>365</v>
      </c>
      <c r="C94" s="29" t="s">
        <v>366</v>
      </c>
      <c r="D94" s="29" t="s">
        <v>93</v>
      </c>
      <c r="E94" s="29" t="s">
        <v>94</v>
      </c>
      <c r="F94" s="29" t="s">
        <v>95</v>
      </c>
      <c r="G94" s="29"/>
    </row>
    <row r="95" spans="1:7" ht="22.5" customHeight="1">
      <c r="A95" s="29" t="s">
        <v>367</v>
      </c>
      <c r="B95" s="29" t="s">
        <v>368</v>
      </c>
      <c r="C95" s="29" t="s">
        <v>369</v>
      </c>
      <c r="D95" s="29" t="s">
        <v>93</v>
      </c>
      <c r="E95" s="29" t="s">
        <v>94</v>
      </c>
      <c r="F95" s="29" t="s">
        <v>95</v>
      </c>
      <c r="G95" s="29"/>
    </row>
    <row r="96" spans="1:7" ht="22.5" customHeight="1">
      <c r="A96" s="29" t="s">
        <v>370</v>
      </c>
      <c r="B96" s="29" t="s">
        <v>371</v>
      </c>
      <c r="C96" s="29" t="s">
        <v>193</v>
      </c>
      <c r="D96" s="29" t="s">
        <v>93</v>
      </c>
      <c r="E96" s="29" t="s">
        <v>94</v>
      </c>
      <c r="F96" s="29" t="s">
        <v>95</v>
      </c>
      <c r="G96" s="29"/>
    </row>
    <row r="97" spans="1:7" ht="22.5" customHeight="1">
      <c r="A97" s="29" t="s">
        <v>372</v>
      </c>
      <c r="B97" s="29" t="s">
        <v>373</v>
      </c>
      <c r="C97" s="29" t="s">
        <v>374</v>
      </c>
      <c r="D97" s="29" t="s">
        <v>93</v>
      </c>
      <c r="E97" s="29" t="s">
        <v>94</v>
      </c>
      <c r="F97" s="29" t="s">
        <v>95</v>
      </c>
      <c r="G97" s="29"/>
    </row>
    <row r="98" spans="1:7" ht="22.5" customHeight="1">
      <c r="A98" s="29" t="s">
        <v>376</v>
      </c>
      <c r="B98" s="29" t="s">
        <v>377</v>
      </c>
      <c r="C98" s="29" t="s">
        <v>379</v>
      </c>
      <c r="D98" s="29" t="s">
        <v>138</v>
      </c>
      <c r="E98" s="29" t="s">
        <v>139</v>
      </c>
      <c r="F98" s="29" t="s">
        <v>141</v>
      </c>
      <c r="G98" s="29"/>
    </row>
    <row r="99" spans="1:7" ht="22.5" customHeight="1">
      <c r="A99" s="29" t="s">
        <v>380</v>
      </c>
      <c r="B99" s="29" t="s">
        <v>156</v>
      </c>
      <c r="C99" s="29" t="s">
        <v>158</v>
      </c>
      <c r="D99" s="29" t="s">
        <v>109</v>
      </c>
      <c r="E99" s="29" t="s">
        <v>110</v>
      </c>
      <c r="F99" s="29" t="s">
        <v>112</v>
      </c>
      <c r="G99" s="29"/>
    </row>
    <row r="100" spans="1:7" ht="22.5" customHeight="1">
      <c r="A100" s="29" t="s">
        <v>382</v>
      </c>
      <c r="B100" s="29" t="s">
        <v>82</v>
      </c>
      <c r="C100" s="29" t="s">
        <v>83</v>
      </c>
      <c r="D100" s="29" t="s">
        <v>115</v>
      </c>
      <c r="E100" s="29" t="s">
        <v>118</v>
      </c>
      <c r="F100" s="29" t="s">
        <v>120</v>
      </c>
      <c r="G100" s="29"/>
    </row>
    <row r="101" spans="1:7" ht="22.5" customHeight="1">
      <c r="A101" s="29" t="s">
        <v>383</v>
      </c>
      <c r="B101" s="29" t="s">
        <v>384</v>
      </c>
      <c r="C101" s="29" t="s">
        <v>385</v>
      </c>
      <c r="D101" s="29" t="s">
        <v>138</v>
      </c>
      <c r="E101" s="29" t="s">
        <v>139</v>
      </c>
      <c r="F101" s="29" t="s">
        <v>141</v>
      </c>
      <c r="G101" s="29"/>
    </row>
    <row r="102" spans="1:7" ht="22.5" customHeight="1">
      <c r="A102" s="29" t="s">
        <v>387</v>
      </c>
      <c r="B102" s="29" t="s">
        <v>388</v>
      </c>
      <c r="C102" s="29" t="s">
        <v>389</v>
      </c>
      <c r="D102" s="29" t="s">
        <v>115</v>
      </c>
      <c r="E102" s="29" t="s">
        <v>118</v>
      </c>
      <c r="F102" s="29" t="s">
        <v>120</v>
      </c>
      <c r="G102" s="29"/>
    </row>
    <row r="103" spans="1:7" ht="22.5" customHeight="1">
      <c r="A103" s="29" t="s">
        <v>67</v>
      </c>
      <c r="B103" s="29" t="s">
        <v>391</v>
      </c>
      <c r="C103" s="29" t="s">
        <v>392</v>
      </c>
      <c r="D103" s="29" t="s">
        <v>138</v>
      </c>
      <c r="E103" s="29" t="s">
        <v>139</v>
      </c>
      <c r="F103" s="29" t="s">
        <v>141</v>
      </c>
      <c r="G103" s="29"/>
    </row>
    <row r="104" spans="1:7" ht="22.5" customHeight="1">
      <c r="A104" s="29" t="s">
        <v>394</v>
      </c>
      <c r="B104" s="29" t="s">
        <v>395</v>
      </c>
      <c r="C104" s="29" t="s">
        <v>396</v>
      </c>
      <c r="D104" s="29" t="s">
        <v>109</v>
      </c>
      <c r="E104" s="29" t="s">
        <v>110</v>
      </c>
      <c r="F104" s="29" t="s">
        <v>112</v>
      </c>
      <c r="G104" s="29"/>
    </row>
    <row r="105" spans="1:7" ht="22.5" customHeight="1">
      <c r="A105" s="29" t="s">
        <v>397</v>
      </c>
      <c r="B105" s="29" t="s">
        <v>398</v>
      </c>
      <c r="C105" s="29" t="s">
        <v>199</v>
      </c>
      <c r="D105" s="29" t="s">
        <v>74</v>
      </c>
      <c r="E105" s="29" t="s">
        <v>75</v>
      </c>
      <c r="F105" s="29" t="s">
        <v>77</v>
      </c>
      <c r="G105" s="29"/>
    </row>
    <row r="106" spans="1:7" ht="22.5" customHeight="1">
      <c r="A106" s="29" t="s">
        <v>399</v>
      </c>
      <c r="B106" s="29" t="s">
        <v>400</v>
      </c>
      <c r="C106" s="29" t="s">
        <v>401</v>
      </c>
      <c r="D106" s="29" t="s">
        <v>93</v>
      </c>
      <c r="E106" s="29" t="s">
        <v>94</v>
      </c>
      <c r="F106" s="29" t="s">
        <v>95</v>
      </c>
      <c r="G106" s="29"/>
    </row>
    <row r="107" spans="1:7" ht="22.5" customHeight="1">
      <c r="A107" s="29" t="s">
        <v>403</v>
      </c>
      <c r="B107" s="29" t="s">
        <v>404</v>
      </c>
      <c r="C107" s="29" t="s">
        <v>406</v>
      </c>
      <c r="D107" s="29" t="s">
        <v>93</v>
      </c>
      <c r="E107" s="29" t="s">
        <v>94</v>
      </c>
      <c r="F107" s="29" t="s">
        <v>95</v>
      </c>
      <c r="G107" s="29"/>
    </row>
    <row r="108" spans="1:7" ht="22.5" customHeight="1">
      <c r="A108" s="29" t="s">
        <v>407</v>
      </c>
      <c r="B108" s="29" t="s">
        <v>409</v>
      </c>
      <c r="C108" s="29" t="s">
        <v>410</v>
      </c>
      <c r="D108" s="29" t="s">
        <v>93</v>
      </c>
      <c r="E108" s="29" t="s">
        <v>94</v>
      </c>
      <c r="F108" s="29" t="s">
        <v>95</v>
      </c>
      <c r="G108" s="29"/>
    </row>
    <row r="109" spans="1:7" ht="22.5" customHeight="1">
      <c r="A109" s="29" t="s">
        <v>47</v>
      </c>
      <c r="B109" s="29" t="s">
        <v>82</v>
      </c>
      <c r="C109" s="29" t="s">
        <v>83</v>
      </c>
      <c r="D109" s="29" t="s">
        <v>85</v>
      </c>
      <c r="E109" s="29" t="s">
        <v>88</v>
      </c>
      <c r="F109" s="29" t="s">
        <v>89</v>
      </c>
      <c r="G109" s="29"/>
    </row>
    <row r="110" spans="1:7" ht="22.5" customHeight="1">
      <c r="A110" s="29" t="s">
        <v>413</v>
      </c>
      <c r="B110" s="29" t="s">
        <v>255</v>
      </c>
      <c r="C110" s="29">
        <v>1</v>
      </c>
      <c r="D110" s="29" t="s">
        <v>85</v>
      </c>
      <c r="E110" s="29" t="s">
        <v>88</v>
      </c>
      <c r="F110" s="29" t="s">
        <v>89</v>
      </c>
      <c r="G110" s="29"/>
    </row>
    <row r="111" spans="1:7" ht="22.5" customHeight="1">
      <c r="A111" s="29" t="s">
        <v>414</v>
      </c>
      <c r="B111" s="29" t="s">
        <v>415</v>
      </c>
      <c r="C111" s="29" t="s">
        <v>416</v>
      </c>
      <c r="D111" s="29" t="s">
        <v>109</v>
      </c>
      <c r="E111" s="29" t="s">
        <v>110</v>
      </c>
      <c r="F111" s="29" t="s">
        <v>112</v>
      </c>
      <c r="G111" s="29"/>
    </row>
    <row r="112" spans="1:7" ht="22.5" customHeight="1">
      <c r="A112" s="29" t="s">
        <v>55</v>
      </c>
      <c r="B112" s="29" t="s">
        <v>82</v>
      </c>
      <c r="C112" s="29" t="s">
        <v>83</v>
      </c>
      <c r="D112" s="29" t="s">
        <v>115</v>
      </c>
      <c r="E112" s="29" t="s">
        <v>118</v>
      </c>
      <c r="F112" s="29" t="s">
        <v>120</v>
      </c>
      <c r="G112" s="29"/>
    </row>
    <row r="113" spans="1:7" ht="22.5" customHeight="1">
      <c r="A113" s="29" t="s">
        <v>418</v>
      </c>
      <c r="B113" s="29" t="s">
        <v>419</v>
      </c>
      <c r="C113" s="29" t="s">
        <v>420</v>
      </c>
      <c r="D113" s="29" t="s">
        <v>115</v>
      </c>
      <c r="E113" s="29" t="s">
        <v>118</v>
      </c>
      <c r="F113" s="29" t="s">
        <v>120</v>
      </c>
      <c r="G113" s="29"/>
    </row>
    <row r="114" spans="1:7" ht="22.5" customHeight="1">
      <c r="A114" s="29" t="s">
        <v>422</v>
      </c>
      <c r="B114" s="29" t="s">
        <v>423</v>
      </c>
      <c r="C114" s="29" t="s">
        <v>424</v>
      </c>
      <c r="D114" s="29" t="s">
        <v>115</v>
      </c>
      <c r="E114" s="29" t="s">
        <v>118</v>
      </c>
      <c r="F114" s="29" t="s">
        <v>120</v>
      </c>
      <c r="G114" s="29"/>
    </row>
    <row r="115" spans="1:7" ht="22.5" customHeight="1">
      <c r="A115" s="29" t="s">
        <v>425</v>
      </c>
      <c r="B115" s="29" t="s">
        <v>426</v>
      </c>
      <c r="C115" s="29" t="s">
        <v>427</v>
      </c>
      <c r="D115" s="29" t="s">
        <v>138</v>
      </c>
      <c r="E115" s="29" t="s">
        <v>139</v>
      </c>
      <c r="F115" s="29" t="s">
        <v>141</v>
      </c>
      <c r="G115" s="29"/>
    </row>
    <row r="116" spans="1:7" ht="22.5" customHeight="1">
      <c r="A116" s="29" t="s">
        <v>428</v>
      </c>
      <c r="B116" s="29" t="s">
        <v>430</v>
      </c>
      <c r="C116" s="29" t="s">
        <v>431</v>
      </c>
      <c r="D116" s="29" t="s">
        <v>93</v>
      </c>
      <c r="E116" s="29" t="s">
        <v>94</v>
      </c>
      <c r="F116" s="29" t="s">
        <v>95</v>
      </c>
      <c r="G116" s="29"/>
    </row>
    <row r="117" spans="1:7" ht="22.5" customHeight="1">
      <c r="A117" s="29" t="s">
        <v>432</v>
      </c>
      <c r="B117" s="29" t="s">
        <v>433</v>
      </c>
      <c r="C117" s="29" t="s">
        <v>435</v>
      </c>
      <c r="D117" s="29" t="s">
        <v>93</v>
      </c>
      <c r="E117" s="29" t="s">
        <v>94</v>
      </c>
      <c r="F117" s="29" t="s">
        <v>95</v>
      </c>
      <c r="G117" s="29"/>
    </row>
    <row r="118" spans="1:7" ht="22.5" customHeight="1">
      <c r="A118" s="29" t="s">
        <v>436</v>
      </c>
      <c r="B118" s="29" t="s">
        <v>156</v>
      </c>
      <c r="C118" s="29" t="s">
        <v>158</v>
      </c>
      <c r="D118" s="29" t="s">
        <v>115</v>
      </c>
      <c r="E118" s="29" t="s">
        <v>118</v>
      </c>
      <c r="F118" s="29" t="s">
        <v>120</v>
      </c>
      <c r="G118" s="29"/>
    </row>
    <row r="119" spans="1:7" ht="22.5" customHeight="1">
      <c r="A119" s="29" t="s">
        <v>437</v>
      </c>
      <c r="B119" s="29" t="s">
        <v>438</v>
      </c>
      <c r="C119" s="29" t="s">
        <v>439</v>
      </c>
      <c r="D119" s="29" t="s">
        <v>93</v>
      </c>
      <c r="E119" s="29" t="s">
        <v>94</v>
      </c>
      <c r="F119" s="29" t="s">
        <v>95</v>
      </c>
      <c r="G119" s="29"/>
    </row>
    <row r="120" spans="1:7" ht="22.5" customHeight="1">
      <c r="A120" s="29" t="s">
        <v>440</v>
      </c>
      <c r="B120" s="29" t="s">
        <v>441</v>
      </c>
      <c r="C120" s="29" t="s">
        <v>442</v>
      </c>
      <c r="D120" s="29" t="s">
        <v>115</v>
      </c>
      <c r="E120" s="29" t="s">
        <v>118</v>
      </c>
      <c r="F120" s="29" t="s">
        <v>120</v>
      </c>
      <c r="G120" s="29"/>
    </row>
    <row r="121" spans="1:7" ht="22.5" customHeight="1">
      <c r="A121" s="29" t="s">
        <v>444</v>
      </c>
      <c r="B121" s="29" t="s">
        <v>82</v>
      </c>
      <c r="C121" s="29" t="s">
        <v>83</v>
      </c>
      <c r="D121" s="29" t="s">
        <v>93</v>
      </c>
      <c r="E121" s="29" t="s">
        <v>94</v>
      </c>
      <c r="F121" s="29" t="s">
        <v>95</v>
      </c>
      <c r="G121" s="29"/>
    </row>
    <row r="122" spans="1:7" ht="22.5" customHeight="1">
      <c r="A122" s="29" t="s">
        <v>446</v>
      </c>
      <c r="B122" s="29" t="s">
        <v>447</v>
      </c>
      <c r="C122" s="29" t="s">
        <v>449</v>
      </c>
      <c r="D122" s="29" t="s">
        <v>115</v>
      </c>
      <c r="E122" s="29" t="s">
        <v>118</v>
      </c>
      <c r="F122" s="29" t="s">
        <v>120</v>
      </c>
      <c r="G122" s="29"/>
    </row>
    <row r="123" spans="1:7" ht="22.5" customHeight="1">
      <c r="A123" s="29" t="s">
        <v>456</v>
      </c>
      <c r="B123" s="29" t="s">
        <v>458</v>
      </c>
      <c r="C123" s="29" t="s">
        <v>459</v>
      </c>
      <c r="D123" s="29" t="s">
        <v>93</v>
      </c>
      <c r="E123" s="29" t="s">
        <v>94</v>
      </c>
      <c r="F123" s="29" t="s">
        <v>95</v>
      </c>
      <c r="G123" s="29"/>
    </row>
    <row r="124" spans="1:7" ht="22.5" customHeight="1">
      <c r="A124" s="29" t="s">
        <v>461</v>
      </c>
      <c r="B124" s="29" t="s">
        <v>462</v>
      </c>
      <c r="C124" s="29" t="s">
        <v>463</v>
      </c>
      <c r="D124" s="29" t="s">
        <v>74</v>
      </c>
      <c r="E124" s="29" t="s">
        <v>75</v>
      </c>
      <c r="F124" s="29" t="s">
        <v>77</v>
      </c>
      <c r="G124" s="29"/>
    </row>
    <row r="125" spans="1:7" ht="22.5" customHeight="1">
      <c r="A125" s="29" t="s">
        <v>62</v>
      </c>
      <c r="B125" s="29" t="s">
        <v>82</v>
      </c>
      <c r="C125" s="29" t="s">
        <v>83</v>
      </c>
      <c r="D125" s="29" t="s">
        <v>138</v>
      </c>
      <c r="E125" s="29" t="s">
        <v>139</v>
      </c>
      <c r="F125" s="29" t="s">
        <v>141</v>
      </c>
      <c r="G125" s="29"/>
    </row>
    <row r="126" spans="1:7" ht="22.5" customHeight="1">
      <c r="A126" s="29" t="s">
        <v>465</v>
      </c>
      <c r="B126" s="29" t="s">
        <v>466</v>
      </c>
      <c r="C126" s="29" t="s">
        <v>467</v>
      </c>
      <c r="D126" s="29" t="s">
        <v>93</v>
      </c>
      <c r="E126" s="29" t="s">
        <v>94</v>
      </c>
      <c r="F126" s="29" t="s">
        <v>95</v>
      </c>
      <c r="G126" s="29"/>
    </row>
    <row r="127" spans="1:7" ht="22.5" customHeight="1">
      <c r="A127" s="29" t="s">
        <v>468</v>
      </c>
      <c r="B127" s="29" t="s">
        <v>469</v>
      </c>
      <c r="C127" s="29" t="s">
        <v>470</v>
      </c>
      <c r="D127" s="29" t="s">
        <v>93</v>
      </c>
      <c r="E127" s="29" t="s">
        <v>94</v>
      </c>
      <c r="F127" s="29" t="s">
        <v>95</v>
      </c>
      <c r="G127" s="29"/>
    </row>
    <row r="128" spans="1:7" ht="22.5" customHeight="1">
      <c r="A128" s="29" t="s">
        <v>471</v>
      </c>
      <c r="B128" s="29" t="s">
        <v>472</v>
      </c>
      <c r="C128" s="29" t="s">
        <v>474</v>
      </c>
      <c r="D128" s="29" t="s">
        <v>138</v>
      </c>
      <c r="E128" s="29" t="s">
        <v>139</v>
      </c>
      <c r="F128" s="29" t="s">
        <v>141</v>
      </c>
      <c r="G128" s="29"/>
    </row>
    <row r="129" spans="1:7" ht="22.5" customHeight="1">
      <c r="A129" s="29" t="s">
        <v>476</v>
      </c>
      <c r="B129" s="29" t="s">
        <v>477</v>
      </c>
      <c r="C129" s="29" t="s">
        <v>478</v>
      </c>
      <c r="D129" s="29" t="s">
        <v>93</v>
      </c>
      <c r="E129" s="29" t="s">
        <v>94</v>
      </c>
      <c r="F129" s="29" t="s">
        <v>95</v>
      </c>
      <c r="G129" s="29"/>
    </row>
    <row r="130" spans="1:7" ht="22.5" customHeight="1">
      <c r="A130" s="29" t="s">
        <v>480</v>
      </c>
      <c r="B130" s="29" t="s">
        <v>482</v>
      </c>
      <c r="C130" s="29" t="s">
        <v>484</v>
      </c>
      <c r="D130" s="29" t="s">
        <v>85</v>
      </c>
      <c r="E130" s="29" t="s">
        <v>88</v>
      </c>
      <c r="F130" s="29" t="s">
        <v>89</v>
      </c>
      <c r="G130" s="29"/>
    </row>
    <row r="131" spans="1:7" ht="22.5" customHeight="1">
      <c r="A131" s="29" t="s">
        <v>63</v>
      </c>
      <c r="B131" s="29" t="s">
        <v>82</v>
      </c>
      <c r="C131" s="29" t="s">
        <v>83</v>
      </c>
      <c r="D131" s="29" t="s">
        <v>138</v>
      </c>
      <c r="E131" s="29" t="s">
        <v>139</v>
      </c>
      <c r="F131" s="29" t="s">
        <v>141</v>
      </c>
      <c r="G131" s="29"/>
    </row>
    <row r="132" spans="1:7" ht="22.5" customHeight="1">
      <c r="A132" s="29" t="s">
        <v>65</v>
      </c>
      <c r="B132" s="29" t="s">
        <v>82</v>
      </c>
      <c r="C132" s="29" t="s">
        <v>83</v>
      </c>
      <c r="D132" s="29" t="s">
        <v>85</v>
      </c>
      <c r="E132" s="29" t="s">
        <v>88</v>
      </c>
      <c r="F132" s="29" t="s">
        <v>89</v>
      </c>
      <c r="G132" s="29"/>
    </row>
    <row r="133" spans="1:7" ht="22.5" customHeight="1">
      <c r="A133" s="29" t="s">
        <v>486</v>
      </c>
      <c r="B133" s="29" t="s">
        <v>487</v>
      </c>
      <c r="C133" s="29" t="s">
        <v>488</v>
      </c>
      <c r="D133" s="29" t="s">
        <v>115</v>
      </c>
      <c r="E133" s="29" t="s">
        <v>118</v>
      </c>
      <c r="F133" s="29" t="s">
        <v>120</v>
      </c>
      <c r="G133" s="29"/>
    </row>
    <row r="134" spans="1:7" ht="22.5" customHeight="1">
      <c r="A134" s="29" t="s">
        <v>490</v>
      </c>
      <c r="B134" s="29" t="s">
        <v>491</v>
      </c>
      <c r="C134" s="29" t="s">
        <v>492</v>
      </c>
      <c r="D134" s="29" t="s">
        <v>93</v>
      </c>
      <c r="E134" s="29" t="s">
        <v>94</v>
      </c>
      <c r="F134" s="29" t="s">
        <v>95</v>
      </c>
      <c r="G134" s="29"/>
    </row>
    <row r="135" spans="1:7" ht="22.5" customHeight="1">
      <c r="A135" s="29" t="s">
        <v>493</v>
      </c>
      <c r="B135" s="29" t="s">
        <v>495</v>
      </c>
      <c r="C135" s="29" t="s">
        <v>496</v>
      </c>
      <c r="D135" s="29" t="s">
        <v>93</v>
      </c>
      <c r="E135" s="29" t="s">
        <v>94</v>
      </c>
      <c r="F135" s="29" t="s">
        <v>95</v>
      </c>
      <c r="G135" s="29"/>
    </row>
    <row r="136" spans="1:7" ht="22.5" customHeight="1">
      <c r="A136" s="29" t="s">
        <v>497</v>
      </c>
      <c r="B136" s="29" t="s">
        <v>498</v>
      </c>
      <c r="C136" s="29" t="s">
        <v>499</v>
      </c>
      <c r="D136" s="29" t="s">
        <v>93</v>
      </c>
      <c r="E136" s="29" t="s">
        <v>94</v>
      </c>
      <c r="F136" s="29" t="s">
        <v>95</v>
      </c>
      <c r="G136" s="29"/>
    </row>
    <row r="137" spans="1:7" ht="22.5" customHeight="1">
      <c r="A137" s="29" t="s">
        <v>501</v>
      </c>
      <c r="B137" s="29" t="s">
        <v>502</v>
      </c>
      <c r="C137" s="29" t="s">
        <v>504</v>
      </c>
      <c r="D137" s="29" t="s">
        <v>93</v>
      </c>
      <c r="E137" s="29" t="s">
        <v>94</v>
      </c>
      <c r="F137" s="29" t="s">
        <v>95</v>
      </c>
      <c r="G137" s="29"/>
    </row>
    <row r="138" spans="1:7" ht="22.5" customHeight="1">
      <c r="A138" s="29" t="s">
        <v>505</v>
      </c>
      <c r="B138" s="29" t="s">
        <v>506</v>
      </c>
      <c r="C138" s="29" t="s">
        <v>507</v>
      </c>
      <c r="D138" s="29" t="s">
        <v>138</v>
      </c>
      <c r="E138" s="29" t="s">
        <v>139</v>
      </c>
      <c r="F138" s="29" t="s">
        <v>141</v>
      </c>
      <c r="G138" s="29"/>
    </row>
    <row r="139" spans="1:7" ht="22.5" customHeight="1">
      <c r="A139" s="29" t="s">
        <v>508</v>
      </c>
      <c r="B139" s="29" t="s">
        <v>371</v>
      </c>
      <c r="C139" s="29" t="s">
        <v>193</v>
      </c>
      <c r="D139" s="29" t="s">
        <v>93</v>
      </c>
      <c r="E139" s="29" t="s">
        <v>94</v>
      </c>
      <c r="F139" s="29" t="s">
        <v>95</v>
      </c>
      <c r="G139" s="29"/>
    </row>
    <row r="140" spans="1:7" ht="22.5" customHeight="1">
      <c r="A140" s="29" t="s">
        <v>68</v>
      </c>
      <c r="B140" s="29" t="s">
        <v>82</v>
      </c>
      <c r="C140" s="29" t="s">
        <v>83</v>
      </c>
      <c r="D140" s="29" t="s">
        <v>115</v>
      </c>
      <c r="E140" s="29" t="s">
        <v>118</v>
      </c>
      <c r="F140" s="29" t="s">
        <v>120</v>
      </c>
      <c r="G140" s="29"/>
    </row>
    <row r="141" spans="1:7" ht="22.5" customHeight="1">
      <c r="A141" s="29" t="s">
        <v>511</v>
      </c>
      <c r="B141" s="29" t="s">
        <v>105</v>
      </c>
      <c r="C141" s="29" t="s">
        <v>108</v>
      </c>
      <c r="D141" s="29" t="s">
        <v>85</v>
      </c>
      <c r="E141" s="29" t="s">
        <v>88</v>
      </c>
      <c r="F141" s="29" t="s">
        <v>89</v>
      </c>
      <c r="G141" s="29"/>
    </row>
    <row r="142" spans="1:7" ht="22.5" customHeight="1">
      <c r="A142" s="29" t="s">
        <v>513</v>
      </c>
      <c r="B142" s="29" t="s">
        <v>82</v>
      </c>
      <c r="C142" s="29" t="s">
        <v>83</v>
      </c>
      <c r="D142" s="29" t="s">
        <v>115</v>
      </c>
      <c r="E142" s="29" t="s">
        <v>118</v>
      </c>
      <c r="F142" s="29" t="s">
        <v>120</v>
      </c>
      <c r="G142" s="29"/>
    </row>
    <row r="143" spans="1:7" ht="22.5" customHeight="1">
      <c r="A143" s="29" t="s">
        <v>515</v>
      </c>
      <c r="B143" s="29" t="s">
        <v>516</v>
      </c>
      <c r="C143" s="29" t="s">
        <v>517</v>
      </c>
      <c r="D143" s="29" t="s">
        <v>93</v>
      </c>
      <c r="E143" s="29" t="s">
        <v>94</v>
      </c>
      <c r="F143" s="29" t="s">
        <v>95</v>
      </c>
      <c r="G143" s="29"/>
    </row>
    <row r="144" spans="1:7" ht="22.5" customHeight="1">
      <c r="A144" s="29" t="s">
        <v>519</v>
      </c>
      <c r="B144" s="29" t="s">
        <v>520</v>
      </c>
      <c r="C144" s="29" t="s">
        <v>521</v>
      </c>
      <c r="D144" s="29" t="s">
        <v>93</v>
      </c>
      <c r="E144" s="29" t="s">
        <v>94</v>
      </c>
      <c r="F144" s="29" t="s">
        <v>95</v>
      </c>
      <c r="G144" s="29"/>
    </row>
    <row r="145" spans="1:7" ht="22.5" customHeight="1">
      <c r="A145" s="29" t="s">
        <v>523</v>
      </c>
      <c r="B145" s="29" t="s">
        <v>82</v>
      </c>
      <c r="C145" s="29" t="s">
        <v>83</v>
      </c>
      <c r="D145" s="29" t="s">
        <v>115</v>
      </c>
      <c r="E145" s="29" t="s">
        <v>118</v>
      </c>
      <c r="F145" s="29" t="s">
        <v>120</v>
      </c>
      <c r="G145" s="29"/>
    </row>
    <row r="146" spans="1:7" ht="22.5" customHeight="1">
      <c r="A146" s="29" t="s">
        <v>525</v>
      </c>
      <c r="B146" s="29" t="s">
        <v>526</v>
      </c>
      <c r="C146" s="29" t="s">
        <v>527</v>
      </c>
      <c r="D146" s="29" t="s">
        <v>138</v>
      </c>
      <c r="E146" s="29" t="s">
        <v>139</v>
      </c>
      <c r="F146" s="29" t="s">
        <v>141</v>
      </c>
      <c r="G146" s="29"/>
    </row>
    <row r="147" spans="1:7" ht="22.5" customHeight="1">
      <c r="A147" s="29" t="s">
        <v>528</v>
      </c>
      <c r="B147" s="29" t="s">
        <v>529</v>
      </c>
      <c r="C147" s="29" t="s">
        <v>530</v>
      </c>
      <c r="D147" s="29" t="s">
        <v>93</v>
      </c>
      <c r="E147" s="29" t="s">
        <v>94</v>
      </c>
      <c r="F147" s="29" t="s">
        <v>95</v>
      </c>
      <c r="G147" s="29"/>
    </row>
    <row r="148" spans="1:7" ht="22.5" customHeight="1">
      <c r="A148" s="29" t="s">
        <v>531</v>
      </c>
      <c r="B148" s="29" t="s">
        <v>82</v>
      </c>
      <c r="C148" s="29" t="s">
        <v>83</v>
      </c>
      <c r="D148" s="29" t="s">
        <v>85</v>
      </c>
      <c r="E148" s="29" t="s">
        <v>88</v>
      </c>
      <c r="F148" s="29" t="s">
        <v>89</v>
      </c>
      <c r="G148" s="29"/>
    </row>
    <row r="149" spans="1:7" ht="22.5" customHeight="1">
      <c r="A149" s="29" t="s">
        <v>532</v>
      </c>
      <c r="B149" s="29" t="s">
        <v>533</v>
      </c>
      <c r="C149" s="29" t="s">
        <v>534</v>
      </c>
      <c r="D149" s="29" t="s">
        <v>93</v>
      </c>
      <c r="E149" s="29" t="s">
        <v>94</v>
      </c>
      <c r="F149" s="29" t="s">
        <v>95</v>
      </c>
      <c r="G149" s="29"/>
    </row>
    <row r="150" spans="1:7" ht="22.5" customHeight="1">
      <c r="A150" s="29" t="s">
        <v>535</v>
      </c>
      <c r="B150" s="29" t="s">
        <v>82</v>
      </c>
      <c r="C150" s="29" t="s">
        <v>83</v>
      </c>
      <c r="D150" s="29" t="s">
        <v>93</v>
      </c>
      <c r="E150" s="29" t="s">
        <v>94</v>
      </c>
      <c r="F150" s="29" t="s">
        <v>95</v>
      </c>
      <c r="G150" s="29"/>
    </row>
    <row r="151" spans="1:7" ht="22.5" customHeight="1">
      <c r="A151" s="29" t="s">
        <v>537</v>
      </c>
      <c r="B151" s="29" t="s">
        <v>130</v>
      </c>
      <c r="C151" s="29" t="s">
        <v>131</v>
      </c>
      <c r="D151" s="29" t="s">
        <v>85</v>
      </c>
      <c r="E151" s="29" t="s">
        <v>88</v>
      </c>
      <c r="F151" s="29" t="s">
        <v>89</v>
      </c>
      <c r="G151" s="29"/>
    </row>
    <row r="152" spans="1:7" ht="22.5" customHeight="1">
      <c r="A152" s="29" t="s">
        <v>539</v>
      </c>
      <c r="B152" s="29" t="s">
        <v>540</v>
      </c>
      <c r="C152" s="29" t="s">
        <v>541</v>
      </c>
      <c r="D152" s="29" t="s">
        <v>93</v>
      </c>
      <c r="E152" s="29" t="s">
        <v>94</v>
      </c>
      <c r="F152" s="29" t="s">
        <v>95</v>
      </c>
      <c r="G152" s="29"/>
    </row>
    <row r="153" spans="1:7" ht="22.5" customHeight="1">
      <c r="A153" s="29" t="s">
        <v>542</v>
      </c>
      <c r="B153" s="29" t="s">
        <v>543</v>
      </c>
      <c r="C153" s="29" t="s">
        <v>544</v>
      </c>
      <c r="D153" s="29" t="s">
        <v>93</v>
      </c>
      <c r="E153" s="29" t="s">
        <v>94</v>
      </c>
      <c r="F153" s="29" t="s">
        <v>95</v>
      </c>
      <c r="G153" s="29"/>
    </row>
    <row r="154" spans="1:7" ht="22.5" customHeight="1">
      <c r="A154" s="29" t="s">
        <v>545</v>
      </c>
      <c r="B154" s="29" t="s">
        <v>546</v>
      </c>
      <c r="C154" s="29" t="s">
        <v>547</v>
      </c>
      <c r="D154" s="29" t="s">
        <v>74</v>
      </c>
      <c r="E154" s="29" t="s">
        <v>75</v>
      </c>
      <c r="F154" s="29" t="s">
        <v>77</v>
      </c>
      <c r="G154" s="29"/>
    </row>
    <row r="155" spans="1:7" ht="22.5" customHeight="1">
      <c r="A155" s="29" t="s">
        <v>548</v>
      </c>
      <c r="B155" s="29" t="s">
        <v>549</v>
      </c>
      <c r="C155" s="29" t="s">
        <v>470</v>
      </c>
      <c r="D155" s="29" t="s">
        <v>93</v>
      </c>
      <c r="E155" s="29" t="s">
        <v>94</v>
      </c>
      <c r="F155" s="29" t="s">
        <v>95</v>
      </c>
      <c r="G155" s="29"/>
    </row>
    <row r="156" spans="1:7" ht="22.5" customHeight="1">
      <c r="A156" s="29" t="s">
        <v>550</v>
      </c>
      <c r="B156" s="29" t="s">
        <v>156</v>
      </c>
      <c r="C156" s="29" t="s">
        <v>158</v>
      </c>
      <c r="D156" s="29" t="s">
        <v>109</v>
      </c>
      <c r="E156" s="29" t="s">
        <v>110</v>
      </c>
      <c r="F156" s="29" t="s">
        <v>112</v>
      </c>
      <c r="G156" s="29"/>
    </row>
    <row r="157" spans="1:7" ht="22.5" customHeight="1">
      <c r="A157" s="29" t="s">
        <v>551</v>
      </c>
      <c r="B157" s="29" t="s">
        <v>552</v>
      </c>
      <c r="C157" s="29" t="s">
        <v>553</v>
      </c>
      <c r="D157" s="29" t="s">
        <v>93</v>
      </c>
      <c r="E157" s="29" t="s">
        <v>94</v>
      </c>
      <c r="F157" s="29" t="s">
        <v>95</v>
      </c>
      <c r="G157" s="29"/>
    </row>
    <row r="158" spans="1:7" ht="22.5" customHeight="1">
      <c r="A158" s="29" t="s">
        <v>554</v>
      </c>
      <c r="B158" s="29" t="s">
        <v>82</v>
      </c>
      <c r="C158" s="29" t="s">
        <v>83</v>
      </c>
      <c r="D158" s="29" t="s">
        <v>85</v>
      </c>
      <c r="E158" s="29" t="s">
        <v>88</v>
      </c>
      <c r="F158" s="29" t="s">
        <v>89</v>
      </c>
      <c r="G158" s="29"/>
    </row>
    <row r="159" spans="1:7" ht="22.5" customHeight="1">
      <c r="A159" s="29" t="s">
        <v>555</v>
      </c>
      <c r="B159" s="29" t="s">
        <v>337</v>
      </c>
      <c r="C159" s="29" t="s">
        <v>338</v>
      </c>
      <c r="D159" s="29" t="s">
        <v>85</v>
      </c>
      <c r="E159" s="29" t="s">
        <v>88</v>
      </c>
      <c r="F159" s="29" t="s">
        <v>89</v>
      </c>
      <c r="G159" s="29"/>
    </row>
    <row r="160" spans="1:7" ht="22.5" customHeight="1">
      <c r="A160" s="29" t="s">
        <v>557</v>
      </c>
      <c r="B160" s="29" t="s">
        <v>281</v>
      </c>
      <c r="C160" s="29" t="s">
        <v>282</v>
      </c>
      <c r="D160" s="29" t="s">
        <v>85</v>
      </c>
      <c r="E160" s="29" t="s">
        <v>88</v>
      </c>
      <c r="F160" s="29" t="s">
        <v>89</v>
      </c>
      <c r="G160" s="29"/>
    </row>
    <row r="161" spans="1:7" ht="22.5" customHeight="1">
      <c r="A161" s="29" t="s">
        <v>558</v>
      </c>
      <c r="B161" s="29" t="s">
        <v>559</v>
      </c>
      <c r="C161" s="29" t="s">
        <v>560</v>
      </c>
      <c r="D161" s="29" t="s">
        <v>93</v>
      </c>
      <c r="E161" s="29" t="s">
        <v>94</v>
      </c>
      <c r="F161" s="29" t="s">
        <v>95</v>
      </c>
      <c r="G161" s="29"/>
    </row>
    <row r="162" spans="1:7" ht="22.5" customHeight="1">
      <c r="A162" s="29" t="s">
        <v>561</v>
      </c>
      <c r="B162" s="29" t="s">
        <v>371</v>
      </c>
      <c r="C162" s="29" t="s">
        <v>193</v>
      </c>
      <c r="D162" s="29" t="s">
        <v>93</v>
      </c>
      <c r="E162" s="29" t="s">
        <v>94</v>
      </c>
      <c r="F162" s="29" t="s">
        <v>95</v>
      </c>
      <c r="G162" s="29"/>
    </row>
    <row r="163" spans="1:7" ht="22.5" customHeight="1">
      <c r="A163" s="29" t="s">
        <v>563</v>
      </c>
      <c r="B163" s="29" t="s">
        <v>564</v>
      </c>
      <c r="C163" s="29" t="s">
        <v>565</v>
      </c>
      <c r="D163" s="29" t="s">
        <v>93</v>
      </c>
      <c r="E163" s="29" t="s">
        <v>94</v>
      </c>
      <c r="F163" s="29" t="s">
        <v>95</v>
      </c>
      <c r="G163" s="29"/>
    </row>
    <row r="164" spans="1:7" ht="22.5" customHeight="1">
      <c r="A164" s="29" t="s">
        <v>568</v>
      </c>
      <c r="B164" s="29" t="s">
        <v>281</v>
      </c>
      <c r="C164" s="29" t="s">
        <v>282</v>
      </c>
      <c r="D164" s="29" t="s">
        <v>85</v>
      </c>
      <c r="E164" s="29" t="s">
        <v>88</v>
      </c>
      <c r="F164" s="29" t="s">
        <v>89</v>
      </c>
      <c r="G164" s="29"/>
    </row>
    <row r="165" spans="1:7" ht="22.5" customHeight="1">
      <c r="A165" s="29" t="s">
        <v>569</v>
      </c>
      <c r="B165" s="29" t="s">
        <v>156</v>
      </c>
      <c r="C165" s="29" t="s">
        <v>158</v>
      </c>
      <c r="D165" s="29" t="s">
        <v>109</v>
      </c>
      <c r="E165" s="29" t="s">
        <v>110</v>
      </c>
      <c r="F165" s="29" t="s">
        <v>112</v>
      </c>
      <c r="G165" s="29"/>
    </row>
    <row r="166" spans="1:7" ht="22.5" customHeight="1">
      <c r="A166" s="29" t="s">
        <v>570</v>
      </c>
      <c r="B166" s="29" t="s">
        <v>105</v>
      </c>
      <c r="C166" s="29" t="s">
        <v>108</v>
      </c>
      <c r="D166" s="29" t="s">
        <v>109</v>
      </c>
      <c r="E166" s="29" t="s">
        <v>110</v>
      </c>
      <c r="F166" s="29" t="s">
        <v>112</v>
      </c>
      <c r="G166" s="29"/>
    </row>
    <row r="167" spans="1:7" ht="22.5" customHeight="1">
      <c r="A167" s="29" t="s">
        <v>572</v>
      </c>
      <c r="B167" s="29" t="s">
        <v>215</v>
      </c>
      <c r="C167" s="29" t="s">
        <v>217</v>
      </c>
      <c r="D167" s="29" t="s">
        <v>85</v>
      </c>
      <c r="E167" s="29" t="s">
        <v>88</v>
      </c>
      <c r="F167" s="29" t="s">
        <v>89</v>
      </c>
      <c r="G167" s="29"/>
    </row>
    <row r="168" spans="1:7" ht="22.5" customHeight="1">
      <c r="A168" s="29" t="s">
        <v>574</v>
      </c>
      <c r="B168" s="29" t="s">
        <v>575</v>
      </c>
      <c r="C168" s="29" t="s">
        <v>576</v>
      </c>
      <c r="D168" s="29" t="s">
        <v>138</v>
      </c>
      <c r="E168" s="29" t="s">
        <v>139</v>
      </c>
      <c r="F168" s="29" t="s">
        <v>141</v>
      </c>
      <c r="G168" s="29"/>
    </row>
    <row r="169" spans="1:7" ht="22.5" customHeight="1">
      <c r="A169" s="29" t="s">
        <v>578</v>
      </c>
      <c r="B169" s="29" t="s">
        <v>579</v>
      </c>
      <c r="C169" s="29" t="s">
        <v>580</v>
      </c>
      <c r="D169" s="29" t="s">
        <v>74</v>
      </c>
      <c r="E169" s="29" t="s">
        <v>75</v>
      </c>
      <c r="F169" s="29" t="s">
        <v>77</v>
      </c>
      <c r="G169" s="29"/>
    </row>
    <row r="170" spans="1:7" ht="22.5" customHeight="1">
      <c r="A170" s="29" t="s">
        <v>581</v>
      </c>
      <c r="B170" s="29" t="s">
        <v>105</v>
      </c>
      <c r="C170" s="29" t="s">
        <v>108</v>
      </c>
      <c r="D170" s="29" t="s">
        <v>85</v>
      </c>
      <c r="E170" s="29" t="s">
        <v>88</v>
      </c>
      <c r="F170" s="29" t="s">
        <v>89</v>
      </c>
      <c r="G170" s="29"/>
    </row>
    <row r="171" spans="1:7" ht="22.5" customHeight="1">
      <c r="A171" s="29" t="s">
        <v>582</v>
      </c>
      <c r="B171" s="29" t="s">
        <v>415</v>
      </c>
      <c r="C171" s="29" t="s">
        <v>416</v>
      </c>
      <c r="D171" s="29" t="s">
        <v>138</v>
      </c>
      <c r="E171" s="29" t="s">
        <v>139</v>
      </c>
      <c r="F171" s="29" t="s">
        <v>141</v>
      </c>
      <c r="G171" s="29"/>
    </row>
    <row r="172" spans="1:7" ht="22.5" customHeight="1">
      <c r="A172" s="29" t="s">
        <v>584</v>
      </c>
      <c r="B172" s="29" t="s">
        <v>585</v>
      </c>
      <c r="C172" s="29" t="s">
        <v>108</v>
      </c>
      <c r="D172" s="29" t="s">
        <v>138</v>
      </c>
      <c r="E172" s="29" t="s">
        <v>139</v>
      </c>
      <c r="F172" s="29" t="s">
        <v>141</v>
      </c>
      <c r="G172" s="29"/>
    </row>
    <row r="173" spans="1:7" ht="22.5" customHeight="1">
      <c r="A173" s="29" t="s">
        <v>587</v>
      </c>
      <c r="B173" s="29" t="s">
        <v>588</v>
      </c>
      <c r="C173" s="29" t="s">
        <v>589</v>
      </c>
      <c r="D173" s="29" t="s">
        <v>115</v>
      </c>
      <c r="E173" s="29" t="s">
        <v>118</v>
      </c>
      <c r="F173" s="29" t="s">
        <v>120</v>
      </c>
      <c r="G173" s="29"/>
    </row>
    <row r="174" spans="1:7" ht="22.5" customHeight="1">
      <c r="A174" s="29" t="s">
        <v>590</v>
      </c>
      <c r="B174" s="29" t="s">
        <v>591</v>
      </c>
      <c r="C174" s="29" t="s">
        <v>592</v>
      </c>
      <c r="D174" s="29" t="s">
        <v>93</v>
      </c>
      <c r="E174" s="29" t="s">
        <v>94</v>
      </c>
      <c r="F174" s="29" t="s">
        <v>95</v>
      </c>
      <c r="G174" s="29"/>
    </row>
    <row r="175" spans="1:7" ht="22.5" customHeight="1">
      <c r="A175" s="29" t="s">
        <v>594</v>
      </c>
      <c r="B175" s="29" t="s">
        <v>595</v>
      </c>
      <c r="C175" s="29" t="s">
        <v>596</v>
      </c>
      <c r="D175" s="29" t="s">
        <v>138</v>
      </c>
      <c r="E175" s="29" t="s">
        <v>139</v>
      </c>
      <c r="F175" s="29" t="s">
        <v>141</v>
      </c>
      <c r="G175" s="29"/>
    </row>
    <row r="176" spans="1:7" ht="22.5" customHeight="1">
      <c r="A176" s="29" t="s">
        <v>597</v>
      </c>
      <c r="B176" s="29" t="s">
        <v>598</v>
      </c>
      <c r="C176" s="29" t="s">
        <v>599</v>
      </c>
      <c r="D176" s="29" t="s">
        <v>93</v>
      </c>
      <c r="E176" s="29" t="s">
        <v>94</v>
      </c>
      <c r="F176" s="29" t="s">
        <v>95</v>
      </c>
      <c r="G176" s="29"/>
    </row>
    <row r="177" spans="1:7" ht="22.5" customHeight="1">
      <c r="A177" s="29" t="s">
        <v>601</v>
      </c>
      <c r="B177" s="29" t="s">
        <v>281</v>
      </c>
      <c r="C177" s="29" t="s">
        <v>282</v>
      </c>
      <c r="D177" s="29" t="s">
        <v>85</v>
      </c>
      <c r="E177" s="29" t="s">
        <v>88</v>
      </c>
      <c r="F177" s="29" t="s">
        <v>89</v>
      </c>
      <c r="G177" s="29"/>
    </row>
    <row r="178" spans="1:7" ht="22.5" customHeight="1">
      <c r="A178" s="29" t="s">
        <v>73</v>
      </c>
      <c r="B178" s="29" t="s">
        <v>603</v>
      </c>
      <c r="C178" s="29" t="s">
        <v>604</v>
      </c>
      <c r="D178" s="29" t="s">
        <v>138</v>
      </c>
      <c r="E178" s="29" t="s">
        <v>139</v>
      </c>
      <c r="F178" s="29" t="s">
        <v>141</v>
      </c>
      <c r="G178" s="29"/>
    </row>
    <row r="179" spans="1:7" ht="22.5" customHeight="1">
      <c r="A179" s="29" t="s">
        <v>76</v>
      </c>
      <c r="B179" s="29" t="s">
        <v>82</v>
      </c>
      <c r="C179" s="29" t="s">
        <v>83</v>
      </c>
      <c r="D179" s="29" t="s">
        <v>138</v>
      </c>
      <c r="E179" s="29" t="s">
        <v>139</v>
      </c>
      <c r="F179" s="29" t="s">
        <v>141</v>
      </c>
      <c r="G179" s="29"/>
    </row>
    <row r="180" spans="1:7" ht="22.5" customHeight="1">
      <c r="A180" s="29" t="s">
        <v>605</v>
      </c>
      <c r="B180" s="29" t="s">
        <v>105</v>
      </c>
      <c r="C180" s="29" t="s">
        <v>108</v>
      </c>
      <c r="D180" s="29" t="s">
        <v>109</v>
      </c>
      <c r="E180" s="29" t="s">
        <v>110</v>
      </c>
      <c r="F180" s="29" t="s">
        <v>112</v>
      </c>
      <c r="G180" s="29"/>
    </row>
    <row r="181" spans="1:7" ht="22.5" customHeight="1">
      <c r="A181" s="29" t="s">
        <v>607</v>
      </c>
      <c r="B181" s="29" t="s">
        <v>608</v>
      </c>
      <c r="C181" s="29" t="s">
        <v>609</v>
      </c>
      <c r="D181" s="29" t="s">
        <v>115</v>
      </c>
      <c r="E181" s="29" t="s">
        <v>118</v>
      </c>
      <c r="F181" s="29" t="s">
        <v>120</v>
      </c>
      <c r="G181" s="29"/>
    </row>
    <row r="182" spans="1:7" ht="22.5" customHeight="1">
      <c r="A182" s="29" t="s">
        <v>610</v>
      </c>
      <c r="B182" s="29" t="s">
        <v>82</v>
      </c>
      <c r="C182" s="29" t="s">
        <v>83</v>
      </c>
      <c r="D182" s="29" t="s">
        <v>115</v>
      </c>
      <c r="E182" s="29" t="s">
        <v>118</v>
      </c>
      <c r="F182" s="29" t="s">
        <v>120</v>
      </c>
      <c r="G182" s="29"/>
    </row>
    <row r="183" spans="1:7" ht="22.5" customHeight="1">
      <c r="A183" s="29" t="s">
        <v>78</v>
      </c>
      <c r="B183" s="29" t="s">
        <v>611</v>
      </c>
      <c r="C183" s="29" t="s">
        <v>612</v>
      </c>
      <c r="D183" s="29" t="s">
        <v>93</v>
      </c>
      <c r="E183" s="29" t="s">
        <v>94</v>
      </c>
      <c r="F183" s="29" t="s">
        <v>95</v>
      </c>
      <c r="G183" s="29"/>
    </row>
    <row r="184" spans="1:7" ht="22.5" customHeight="1">
      <c r="A184" s="29" t="s">
        <v>613</v>
      </c>
      <c r="B184" s="29" t="s">
        <v>614</v>
      </c>
      <c r="C184" s="29" t="s">
        <v>615</v>
      </c>
      <c r="D184" s="29" t="s">
        <v>93</v>
      </c>
      <c r="E184" s="29" t="s">
        <v>94</v>
      </c>
      <c r="F184" s="29" t="s">
        <v>95</v>
      </c>
      <c r="G184" s="29"/>
    </row>
    <row r="185" spans="1:7" ht="22.5" customHeight="1">
      <c r="A185" s="29" t="s">
        <v>616</v>
      </c>
      <c r="B185" s="29" t="s">
        <v>617</v>
      </c>
      <c r="C185" s="29" t="s">
        <v>410</v>
      </c>
      <c r="D185" s="29" t="s">
        <v>93</v>
      </c>
      <c r="E185" s="29" t="s">
        <v>94</v>
      </c>
      <c r="F185" s="29" t="s">
        <v>95</v>
      </c>
      <c r="G185" s="29"/>
    </row>
    <row r="186" spans="1:7" ht="22.5" customHeight="1">
      <c r="A186" s="29" t="s">
        <v>618</v>
      </c>
      <c r="B186" s="29" t="s">
        <v>619</v>
      </c>
      <c r="C186" s="29">
        <v>1</v>
      </c>
      <c r="D186" s="29" t="s">
        <v>85</v>
      </c>
      <c r="E186" s="29" t="s">
        <v>88</v>
      </c>
      <c r="F186" s="29" t="s">
        <v>89</v>
      </c>
      <c r="G186" s="29"/>
    </row>
    <row r="187" spans="1:7" ht="22.5" customHeight="1">
      <c r="A187" s="29" t="s">
        <v>621</v>
      </c>
      <c r="B187" s="29" t="s">
        <v>130</v>
      </c>
      <c r="C187" s="29" t="s">
        <v>131</v>
      </c>
      <c r="D187" s="29" t="s">
        <v>115</v>
      </c>
      <c r="E187" s="29" t="s">
        <v>118</v>
      </c>
      <c r="F187" s="29" t="s">
        <v>120</v>
      </c>
      <c r="G187" s="29"/>
    </row>
    <row r="188" spans="1:7" ht="22.5" customHeight="1">
      <c r="A188" s="29" t="s">
        <v>623</v>
      </c>
      <c r="B188" s="29" t="s">
        <v>130</v>
      </c>
      <c r="C188" s="29" t="s">
        <v>131</v>
      </c>
      <c r="D188" s="29" t="s">
        <v>138</v>
      </c>
      <c r="E188" s="29" t="s">
        <v>139</v>
      </c>
      <c r="F188" s="29" t="s">
        <v>141</v>
      </c>
      <c r="G188" s="29"/>
    </row>
    <row r="189" spans="1:7" ht="22.5" customHeight="1">
      <c r="A189" s="29" t="s">
        <v>624</v>
      </c>
      <c r="B189" s="29" t="s">
        <v>82</v>
      </c>
      <c r="C189" s="29" t="s">
        <v>83</v>
      </c>
      <c r="D189" s="29" t="s">
        <v>115</v>
      </c>
      <c r="E189" s="29" t="s">
        <v>118</v>
      </c>
      <c r="F189" s="29" t="s">
        <v>120</v>
      </c>
      <c r="G189" s="29"/>
    </row>
    <row r="190" spans="1:7" ht="22.5" customHeight="1">
      <c r="A190" s="29" t="s">
        <v>625</v>
      </c>
      <c r="B190" s="29" t="s">
        <v>82</v>
      </c>
      <c r="C190" s="29" t="s">
        <v>83</v>
      </c>
      <c r="D190" s="29" t="s">
        <v>115</v>
      </c>
      <c r="E190" s="29" t="s">
        <v>118</v>
      </c>
      <c r="F190" s="29" t="s">
        <v>120</v>
      </c>
      <c r="G190" s="29"/>
    </row>
    <row r="191" spans="1:7" ht="22.5" customHeight="1">
      <c r="A191" s="29" t="s">
        <v>627</v>
      </c>
      <c r="B191" s="29" t="s">
        <v>130</v>
      </c>
      <c r="C191" s="29" t="s">
        <v>131</v>
      </c>
      <c r="D191" s="29" t="s">
        <v>138</v>
      </c>
      <c r="E191" s="29" t="s">
        <v>139</v>
      </c>
      <c r="F191" s="29" t="s">
        <v>141</v>
      </c>
      <c r="G191" s="29"/>
    </row>
    <row r="192" spans="1:7" ht="22.5" customHeight="1">
      <c r="A192" s="29" t="s">
        <v>628</v>
      </c>
      <c r="B192" s="29" t="s">
        <v>82</v>
      </c>
      <c r="C192" s="29" t="s">
        <v>83</v>
      </c>
      <c r="D192" s="29" t="s">
        <v>115</v>
      </c>
      <c r="E192" s="29" t="s">
        <v>118</v>
      </c>
      <c r="F192" s="29" t="s">
        <v>120</v>
      </c>
      <c r="G192" s="29"/>
    </row>
    <row r="193" spans="1:7" ht="22.5" customHeight="1">
      <c r="A193" s="29" t="s">
        <v>629</v>
      </c>
      <c r="B193" s="29" t="s">
        <v>630</v>
      </c>
      <c r="C193" s="29" t="s">
        <v>631</v>
      </c>
      <c r="D193" s="29" t="s">
        <v>115</v>
      </c>
      <c r="E193" s="29" t="s">
        <v>118</v>
      </c>
      <c r="F193" s="29" t="s">
        <v>120</v>
      </c>
      <c r="G193" s="29"/>
    </row>
    <row r="194" spans="1:7" ht="22.5" customHeight="1">
      <c r="A194" s="29" t="s">
        <v>632</v>
      </c>
      <c r="B194" s="29" t="s">
        <v>82</v>
      </c>
      <c r="C194" s="29" t="s">
        <v>83</v>
      </c>
      <c r="D194" s="29" t="s">
        <v>85</v>
      </c>
      <c r="E194" s="29" t="s">
        <v>88</v>
      </c>
      <c r="F194" s="29" t="s">
        <v>89</v>
      </c>
      <c r="G194" s="29"/>
    </row>
    <row r="195" spans="1:7" ht="22.5" customHeight="1">
      <c r="A195" s="29" t="s">
        <v>633</v>
      </c>
      <c r="B195" s="29" t="s">
        <v>634</v>
      </c>
      <c r="C195" s="29" t="s">
        <v>635</v>
      </c>
      <c r="D195" s="29" t="s">
        <v>138</v>
      </c>
      <c r="E195" s="29" t="s">
        <v>139</v>
      </c>
      <c r="F195" s="29" t="s">
        <v>141</v>
      </c>
      <c r="G195" s="29"/>
    </row>
    <row r="196" spans="1:7" ht="22.5" customHeight="1">
      <c r="A196" s="29" t="s">
        <v>636</v>
      </c>
      <c r="B196" s="29" t="s">
        <v>637</v>
      </c>
      <c r="C196" s="29" t="s">
        <v>638</v>
      </c>
      <c r="D196" s="29" t="s">
        <v>138</v>
      </c>
      <c r="E196" s="29" t="s">
        <v>139</v>
      </c>
      <c r="F196" s="29" t="s">
        <v>141</v>
      </c>
      <c r="G196" s="29"/>
    </row>
    <row r="197" spans="1:7" ht="22.5" customHeight="1">
      <c r="A197" s="29" t="s">
        <v>639</v>
      </c>
      <c r="B197" s="29" t="s">
        <v>192</v>
      </c>
      <c r="C197" s="29" t="s">
        <v>193</v>
      </c>
      <c r="D197" s="29" t="s">
        <v>93</v>
      </c>
      <c r="E197" s="29" t="s">
        <v>94</v>
      </c>
      <c r="F197" s="29" t="s">
        <v>95</v>
      </c>
      <c r="G197" s="29"/>
    </row>
    <row r="198" spans="1:7" ht="22.5" customHeight="1">
      <c r="A198" s="29" t="s">
        <v>641</v>
      </c>
      <c r="B198" s="29" t="s">
        <v>642</v>
      </c>
      <c r="C198" s="29" t="s">
        <v>643</v>
      </c>
      <c r="D198" s="29" t="s">
        <v>93</v>
      </c>
      <c r="E198" s="29" t="s">
        <v>94</v>
      </c>
      <c r="F198" s="29" t="s">
        <v>95</v>
      </c>
      <c r="G198" s="29"/>
    </row>
    <row r="199" spans="1:7" ht="22.5" customHeight="1">
      <c r="A199" s="29" t="s">
        <v>644</v>
      </c>
      <c r="B199" s="29" t="s">
        <v>645</v>
      </c>
      <c r="C199" s="29" t="s">
        <v>646</v>
      </c>
      <c r="D199" s="29" t="s">
        <v>138</v>
      </c>
      <c r="E199" s="29" t="s">
        <v>139</v>
      </c>
      <c r="F199" s="29" t="s">
        <v>141</v>
      </c>
      <c r="G199" s="29"/>
    </row>
    <row r="200" spans="1:7" ht="22.5" customHeight="1">
      <c r="A200" s="29" t="s">
        <v>648</v>
      </c>
      <c r="B200" s="29" t="s">
        <v>649</v>
      </c>
      <c r="C200" s="29" t="s">
        <v>650</v>
      </c>
      <c r="D200" s="29" t="s">
        <v>74</v>
      </c>
      <c r="E200" s="29" t="s">
        <v>75</v>
      </c>
      <c r="F200" s="29" t="s">
        <v>77</v>
      </c>
      <c r="G200" s="29"/>
    </row>
    <row r="201" spans="1:7" ht="22.5" customHeight="1">
      <c r="A201" s="29" t="s">
        <v>652</v>
      </c>
      <c r="B201" s="29" t="s">
        <v>653</v>
      </c>
      <c r="C201" s="29" t="s">
        <v>226</v>
      </c>
      <c r="D201" s="29" t="s">
        <v>115</v>
      </c>
      <c r="E201" s="29" t="s">
        <v>118</v>
      </c>
      <c r="F201" s="29" t="s">
        <v>120</v>
      </c>
      <c r="G201" s="29"/>
    </row>
    <row r="202" spans="1:7" ht="22.5" customHeight="1">
      <c r="A202" s="29" t="s">
        <v>654</v>
      </c>
      <c r="B202" s="29" t="s">
        <v>655</v>
      </c>
      <c r="C202" s="29" t="s">
        <v>159</v>
      </c>
      <c r="D202" s="29" t="s">
        <v>85</v>
      </c>
      <c r="E202" s="29" t="s">
        <v>88</v>
      </c>
      <c r="F202" s="29" t="s">
        <v>89</v>
      </c>
      <c r="G202" s="29"/>
    </row>
    <row r="203" spans="1:7" ht="22.5" customHeight="1">
      <c r="A203" s="29" t="s">
        <v>81</v>
      </c>
      <c r="B203" s="29" t="s">
        <v>82</v>
      </c>
      <c r="C203" s="29" t="s">
        <v>83</v>
      </c>
      <c r="D203" s="29" t="s">
        <v>138</v>
      </c>
      <c r="E203" s="29" t="s">
        <v>139</v>
      </c>
      <c r="F203" s="29" t="s">
        <v>141</v>
      </c>
      <c r="G203" s="29"/>
    </row>
    <row r="204" spans="1:7" ht="22.5" customHeight="1">
      <c r="A204" s="29" t="s">
        <v>79</v>
      </c>
      <c r="B204" s="29" t="s">
        <v>82</v>
      </c>
      <c r="C204" s="29" t="s">
        <v>83</v>
      </c>
      <c r="D204" s="29" t="s">
        <v>115</v>
      </c>
      <c r="E204" s="29" t="s">
        <v>118</v>
      </c>
      <c r="F204" s="29" t="s">
        <v>120</v>
      </c>
      <c r="G204" s="29"/>
    </row>
    <row r="205" spans="1:7" ht="22.5" customHeight="1">
      <c r="A205" s="29" t="s">
        <v>656</v>
      </c>
      <c r="B205" s="29" t="s">
        <v>658</v>
      </c>
      <c r="C205" s="29" t="s">
        <v>659</v>
      </c>
      <c r="D205" s="29" t="s">
        <v>115</v>
      </c>
      <c r="E205" s="29" t="s">
        <v>118</v>
      </c>
      <c r="F205" s="29" t="s">
        <v>120</v>
      </c>
      <c r="G205" s="29"/>
    </row>
    <row r="206" spans="1:7" ht="22.5" customHeight="1">
      <c r="A206" s="29" t="s">
        <v>660</v>
      </c>
      <c r="B206" s="29" t="s">
        <v>661</v>
      </c>
      <c r="C206" s="29" t="s">
        <v>662</v>
      </c>
      <c r="D206" s="29" t="s">
        <v>93</v>
      </c>
      <c r="E206" s="29" t="s">
        <v>94</v>
      </c>
      <c r="F206" s="29" t="s">
        <v>95</v>
      </c>
      <c r="G206" s="29"/>
    </row>
    <row r="207" spans="1:7" ht="22.5" customHeight="1">
      <c r="A207" s="29" t="s">
        <v>663</v>
      </c>
      <c r="B207" s="29" t="s">
        <v>664</v>
      </c>
      <c r="C207" s="29" t="s">
        <v>470</v>
      </c>
      <c r="D207" s="29" t="s">
        <v>93</v>
      </c>
      <c r="E207" s="29" t="s">
        <v>94</v>
      </c>
      <c r="F207" s="29" t="s">
        <v>95</v>
      </c>
      <c r="G207" s="29"/>
    </row>
    <row r="208" spans="1:7" ht="22.5" customHeight="1">
      <c r="A208" s="29" t="s">
        <v>666</v>
      </c>
      <c r="B208" s="29" t="s">
        <v>255</v>
      </c>
      <c r="C208" s="29">
        <v>1</v>
      </c>
      <c r="D208" s="29" t="s">
        <v>85</v>
      </c>
      <c r="E208" s="29" t="s">
        <v>88</v>
      </c>
      <c r="F208" s="29" t="s">
        <v>89</v>
      </c>
      <c r="G208" s="29"/>
    </row>
    <row r="209" spans="1:7" ht="22.5" customHeight="1">
      <c r="A209" s="29" t="s">
        <v>667</v>
      </c>
      <c r="B209" s="29" t="s">
        <v>668</v>
      </c>
      <c r="C209" s="29" t="s">
        <v>669</v>
      </c>
      <c r="D209" s="29" t="s">
        <v>93</v>
      </c>
      <c r="E209" s="29" t="s">
        <v>94</v>
      </c>
      <c r="F209" s="29" t="s">
        <v>95</v>
      </c>
      <c r="G209" s="29"/>
    </row>
    <row r="210" spans="1:7" ht="22.5" customHeight="1">
      <c r="A210" s="29" t="s">
        <v>51</v>
      </c>
      <c r="B210" s="29" t="s">
        <v>82</v>
      </c>
      <c r="C210" s="29" t="s">
        <v>83</v>
      </c>
      <c r="D210" s="29" t="s">
        <v>115</v>
      </c>
      <c r="E210" s="29" t="s">
        <v>118</v>
      </c>
      <c r="F210" s="29" t="s">
        <v>120</v>
      </c>
      <c r="G210" s="29"/>
    </row>
    <row r="211" spans="1:7" ht="22.5" customHeight="1">
      <c r="A211" s="29" t="s">
        <v>672</v>
      </c>
      <c r="B211" s="29" t="s">
        <v>673</v>
      </c>
      <c r="C211" s="29" t="s">
        <v>674</v>
      </c>
      <c r="D211" s="29" t="s">
        <v>93</v>
      </c>
      <c r="E211" s="29" t="s">
        <v>94</v>
      </c>
      <c r="F211" s="29" t="s">
        <v>95</v>
      </c>
      <c r="G211" s="29"/>
    </row>
    <row r="212" spans="1:7" ht="22.5" customHeight="1">
      <c r="A212" s="29" t="s">
        <v>675</v>
      </c>
      <c r="B212" s="29" t="s">
        <v>668</v>
      </c>
      <c r="C212" s="29" t="s">
        <v>669</v>
      </c>
      <c r="D212" s="29" t="s">
        <v>115</v>
      </c>
      <c r="E212" s="29" t="s">
        <v>118</v>
      </c>
      <c r="F212" s="29" t="s">
        <v>120</v>
      </c>
      <c r="G212" s="29"/>
    </row>
    <row r="213" spans="1:7" ht="22.5" customHeight="1">
      <c r="A213" s="29" t="s">
        <v>677</v>
      </c>
      <c r="B213" s="29" t="s">
        <v>678</v>
      </c>
      <c r="C213" s="29" t="s">
        <v>679</v>
      </c>
      <c r="D213" s="29" t="s">
        <v>93</v>
      </c>
      <c r="E213" s="29" t="s">
        <v>94</v>
      </c>
      <c r="F213" s="29" t="s">
        <v>95</v>
      </c>
      <c r="G213" s="29"/>
    </row>
    <row r="214" spans="1:7" ht="22.5" customHeight="1">
      <c r="A214" s="29" t="s">
        <v>680</v>
      </c>
      <c r="B214" s="29" t="s">
        <v>215</v>
      </c>
      <c r="C214" s="29" t="s">
        <v>217</v>
      </c>
      <c r="D214" s="29" t="s">
        <v>85</v>
      </c>
      <c r="E214" s="29" t="s">
        <v>88</v>
      </c>
      <c r="F214" s="29" t="s">
        <v>89</v>
      </c>
      <c r="G214" s="29"/>
    </row>
    <row r="215" spans="1:7" ht="22.5" customHeight="1">
      <c r="A215" s="29" t="s">
        <v>681</v>
      </c>
      <c r="B215" s="29" t="s">
        <v>682</v>
      </c>
      <c r="C215" s="29" t="s">
        <v>470</v>
      </c>
      <c r="D215" s="29" t="s">
        <v>93</v>
      </c>
      <c r="E215" s="29" t="s">
        <v>94</v>
      </c>
      <c r="F215" s="29" t="s">
        <v>95</v>
      </c>
      <c r="G215" s="29"/>
    </row>
    <row r="216" spans="1:7" ht="22.5" customHeight="1">
      <c r="A216" s="29" t="s">
        <v>87</v>
      </c>
      <c r="B216" s="29" t="s">
        <v>684</v>
      </c>
      <c r="C216" s="29" t="s">
        <v>685</v>
      </c>
      <c r="D216" s="29" t="s">
        <v>85</v>
      </c>
      <c r="E216" s="29" t="s">
        <v>88</v>
      </c>
      <c r="F216" s="29" t="s">
        <v>89</v>
      </c>
      <c r="G216" s="29"/>
    </row>
    <row r="217" spans="1:7" ht="22.5" customHeight="1">
      <c r="A217" s="29" t="s">
        <v>686</v>
      </c>
      <c r="B217" s="29" t="s">
        <v>482</v>
      </c>
      <c r="C217" s="29" t="s">
        <v>484</v>
      </c>
      <c r="D217" s="29" t="s">
        <v>109</v>
      </c>
      <c r="E217" s="29" t="s">
        <v>110</v>
      </c>
      <c r="F217" s="29" t="s">
        <v>112</v>
      </c>
      <c r="G217" s="29"/>
    </row>
    <row r="218" spans="1:7" ht="22.5" customHeight="1">
      <c r="A218" s="29" t="s">
        <v>688</v>
      </c>
      <c r="B218" s="29" t="s">
        <v>689</v>
      </c>
      <c r="C218" s="29" t="s">
        <v>690</v>
      </c>
      <c r="D218" s="29" t="s">
        <v>74</v>
      </c>
      <c r="E218" s="29" t="s">
        <v>75</v>
      </c>
      <c r="F218" s="29" t="s">
        <v>77</v>
      </c>
      <c r="G218" s="29"/>
    </row>
    <row r="219" spans="1:7" ht="22.5" customHeight="1">
      <c r="A219" s="29" t="s">
        <v>691</v>
      </c>
      <c r="B219" s="29" t="s">
        <v>693</v>
      </c>
      <c r="C219" s="29" t="s">
        <v>694</v>
      </c>
      <c r="D219" s="29" t="s">
        <v>85</v>
      </c>
      <c r="E219" s="29" t="s">
        <v>88</v>
      </c>
      <c r="F219" s="29" t="s">
        <v>89</v>
      </c>
      <c r="G219" s="29"/>
    </row>
    <row r="220" spans="1:7" ht="22.5" customHeight="1">
      <c r="A220" s="29" t="s">
        <v>695</v>
      </c>
      <c r="B220" s="29" t="s">
        <v>697</v>
      </c>
      <c r="C220" s="29" t="s">
        <v>698</v>
      </c>
      <c r="D220" s="29" t="s">
        <v>74</v>
      </c>
      <c r="E220" s="29" t="s">
        <v>75</v>
      </c>
      <c r="F220" s="29" t="s">
        <v>77</v>
      </c>
      <c r="G220" s="29"/>
    </row>
    <row r="221" spans="1:7" ht="22.5" customHeight="1">
      <c r="A221" s="29" t="s">
        <v>699</v>
      </c>
      <c r="B221" s="29" t="s">
        <v>700</v>
      </c>
      <c r="C221" s="29" t="s">
        <v>701</v>
      </c>
      <c r="D221" s="29" t="s">
        <v>93</v>
      </c>
      <c r="E221" s="29" t="s">
        <v>94</v>
      </c>
      <c r="F221" s="29" t="s">
        <v>95</v>
      </c>
      <c r="G221" s="29"/>
    </row>
    <row r="222" spans="1:7" ht="22.5" customHeight="1">
      <c r="A222" s="29" t="s">
        <v>702</v>
      </c>
      <c r="B222" s="29" t="s">
        <v>105</v>
      </c>
      <c r="C222" s="29" t="s">
        <v>108</v>
      </c>
      <c r="D222" s="29" t="s">
        <v>93</v>
      </c>
      <c r="E222" s="29" t="s">
        <v>94</v>
      </c>
      <c r="F222" s="29" t="s">
        <v>95</v>
      </c>
      <c r="G222" s="29"/>
    </row>
    <row r="223" spans="1:7" ht="22.5" customHeight="1">
      <c r="A223" s="29" t="s">
        <v>703</v>
      </c>
      <c r="B223" s="29" t="s">
        <v>192</v>
      </c>
      <c r="C223" s="29" t="s">
        <v>193</v>
      </c>
      <c r="D223" s="29" t="s">
        <v>93</v>
      </c>
      <c r="E223" s="29" t="s">
        <v>94</v>
      </c>
      <c r="F223" s="29" t="s">
        <v>95</v>
      </c>
      <c r="G223" s="29"/>
    </row>
    <row r="224" spans="1:7" ht="22.5" customHeight="1">
      <c r="A224" s="29" t="s">
        <v>704</v>
      </c>
      <c r="B224" s="29" t="s">
        <v>281</v>
      </c>
      <c r="C224" s="29" t="s">
        <v>282</v>
      </c>
      <c r="D224" s="29" t="s">
        <v>85</v>
      </c>
      <c r="E224" s="29" t="s">
        <v>88</v>
      </c>
      <c r="F224" s="29" t="s">
        <v>89</v>
      </c>
      <c r="G224" s="29"/>
    </row>
    <row r="225" spans="1:7" ht="22.5" customHeight="1">
      <c r="A225" s="29" t="s">
        <v>705</v>
      </c>
      <c r="B225" s="29" t="s">
        <v>706</v>
      </c>
      <c r="C225" s="29" t="s">
        <v>707</v>
      </c>
      <c r="D225" s="29" t="s">
        <v>115</v>
      </c>
      <c r="E225" s="29" t="s">
        <v>118</v>
      </c>
      <c r="F225" s="29" t="s">
        <v>120</v>
      </c>
      <c r="G225" s="29"/>
    </row>
    <row r="226" spans="1:7" ht="22.5" customHeight="1">
      <c r="A226" s="29" t="s">
        <v>708</v>
      </c>
      <c r="B226" s="29" t="s">
        <v>709</v>
      </c>
      <c r="C226" s="29" t="s">
        <v>710</v>
      </c>
      <c r="D226" s="29" t="s">
        <v>138</v>
      </c>
      <c r="E226" s="29" t="s">
        <v>139</v>
      </c>
      <c r="F226" s="29" t="s">
        <v>141</v>
      </c>
      <c r="G226" s="29"/>
    </row>
    <row r="227" spans="1:7" ht="22.5" customHeight="1">
      <c r="A227" s="29" t="s">
        <v>711</v>
      </c>
      <c r="B227" s="29" t="s">
        <v>712</v>
      </c>
      <c r="C227" s="29" t="s">
        <v>713</v>
      </c>
      <c r="D227" s="29" t="s">
        <v>93</v>
      </c>
      <c r="E227" s="29" t="s">
        <v>94</v>
      </c>
      <c r="F227" s="29" t="s">
        <v>95</v>
      </c>
      <c r="G227" s="29"/>
    </row>
    <row r="228" spans="1:7" ht="22.5" customHeight="1">
      <c r="A228" s="29" t="s">
        <v>714</v>
      </c>
      <c r="B228" s="29" t="s">
        <v>715</v>
      </c>
      <c r="C228" s="29" t="s">
        <v>716</v>
      </c>
      <c r="D228" s="29" t="s">
        <v>93</v>
      </c>
      <c r="E228" s="29" t="s">
        <v>94</v>
      </c>
      <c r="F228" s="29" t="s">
        <v>95</v>
      </c>
      <c r="G228" s="29"/>
    </row>
    <row r="229" spans="1:7" ht="22.5" customHeight="1">
      <c r="A229" s="29" t="s">
        <v>718</v>
      </c>
      <c r="B229" s="29" t="s">
        <v>719</v>
      </c>
      <c r="C229" s="29" t="s">
        <v>720</v>
      </c>
      <c r="D229" s="29" t="s">
        <v>93</v>
      </c>
      <c r="E229" s="29" t="s">
        <v>94</v>
      </c>
      <c r="F229" s="29" t="s">
        <v>95</v>
      </c>
      <c r="G229" s="29"/>
    </row>
    <row r="230" spans="1:7" ht="22.5" customHeight="1">
      <c r="A230" s="29" t="s">
        <v>721</v>
      </c>
      <c r="B230" s="29" t="s">
        <v>105</v>
      </c>
      <c r="C230" s="29" t="s">
        <v>108</v>
      </c>
      <c r="D230" s="29" t="s">
        <v>178</v>
      </c>
      <c r="E230" s="29" t="s">
        <v>179</v>
      </c>
      <c r="F230" s="29" t="s">
        <v>180</v>
      </c>
      <c r="G230" s="29"/>
    </row>
    <row r="231" spans="1:7" ht="22.5" customHeight="1">
      <c r="A231" s="29" t="s">
        <v>722</v>
      </c>
      <c r="B231" s="29" t="s">
        <v>156</v>
      </c>
      <c r="C231" s="29" t="s">
        <v>158</v>
      </c>
      <c r="D231" s="29" t="s">
        <v>109</v>
      </c>
      <c r="E231" s="29" t="s">
        <v>110</v>
      </c>
      <c r="F231" s="29" t="s">
        <v>112</v>
      </c>
      <c r="G231" s="29"/>
    </row>
    <row r="232" spans="1:7" ht="22.5" customHeight="1">
      <c r="A232" s="29" t="s">
        <v>724</v>
      </c>
      <c r="B232" s="29" t="s">
        <v>725</v>
      </c>
      <c r="C232" s="29" t="s">
        <v>726</v>
      </c>
      <c r="D232" s="29" t="s">
        <v>93</v>
      </c>
      <c r="E232" s="29" t="s">
        <v>94</v>
      </c>
      <c r="F232" s="29" t="s">
        <v>95</v>
      </c>
      <c r="G232" s="29"/>
    </row>
    <row r="233" spans="1:7" ht="22.5" customHeight="1">
      <c r="A233" s="29" t="s">
        <v>727</v>
      </c>
      <c r="B233" s="29" t="s">
        <v>728</v>
      </c>
      <c r="C233" s="29" t="s">
        <v>729</v>
      </c>
      <c r="D233" s="29" t="s">
        <v>93</v>
      </c>
      <c r="E233" s="29" t="s">
        <v>94</v>
      </c>
      <c r="F233" s="29" t="s">
        <v>95</v>
      </c>
      <c r="G233" s="29"/>
    </row>
    <row r="234" spans="1:7" ht="22.5" customHeight="1">
      <c r="A234" s="29" t="s">
        <v>730</v>
      </c>
      <c r="B234" s="29" t="s">
        <v>731</v>
      </c>
      <c r="C234" s="29" t="s">
        <v>732</v>
      </c>
      <c r="D234" s="29" t="s">
        <v>115</v>
      </c>
      <c r="E234" s="29" t="s">
        <v>118</v>
      </c>
      <c r="F234" s="29" t="s">
        <v>120</v>
      </c>
      <c r="G234" s="29"/>
    </row>
    <row r="235" spans="1:7" ht="22.5" customHeight="1">
      <c r="A235" s="29" t="s">
        <v>733</v>
      </c>
      <c r="B235" s="29" t="s">
        <v>255</v>
      </c>
      <c r="C235" s="29">
        <v>1</v>
      </c>
      <c r="D235" s="29" t="s">
        <v>85</v>
      </c>
      <c r="E235" s="29" t="s">
        <v>88</v>
      </c>
      <c r="F235" s="29" t="s">
        <v>89</v>
      </c>
      <c r="G235" s="29"/>
    </row>
    <row r="236" spans="1:7" ht="22.5" customHeight="1">
      <c r="A236" s="29" t="s">
        <v>735</v>
      </c>
      <c r="B236" s="29" t="s">
        <v>736</v>
      </c>
      <c r="C236" s="29" t="s">
        <v>738</v>
      </c>
      <c r="D236" s="29" t="s">
        <v>93</v>
      </c>
      <c r="E236" s="29" t="s">
        <v>94</v>
      </c>
      <c r="F236" s="29" t="s">
        <v>95</v>
      </c>
      <c r="G236" s="29"/>
    </row>
    <row r="237" spans="1:7" ht="22.5" customHeight="1">
      <c r="A237" s="29" t="s">
        <v>740</v>
      </c>
      <c r="B237" s="29" t="s">
        <v>105</v>
      </c>
      <c r="C237" s="29" t="s">
        <v>108</v>
      </c>
      <c r="D237" s="29" t="s">
        <v>109</v>
      </c>
      <c r="E237" s="29" t="s">
        <v>110</v>
      </c>
      <c r="F237" s="29" t="s">
        <v>112</v>
      </c>
      <c r="G237" s="29"/>
    </row>
    <row r="238" spans="1:7" ht="22.5" customHeight="1">
      <c r="A238" s="29" t="s">
        <v>741</v>
      </c>
      <c r="B238" s="29" t="s">
        <v>742</v>
      </c>
      <c r="C238" s="29" t="s">
        <v>743</v>
      </c>
      <c r="D238" s="29" t="s">
        <v>115</v>
      </c>
      <c r="E238" s="29" t="s">
        <v>118</v>
      </c>
      <c r="F238" s="29" t="s">
        <v>120</v>
      </c>
      <c r="G238" s="29"/>
    </row>
    <row r="239" spans="1:7" ht="22.5" customHeight="1">
      <c r="A239" s="29" t="s">
        <v>744</v>
      </c>
      <c r="B239" s="29" t="s">
        <v>745</v>
      </c>
      <c r="C239" s="29" t="s">
        <v>746</v>
      </c>
      <c r="D239" s="29" t="s">
        <v>93</v>
      </c>
      <c r="E239" s="29" t="s">
        <v>94</v>
      </c>
      <c r="F239" s="29" t="s">
        <v>95</v>
      </c>
      <c r="G239" s="29"/>
    </row>
    <row r="240" spans="1:7" ht="22.5" customHeight="1">
      <c r="A240" s="29" t="s">
        <v>747</v>
      </c>
      <c r="B240" s="29" t="s">
        <v>748</v>
      </c>
      <c r="C240" s="29" t="s">
        <v>749</v>
      </c>
      <c r="D240" s="29" t="s">
        <v>109</v>
      </c>
      <c r="E240" s="29" t="s">
        <v>110</v>
      </c>
      <c r="F240" s="29" t="s">
        <v>112</v>
      </c>
      <c r="G240" s="29"/>
    </row>
    <row r="241" spans="1:7" ht="22.5" customHeight="1">
      <c r="A241" s="29" t="s">
        <v>750</v>
      </c>
      <c r="B241" s="29" t="s">
        <v>751</v>
      </c>
      <c r="C241" s="29" t="s">
        <v>752</v>
      </c>
      <c r="D241" s="29" t="s">
        <v>138</v>
      </c>
      <c r="E241" s="29" t="s">
        <v>139</v>
      </c>
      <c r="F241" s="29" t="s">
        <v>141</v>
      </c>
      <c r="G241" s="29"/>
    </row>
    <row r="242" spans="1:7" ht="22.5" customHeight="1">
      <c r="A242" s="29" t="s">
        <v>753</v>
      </c>
      <c r="B242" s="29" t="s">
        <v>754</v>
      </c>
      <c r="C242" s="29" t="s">
        <v>755</v>
      </c>
      <c r="D242" s="29" t="s">
        <v>93</v>
      </c>
      <c r="E242" s="29" t="s">
        <v>94</v>
      </c>
      <c r="F242" s="29" t="s">
        <v>95</v>
      </c>
      <c r="G242" s="29"/>
    </row>
    <row r="243" spans="1:7" ht="22.5" customHeight="1">
      <c r="A243" s="29" t="s">
        <v>757</v>
      </c>
      <c r="B243" s="29" t="s">
        <v>105</v>
      </c>
      <c r="C243" s="29" t="s">
        <v>108</v>
      </c>
      <c r="D243" s="29" t="s">
        <v>85</v>
      </c>
      <c r="E243" s="29" t="s">
        <v>88</v>
      </c>
      <c r="F243" s="29" t="s">
        <v>89</v>
      </c>
      <c r="G243" s="29"/>
    </row>
    <row r="244" spans="1:7" ht="22.5" customHeight="1">
      <c r="A244" s="29" t="s">
        <v>759</v>
      </c>
      <c r="B244" s="29" t="s">
        <v>105</v>
      </c>
      <c r="C244" s="29" t="s">
        <v>108</v>
      </c>
      <c r="D244" s="29" t="s">
        <v>109</v>
      </c>
      <c r="E244" s="29" t="s">
        <v>110</v>
      </c>
      <c r="F244" s="29" t="s">
        <v>112</v>
      </c>
      <c r="G244" s="29"/>
    </row>
    <row r="245" spans="1:7" ht="22.5" customHeight="1">
      <c r="A245" s="29" t="s">
        <v>760</v>
      </c>
      <c r="B245" s="29" t="s">
        <v>337</v>
      </c>
      <c r="C245" s="29" t="s">
        <v>338</v>
      </c>
      <c r="D245" s="29" t="s">
        <v>93</v>
      </c>
      <c r="E245" s="29" t="s">
        <v>94</v>
      </c>
      <c r="F245" s="29" t="s">
        <v>95</v>
      </c>
      <c r="G245" s="29"/>
    </row>
    <row r="246" spans="1:7" ht="22.5" customHeight="1">
      <c r="A246" s="29" t="s">
        <v>762</v>
      </c>
      <c r="B246" s="29" t="s">
        <v>540</v>
      </c>
      <c r="C246" s="29" t="s">
        <v>541</v>
      </c>
      <c r="D246" s="29" t="s">
        <v>93</v>
      </c>
      <c r="E246" s="29" t="s">
        <v>94</v>
      </c>
      <c r="F246" s="29" t="s">
        <v>95</v>
      </c>
      <c r="G246" s="29"/>
    </row>
    <row r="247" spans="1:7" ht="22.5" customHeight="1">
      <c r="A247" s="29" t="s">
        <v>763</v>
      </c>
      <c r="B247" s="29" t="s">
        <v>764</v>
      </c>
      <c r="C247" s="29" t="s">
        <v>766</v>
      </c>
      <c r="D247" s="29" t="s">
        <v>93</v>
      </c>
      <c r="E247" s="29" t="s">
        <v>94</v>
      </c>
      <c r="F247" s="29" t="s">
        <v>95</v>
      </c>
      <c r="G247" s="29"/>
    </row>
    <row r="248" spans="1:7" ht="22.5" customHeight="1">
      <c r="A248" s="29" t="s">
        <v>767</v>
      </c>
      <c r="B248" s="29" t="s">
        <v>768</v>
      </c>
      <c r="C248" s="29" t="s">
        <v>769</v>
      </c>
      <c r="D248" s="29" t="s">
        <v>93</v>
      </c>
      <c r="E248" s="29" t="s">
        <v>94</v>
      </c>
      <c r="F248" s="29" t="s">
        <v>95</v>
      </c>
      <c r="G248" s="29"/>
    </row>
    <row r="249" spans="1:7" ht="22.5" customHeight="1">
      <c r="A249" s="29" t="s">
        <v>770</v>
      </c>
      <c r="B249" s="29" t="s">
        <v>771</v>
      </c>
      <c r="C249" s="29" t="s">
        <v>772</v>
      </c>
      <c r="D249" s="29" t="s">
        <v>93</v>
      </c>
      <c r="E249" s="29" t="s">
        <v>94</v>
      </c>
      <c r="F249" s="29" t="s">
        <v>95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35"/>
  <sheetViews>
    <sheetView workbookViewId="0">
      <selection sqref="A1:C1"/>
    </sheetView>
  </sheetViews>
  <sheetFormatPr baseColWidth="10" defaultColWidth="12.6640625" defaultRowHeight="15.75" customHeight="1"/>
  <cols>
    <col min="1" max="1" width="54" customWidth="1"/>
    <col min="3" max="3" width="17.1640625" customWidth="1"/>
    <col min="4" max="4" width="17" customWidth="1"/>
    <col min="5" max="5" width="17.1640625" customWidth="1"/>
    <col min="6" max="6" width="17" customWidth="1"/>
  </cols>
  <sheetData>
    <row r="1" spans="1:6" ht="13">
      <c r="A1" s="42" t="s">
        <v>6</v>
      </c>
      <c r="B1" s="43"/>
      <c r="C1" s="43"/>
      <c r="D1" s="42" t="s">
        <v>7</v>
      </c>
      <c r="E1" s="43"/>
      <c r="F1" s="43"/>
    </row>
    <row r="2" spans="1:6" ht="13">
      <c r="A2" s="7" t="s">
        <v>8</v>
      </c>
      <c r="B2" s="7" t="s">
        <v>9</v>
      </c>
      <c r="C2" s="7" t="s">
        <v>10</v>
      </c>
      <c r="D2" s="7" t="s">
        <v>8</v>
      </c>
      <c r="E2" s="7" t="s">
        <v>9</v>
      </c>
      <c r="F2" s="7" t="s">
        <v>10</v>
      </c>
    </row>
    <row r="3" spans="1:6" ht="13">
      <c r="A3" s="12" t="s">
        <v>11</v>
      </c>
      <c r="B3" s="14" t="s">
        <v>14</v>
      </c>
      <c r="C3" s="14" t="s">
        <v>16</v>
      </c>
      <c r="D3" s="12" t="s">
        <v>11</v>
      </c>
      <c r="E3" s="14" t="s">
        <v>18</v>
      </c>
      <c r="F3" s="14" t="s">
        <v>19</v>
      </c>
    </row>
    <row r="4" spans="1:6" ht="13">
      <c r="A4" s="16" t="s">
        <v>21</v>
      </c>
      <c r="B4" s="17" t="s">
        <v>24</v>
      </c>
      <c r="C4" s="17" t="s">
        <v>26</v>
      </c>
      <c r="D4" s="16" t="s">
        <v>27</v>
      </c>
      <c r="E4" s="17" t="s">
        <v>28</v>
      </c>
      <c r="F4" s="17" t="s">
        <v>29</v>
      </c>
    </row>
    <row r="5" spans="1:6" ht="13">
      <c r="A5" s="19" t="s">
        <v>31</v>
      </c>
      <c r="B5" s="20" t="s">
        <v>33</v>
      </c>
      <c r="C5" s="20" t="s">
        <v>35</v>
      </c>
      <c r="D5" s="19" t="s">
        <v>36</v>
      </c>
      <c r="E5" s="20" t="s">
        <v>37</v>
      </c>
      <c r="F5" s="20" t="s">
        <v>39</v>
      </c>
    </row>
    <row r="6" spans="1:6" ht="13">
      <c r="A6" s="21" t="s">
        <v>40</v>
      </c>
      <c r="B6" s="22" t="s">
        <v>42</v>
      </c>
      <c r="C6" s="22" t="s">
        <v>43</v>
      </c>
      <c r="D6" s="21" t="s">
        <v>44</v>
      </c>
      <c r="E6" s="22" t="s">
        <v>45</v>
      </c>
      <c r="F6" s="22" t="s">
        <v>46</v>
      </c>
    </row>
    <row r="7" spans="1:6" ht="13">
      <c r="A7" s="23" t="s">
        <v>34</v>
      </c>
      <c r="B7" s="24" t="s">
        <v>48</v>
      </c>
      <c r="C7" s="24" t="s">
        <v>49</v>
      </c>
      <c r="D7" s="44"/>
      <c r="E7" s="43"/>
      <c r="F7" s="43"/>
    </row>
    <row r="9" spans="1:6" ht="22.5" customHeight="1">
      <c r="A9" s="25" t="s">
        <v>0</v>
      </c>
      <c r="B9" s="25" t="s">
        <v>54</v>
      </c>
      <c r="C9" s="25" t="s">
        <v>56</v>
      </c>
      <c r="D9" s="25" t="s">
        <v>57</v>
      </c>
      <c r="E9" s="25" t="s">
        <v>59</v>
      </c>
      <c r="F9" s="25" t="s">
        <v>60</v>
      </c>
    </row>
    <row r="10" spans="1:6" ht="22.5" customHeight="1">
      <c r="A10" s="28" t="s">
        <v>23</v>
      </c>
      <c r="B10" s="28" t="s">
        <v>64</v>
      </c>
      <c r="C10" s="28" t="str">
        <f>VLOOKUP(A10,Таблица1[#All],4,FALSE)</f>
        <v>£10,920.00</v>
      </c>
      <c r="D10" s="28" t="str">
        <f>VLOOKUP(A10,Таблица1[#All],5,FALSE)</f>
        <v>£19,655.00</v>
      </c>
      <c r="E10" s="28" t="str">
        <f>VLOOKUP(A10,Таблица2[#All],4,FALSE)</f>
        <v>£11,390.00</v>
      </c>
      <c r="F10" s="28" t="str">
        <f>VLOOKUP(A10,Таблица2[#All],5,FALSE)</f>
        <v>£20,500.00</v>
      </c>
    </row>
    <row r="11" spans="1:6" ht="22.5" customHeight="1">
      <c r="A11" s="28" t="s">
        <v>78</v>
      </c>
      <c r="B11" s="28" t="s">
        <v>140</v>
      </c>
      <c r="C11" s="28" t="str">
        <f>VLOOKUP(A11,Таблица1[#All],4,FALSE)</f>
        <v>£10,920.00</v>
      </c>
      <c r="D11" s="28" t="str">
        <f>VLOOKUP(A11,Таблица1[#All],5,FALSE)</f>
        <v>£19,655.00</v>
      </c>
      <c r="E11" s="28" t="str">
        <f>VLOOKUP(A11,Таблица2[#All],4,FALSE)</f>
        <v>£11,390.00</v>
      </c>
      <c r="F11" s="28" t="str">
        <f>VLOOKUP(A11,Таблица2[#All],5,FALSE)</f>
        <v>£20,500.00</v>
      </c>
    </row>
    <row r="12" spans="1:6" ht="22.5" customHeight="1">
      <c r="A12" s="38" t="s">
        <v>53</v>
      </c>
      <c r="B12" s="38" t="s">
        <v>166</v>
      </c>
      <c r="C12" s="38" t="str">
        <f>VLOOKUP(A12,Таблица1[#All],4,FALSE)</f>
        <v>£16,380.00</v>
      </c>
      <c r="D12" s="38" t="str">
        <f>VLOOKUP(A12,Таблица1[#All],5,FALSE)</f>
        <v>£29,480.00</v>
      </c>
      <c r="E12" s="38" t="str">
        <f>VLOOKUP(A12,Таблица2[#All],4,FALSE)</f>
        <v>£17,085.00</v>
      </c>
      <c r="F12" s="38" t="str">
        <f>VLOOKUP(A12,Таблица2[#All],5,FALSE)</f>
        <v>£30,750.00</v>
      </c>
    </row>
    <row r="13" spans="1:6" ht="22.5" customHeight="1">
      <c r="A13" s="38" t="s">
        <v>30</v>
      </c>
      <c r="B13" s="38" t="s">
        <v>190</v>
      </c>
      <c r="C13" s="38" t="str">
        <f>'2021-2022'!D61</f>
        <v>£16,380.00</v>
      </c>
      <c r="D13" s="38" t="str">
        <f>'2021-2022'!E61</f>
        <v>£29,480.00</v>
      </c>
      <c r="E13" s="38" t="str">
        <f>'2025-26'!D62</f>
        <v>£17,085.00</v>
      </c>
      <c r="F13" s="38" t="str">
        <f>'2025-26'!E62</f>
        <v>£30,750.00</v>
      </c>
    </row>
    <row r="14" spans="1:6" ht="22.5" customHeight="1">
      <c r="A14" s="38" t="s">
        <v>67</v>
      </c>
      <c r="B14" s="38" t="s">
        <v>201</v>
      </c>
      <c r="C14" s="38" t="str">
        <f>VLOOKUP(A14,Таблица1[#All],4,FALSE)</f>
        <v>£16,380.00</v>
      </c>
      <c r="D14" s="38" t="str">
        <f>VLOOKUP(A14,Таблица1[#All],5,FALSE)</f>
        <v>£29,480.00</v>
      </c>
      <c r="E14" s="38" t="str">
        <f>VLOOKUP(A14,Таблица2[#All],4,FALSE)</f>
        <v>£17,085.00</v>
      </c>
      <c r="F14" s="38" t="str">
        <f>VLOOKUP(A14,Таблица2[#All],5,FALSE)</f>
        <v>£30,750.00</v>
      </c>
    </row>
    <row r="15" spans="1:6" ht="22.5" customHeight="1">
      <c r="A15" s="38" t="s">
        <v>62</v>
      </c>
      <c r="B15" s="38" t="s">
        <v>232</v>
      </c>
      <c r="C15" s="38" t="str">
        <f>VLOOKUP(A15,Таблица1[#All],4,FALSE)</f>
        <v>£16,380.00</v>
      </c>
      <c r="D15" s="38" t="str">
        <f>VLOOKUP(A15,Таблица1[#All],5,FALSE)</f>
        <v>£29,480.00</v>
      </c>
      <c r="E15" s="38" t="str">
        <f>VLOOKUP(A15,Таблица2[#All],4,FALSE)</f>
        <v>£17,085.00</v>
      </c>
      <c r="F15" s="38" t="str">
        <f>VLOOKUP(A15,Таблица2[#All],5,FALSE)</f>
        <v>£30,750.00</v>
      </c>
    </row>
    <row r="16" spans="1:6" ht="22.5" customHeight="1">
      <c r="A16" s="38" t="s">
        <v>63</v>
      </c>
      <c r="B16" s="38" t="s">
        <v>260</v>
      </c>
      <c r="C16" s="38" t="str">
        <f>VLOOKUP(A16,Таблица1[#All],4,FALSE)</f>
        <v>£16,380.00</v>
      </c>
      <c r="D16" s="38" t="str">
        <f>VLOOKUP(A16,Таблица1[#All],5,FALSE)</f>
        <v>£29,480.00</v>
      </c>
      <c r="E16" s="38" t="str">
        <f>VLOOKUP(A16,Таблица2[#All],4,FALSE)</f>
        <v>£17,085.00</v>
      </c>
      <c r="F16" s="38" t="str">
        <f>VLOOKUP(A16,Таблица2[#All],5,FALSE)</f>
        <v>£30,750.00</v>
      </c>
    </row>
    <row r="17" spans="1:6" ht="22.5" customHeight="1">
      <c r="A17" s="38" t="s">
        <v>73</v>
      </c>
      <c r="B17" s="38" t="s">
        <v>288</v>
      </c>
      <c r="C17" s="38" t="str">
        <f>VLOOKUP(A17,Таблица1[#All],4,FALSE)</f>
        <v>£16,380.00</v>
      </c>
      <c r="D17" s="38" t="str">
        <f>VLOOKUP(A17,Таблица1[#All],5,FALSE)</f>
        <v>£29,480.00</v>
      </c>
      <c r="E17" s="38" t="str">
        <f>VLOOKUP(A17,Таблица2[#All],4,FALSE)</f>
        <v>£17,085.00</v>
      </c>
      <c r="F17" s="38" t="str">
        <f>VLOOKUP(A17,Таблица2[#All],5,FALSE)</f>
        <v>£30,750.00</v>
      </c>
    </row>
    <row r="18" spans="1:6" ht="22.5" customHeight="1">
      <c r="A18" s="38" t="s">
        <v>81</v>
      </c>
      <c r="B18" s="38" t="s">
        <v>311</v>
      </c>
      <c r="C18" s="38" t="str">
        <f>VLOOKUP(A18,Таблица1[#All],4,FALSE)</f>
        <v>£16,380.00</v>
      </c>
      <c r="D18" s="38" t="str">
        <f>VLOOKUP(A18,Таблица1[#All],5,FALSE)</f>
        <v>£29,480.00</v>
      </c>
      <c r="E18" s="38" t="str">
        <f>VLOOKUP(A18,Таблица2[#All],4,FALSE)</f>
        <v>£17,085.00</v>
      </c>
      <c r="F18" s="38" t="str">
        <f>VLOOKUP(A18,Таблица2[#All],5,FALSE)</f>
        <v>£30,750.00</v>
      </c>
    </row>
    <row r="19" spans="1:6" ht="22.5" customHeight="1">
      <c r="A19" s="39" t="s">
        <v>58</v>
      </c>
      <c r="B19" s="39" t="s">
        <v>329</v>
      </c>
      <c r="C19" s="39" t="str">
        <f>VLOOKUP(A19,Таблица1[#All],4,FALSE)</f>
        <v>£21,840.00</v>
      </c>
      <c r="D19" s="39" t="str">
        <f>VLOOKUP(A19,Таблица1[#All],5,FALSE)</f>
        <v>£39,305.00</v>
      </c>
      <c r="E19" s="39" t="str">
        <f>VLOOKUP(A19,Таблица2[#All],4,FALSE)</f>
        <v>£22,780.00</v>
      </c>
      <c r="F19" s="39" t="str">
        <f>VLOOKUP(A19,Таблица2[#All],5,FALSE)</f>
        <v>£41,000.00</v>
      </c>
    </row>
    <row r="20" spans="1:6" ht="22.5" customHeight="1">
      <c r="A20" s="39" t="s">
        <v>41</v>
      </c>
      <c r="B20" s="39" t="s">
        <v>347</v>
      </c>
      <c r="C20" s="39" t="str">
        <f>VLOOKUP(A20,Таблица1[#All],4,FALSE)</f>
        <v>£21,840.00</v>
      </c>
      <c r="D20" s="39" t="str">
        <f>VLOOKUP(A20,Таблица1[#All],5,FALSE)</f>
        <v>£39,305.00</v>
      </c>
      <c r="E20" s="39" t="str">
        <f>VLOOKUP(A20,Таблица2[#All],4,FALSE)</f>
        <v>£22,780.00</v>
      </c>
      <c r="F20" s="39" t="str">
        <f>VLOOKUP(A20,Таблица2[#All],5,FALSE)</f>
        <v>£41,000.00</v>
      </c>
    </row>
    <row r="21" spans="1:6" ht="22.5" customHeight="1">
      <c r="A21" s="39" t="s">
        <v>50</v>
      </c>
      <c r="B21" s="39" t="s">
        <v>358</v>
      </c>
      <c r="C21" s="39" t="str">
        <f>VLOOKUP(A21,Таблица1[#All],4,FALSE)</f>
        <v>£21,840.00</v>
      </c>
      <c r="D21" s="39" t="str">
        <f>VLOOKUP(A21,Таблица1[#All],5,FALSE)</f>
        <v>£39,305.00</v>
      </c>
      <c r="E21" s="39" t="str">
        <f>VLOOKUP(A21,Таблица2[#All],4,FALSE)</f>
        <v>£17,085.00</v>
      </c>
      <c r="F21" s="39" t="str">
        <f>VLOOKUP(A21,Таблица2[#All],5,FALSE)</f>
        <v>£30,750.00</v>
      </c>
    </row>
    <row r="22" spans="1:6" ht="22.5" customHeight="1">
      <c r="A22" s="39" t="s">
        <v>55</v>
      </c>
      <c r="B22" s="39" t="s">
        <v>375</v>
      </c>
      <c r="C22" s="39" t="str">
        <f>VLOOKUP(A22,Таблица1[#All],4,FALSE)</f>
        <v>£21,840.00</v>
      </c>
      <c r="D22" s="39" t="str">
        <f>VLOOKUP(A22,Таблица1[#All],5,FALSE)</f>
        <v>£39,305.00</v>
      </c>
      <c r="E22" s="39" t="str">
        <f>VLOOKUP(A22,Таблица2[#All],4,FALSE)</f>
        <v>£22,780.00</v>
      </c>
      <c r="F22" s="39" t="str">
        <f>VLOOKUP(A22,Таблица2[#All],5,FALSE)</f>
        <v>£41,000.00</v>
      </c>
    </row>
    <row r="23" spans="1:6" ht="22.5" customHeight="1">
      <c r="A23" s="39" t="s">
        <v>68</v>
      </c>
      <c r="B23" s="39" t="s">
        <v>393</v>
      </c>
      <c r="C23" s="39" t="str">
        <f>VLOOKUP(A23,Таблица1[#All],4,FALSE)</f>
        <v>£21,840.00</v>
      </c>
      <c r="D23" s="39" t="str">
        <f>VLOOKUP(A23,Таблица1[#All],5,FALSE)</f>
        <v>£39,305.00</v>
      </c>
      <c r="E23" s="39" t="str">
        <f>VLOOKUP(A23,Таблица2[#All],4,FALSE)</f>
        <v>£22,780.00</v>
      </c>
      <c r="F23" s="39" t="str">
        <f>VLOOKUP(A23,Таблица2[#All],5,FALSE)</f>
        <v>£41,000.00</v>
      </c>
    </row>
    <row r="24" spans="1:6" ht="22.5" customHeight="1">
      <c r="A24" s="39" t="s">
        <v>76</v>
      </c>
      <c r="B24" s="39" t="s">
        <v>412</v>
      </c>
      <c r="C24" s="39" t="str">
        <f>VLOOKUP(A24,Таблица1[#All],4,FALSE)</f>
        <v>£21,840.00</v>
      </c>
      <c r="D24" s="39" t="str">
        <f>VLOOKUP(A24,Таблица1[#All],5,FALSE)</f>
        <v>£39,305.00</v>
      </c>
      <c r="E24" s="39" t="str">
        <f>VLOOKUP(A24,Таблица2[#All],4,FALSE)</f>
        <v>£17,085.00</v>
      </c>
      <c r="F24" s="39" t="str">
        <f>VLOOKUP(A24,Таблица2[#All],5,FALSE)</f>
        <v>£30,750.00</v>
      </c>
    </row>
    <row r="25" spans="1:6" ht="22.5" customHeight="1">
      <c r="A25" s="39" t="s">
        <v>79</v>
      </c>
      <c r="B25" s="39" t="s">
        <v>429</v>
      </c>
      <c r="C25" s="39" t="str">
        <f>VLOOKUP(A25,Таблица1[#All],4,FALSE)</f>
        <v>£21,840.00</v>
      </c>
      <c r="D25" s="39" t="str">
        <f>VLOOKUP(A25,Таблица1[#All],5,FALSE)</f>
        <v>£39,305.00</v>
      </c>
      <c r="E25" s="39" t="str">
        <f>VLOOKUP(A25,Таблица2[#All],4,FALSE)</f>
        <v>£22,780.00</v>
      </c>
      <c r="F25" s="39" t="str">
        <f>VLOOKUP(A25,Таблица2[#All],5,FALSE)</f>
        <v>£41,000.00</v>
      </c>
    </row>
    <row r="26" spans="1:6" ht="22.5" customHeight="1">
      <c r="A26" s="39" t="s">
        <v>51</v>
      </c>
      <c r="B26" s="39" t="s">
        <v>457</v>
      </c>
      <c r="C26" s="39" t="str">
        <f>VLOOKUP(A26,Таблица1[#All],4,FALSE)</f>
        <v>£21,840.00</v>
      </c>
      <c r="D26" s="39" t="str">
        <f>VLOOKUP(A26,Таблица1[#All],5,FALSE)</f>
        <v>£39,305.00</v>
      </c>
      <c r="E26" s="39" t="str">
        <f>VLOOKUP(A26,Таблица2[#All],4,FALSE)</f>
        <v>£22,780.00</v>
      </c>
      <c r="F26" s="39" t="str">
        <f>VLOOKUP(A26,Таблица2[#All],5,FALSE)</f>
        <v>£41,000.00</v>
      </c>
    </row>
    <row r="27" spans="1:6" ht="22.5" customHeight="1">
      <c r="A27" s="40" t="s">
        <v>71</v>
      </c>
      <c r="B27" s="40" t="s">
        <v>481</v>
      </c>
      <c r="C27" s="40" t="str">
        <f>VLOOKUP(A27,Таблица1[#All],4,FALSE)</f>
        <v>£27,295.00</v>
      </c>
      <c r="D27" s="40" t="str">
        <f>VLOOKUP(A27,Таблица1[#All],5,FALSE)</f>
        <v>£49,130.00</v>
      </c>
      <c r="E27" s="40" t="str">
        <f>VLOOKUP(A27,Таблица2[#All],4,FALSE)</f>
        <v>£28,470.00</v>
      </c>
      <c r="F27" s="40" t="str">
        <f>VLOOKUP(A27,Таблица2[#All],5,FALSE)</f>
        <v>£51,245.00</v>
      </c>
    </row>
    <row r="28" spans="1:6" ht="22.5" customHeight="1">
      <c r="A28" s="40" t="s">
        <v>17</v>
      </c>
      <c r="B28" s="40" t="s">
        <v>503</v>
      </c>
      <c r="C28" s="40" t="str">
        <f>VLOOKUP(A28,Таблица1[#All],4,FALSE)</f>
        <v>£27,295.00</v>
      </c>
      <c r="D28" s="40" t="str">
        <f>VLOOKUP(A28,Таблица1[#All],5,FALSE)</f>
        <v>£49,130.00</v>
      </c>
      <c r="E28" s="40" t="str">
        <f>VLOOKUP(A28,Таблица2[#All],4,FALSE)</f>
        <v>£28,470.00</v>
      </c>
      <c r="F28" s="40" t="str">
        <f>VLOOKUP(A28,Таблица2[#All],5,FALSE)</f>
        <v>£51,245.00</v>
      </c>
    </row>
    <row r="29" spans="1:6" ht="22.5" customHeight="1">
      <c r="A29" s="40" t="s">
        <v>84</v>
      </c>
      <c r="B29" s="40" t="s">
        <v>524</v>
      </c>
      <c r="C29" s="40" t="str">
        <f>VLOOKUP(A29,Таблица1[#All],4,FALSE)</f>
        <v>£27,295.00</v>
      </c>
      <c r="D29" s="40" t="str">
        <f>VLOOKUP(A29,Таблица1[#All],5,FALSE)</f>
        <v>£49,130.00</v>
      </c>
      <c r="E29" s="40" t="str">
        <f>VLOOKUP(A29,Таблица2[#All],4,FALSE)</f>
        <v>£28,470.00</v>
      </c>
      <c r="F29" s="40" t="str">
        <f>VLOOKUP(A29,Таблица2[#All],5,FALSE)</f>
        <v>£51,245.00</v>
      </c>
    </row>
    <row r="30" spans="1:6" ht="22.5" customHeight="1">
      <c r="A30" s="40" t="s">
        <v>52</v>
      </c>
      <c r="B30" s="40" t="s">
        <v>538</v>
      </c>
      <c r="C30" s="40" t="str">
        <f>VLOOKUP(A30,Таблица1[#All],4,FALSE)</f>
        <v>£27,295.00</v>
      </c>
      <c r="D30" s="40" t="str">
        <f>VLOOKUP(A30,Таблица1[#All],5,FALSE)</f>
        <v>£49,130.00</v>
      </c>
      <c r="E30" s="40" t="str">
        <f>VLOOKUP(A30,Таблица2[#All],4,FALSE)</f>
        <v>£22,780.00</v>
      </c>
      <c r="F30" s="40" t="str">
        <f>VLOOKUP(A30,Таблица2[#All],5,FALSE)</f>
        <v>£41,000.00</v>
      </c>
    </row>
    <row r="31" spans="1:6" ht="22.5" customHeight="1">
      <c r="A31" s="40" t="s">
        <v>38</v>
      </c>
      <c r="B31" s="40" t="s">
        <v>556</v>
      </c>
      <c r="C31" s="40" t="str">
        <f>VLOOKUP(A31,Таблица1[#All],4,FALSE)</f>
        <v>£27,295.00</v>
      </c>
      <c r="D31" s="40" t="str">
        <f>VLOOKUP(A31,Таблица1[#All],5,FALSE)</f>
        <v>£49,130.00</v>
      </c>
      <c r="E31" s="40" t="str">
        <f>VLOOKUP(A31,Таблица2[#All],4,FALSE)</f>
        <v>£28,470.00</v>
      </c>
      <c r="F31" s="40" t="str">
        <f>VLOOKUP(A31,Таблица2[#All],5,FALSE)</f>
        <v>£51,245.00</v>
      </c>
    </row>
    <row r="32" spans="1:6" ht="22.5" customHeight="1">
      <c r="A32" s="40" t="s">
        <v>65</v>
      </c>
      <c r="B32" s="40" t="s">
        <v>577</v>
      </c>
      <c r="C32" s="40" t="str">
        <f>VLOOKUP(A32,Таблица1[#All],4,FALSE)</f>
        <v>£27,295.00</v>
      </c>
      <c r="D32" s="40" t="str">
        <f>VLOOKUP(A32,Таблица1[#All],5,FALSE)</f>
        <v>£49,130.00</v>
      </c>
      <c r="E32" s="40" t="str">
        <f>VLOOKUP(A32,Таблица2[#All],4,FALSE)</f>
        <v>£28,470.00</v>
      </c>
      <c r="F32" s="40" t="str">
        <f>VLOOKUP(A32,Таблица2[#All],5,FALSE)</f>
        <v>£51,245.00</v>
      </c>
    </row>
    <row r="33" spans="1:6" ht="22.5" customHeight="1">
      <c r="A33" s="40" t="s">
        <v>554</v>
      </c>
      <c r="B33" s="40" t="s">
        <v>602</v>
      </c>
      <c r="C33" s="40" t="str">
        <f>VLOOKUP(A33,Таблица1[#All],4,FALSE)</f>
        <v>£27,295.00</v>
      </c>
      <c r="D33" s="40" t="str">
        <f>VLOOKUP(A33,Таблица1[#All],5,FALSE)</f>
        <v>£49,130.00</v>
      </c>
      <c r="E33" s="40" t="str">
        <f>VLOOKUP(A33,Таблица2[#All],4,FALSE)</f>
        <v>£28,470.00</v>
      </c>
      <c r="F33" s="40" t="str">
        <f>VLOOKUP(A33,Таблица2[#All],5,FALSE)</f>
        <v>£51,245.00</v>
      </c>
    </row>
    <row r="34" spans="1:6" ht="22.5" customHeight="1">
      <c r="A34" s="40" t="s">
        <v>87</v>
      </c>
      <c r="B34" s="40" t="s">
        <v>622</v>
      </c>
      <c r="C34" s="40" t="str">
        <f>VLOOKUP(A34,Таблица1[#All],4,FALSE)</f>
        <v>£27,295.00</v>
      </c>
      <c r="D34" s="40" t="str">
        <f>VLOOKUP(A34,Таблица1[#All],5,FALSE)</f>
        <v>£49,130.00</v>
      </c>
      <c r="E34" s="40" t="str">
        <f>VLOOKUP(A34,Таблица2[#All],4,FALSE)</f>
        <v>£28,470.00</v>
      </c>
      <c r="F34" s="40" t="str">
        <f>VLOOKUP(A34,Таблица2[#All],5,FALSE)</f>
        <v>£51,245.00</v>
      </c>
    </row>
    <row r="35" spans="1:6" ht="22.5" customHeight="1">
      <c r="A35" s="41" t="s">
        <v>34</v>
      </c>
      <c r="B35" s="41" t="s">
        <v>640</v>
      </c>
      <c r="C35" s="41" t="str">
        <f>VLOOKUP(A35,Таблица1[#All],4,FALSE)</f>
        <v>£32,755.00</v>
      </c>
      <c r="D35" s="41" t="str">
        <f>VLOOKUP(A35,Таблица1[#All],5,FALSE)</f>
        <v>£58,960.00</v>
      </c>
      <c r="E35" s="41" t="str">
        <f>VLOOKUP(A35,Таблица2[#All],4,FALSE)</f>
        <v>£28,470.00</v>
      </c>
      <c r="F35" s="41" t="str">
        <f>VLOOKUP(A35,Таблица2[#All],5,FALSE)</f>
        <v>£51,245.00</v>
      </c>
    </row>
  </sheetData>
  <mergeCells count="3">
    <mergeCell ref="A1:C1"/>
    <mergeCell ref="D1:F1"/>
    <mergeCell ref="D7:F7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L1000"/>
  <sheetViews>
    <sheetView workbookViewId="0"/>
  </sheetViews>
  <sheetFormatPr baseColWidth="10" defaultColWidth="12.6640625" defaultRowHeight="15.75" customHeight="1"/>
  <cols>
    <col min="1" max="1" width="18.5" customWidth="1"/>
    <col min="2" max="2" width="16.1640625" customWidth="1"/>
    <col min="4" max="4" width="15.6640625" customWidth="1"/>
  </cols>
  <sheetData>
    <row r="1" spans="1:12">
      <c r="A1" s="1" t="s">
        <v>0</v>
      </c>
      <c r="B1" s="2" t="s">
        <v>1</v>
      </c>
      <c r="C1" s="2" t="s">
        <v>0</v>
      </c>
      <c r="D1" s="2" t="s">
        <v>2</v>
      </c>
      <c r="E1" s="3" t="s">
        <v>3</v>
      </c>
      <c r="F1" s="3" t="s">
        <v>3</v>
      </c>
      <c r="J1" s="4" t="s">
        <v>4</v>
      </c>
      <c r="K1" s="5">
        <v>2021</v>
      </c>
      <c r="L1" s="5">
        <v>2024</v>
      </c>
    </row>
    <row r="2" spans="1:12">
      <c r="A2" s="1" t="s">
        <v>5</v>
      </c>
      <c r="B2" s="6">
        <v>33915</v>
      </c>
      <c r="C2" s="2" t="s">
        <v>5</v>
      </c>
      <c r="D2" s="6">
        <v>39808</v>
      </c>
      <c r="E2" s="8">
        <f t="shared" ref="E2:E29" si="0">IF(IFERROR(VLOOKUP(A2,$J$2:$L$28,2,FALSE),1)=1,FALSE,VLOOKUP(A2,$J$2:$L$28,2,FALSE)-B2)</f>
        <v>0</v>
      </c>
      <c r="F2" s="8">
        <f t="shared" ref="F2:F29" si="1">IF(IFERROR(VLOOKUP(A2,$J$2:$L$28,3,FALSE),1)=1,FALSE,VLOOKUP(A2,$J$2:$L$28,3,FALSE)-D2)</f>
        <v>0</v>
      </c>
      <c r="J2" s="9" t="s">
        <v>5</v>
      </c>
      <c r="K2" s="11">
        <v>33915</v>
      </c>
      <c r="L2" s="11">
        <v>39808</v>
      </c>
    </row>
    <row r="3" spans="1:12">
      <c r="A3" s="1" t="s">
        <v>13</v>
      </c>
      <c r="B3" s="6">
        <v>37711</v>
      </c>
      <c r="C3" s="2" t="s">
        <v>13</v>
      </c>
      <c r="D3" s="6">
        <v>43512</v>
      </c>
      <c r="E3" s="3" t="b">
        <f t="shared" si="0"/>
        <v>0</v>
      </c>
      <c r="F3" s="3" t="b">
        <f t="shared" si="1"/>
        <v>0</v>
      </c>
      <c r="J3" s="9" t="s">
        <v>17</v>
      </c>
      <c r="K3" s="15">
        <v>49706</v>
      </c>
      <c r="L3" s="15">
        <v>59632</v>
      </c>
    </row>
    <row r="4" spans="1:12">
      <c r="A4" s="1" t="s">
        <v>17</v>
      </c>
      <c r="B4" s="6">
        <v>49706</v>
      </c>
      <c r="C4" s="2" t="s">
        <v>17</v>
      </c>
      <c r="D4" s="6">
        <v>59632</v>
      </c>
      <c r="E4" s="8">
        <f t="shared" si="0"/>
        <v>0</v>
      </c>
      <c r="F4" s="8">
        <f t="shared" si="1"/>
        <v>0</v>
      </c>
      <c r="J4" s="9" t="s">
        <v>23</v>
      </c>
      <c r="K4" s="11">
        <v>10345</v>
      </c>
      <c r="L4" s="11">
        <v>15387</v>
      </c>
    </row>
    <row r="5" spans="1:12">
      <c r="A5" s="1" t="s">
        <v>23</v>
      </c>
      <c r="B5" s="6">
        <v>10345</v>
      </c>
      <c r="C5" s="2" t="s">
        <v>23</v>
      </c>
      <c r="D5" s="6">
        <v>15387</v>
      </c>
      <c r="E5" s="8">
        <f t="shared" si="0"/>
        <v>0</v>
      </c>
      <c r="F5" s="8">
        <f t="shared" si="1"/>
        <v>0</v>
      </c>
      <c r="J5" s="9" t="s">
        <v>30</v>
      </c>
      <c r="K5" s="15">
        <v>18875</v>
      </c>
      <c r="L5" s="15">
        <v>23998</v>
      </c>
    </row>
    <row r="6" spans="1:12">
      <c r="A6" s="1" t="s">
        <v>30</v>
      </c>
      <c r="B6" s="6">
        <v>18875</v>
      </c>
      <c r="C6" s="2" t="s">
        <v>30</v>
      </c>
      <c r="D6" s="6">
        <v>23998</v>
      </c>
      <c r="E6" s="8">
        <f t="shared" si="0"/>
        <v>0</v>
      </c>
      <c r="F6" s="8">
        <f t="shared" si="1"/>
        <v>0</v>
      </c>
      <c r="J6" s="9" t="s">
        <v>34</v>
      </c>
      <c r="K6" s="11">
        <v>63043</v>
      </c>
      <c r="L6" s="11">
        <v>71565</v>
      </c>
    </row>
    <row r="7" spans="1:12">
      <c r="A7" s="1" t="s">
        <v>34</v>
      </c>
      <c r="B7" s="6">
        <v>63043</v>
      </c>
      <c r="C7" s="2" t="s">
        <v>34</v>
      </c>
      <c r="D7" s="6">
        <v>71565</v>
      </c>
      <c r="E7" s="8">
        <f t="shared" si="0"/>
        <v>0</v>
      </c>
      <c r="F7" s="8">
        <f t="shared" si="1"/>
        <v>0</v>
      </c>
      <c r="J7" s="9" t="s">
        <v>38</v>
      </c>
      <c r="K7" s="15">
        <v>45718</v>
      </c>
      <c r="L7" s="15">
        <v>53791</v>
      </c>
    </row>
    <row r="8" spans="1:12">
      <c r="A8" s="1" t="s">
        <v>38</v>
      </c>
      <c r="B8" s="6">
        <v>45718</v>
      </c>
      <c r="C8" s="2" t="s">
        <v>38</v>
      </c>
      <c r="D8" s="6">
        <v>53791</v>
      </c>
      <c r="E8" s="8">
        <f t="shared" si="0"/>
        <v>0</v>
      </c>
      <c r="F8" s="8">
        <f t="shared" si="1"/>
        <v>0</v>
      </c>
      <c r="J8" s="9" t="s">
        <v>41</v>
      </c>
      <c r="K8" s="11">
        <v>21146</v>
      </c>
      <c r="L8" s="11">
        <v>26546</v>
      </c>
    </row>
    <row r="9" spans="1:12">
      <c r="A9" s="1" t="s">
        <v>41</v>
      </c>
      <c r="B9" s="6">
        <v>21146</v>
      </c>
      <c r="C9" s="2" t="s">
        <v>41</v>
      </c>
      <c r="D9" s="6">
        <v>26546</v>
      </c>
      <c r="E9" s="8">
        <f t="shared" si="0"/>
        <v>0</v>
      </c>
      <c r="F9" s="8">
        <f t="shared" si="1"/>
        <v>0</v>
      </c>
      <c r="J9" s="9" t="s">
        <v>47</v>
      </c>
      <c r="K9" s="15">
        <v>52638</v>
      </c>
      <c r="L9" s="15">
        <v>61051</v>
      </c>
    </row>
    <row r="10" spans="1:12">
      <c r="A10" s="1" t="s">
        <v>47</v>
      </c>
      <c r="B10" s="6">
        <v>52638</v>
      </c>
      <c r="C10" s="2" t="s">
        <v>47</v>
      </c>
      <c r="D10" s="6">
        <v>61051</v>
      </c>
      <c r="E10" s="8">
        <f t="shared" si="0"/>
        <v>0</v>
      </c>
      <c r="F10" s="8">
        <f t="shared" si="1"/>
        <v>0</v>
      </c>
      <c r="J10" s="9" t="s">
        <v>50</v>
      </c>
      <c r="K10" s="11">
        <v>16018</v>
      </c>
      <c r="L10" s="11">
        <v>17954</v>
      </c>
    </row>
    <row r="11" spans="1:12">
      <c r="A11" s="1" t="s">
        <v>50</v>
      </c>
      <c r="B11" s="6">
        <v>16018</v>
      </c>
      <c r="C11" s="2" t="s">
        <v>50</v>
      </c>
      <c r="D11" s="6">
        <v>17954</v>
      </c>
      <c r="E11" s="8">
        <f t="shared" si="0"/>
        <v>0</v>
      </c>
      <c r="F11" s="8">
        <f t="shared" si="1"/>
        <v>0</v>
      </c>
      <c r="J11" s="9" t="s">
        <v>51</v>
      </c>
      <c r="K11" s="15">
        <v>29383</v>
      </c>
      <c r="L11" s="15">
        <v>33700</v>
      </c>
    </row>
    <row r="12" spans="1:12">
      <c r="A12" s="1" t="s">
        <v>51</v>
      </c>
      <c r="B12" s="6">
        <v>29383</v>
      </c>
      <c r="C12" s="2" t="s">
        <v>51</v>
      </c>
      <c r="D12" s="6">
        <v>33700</v>
      </c>
      <c r="E12" s="8">
        <f t="shared" si="0"/>
        <v>0</v>
      </c>
      <c r="F12" s="8">
        <f t="shared" si="1"/>
        <v>0</v>
      </c>
      <c r="J12" s="9" t="s">
        <v>52</v>
      </c>
      <c r="K12" s="11">
        <v>38861</v>
      </c>
      <c r="L12" s="11">
        <v>43790</v>
      </c>
    </row>
    <row r="13" spans="1:12">
      <c r="A13" s="1" t="s">
        <v>52</v>
      </c>
      <c r="B13" s="6">
        <v>38861</v>
      </c>
      <c r="C13" s="2" t="s">
        <v>52</v>
      </c>
      <c r="D13" s="6">
        <v>43790</v>
      </c>
      <c r="E13" s="8">
        <f t="shared" si="0"/>
        <v>0</v>
      </c>
      <c r="F13" s="8">
        <f t="shared" si="1"/>
        <v>0</v>
      </c>
      <c r="J13" s="9" t="s">
        <v>53</v>
      </c>
      <c r="K13" s="15">
        <v>17008</v>
      </c>
      <c r="L13" s="15">
        <v>23446</v>
      </c>
    </row>
    <row r="14" spans="1:12">
      <c r="A14" s="1" t="s">
        <v>53</v>
      </c>
      <c r="B14" s="6">
        <v>17008</v>
      </c>
      <c r="C14" s="2" t="s">
        <v>53</v>
      </c>
      <c r="D14" s="6">
        <v>23446</v>
      </c>
      <c r="E14" s="8">
        <f t="shared" si="0"/>
        <v>0</v>
      </c>
      <c r="F14" s="8">
        <f t="shared" si="1"/>
        <v>0</v>
      </c>
      <c r="J14" s="9" t="s">
        <v>55</v>
      </c>
      <c r="K14" s="11">
        <v>30719</v>
      </c>
      <c r="L14" s="11">
        <v>33523</v>
      </c>
    </row>
    <row r="15" spans="1:12">
      <c r="A15" s="1" t="s">
        <v>55</v>
      </c>
      <c r="B15" s="6">
        <v>30719</v>
      </c>
      <c r="C15" s="2" t="s">
        <v>55</v>
      </c>
      <c r="D15" s="6">
        <v>33523</v>
      </c>
      <c r="E15" s="8">
        <f t="shared" si="0"/>
        <v>0</v>
      </c>
      <c r="F15" s="8">
        <f t="shared" si="1"/>
        <v>0</v>
      </c>
      <c r="J15" s="9" t="s">
        <v>58</v>
      </c>
      <c r="K15" s="15">
        <v>22197</v>
      </c>
      <c r="L15" s="15">
        <v>27611</v>
      </c>
    </row>
    <row r="16" spans="1:12">
      <c r="A16" s="1" t="s">
        <v>58</v>
      </c>
      <c r="B16" s="6">
        <v>22197</v>
      </c>
      <c r="C16" s="2" t="s">
        <v>58</v>
      </c>
      <c r="D16" s="6">
        <v>27611</v>
      </c>
      <c r="E16" s="8">
        <f t="shared" si="0"/>
        <v>0</v>
      </c>
      <c r="F16" s="8">
        <f t="shared" si="1"/>
        <v>0</v>
      </c>
      <c r="J16" s="9" t="s">
        <v>62</v>
      </c>
      <c r="K16" s="11">
        <v>17018</v>
      </c>
      <c r="L16" s="11">
        <v>22262</v>
      </c>
    </row>
    <row r="17" spans="1:12">
      <c r="A17" s="1" t="s">
        <v>62</v>
      </c>
      <c r="B17" s="6">
        <v>17018</v>
      </c>
      <c r="C17" s="2" t="s">
        <v>62</v>
      </c>
      <c r="D17" s="6">
        <v>22262</v>
      </c>
      <c r="E17" s="8">
        <f t="shared" si="0"/>
        <v>0</v>
      </c>
      <c r="F17" s="8">
        <f t="shared" si="1"/>
        <v>0</v>
      </c>
      <c r="J17" s="9" t="s">
        <v>63</v>
      </c>
      <c r="K17" s="15">
        <v>21719</v>
      </c>
      <c r="L17" s="15">
        <v>29104</v>
      </c>
    </row>
    <row r="18" spans="1:12">
      <c r="A18" s="1" t="s">
        <v>63</v>
      </c>
      <c r="B18" s="6">
        <v>21719</v>
      </c>
      <c r="C18" s="2" t="s">
        <v>63</v>
      </c>
      <c r="D18" s="6">
        <v>29104</v>
      </c>
      <c r="E18" s="8">
        <f t="shared" si="0"/>
        <v>0</v>
      </c>
      <c r="F18" s="8">
        <f t="shared" si="1"/>
        <v>0</v>
      </c>
      <c r="J18" s="9" t="s">
        <v>65</v>
      </c>
      <c r="K18" s="11">
        <v>71564</v>
      </c>
      <c r="L18" s="11">
        <v>82969</v>
      </c>
    </row>
    <row r="19" spans="1:12">
      <c r="A19" s="1" t="s">
        <v>65</v>
      </c>
      <c r="B19" s="6">
        <v>71564</v>
      </c>
      <c r="C19" s="2" t="s">
        <v>65</v>
      </c>
      <c r="D19" s="6">
        <v>82969</v>
      </c>
      <c r="E19" s="8">
        <f t="shared" si="0"/>
        <v>0</v>
      </c>
      <c r="F19" s="8">
        <f t="shared" si="1"/>
        <v>0</v>
      </c>
      <c r="J19" s="9" t="s">
        <v>67</v>
      </c>
      <c r="K19" s="15">
        <v>13234</v>
      </c>
      <c r="L19" s="15">
        <v>18461</v>
      </c>
    </row>
    <row r="20" spans="1:12">
      <c r="A20" s="1" t="s">
        <v>67</v>
      </c>
      <c r="B20" s="6">
        <v>13234</v>
      </c>
      <c r="C20" s="2" t="s">
        <v>67</v>
      </c>
      <c r="D20" s="6">
        <v>18461</v>
      </c>
      <c r="E20" s="8">
        <f t="shared" si="0"/>
        <v>0</v>
      </c>
      <c r="F20" s="8">
        <f t="shared" si="1"/>
        <v>0</v>
      </c>
      <c r="J20" s="9" t="s">
        <v>68</v>
      </c>
      <c r="K20" s="11">
        <v>28329</v>
      </c>
      <c r="L20" s="11">
        <v>33499</v>
      </c>
    </row>
    <row r="21" spans="1:12">
      <c r="A21" s="1" t="s">
        <v>68</v>
      </c>
      <c r="B21" s="6">
        <v>28329</v>
      </c>
      <c r="C21" s="2" t="s">
        <v>68</v>
      </c>
      <c r="D21" s="6">
        <v>33499</v>
      </c>
      <c r="E21" s="8">
        <f t="shared" si="0"/>
        <v>0</v>
      </c>
      <c r="F21" s="8">
        <f t="shared" si="1"/>
        <v>0</v>
      </c>
      <c r="J21" s="9" t="s">
        <v>71</v>
      </c>
      <c r="K21" s="15">
        <v>48166</v>
      </c>
      <c r="L21" s="15">
        <v>58600</v>
      </c>
    </row>
    <row r="22" spans="1:12">
      <c r="A22" s="1" t="s">
        <v>71</v>
      </c>
      <c r="B22" s="6">
        <v>48166</v>
      </c>
      <c r="C22" s="2" t="s">
        <v>71</v>
      </c>
      <c r="D22" s="6">
        <v>58600</v>
      </c>
      <c r="E22" s="8">
        <f t="shared" si="0"/>
        <v>0</v>
      </c>
      <c r="F22" s="8">
        <f t="shared" si="1"/>
        <v>0</v>
      </c>
      <c r="J22" s="9" t="s">
        <v>73</v>
      </c>
      <c r="K22" s="11">
        <v>14106</v>
      </c>
      <c r="L22" s="11">
        <v>21246</v>
      </c>
    </row>
    <row r="23" spans="1:12">
      <c r="A23" s="1" t="s">
        <v>73</v>
      </c>
      <c r="B23" s="6">
        <v>14106</v>
      </c>
      <c r="C23" s="2" t="s">
        <v>73</v>
      </c>
      <c r="D23" s="6">
        <v>21246</v>
      </c>
      <c r="E23" s="8">
        <f t="shared" si="0"/>
        <v>0</v>
      </c>
      <c r="F23" s="8">
        <f t="shared" si="1"/>
        <v>0</v>
      </c>
      <c r="J23" s="9" t="s">
        <v>76</v>
      </c>
      <c r="K23" s="15">
        <v>19851</v>
      </c>
      <c r="L23" s="15">
        <v>24818</v>
      </c>
    </row>
    <row r="24" spans="1:12">
      <c r="A24" s="1" t="s">
        <v>76</v>
      </c>
      <c r="B24" s="6">
        <v>19851</v>
      </c>
      <c r="C24" s="2" t="s">
        <v>76</v>
      </c>
      <c r="D24" s="6">
        <v>24818</v>
      </c>
      <c r="E24" s="8">
        <f t="shared" si="0"/>
        <v>0</v>
      </c>
      <c r="F24" s="8">
        <f t="shared" si="1"/>
        <v>0</v>
      </c>
      <c r="J24" s="9" t="s">
        <v>78</v>
      </c>
      <c r="K24" s="11">
        <v>13245</v>
      </c>
      <c r="L24" s="11">
        <v>21108</v>
      </c>
    </row>
    <row r="25" spans="1:12">
      <c r="A25" s="1" t="s">
        <v>78</v>
      </c>
      <c r="B25" s="6">
        <v>13245</v>
      </c>
      <c r="C25" s="2" t="s">
        <v>78</v>
      </c>
      <c r="D25" s="6">
        <v>21108</v>
      </c>
      <c r="E25" s="8">
        <f t="shared" si="0"/>
        <v>0</v>
      </c>
      <c r="F25" s="8">
        <f t="shared" si="1"/>
        <v>0</v>
      </c>
      <c r="J25" s="9" t="s">
        <v>79</v>
      </c>
      <c r="K25" s="15">
        <v>28663</v>
      </c>
      <c r="L25" s="15">
        <v>35133</v>
      </c>
    </row>
    <row r="26" spans="1:12">
      <c r="A26" s="1" t="s">
        <v>79</v>
      </c>
      <c r="B26" s="6">
        <v>28663</v>
      </c>
      <c r="C26" s="2" t="s">
        <v>79</v>
      </c>
      <c r="D26" s="6">
        <v>35133</v>
      </c>
      <c r="E26" s="8">
        <f t="shared" si="0"/>
        <v>0</v>
      </c>
      <c r="F26" s="8">
        <f t="shared" si="1"/>
        <v>0</v>
      </c>
      <c r="J26" s="9" t="s">
        <v>81</v>
      </c>
      <c r="K26" s="11">
        <v>16242</v>
      </c>
      <c r="L26" s="11">
        <v>20287</v>
      </c>
    </row>
    <row r="27" spans="1:12">
      <c r="A27" s="1" t="s">
        <v>81</v>
      </c>
      <c r="B27" s="6">
        <v>16242</v>
      </c>
      <c r="C27" s="2" t="s">
        <v>81</v>
      </c>
      <c r="D27" s="6">
        <v>20287</v>
      </c>
      <c r="E27" s="8">
        <f t="shared" si="0"/>
        <v>0</v>
      </c>
      <c r="F27" s="8">
        <f t="shared" si="1"/>
        <v>0</v>
      </c>
      <c r="J27" s="9" t="s">
        <v>84</v>
      </c>
      <c r="K27" s="15">
        <v>45351</v>
      </c>
      <c r="L27" s="15">
        <v>49428</v>
      </c>
    </row>
    <row r="28" spans="1:12">
      <c r="A28" s="1" t="s">
        <v>84</v>
      </c>
      <c r="B28" s="6">
        <v>45351</v>
      </c>
      <c r="C28" s="2" t="s">
        <v>84</v>
      </c>
      <c r="D28" s="6">
        <v>49428</v>
      </c>
      <c r="E28" s="8">
        <f t="shared" si="0"/>
        <v>0</v>
      </c>
      <c r="F28" s="8">
        <f t="shared" si="1"/>
        <v>0</v>
      </c>
      <c r="J28" s="9" t="s">
        <v>87</v>
      </c>
      <c r="K28" s="11">
        <v>47301</v>
      </c>
      <c r="L28" s="11">
        <v>46525</v>
      </c>
    </row>
    <row r="29" spans="1:12">
      <c r="A29" s="1" t="s">
        <v>87</v>
      </c>
      <c r="B29" s="6">
        <v>47301</v>
      </c>
      <c r="C29" s="2" t="s">
        <v>87</v>
      </c>
      <c r="D29" s="6">
        <v>46525</v>
      </c>
      <c r="E29" s="8">
        <f t="shared" si="0"/>
        <v>0</v>
      </c>
      <c r="F29" s="8">
        <f t="shared" si="1"/>
        <v>0</v>
      </c>
    </row>
    <row r="30" spans="1:12" ht="15.75" customHeight="1">
      <c r="B30" s="8"/>
      <c r="C30" s="8"/>
      <c r="D30" s="8"/>
    </row>
    <row r="31" spans="1:12" ht="15.75" customHeight="1">
      <c r="B31" s="8"/>
      <c r="C31" s="8"/>
      <c r="D31" s="8"/>
    </row>
    <row r="32" spans="1:12" ht="15.75" customHeight="1">
      <c r="B32" s="8"/>
      <c r="C32" s="8"/>
      <c r="D32" s="8"/>
    </row>
    <row r="33" spans="2:4" ht="15.75" customHeight="1">
      <c r="B33" s="8"/>
      <c r="C33" s="8"/>
      <c r="D33" s="8"/>
    </row>
    <row r="34" spans="2:4" ht="15.75" customHeight="1">
      <c r="B34" s="8"/>
      <c r="C34" s="8"/>
      <c r="D34" s="8"/>
    </row>
    <row r="35" spans="2:4" ht="15.75" customHeight="1">
      <c r="B35" s="8"/>
      <c r="C35" s="8"/>
      <c r="D35" s="8"/>
    </row>
    <row r="36" spans="2:4" ht="15.75" customHeight="1">
      <c r="B36" s="8"/>
      <c r="C36" s="8"/>
      <c r="D36" s="8"/>
    </row>
    <row r="37" spans="2:4" ht="15.75" customHeight="1">
      <c r="B37" s="8"/>
      <c r="C37" s="8"/>
      <c r="D37" s="8"/>
    </row>
    <row r="38" spans="2:4" ht="15.75" customHeight="1">
      <c r="B38" s="8"/>
      <c r="C38" s="8"/>
      <c r="D38" s="8"/>
    </row>
    <row r="39" spans="2:4" ht="15.75" customHeight="1">
      <c r="B39" s="8"/>
      <c r="C39" s="8"/>
      <c r="D39" s="8"/>
    </row>
    <row r="40" spans="2:4" ht="15.75" customHeight="1">
      <c r="B40" s="8"/>
      <c r="C40" s="8"/>
      <c r="D40" s="8"/>
    </row>
    <row r="41" spans="2:4" ht="15.75" customHeight="1">
      <c r="B41" s="8"/>
      <c r="C41" s="8"/>
      <c r="D41" s="8"/>
    </row>
    <row r="42" spans="2:4" ht="15.75" customHeight="1">
      <c r="B42" s="8"/>
      <c r="C42" s="8"/>
      <c r="D42" s="8"/>
    </row>
    <row r="43" spans="2:4" ht="15.75" customHeight="1">
      <c r="B43" s="8"/>
      <c r="C43" s="8"/>
      <c r="D43" s="8"/>
    </row>
    <row r="44" spans="2:4" ht="15.75" customHeight="1">
      <c r="B44" s="8"/>
      <c r="C44" s="8"/>
      <c r="D44" s="8"/>
    </row>
    <row r="45" spans="2:4" ht="13">
      <c r="B45" s="8"/>
      <c r="C45" s="8"/>
      <c r="D45" s="8"/>
    </row>
    <row r="46" spans="2:4" ht="13">
      <c r="B46" s="8"/>
      <c r="C46" s="8"/>
      <c r="D46" s="8"/>
    </row>
    <row r="47" spans="2:4" ht="13">
      <c r="B47" s="8"/>
      <c r="C47" s="8"/>
      <c r="D47" s="8"/>
    </row>
    <row r="48" spans="2:4" ht="13">
      <c r="B48" s="8"/>
      <c r="C48" s="8"/>
      <c r="D48" s="8"/>
    </row>
    <row r="49" spans="2:4" ht="13">
      <c r="B49" s="8"/>
      <c r="C49" s="8"/>
      <c r="D49" s="8"/>
    </row>
    <row r="50" spans="2:4" ht="13">
      <c r="B50" s="8"/>
      <c r="C50" s="8"/>
      <c r="D50" s="8"/>
    </row>
    <row r="51" spans="2:4" ht="13">
      <c r="B51" s="8"/>
      <c r="C51" s="8"/>
      <c r="D51" s="8"/>
    </row>
    <row r="52" spans="2:4" ht="13">
      <c r="B52" s="8"/>
      <c r="C52" s="8"/>
      <c r="D52" s="8"/>
    </row>
    <row r="53" spans="2:4" ht="13">
      <c r="B53" s="8"/>
      <c r="C53" s="8"/>
      <c r="D53" s="8"/>
    </row>
    <row r="54" spans="2:4" ht="13">
      <c r="B54" s="8"/>
      <c r="C54" s="8"/>
      <c r="D54" s="8"/>
    </row>
    <row r="55" spans="2:4" ht="13">
      <c r="B55" s="8"/>
      <c r="C55" s="8"/>
      <c r="D55" s="8"/>
    </row>
    <row r="56" spans="2:4" ht="13">
      <c r="B56" s="8"/>
      <c r="C56" s="8"/>
      <c r="D56" s="8"/>
    </row>
    <row r="57" spans="2:4" ht="13">
      <c r="B57" s="8"/>
      <c r="C57" s="8"/>
      <c r="D57" s="8"/>
    </row>
    <row r="58" spans="2:4" ht="13">
      <c r="B58" s="8"/>
      <c r="C58" s="8"/>
      <c r="D58" s="8"/>
    </row>
    <row r="59" spans="2:4" ht="13">
      <c r="B59" s="8"/>
      <c r="C59" s="8"/>
      <c r="D59" s="8"/>
    </row>
    <row r="60" spans="2:4" ht="13">
      <c r="B60" s="8"/>
      <c r="C60" s="8"/>
      <c r="D60" s="8"/>
    </row>
    <row r="61" spans="2:4" ht="13">
      <c r="B61" s="8"/>
      <c r="C61" s="8"/>
      <c r="D61" s="8"/>
    </row>
    <row r="62" spans="2:4" ht="13">
      <c r="B62" s="8"/>
      <c r="C62" s="8"/>
      <c r="D62" s="8"/>
    </row>
    <row r="63" spans="2:4" ht="13">
      <c r="B63" s="8"/>
      <c r="C63" s="8"/>
      <c r="D63" s="8"/>
    </row>
    <row r="64" spans="2:4" ht="13">
      <c r="B64" s="8"/>
      <c r="C64" s="8"/>
      <c r="D64" s="8"/>
    </row>
    <row r="65" spans="2:4" ht="13">
      <c r="B65" s="8"/>
      <c r="C65" s="8"/>
      <c r="D65" s="8"/>
    </row>
    <row r="66" spans="2:4" ht="13">
      <c r="B66" s="8"/>
      <c r="C66" s="8"/>
      <c r="D66" s="8"/>
    </row>
    <row r="67" spans="2:4" ht="13">
      <c r="B67" s="8"/>
      <c r="C67" s="8"/>
      <c r="D67" s="8"/>
    </row>
    <row r="68" spans="2:4" ht="13">
      <c r="B68" s="8"/>
      <c r="C68" s="8"/>
      <c r="D68" s="8"/>
    </row>
    <row r="69" spans="2:4" ht="13">
      <c r="B69" s="8"/>
      <c r="C69" s="8"/>
      <c r="D69" s="8"/>
    </row>
    <row r="70" spans="2:4" ht="13">
      <c r="B70" s="8"/>
      <c r="C70" s="8"/>
      <c r="D70" s="8"/>
    </row>
    <row r="71" spans="2:4" ht="13">
      <c r="B71" s="8"/>
      <c r="C71" s="8"/>
      <c r="D71" s="8"/>
    </row>
    <row r="72" spans="2:4" ht="13">
      <c r="B72" s="8"/>
      <c r="C72" s="8"/>
      <c r="D72" s="8"/>
    </row>
    <row r="73" spans="2:4" ht="13">
      <c r="B73" s="8"/>
      <c r="C73" s="8"/>
      <c r="D73" s="8"/>
    </row>
    <row r="74" spans="2:4" ht="13">
      <c r="B74" s="8"/>
      <c r="C74" s="8"/>
      <c r="D74" s="8"/>
    </row>
    <row r="75" spans="2:4" ht="13">
      <c r="B75" s="8"/>
      <c r="C75" s="8"/>
      <c r="D75" s="8"/>
    </row>
    <row r="76" spans="2:4" ht="13">
      <c r="B76" s="8"/>
      <c r="C76" s="8"/>
      <c r="D76" s="8"/>
    </row>
    <row r="77" spans="2:4" ht="13">
      <c r="B77" s="8"/>
      <c r="C77" s="8"/>
      <c r="D77" s="8"/>
    </row>
    <row r="78" spans="2:4" ht="13">
      <c r="B78" s="8"/>
      <c r="C78" s="8"/>
      <c r="D78" s="8"/>
    </row>
    <row r="79" spans="2:4" ht="13">
      <c r="B79" s="8"/>
      <c r="C79" s="8"/>
      <c r="D79" s="8"/>
    </row>
    <row r="80" spans="2:4" ht="13">
      <c r="B80" s="8"/>
      <c r="C80" s="8"/>
      <c r="D80" s="8"/>
    </row>
    <row r="81" spans="2:4" ht="13">
      <c r="B81" s="8"/>
      <c r="C81" s="8"/>
      <c r="D81" s="8"/>
    </row>
    <row r="82" spans="2:4" ht="13">
      <c r="B82" s="8"/>
      <c r="C82" s="8"/>
      <c r="D82" s="8"/>
    </row>
    <row r="83" spans="2:4" ht="13">
      <c r="B83" s="8"/>
      <c r="C83" s="8"/>
      <c r="D83" s="8"/>
    </row>
    <row r="84" spans="2:4" ht="13">
      <c r="B84" s="8"/>
      <c r="C84" s="8"/>
      <c r="D84" s="8"/>
    </row>
    <row r="85" spans="2:4" ht="13">
      <c r="B85" s="8"/>
      <c r="C85" s="8"/>
      <c r="D85" s="8"/>
    </row>
    <row r="86" spans="2:4" ht="13">
      <c r="B86" s="8"/>
      <c r="C86" s="8"/>
      <c r="D86" s="8"/>
    </row>
    <row r="87" spans="2:4" ht="13">
      <c r="B87" s="8"/>
      <c r="C87" s="8"/>
      <c r="D87" s="8"/>
    </row>
    <row r="88" spans="2:4" ht="13">
      <c r="B88" s="8"/>
      <c r="C88" s="8"/>
      <c r="D88" s="8"/>
    </row>
    <row r="89" spans="2:4" ht="13">
      <c r="B89" s="8"/>
      <c r="C89" s="8"/>
      <c r="D89" s="8"/>
    </row>
    <row r="90" spans="2:4" ht="13">
      <c r="B90" s="8"/>
      <c r="C90" s="8"/>
      <c r="D90" s="8"/>
    </row>
    <row r="91" spans="2:4" ht="13">
      <c r="B91" s="8"/>
      <c r="C91" s="8"/>
      <c r="D91" s="8"/>
    </row>
    <row r="92" spans="2:4" ht="13">
      <c r="B92" s="8"/>
      <c r="C92" s="8"/>
      <c r="D92" s="8"/>
    </row>
    <row r="93" spans="2:4" ht="13">
      <c r="B93" s="8"/>
      <c r="C93" s="8"/>
      <c r="D93" s="8"/>
    </row>
    <row r="94" spans="2:4" ht="13">
      <c r="B94" s="8"/>
      <c r="C94" s="8"/>
      <c r="D94" s="8"/>
    </row>
    <row r="95" spans="2:4" ht="13">
      <c r="B95" s="8"/>
      <c r="C95" s="8"/>
      <c r="D95" s="8"/>
    </row>
    <row r="96" spans="2:4" ht="13">
      <c r="B96" s="8"/>
      <c r="C96" s="8"/>
      <c r="D96" s="8"/>
    </row>
    <row r="97" spans="2:4" ht="13">
      <c r="B97" s="8"/>
      <c r="C97" s="8"/>
      <c r="D97" s="8"/>
    </row>
    <row r="98" spans="2:4" ht="13">
      <c r="B98" s="8"/>
      <c r="C98" s="8"/>
      <c r="D98" s="8"/>
    </row>
    <row r="99" spans="2:4" ht="13">
      <c r="B99" s="8"/>
      <c r="C99" s="8"/>
      <c r="D99" s="8"/>
    </row>
    <row r="100" spans="2:4" ht="13">
      <c r="B100" s="8"/>
      <c r="C100" s="8"/>
      <c r="D100" s="8"/>
    </row>
    <row r="101" spans="2:4" ht="13">
      <c r="B101" s="8"/>
      <c r="C101" s="8"/>
      <c r="D101" s="8"/>
    </row>
    <row r="102" spans="2:4" ht="13">
      <c r="B102" s="8"/>
      <c r="C102" s="8"/>
      <c r="D102" s="8"/>
    </row>
    <row r="103" spans="2:4" ht="13">
      <c r="B103" s="8"/>
      <c r="C103" s="8"/>
      <c r="D103" s="8"/>
    </row>
    <row r="104" spans="2:4" ht="13">
      <c r="B104" s="8"/>
      <c r="C104" s="8"/>
      <c r="D104" s="8"/>
    </row>
    <row r="105" spans="2:4" ht="13">
      <c r="B105" s="8"/>
      <c r="C105" s="8"/>
      <c r="D105" s="8"/>
    </row>
    <row r="106" spans="2:4" ht="13">
      <c r="B106" s="8"/>
      <c r="C106" s="8"/>
      <c r="D106" s="8"/>
    </row>
    <row r="107" spans="2:4" ht="13">
      <c r="B107" s="8"/>
      <c r="C107" s="8"/>
      <c r="D107" s="8"/>
    </row>
    <row r="108" spans="2:4" ht="13">
      <c r="B108" s="8"/>
      <c r="C108" s="8"/>
      <c r="D108" s="8"/>
    </row>
    <row r="109" spans="2:4" ht="13">
      <c r="B109" s="8"/>
      <c r="C109" s="8"/>
      <c r="D109" s="8"/>
    </row>
    <row r="110" spans="2:4" ht="13">
      <c r="B110" s="8"/>
      <c r="C110" s="8"/>
      <c r="D110" s="8"/>
    </row>
    <row r="111" spans="2:4" ht="13">
      <c r="B111" s="8"/>
      <c r="C111" s="8"/>
      <c r="D111" s="8"/>
    </row>
    <row r="112" spans="2:4" ht="13">
      <c r="B112" s="8"/>
      <c r="C112" s="8"/>
      <c r="D112" s="8"/>
    </row>
    <row r="113" spans="2:4" ht="13">
      <c r="B113" s="8"/>
      <c r="C113" s="8"/>
      <c r="D113" s="8"/>
    </row>
    <row r="114" spans="2:4" ht="13">
      <c r="B114" s="8"/>
      <c r="C114" s="8"/>
      <c r="D114" s="8"/>
    </row>
    <row r="115" spans="2:4" ht="13">
      <c r="B115" s="8"/>
      <c r="C115" s="8"/>
      <c r="D115" s="8"/>
    </row>
    <row r="116" spans="2:4" ht="13">
      <c r="B116" s="8"/>
      <c r="C116" s="8"/>
      <c r="D116" s="8"/>
    </row>
    <row r="117" spans="2:4" ht="13">
      <c r="B117" s="8"/>
      <c r="C117" s="8"/>
      <c r="D117" s="8"/>
    </row>
    <row r="118" spans="2:4" ht="13">
      <c r="B118" s="8"/>
      <c r="C118" s="8"/>
      <c r="D118" s="8"/>
    </row>
    <row r="119" spans="2:4" ht="13">
      <c r="B119" s="8"/>
      <c r="C119" s="8"/>
      <c r="D119" s="8"/>
    </row>
    <row r="120" spans="2:4" ht="13">
      <c r="B120" s="8"/>
      <c r="C120" s="8"/>
      <c r="D120" s="8"/>
    </row>
    <row r="121" spans="2:4" ht="13">
      <c r="B121" s="8"/>
      <c r="C121" s="8"/>
      <c r="D121" s="8"/>
    </row>
    <row r="122" spans="2:4" ht="13">
      <c r="B122" s="8"/>
      <c r="C122" s="8"/>
      <c r="D122" s="8"/>
    </row>
    <row r="123" spans="2:4" ht="13">
      <c r="B123" s="8"/>
      <c r="C123" s="8"/>
      <c r="D123" s="8"/>
    </row>
    <row r="124" spans="2:4" ht="13">
      <c r="B124" s="8"/>
      <c r="C124" s="8"/>
      <c r="D124" s="8"/>
    </row>
    <row r="125" spans="2:4" ht="13">
      <c r="B125" s="8"/>
      <c r="C125" s="8"/>
      <c r="D125" s="8"/>
    </row>
    <row r="126" spans="2:4" ht="13">
      <c r="B126" s="8"/>
      <c r="C126" s="8"/>
      <c r="D126" s="8"/>
    </row>
    <row r="127" spans="2:4" ht="13">
      <c r="B127" s="8"/>
      <c r="C127" s="8"/>
      <c r="D127" s="8"/>
    </row>
    <row r="128" spans="2:4" ht="13">
      <c r="B128" s="8"/>
      <c r="C128" s="8"/>
      <c r="D128" s="8"/>
    </row>
    <row r="129" spans="2:4" ht="13">
      <c r="B129" s="8"/>
      <c r="C129" s="8"/>
      <c r="D129" s="8"/>
    </row>
    <row r="130" spans="2:4" ht="13">
      <c r="B130" s="8"/>
      <c r="C130" s="8"/>
      <c r="D130" s="8"/>
    </row>
    <row r="131" spans="2:4" ht="13">
      <c r="B131" s="8"/>
      <c r="C131" s="8"/>
      <c r="D131" s="8"/>
    </row>
    <row r="132" spans="2:4" ht="13">
      <c r="B132" s="8"/>
      <c r="C132" s="8"/>
      <c r="D132" s="8"/>
    </row>
    <row r="133" spans="2:4" ht="13">
      <c r="B133" s="8"/>
      <c r="C133" s="8"/>
      <c r="D133" s="8"/>
    </row>
    <row r="134" spans="2:4" ht="13">
      <c r="B134" s="8"/>
      <c r="C134" s="8"/>
      <c r="D134" s="8"/>
    </row>
    <row r="135" spans="2:4" ht="13">
      <c r="B135" s="8"/>
      <c r="C135" s="8"/>
      <c r="D135" s="8"/>
    </row>
    <row r="136" spans="2:4" ht="13">
      <c r="B136" s="8"/>
      <c r="C136" s="8"/>
      <c r="D136" s="8"/>
    </row>
    <row r="137" spans="2:4" ht="13">
      <c r="B137" s="8"/>
      <c r="C137" s="8"/>
      <c r="D137" s="8"/>
    </row>
    <row r="138" spans="2:4" ht="13">
      <c r="B138" s="8"/>
      <c r="C138" s="8"/>
      <c r="D138" s="8"/>
    </row>
    <row r="139" spans="2:4" ht="13">
      <c r="B139" s="8"/>
      <c r="C139" s="8"/>
      <c r="D139" s="8"/>
    </row>
    <row r="140" spans="2:4" ht="13">
      <c r="B140" s="8"/>
      <c r="C140" s="8"/>
      <c r="D140" s="8"/>
    </row>
    <row r="141" spans="2:4" ht="13">
      <c r="B141" s="8"/>
      <c r="C141" s="8"/>
      <c r="D141" s="8"/>
    </row>
    <row r="142" spans="2:4" ht="13">
      <c r="B142" s="8"/>
      <c r="C142" s="8"/>
      <c r="D142" s="8"/>
    </row>
    <row r="143" spans="2:4" ht="13">
      <c r="B143" s="8"/>
      <c r="C143" s="8"/>
      <c r="D143" s="8"/>
    </row>
    <row r="144" spans="2:4" ht="13">
      <c r="B144" s="8"/>
      <c r="C144" s="8"/>
      <c r="D144" s="8"/>
    </row>
    <row r="145" spans="2:4" ht="13">
      <c r="B145" s="8"/>
      <c r="C145" s="8"/>
      <c r="D145" s="8"/>
    </row>
    <row r="146" spans="2:4" ht="13">
      <c r="B146" s="8"/>
      <c r="C146" s="8"/>
      <c r="D146" s="8"/>
    </row>
    <row r="147" spans="2:4" ht="13">
      <c r="B147" s="8"/>
      <c r="C147" s="8"/>
      <c r="D147" s="8"/>
    </row>
    <row r="148" spans="2:4" ht="13">
      <c r="B148" s="8"/>
      <c r="C148" s="8"/>
      <c r="D148" s="8"/>
    </row>
    <row r="149" spans="2:4" ht="13">
      <c r="B149" s="8"/>
      <c r="C149" s="8"/>
      <c r="D149" s="8"/>
    </row>
    <row r="150" spans="2:4" ht="13">
      <c r="B150" s="8"/>
      <c r="C150" s="8"/>
      <c r="D150" s="8"/>
    </row>
    <row r="151" spans="2:4" ht="13">
      <c r="B151" s="8"/>
      <c r="C151" s="8"/>
      <c r="D151" s="8"/>
    </row>
    <row r="152" spans="2:4" ht="13">
      <c r="B152" s="8"/>
      <c r="C152" s="8"/>
      <c r="D152" s="8"/>
    </row>
    <row r="153" spans="2:4" ht="13">
      <c r="B153" s="8"/>
      <c r="C153" s="8"/>
      <c r="D153" s="8"/>
    </row>
    <row r="154" spans="2:4" ht="13">
      <c r="B154" s="8"/>
      <c r="C154" s="8"/>
      <c r="D154" s="8"/>
    </row>
    <row r="155" spans="2:4" ht="13">
      <c r="B155" s="8"/>
      <c r="C155" s="8"/>
      <c r="D155" s="8"/>
    </row>
    <row r="156" spans="2:4" ht="13">
      <c r="B156" s="8"/>
      <c r="C156" s="8"/>
      <c r="D156" s="8"/>
    </row>
    <row r="157" spans="2:4" ht="13">
      <c r="B157" s="8"/>
      <c r="C157" s="8"/>
      <c r="D157" s="8"/>
    </row>
    <row r="158" spans="2:4" ht="13">
      <c r="B158" s="8"/>
      <c r="C158" s="8"/>
      <c r="D158" s="8"/>
    </row>
    <row r="159" spans="2:4" ht="13">
      <c r="B159" s="8"/>
      <c r="C159" s="8"/>
      <c r="D159" s="8"/>
    </row>
    <row r="160" spans="2:4" ht="13">
      <c r="B160" s="8"/>
      <c r="C160" s="8"/>
      <c r="D160" s="8"/>
    </row>
    <row r="161" spans="2:4" ht="13">
      <c r="B161" s="8"/>
      <c r="C161" s="8"/>
      <c r="D161" s="8"/>
    </row>
    <row r="162" spans="2:4" ht="13">
      <c r="B162" s="8"/>
      <c r="C162" s="8"/>
      <c r="D162" s="8"/>
    </row>
    <row r="163" spans="2:4" ht="13">
      <c r="B163" s="8"/>
      <c r="C163" s="8"/>
      <c r="D163" s="8"/>
    </row>
    <row r="164" spans="2:4" ht="13">
      <c r="B164" s="8"/>
      <c r="C164" s="8"/>
      <c r="D164" s="8"/>
    </row>
    <row r="165" spans="2:4" ht="13">
      <c r="B165" s="8"/>
      <c r="C165" s="8"/>
      <c r="D165" s="8"/>
    </row>
    <row r="166" spans="2:4" ht="13">
      <c r="B166" s="8"/>
      <c r="C166" s="8"/>
      <c r="D166" s="8"/>
    </row>
    <row r="167" spans="2:4" ht="13">
      <c r="B167" s="8"/>
      <c r="C167" s="8"/>
      <c r="D167" s="8"/>
    </row>
    <row r="168" spans="2:4" ht="13">
      <c r="B168" s="8"/>
      <c r="C168" s="8"/>
      <c r="D168" s="8"/>
    </row>
    <row r="169" spans="2:4" ht="13">
      <c r="B169" s="8"/>
      <c r="C169" s="8"/>
      <c r="D169" s="8"/>
    </row>
    <row r="170" spans="2:4" ht="13">
      <c r="B170" s="8"/>
      <c r="C170" s="8"/>
      <c r="D170" s="8"/>
    </row>
    <row r="171" spans="2:4" ht="13">
      <c r="B171" s="8"/>
      <c r="C171" s="8"/>
      <c r="D171" s="8"/>
    </row>
    <row r="172" spans="2:4" ht="13">
      <c r="B172" s="8"/>
      <c r="C172" s="8"/>
      <c r="D172" s="8"/>
    </row>
    <row r="173" spans="2:4" ht="13">
      <c r="B173" s="8"/>
      <c r="C173" s="8"/>
      <c r="D173" s="8"/>
    </row>
    <row r="174" spans="2:4" ht="13">
      <c r="B174" s="8"/>
      <c r="C174" s="8"/>
      <c r="D174" s="8"/>
    </row>
    <row r="175" spans="2:4" ht="13">
      <c r="B175" s="8"/>
      <c r="C175" s="8"/>
      <c r="D175" s="8"/>
    </row>
    <row r="176" spans="2:4" ht="13">
      <c r="B176" s="8"/>
      <c r="C176" s="8"/>
      <c r="D176" s="8"/>
    </row>
    <row r="177" spans="2:4" ht="13">
      <c r="B177" s="8"/>
      <c r="C177" s="8"/>
      <c r="D177" s="8"/>
    </row>
    <row r="178" spans="2:4" ht="13">
      <c r="B178" s="8"/>
      <c r="C178" s="8"/>
      <c r="D178" s="8"/>
    </row>
    <row r="179" spans="2:4" ht="13">
      <c r="B179" s="8"/>
      <c r="C179" s="8"/>
      <c r="D179" s="8"/>
    </row>
    <row r="180" spans="2:4" ht="13">
      <c r="B180" s="8"/>
      <c r="C180" s="8"/>
      <c r="D180" s="8"/>
    </row>
    <row r="181" spans="2:4" ht="13">
      <c r="B181" s="8"/>
      <c r="C181" s="8"/>
      <c r="D181" s="8"/>
    </row>
    <row r="182" spans="2:4" ht="13">
      <c r="B182" s="8"/>
      <c r="C182" s="8"/>
      <c r="D182" s="8"/>
    </row>
    <row r="183" spans="2:4" ht="13">
      <c r="B183" s="8"/>
      <c r="C183" s="8"/>
      <c r="D183" s="8"/>
    </row>
    <row r="184" spans="2:4" ht="13">
      <c r="B184" s="8"/>
      <c r="C184" s="8"/>
      <c r="D184" s="8"/>
    </row>
    <row r="185" spans="2:4" ht="13">
      <c r="B185" s="8"/>
      <c r="C185" s="8"/>
      <c r="D185" s="8"/>
    </row>
    <row r="186" spans="2:4" ht="13">
      <c r="B186" s="8"/>
      <c r="C186" s="8"/>
      <c r="D186" s="8"/>
    </row>
    <row r="187" spans="2:4" ht="13">
      <c r="B187" s="8"/>
      <c r="C187" s="8"/>
      <c r="D187" s="8"/>
    </row>
    <row r="188" spans="2:4" ht="13">
      <c r="B188" s="8"/>
      <c r="C188" s="8"/>
      <c r="D188" s="8"/>
    </row>
    <row r="189" spans="2:4" ht="13">
      <c r="B189" s="8"/>
      <c r="C189" s="8"/>
      <c r="D189" s="8"/>
    </row>
    <row r="190" spans="2:4" ht="13">
      <c r="B190" s="8"/>
      <c r="C190" s="8"/>
      <c r="D190" s="8"/>
    </row>
    <row r="191" spans="2:4" ht="13">
      <c r="B191" s="8"/>
      <c r="C191" s="8"/>
      <c r="D191" s="8"/>
    </row>
    <row r="192" spans="2:4" ht="13">
      <c r="B192" s="8"/>
      <c r="C192" s="8"/>
      <c r="D192" s="8"/>
    </row>
    <row r="193" spans="2:4" ht="13">
      <c r="B193" s="8"/>
      <c r="C193" s="8"/>
      <c r="D193" s="8"/>
    </row>
    <row r="194" spans="2:4" ht="13">
      <c r="B194" s="8"/>
      <c r="C194" s="8"/>
      <c r="D194" s="8"/>
    </row>
    <row r="195" spans="2:4" ht="13">
      <c r="B195" s="8"/>
      <c r="C195" s="8"/>
      <c r="D195" s="8"/>
    </row>
    <row r="196" spans="2:4" ht="13">
      <c r="B196" s="8"/>
      <c r="C196" s="8"/>
      <c r="D196" s="8"/>
    </row>
    <row r="197" spans="2:4" ht="13">
      <c r="B197" s="8"/>
      <c r="C197" s="8"/>
      <c r="D197" s="8"/>
    </row>
    <row r="198" spans="2:4" ht="13">
      <c r="B198" s="8"/>
      <c r="C198" s="8"/>
      <c r="D198" s="8"/>
    </row>
    <row r="199" spans="2:4" ht="13">
      <c r="B199" s="8"/>
      <c r="C199" s="8"/>
      <c r="D199" s="8"/>
    </row>
    <row r="200" spans="2:4" ht="13">
      <c r="B200" s="8"/>
      <c r="C200" s="8"/>
      <c r="D200" s="8"/>
    </row>
    <row r="201" spans="2:4" ht="13">
      <c r="B201" s="8"/>
      <c r="C201" s="8"/>
      <c r="D201" s="8"/>
    </row>
    <row r="202" spans="2:4" ht="13">
      <c r="B202" s="8"/>
      <c r="C202" s="8"/>
      <c r="D202" s="8"/>
    </row>
    <row r="203" spans="2:4" ht="13">
      <c r="B203" s="8"/>
      <c r="C203" s="8"/>
      <c r="D203" s="8"/>
    </row>
    <row r="204" spans="2:4" ht="13">
      <c r="B204" s="8"/>
      <c r="C204" s="8"/>
      <c r="D204" s="8"/>
    </row>
    <row r="205" spans="2:4" ht="13">
      <c r="B205" s="8"/>
      <c r="C205" s="8"/>
      <c r="D205" s="8"/>
    </row>
    <row r="206" spans="2:4" ht="13">
      <c r="B206" s="8"/>
      <c r="C206" s="8"/>
      <c r="D206" s="8"/>
    </row>
    <row r="207" spans="2:4" ht="13">
      <c r="B207" s="8"/>
      <c r="C207" s="8"/>
      <c r="D207" s="8"/>
    </row>
    <row r="208" spans="2:4" ht="13">
      <c r="B208" s="8"/>
      <c r="C208" s="8"/>
      <c r="D208" s="8"/>
    </row>
    <row r="209" spans="2:4" ht="13">
      <c r="B209" s="8"/>
      <c r="C209" s="8"/>
      <c r="D209" s="8"/>
    </row>
    <row r="210" spans="2:4" ht="13">
      <c r="B210" s="8"/>
      <c r="C210" s="8"/>
      <c r="D210" s="8"/>
    </row>
    <row r="211" spans="2:4" ht="13">
      <c r="B211" s="8"/>
      <c r="C211" s="8"/>
      <c r="D211" s="8"/>
    </row>
    <row r="212" spans="2:4" ht="13">
      <c r="B212" s="8"/>
      <c r="C212" s="8"/>
      <c r="D212" s="8"/>
    </row>
    <row r="213" spans="2:4" ht="13">
      <c r="B213" s="8"/>
      <c r="C213" s="8"/>
      <c r="D213" s="8"/>
    </row>
    <row r="214" spans="2:4" ht="13">
      <c r="B214" s="8"/>
      <c r="C214" s="8"/>
      <c r="D214" s="8"/>
    </row>
    <row r="215" spans="2:4" ht="13">
      <c r="B215" s="8"/>
      <c r="C215" s="8"/>
      <c r="D215" s="8"/>
    </row>
    <row r="216" spans="2:4" ht="13">
      <c r="B216" s="8"/>
      <c r="C216" s="8"/>
      <c r="D216" s="8"/>
    </row>
    <row r="217" spans="2:4" ht="13">
      <c r="B217" s="8"/>
      <c r="C217" s="8"/>
      <c r="D217" s="8"/>
    </row>
    <row r="218" spans="2:4" ht="13">
      <c r="B218" s="8"/>
      <c r="C218" s="8"/>
      <c r="D218" s="8"/>
    </row>
    <row r="219" spans="2:4" ht="13">
      <c r="B219" s="8"/>
      <c r="C219" s="8"/>
      <c r="D219" s="8"/>
    </row>
    <row r="220" spans="2:4" ht="13">
      <c r="B220" s="8"/>
      <c r="C220" s="8"/>
      <c r="D220" s="8"/>
    </row>
    <row r="221" spans="2:4" ht="13">
      <c r="B221" s="8"/>
      <c r="C221" s="8"/>
      <c r="D221" s="8"/>
    </row>
    <row r="222" spans="2:4" ht="13">
      <c r="B222" s="8"/>
      <c r="C222" s="8"/>
      <c r="D222" s="8"/>
    </row>
    <row r="223" spans="2:4" ht="13">
      <c r="B223" s="8"/>
      <c r="C223" s="8"/>
      <c r="D223" s="8"/>
    </row>
    <row r="224" spans="2:4" ht="13">
      <c r="B224" s="8"/>
      <c r="C224" s="8"/>
      <c r="D224" s="8"/>
    </row>
    <row r="225" spans="2:4" ht="13">
      <c r="B225" s="8"/>
      <c r="C225" s="8"/>
      <c r="D225" s="8"/>
    </row>
    <row r="226" spans="2:4" ht="13">
      <c r="B226" s="8"/>
      <c r="C226" s="8"/>
      <c r="D226" s="8"/>
    </row>
    <row r="227" spans="2:4" ht="13">
      <c r="B227" s="8"/>
      <c r="C227" s="8"/>
      <c r="D227" s="8"/>
    </row>
    <row r="228" spans="2:4" ht="13">
      <c r="B228" s="8"/>
      <c r="C228" s="8"/>
      <c r="D228" s="8"/>
    </row>
    <row r="229" spans="2:4" ht="13">
      <c r="B229" s="8"/>
      <c r="C229" s="8"/>
      <c r="D229" s="8"/>
    </row>
    <row r="230" spans="2:4" ht="13">
      <c r="B230" s="8"/>
      <c r="C230" s="8"/>
      <c r="D230" s="8"/>
    </row>
    <row r="231" spans="2:4" ht="13">
      <c r="B231" s="8"/>
      <c r="C231" s="8"/>
      <c r="D231" s="8"/>
    </row>
    <row r="232" spans="2:4" ht="13">
      <c r="B232" s="8"/>
      <c r="C232" s="8"/>
      <c r="D232" s="8"/>
    </row>
    <row r="233" spans="2:4" ht="13">
      <c r="B233" s="8"/>
      <c r="C233" s="8"/>
      <c r="D233" s="8"/>
    </row>
    <row r="234" spans="2:4" ht="13">
      <c r="B234" s="8"/>
      <c r="C234" s="8"/>
      <c r="D234" s="8"/>
    </row>
    <row r="235" spans="2:4" ht="13">
      <c r="B235" s="8"/>
      <c r="C235" s="8"/>
      <c r="D235" s="8"/>
    </row>
    <row r="236" spans="2:4" ht="13">
      <c r="B236" s="8"/>
      <c r="C236" s="8"/>
      <c r="D236" s="8"/>
    </row>
    <row r="237" spans="2:4" ht="13">
      <c r="B237" s="8"/>
      <c r="C237" s="8"/>
      <c r="D237" s="8"/>
    </row>
    <row r="238" spans="2:4" ht="13">
      <c r="B238" s="8"/>
      <c r="C238" s="8"/>
      <c r="D238" s="8"/>
    </row>
    <row r="239" spans="2:4" ht="13">
      <c r="B239" s="8"/>
      <c r="C239" s="8"/>
      <c r="D239" s="8"/>
    </row>
    <row r="240" spans="2:4" ht="13">
      <c r="B240" s="8"/>
      <c r="C240" s="8"/>
      <c r="D240" s="8"/>
    </row>
    <row r="241" spans="2:4" ht="13">
      <c r="B241" s="8"/>
      <c r="C241" s="8"/>
      <c r="D241" s="8"/>
    </row>
    <row r="242" spans="2:4" ht="13">
      <c r="B242" s="8"/>
      <c r="C242" s="8"/>
      <c r="D242" s="8"/>
    </row>
    <row r="243" spans="2:4" ht="13">
      <c r="B243" s="8"/>
      <c r="C243" s="8"/>
      <c r="D243" s="8"/>
    </row>
    <row r="244" spans="2:4" ht="13">
      <c r="B244" s="8"/>
      <c r="C244" s="8"/>
      <c r="D244" s="8"/>
    </row>
    <row r="245" spans="2:4" ht="13">
      <c r="B245" s="8"/>
      <c r="C245" s="8"/>
      <c r="D245" s="8"/>
    </row>
    <row r="246" spans="2:4" ht="13">
      <c r="B246" s="8"/>
      <c r="C246" s="8"/>
      <c r="D246" s="8"/>
    </row>
    <row r="247" spans="2:4" ht="13">
      <c r="B247" s="8"/>
      <c r="C247" s="8"/>
      <c r="D247" s="8"/>
    </row>
    <row r="248" spans="2:4" ht="13">
      <c r="B248" s="8"/>
      <c r="C248" s="8"/>
      <c r="D248" s="8"/>
    </row>
    <row r="249" spans="2:4" ht="13">
      <c r="B249" s="8"/>
      <c r="C249" s="8"/>
      <c r="D249" s="8"/>
    </row>
    <row r="250" spans="2:4" ht="13">
      <c r="B250" s="8"/>
      <c r="C250" s="8"/>
      <c r="D250" s="8"/>
    </row>
    <row r="251" spans="2:4" ht="13">
      <c r="B251" s="8"/>
      <c r="C251" s="8"/>
      <c r="D251" s="8"/>
    </row>
    <row r="252" spans="2:4" ht="13">
      <c r="B252" s="8"/>
      <c r="C252" s="8"/>
      <c r="D252" s="8"/>
    </row>
    <row r="253" spans="2:4" ht="13">
      <c r="B253" s="8"/>
      <c r="C253" s="8"/>
      <c r="D253" s="8"/>
    </row>
    <row r="254" spans="2:4" ht="13">
      <c r="B254" s="8"/>
      <c r="C254" s="8"/>
      <c r="D254" s="8"/>
    </row>
    <row r="255" spans="2:4" ht="13">
      <c r="B255" s="8"/>
      <c r="C255" s="8"/>
      <c r="D255" s="8"/>
    </row>
    <row r="256" spans="2:4" ht="13">
      <c r="B256" s="8"/>
      <c r="C256" s="8"/>
      <c r="D256" s="8"/>
    </row>
    <row r="257" spans="2:4" ht="13">
      <c r="B257" s="8"/>
      <c r="C257" s="8"/>
      <c r="D257" s="8"/>
    </row>
    <row r="258" spans="2:4" ht="13">
      <c r="B258" s="8"/>
      <c r="C258" s="8"/>
      <c r="D258" s="8"/>
    </row>
    <row r="259" spans="2:4" ht="13">
      <c r="B259" s="8"/>
      <c r="C259" s="8"/>
      <c r="D259" s="8"/>
    </row>
    <row r="260" spans="2:4" ht="13">
      <c r="B260" s="8"/>
      <c r="C260" s="8"/>
      <c r="D260" s="8"/>
    </row>
    <row r="261" spans="2:4" ht="13">
      <c r="B261" s="8"/>
      <c r="C261" s="8"/>
      <c r="D261" s="8"/>
    </row>
    <row r="262" spans="2:4" ht="13">
      <c r="B262" s="8"/>
      <c r="C262" s="8"/>
      <c r="D262" s="8"/>
    </row>
    <row r="263" spans="2:4" ht="13">
      <c r="B263" s="8"/>
      <c r="C263" s="8"/>
      <c r="D263" s="8"/>
    </row>
    <row r="264" spans="2:4" ht="13">
      <c r="B264" s="8"/>
      <c r="C264" s="8"/>
      <c r="D264" s="8"/>
    </row>
    <row r="265" spans="2:4" ht="13">
      <c r="B265" s="8"/>
      <c r="C265" s="8"/>
      <c r="D265" s="8"/>
    </row>
    <row r="266" spans="2:4" ht="13">
      <c r="B266" s="8"/>
      <c r="C266" s="8"/>
      <c r="D266" s="8"/>
    </row>
    <row r="267" spans="2:4" ht="13">
      <c r="B267" s="8"/>
      <c r="C267" s="8"/>
      <c r="D267" s="8"/>
    </row>
    <row r="268" spans="2:4" ht="13">
      <c r="B268" s="8"/>
      <c r="C268" s="8"/>
      <c r="D268" s="8"/>
    </row>
    <row r="269" spans="2:4" ht="13">
      <c r="B269" s="8"/>
      <c r="C269" s="8"/>
      <c r="D269" s="8"/>
    </row>
    <row r="270" spans="2:4" ht="13">
      <c r="B270" s="8"/>
      <c r="C270" s="8"/>
      <c r="D270" s="8"/>
    </row>
    <row r="271" spans="2:4" ht="13">
      <c r="B271" s="8"/>
      <c r="C271" s="8"/>
      <c r="D271" s="8"/>
    </row>
    <row r="272" spans="2:4" ht="13">
      <c r="B272" s="8"/>
      <c r="C272" s="8"/>
      <c r="D272" s="8"/>
    </row>
    <row r="273" spans="2:4" ht="13">
      <c r="B273" s="8"/>
      <c r="C273" s="8"/>
      <c r="D273" s="8"/>
    </row>
    <row r="274" spans="2:4" ht="13">
      <c r="B274" s="8"/>
      <c r="C274" s="8"/>
      <c r="D274" s="8"/>
    </row>
    <row r="275" spans="2:4" ht="13">
      <c r="B275" s="8"/>
      <c r="C275" s="8"/>
      <c r="D275" s="8"/>
    </row>
    <row r="276" spans="2:4" ht="13">
      <c r="B276" s="8"/>
      <c r="C276" s="8"/>
      <c r="D276" s="8"/>
    </row>
    <row r="277" spans="2:4" ht="13">
      <c r="B277" s="8"/>
      <c r="C277" s="8"/>
      <c r="D277" s="8"/>
    </row>
    <row r="278" spans="2:4" ht="13">
      <c r="B278" s="8"/>
      <c r="C278" s="8"/>
      <c r="D278" s="8"/>
    </row>
    <row r="279" spans="2:4" ht="13">
      <c r="B279" s="8"/>
      <c r="C279" s="8"/>
      <c r="D279" s="8"/>
    </row>
    <row r="280" spans="2:4" ht="13">
      <c r="B280" s="8"/>
      <c r="C280" s="8"/>
      <c r="D280" s="8"/>
    </row>
    <row r="281" spans="2:4" ht="13">
      <c r="B281" s="8"/>
      <c r="C281" s="8"/>
      <c r="D281" s="8"/>
    </row>
    <row r="282" spans="2:4" ht="13">
      <c r="B282" s="8"/>
      <c r="C282" s="8"/>
      <c r="D282" s="8"/>
    </row>
    <row r="283" spans="2:4" ht="13">
      <c r="B283" s="8"/>
      <c r="C283" s="8"/>
      <c r="D283" s="8"/>
    </row>
    <row r="284" spans="2:4" ht="13">
      <c r="B284" s="8"/>
      <c r="C284" s="8"/>
      <c r="D284" s="8"/>
    </row>
    <row r="285" spans="2:4" ht="13">
      <c r="B285" s="8"/>
      <c r="C285" s="8"/>
      <c r="D285" s="8"/>
    </row>
    <row r="286" spans="2:4" ht="13">
      <c r="B286" s="8"/>
      <c r="C286" s="8"/>
      <c r="D286" s="8"/>
    </row>
    <row r="287" spans="2:4" ht="13">
      <c r="B287" s="8"/>
      <c r="C287" s="8"/>
      <c r="D287" s="8"/>
    </row>
    <row r="288" spans="2:4" ht="13">
      <c r="B288" s="8"/>
      <c r="C288" s="8"/>
      <c r="D288" s="8"/>
    </row>
    <row r="289" spans="2:4" ht="13">
      <c r="B289" s="8"/>
      <c r="C289" s="8"/>
      <c r="D289" s="8"/>
    </row>
    <row r="290" spans="2:4" ht="13">
      <c r="B290" s="8"/>
      <c r="C290" s="8"/>
      <c r="D290" s="8"/>
    </row>
    <row r="291" spans="2:4" ht="13">
      <c r="B291" s="8"/>
      <c r="C291" s="8"/>
      <c r="D291" s="8"/>
    </row>
    <row r="292" spans="2:4" ht="13">
      <c r="B292" s="8"/>
      <c r="C292" s="8"/>
      <c r="D292" s="8"/>
    </row>
    <row r="293" spans="2:4" ht="13">
      <c r="B293" s="8"/>
      <c r="C293" s="8"/>
      <c r="D293" s="8"/>
    </row>
    <row r="294" spans="2:4" ht="13">
      <c r="B294" s="8"/>
      <c r="C294" s="8"/>
      <c r="D294" s="8"/>
    </row>
    <row r="295" spans="2:4" ht="13">
      <c r="B295" s="8"/>
      <c r="C295" s="8"/>
      <c r="D295" s="8"/>
    </row>
    <row r="296" spans="2:4" ht="13">
      <c r="B296" s="8"/>
      <c r="C296" s="8"/>
      <c r="D296" s="8"/>
    </row>
    <row r="297" spans="2:4" ht="13">
      <c r="B297" s="8"/>
      <c r="C297" s="8"/>
      <c r="D297" s="8"/>
    </row>
    <row r="298" spans="2:4" ht="13">
      <c r="B298" s="8"/>
      <c r="C298" s="8"/>
      <c r="D298" s="8"/>
    </row>
    <row r="299" spans="2:4" ht="13">
      <c r="B299" s="8"/>
      <c r="C299" s="8"/>
      <c r="D299" s="8"/>
    </row>
    <row r="300" spans="2:4" ht="13">
      <c r="B300" s="8"/>
      <c r="C300" s="8"/>
      <c r="D300" s="8"/>
    </row>
    <row r="301" spans="2:4" ht="13">
      <c r="B301" s="8"/>
      <c r="C301" s="8"/>
      <c r="D301" s="8"/>
    </row>
    <row r="302" spans="2:4" ht="13">
      <c r="B302" s="8"/>
      <c r="C302" s="8"/>
      <c r="D302" s="8"/>
    </row>
    <row r="303" spans="2:4" ht="13">
      <c r="B303" s="8"/>
      <c r="C303" s="8"/>
      <c r="D303" s="8"/>
    </row>
    <row r="304" spans="2:4" ht="13">
      <c r="B304" s="8"/>
      <c r="C304" s="8"/>
      <c r="D304" s="8"/>
    </row>
    <row r="305" spans="2:4" ht="13">
      <c r="B305" s="8"/>
      <c r="C305" s="8"/>
      <c r="D305" s="8"/>
    </row>
    <row r="306" spans="2:4" ht="13">
      <c r="B306" s="8"/>
      <c r="C306" s="8"/>
      <c r="D306" s="8"/>
    </row>
    <row r="307" spans="2:4" ht="13">
      <c r="B307" s="8"/>
      <c r="C307" s="8"/>
      <c r="D307" s="8"/>
    </row>
    <row r="308" spans="2:4" ht="13">
      <c r="B308" s="8"/>
      <c r="C308" s="8"/>
      <c r="D308" s="8"/>
    </row>
    <row r="309" spans="2:4" ht="13">
      <c r="B309" s="8"/>
      <c r="C309" s="8"/>
      <c r="D309" s="8"/>
    </row>
    <row r="310" spans="2:4" ht="13">
      <c r="B310" s="8"/>
      <c r="C310" s="8"/>
      <c r="D310" s="8"/>
    </row>
    <row r="311" spans="2:4" ht="13">
      <c r="B311" s="8"/>
      <c r="C311" s="8"/>
      <c r="D311" s="8"/>
    </row>
    <row r="312" spans="2:4" ht="13">
      <c r="B312" s="8"/>
      <c r="C312" s="8"/>
      <c r="D312" s="8"/>
    </row>
    <row r="313" spans="2:4" ht="13">
      <c r="B313" s="8"/>
      <c r="C313" s="8"/>
      <c r="D313" s="8"/>
    </row>
    <row r="314" spans="2:4" ht="13">
      <c r="B314" s="8"/>
      <c r="C314" s="8"/>
      <c r="D314" s="8"/>
    </row>
    <row r="315" spans="2:4" ht="13">
      <c r="B315" s="8"/>
      <c r="C315" s="8"/>
      <c r="D315" s="8"/>
    </row>
    <row r="316" spans="2:4" ht="13">
      <c r="B316" s="8"/>
      <c r="C316" s="8"/>
      <c r="D316" s="8"/>
    </row>
    <row r="317" spans="2:4" ht="13">
      <c r="B317" s="8"/>
      <c r="C317" s="8"/>
      <c r="D317" s="8"/>
    </row>
    <row r="318" spans="2:4" ht="13">
      <c r="B318" s="8"/>
      <c r="C318" s="8"/>
      <c r="D318" s="8"/>
    </row>
    <row r="319" spans="2:4" ht="13">
      <c r="B319" s="8"/>
      <c r="C319" s="8"/>
      <c r="D319" s="8"/>
    </row>
    <row r="320" spans="2:4" ht="13">
      <c r="B320" s="8"/>
      <c r="C320" s="8"/>
      <c r="D320" s="8"/>
    </row>
    <row r="321" spans="2:4" ht="13">
      <c r="B321" s="8"/>
      <c r="C321" s="8"/>
      <c r="D321" s="8"/>
    </row>
    <row r="322" spans="2:4" ht="13">
      <c r="B322" s="8"/>
      <c r="C322" s="8"/>
      <c r="D322" s="8"/>
    </row>
    <row r="323" spans="2:4" ht="13">
      <c r="B323" s="8"/>
      <c r="C323" s="8"/>
      <c r="D323" s="8"/>
    </row>
    <row r="324" spans="2:4" ht="13">
      <c r="B324" s="8"/>
      <c r="C324" s="8"/>
      <c r="D324" s="8"/>
    </row>
    <row r="325" spans="2:4" ht="13">
      <c r="B325" s="8"/>
      <c r="C325" s="8"/>
      <c r="D325" s="8"/>
    </row>
    <row r="326" spans="2:4" ht="13">
      <c r="B326" s="8"/>
      <c r="C326" s="8"/>
      <c r="D326" s="8"/>
    </row>
    <row r="327" spans="2:4" ht="13">
      <c r="B327" s="8"/>
      <c r="C327" s="8"/>
      <c r="D327" s="8"/>
    </row>
    <row r="328" spans="2:4" ht="13">
      <c r="B328" s="8"/>
      <c r="C328" s="8"/>
      <c r="D328" s="8"/>
    </row>
    <row r="329" spans="2:4" ht="13">
      <c r="B329" s="8"/>
      <c r="C329" s="8"/>
      <c r="D329" s="8"/>
    </row>
    <row r="330" spans="2:4" ht="13">
      <c r="B330" s="8"/>
      <c r="C330" s="8"/>
      <c r="D330" s="8"/>
    </row>
    <row r="331" spans="2:4" ht="13">
      <c r="B331" s="8"/>
      <c r="C331" s="8"/>
      <c r="D331" s="8"/>
    </row>
    <row r="332" spans="2:4" ht="13">
      <c r="B332" s="8"/>
      <c r="C332" s="8"/>
      <c r="D332" s="8"/>
    </row>
    <row r="333" spans="2:4" ht="13">
      <c r="B333" s="8"/>
      <c r="C333" s="8"/>
      <c r="D333" s="8"/>
    </row>
    <row r="334" spans="2:4" ht="13">
      <c r="B334" s="8"/>
      <c r="C334" s="8"/>
      <c r="D334" s="8"/>
    </row>
    <row r="335" spans="2:4" ht="13">
      <c r="B335" s="8"/>
      <c r="C335" s="8"/>
      <c r="D335" s="8"/>
    </row>
    <row r="336" spans="2:4" ht="13">
      <c r="B336" s="8"/>
      <c r="C336" s="8"/>
      <c r="D336" s="8"/>
    </row>
    <row r="337" spans="2:4" ht="13">
      <c r="B337" s="8"/>
      <c r="C337" s="8"/>
      <c r="D337" s="8"/>
    </row>
    <row r="338" spans="2:4" ht="13">
      <c r="B338" s="8"/>
      <c r="C338" s="8"/>
      <c r="D338" s="8"/>
    </row>
    <row r="339" spans="2:4" ht="13">
      <c r="B339" s="8"/>
      <c r="C339" s="8"/>
      <c r="D339" s="8"/>
    </row>
    <row r="340" spans="2:4" ht="13">
      <c r="B340" s="8"/>
      <c r="C340" s="8"/>
      <c r="D340" s="8"/>
    </row>
    <row r="341" spans="2:4" ht="13">
      <c r="B341" s="8"/>
      <c r="C341" s="8"/>
      <c r="D341" s="8"/>
    </row>
    <row r="342" spans="2:4" ht="13">
      <c r="B342" s="8"/>
      <c r="C342" s="8"/>
      <c r="D342" s="8"/>
    </row>
    <row r="343" spans="2:4" ht="13">
      <c r="B343" s="8"/>
      <c r="C343" s="8"/>
      <c r="D343" s="8"/>
    </row>
    <row r="344" spans="2:4" ht="13">
      <c r="B344" s="8"/>
      <c r="C344" s="8"/>
      <c r="D344" s="8"/>
    </row>
    <row r="345" spans="2:4" ht="13">
      <c r="B345" s="8"/>
      <c r="C345" s="8"/>
      <c r="D345" s="8"/>
    </row>
    <row r="346" spans="2:4" ht="13">
      <c r="B346" s="8"/>
      <c r="C346" s="8"/>
      <c r="D346" s="8"/>
    </row>
    <row r="347" spans="2:4" ht="13">
      <c r="B347" s="8"/>
      <c r="C347" s="8"/>
      <c r="D347" s="8"/>
    </row>
    <row r="348" spans="2:4" ht="13">
      <c r="B348" s="8"/>
      <c r="C348" s="8"/>
      <c r="D348" s="8"/>
    </row>
    <row r="349" spans="2:4" ht="13">
      <c r="B349" s="8"/>
      <c r="C349" s="8"/>
      <c r="D349" s="8"/>
    </row>
    <row r="350" spans="2:4" ht="13">
      <c r="B350" s="8"/>
      <c r="C350" s="8"/>
      <c r="D350" s="8"/>
    </row>
    <row r="351" spans="2:4" ht="13">
      <c r="B351" s="8"/>
      <c r="C351" s="8"/>
      <c r="D351" s="8"/>
    </row>
    <row r="352" spans="2:4" ht="13">
      <c r="B352" s="8"/>
      <c r="C352" s="8"/>
      <c r="D352" s="8"/>
    </row>
    <row r="353" spans="2:4" ht="13">
      <c r="B353" s="8"/>
      <c r="C353" s="8"/>
      <c r="D353" s="8"/>
    </row>
    <row r="354" spans="2:4" ht="13">
      <c r="B354" s="8"/>
      <c r="C354" s="8"/>
      <c r="D354" s="8"/>
    </row>
    <row r="355" spans="2:4" ht="13">
      <c r="B355" s="8"/>
      <c r="C355" s="8"/>
      <c r="D355" s="8"/>
    </row>
    <row r="356" spans="2:4" ht="13">
      <c r="B356" s="8"/>
      <c r="C356" s="8"/>
      <c r="D356" s="8"/>
    </row>
    <row r="357" spans="2:4" ht="13">
      <c r="B357" s="8"/>
      <c r="C357" s="8"/>
      <c r="D357" s="8"/>
    </row>
    <row r="358" spans="2:4" ht="13">
      <c r="B358" s="8"/>
      <c r="C358" s="8"/>
      <c r="D358" s="8"/>
    </row>
    <row r="359" spans="2:4" ht="13">
      <c r="B359" s="8"/>
      <c r="C359" s="8"/>
      <c r="D359" s="8"/>
    </row>
    <row r="360" spans="2:4" ht="13">
      <c r="B360" s="8"/>
      <c r="C360" s="8"/>
      <c r="D360" s="8"/>
    </row>
    <row r="361" spans="2:4" ht="13">
      <c r="B361" s="8"/>
      <c r="C361" s="8"/>
      <c r="D361" s="8"/>
    </row>
    <row r="362" spans="2:4" ht="13">
      <c r="B362" s="8"/>
      <c r="C362" s="8"/>
      <c r="D362" s="8"/>
    </row>
    <row r="363" spans="2:4" ht="13">
      <c r="B363" s="8"/>
      <c r="C363" s="8"/>
      <c r="D363" s="8"/>
    </row>
    <row r="364" spans="2:4" ht="13">
      <c r="B364" s="8"/>
      <c r="C364" s="8"/>
      <c r="D364" s="8"/>
    </row>
    <row r="365" spans="2:4" ht="13">
      <c r="B365" s="8"/>
      <c r="C365" s="8"/>
      <c r="D365" s="8"/>
    </row>
    <row r="366" spans="2:4" ht="13">
      <c r="B366" s="8"/>
      <c r="C366" s="8"/>
      <c r="D366" s="8"/>
    </row>
    <row r="367" spans="2:4" ht="13">
      <c r="B367" s="8"/>
      <c r="C367" s="8"/>
      <c r="D367" s="8"/>
    </row>
    <row r="368" spans="2:4" ht="13">
      <c r="B368" s="8"/>
      <c r="C368" s="8"/>
      <c r="D368" s="8"/>
    </row>
    <row r="369" spans="2:4" ht="13">
      <c r="B369" s="8"/>
      <c r="C369" s="8"/>
      <c r="D369" s="8"/>
    </row>
    <row r="370" spans="2:4" ht="13">
      <c r="B370" s="8"/>
      <c r="C370" s="8"/>
      <c r="D370" s="8"/>
    </row>
    <row r="371" spans="2:4" ht="13">
      <c r="B371" s="8"/>
      <c r="C371" s="8"/>
      <c r="D371" s="8"/>
    </row>
    <row r="372" spans="2:4" ht="13">
      <c r="B372" s="8"/>
      <c r="C372" s="8"/>
      <c r="D372" s="8"/>
    </row>
    <row r="373" spans="2:4" ht="13">
      <c r="B373" s="8"/>
      <c r="C373" s="8"/>
      <c r="D373" s="8"/>
    </row>
    <row r="374" spans="2:4" ht="13">
      <c r="B374" s="8"/>
      <c r="C374" s="8"/>
      <c r="D374" s="8"/>
    </row>
    <row r="375" spans="2:4" ht="13">
      <c r="B375" s="8"/>
      <c r="C375" s="8"/>
      <c r="D375" s="8"/>
    </row>
    <row r="376" spans="2:4" ht="13">
      <c r="B376" s="8"/>
      <c r="C376" s="8"/>
      <c r="D376" s="8"/>
    </row>
    <row r="377" spans="2:4" ht="13">
      <c r="B377" s="8"/>
      <c r="C377" s="8"/>
      <c r="D377" s="8"/>
    </row>
    <row r="378" spans="2:4" ht="13">
      <c r="B378" s="8"/>
      <c r="C378" s="8"/>
      <c r="D378" s="8"/>
    </row>
    <row r="379" spans="2:4" ht="13">
      <c r="B379" s="8"/>
      <c r="C379" s="8"/>
      <c r="D379" s="8"/>
    </row>
    <row r="380" spans="2:4" ht="13">
      <c r="B380" s="8"/>
      <c r="C380" s="8"/>
      <c r="D380" s="8"/>
    </row>
    <row r="381" spans="2:4" ht="13">
      <c r="B381" s="8"/>
      <c r="C381" s="8"/>
      <c r="D381" s="8"/>
    </row>
    <row r="382" spans="2:4" ht="13">
      <c r="B382" s="8"/>
      <c r="C382" s="8"/>
      <c r="D382" s="8"/>
    </row>
    <row r="383" spans="2:4" ht="13">
      <c r="B383" s="8"/>
      <c r="C383" s="8"/>
      <c r="D383" s="8"/>
    </row>
    <row r="384" spans="2:4" ht="13">
      <c r="B384" s="8"/>
      <c r="C384" s="8"/>
      <c r="D384" s="8"/>
    </row>
    <row r="385" spans="2:4" ht="13">
      <c r="B385" s="8"/>
      <c r="C385" s="8"/>
      <c r="D385" s="8"/>
    </row>
    <row r="386" spans="2:4" ht="13">
      <c r="B386" s="8"/>
      <c r="C386" s="8"/>
      <c r="D386" s="8"/>
    </row>
    <row r="387" spans="2:4" ht="13">
      <c r="B387" s="8"/>
      <c r="C387" s="8"/>
      <c r="D387" s="8"/>
    </row>
    <row r="388" spans="2:4" ht="13">
      <c r="B388" s="8"/>
      <c r="C388" s="8"/>
      <c r="D388" s="8"/>
    </row>
    <row r="389" spans="2:4" ht="13">
      <c r="B389" s="8"/>
      <c r="C389" s="8"/>
      <c r="D389" s="8"/>
    </row>
    <row r="390" spans="2:4" ht="13">
      <c r="B390" s="8"/>
      <c r="C390" s="8"/>
      <c r="D390" s="8"/>
    </row>
    <row r="391" spans="2:4" ht="13">
      <c r="B391" s="8"/>
      <c r="C391" s="8"/>
      <c r="D391" s="8"/>
    </row>
    <row r="392" spans="2:4" ht="13">
      <c r="B392" s="8"/>
      <c r="C392" s="8"/>
      <c r="D392" s="8"/>
    </row>
    <row r="393" spans="2:4" ht="13">
      <c r="B393" s="8"/>
      <c r="C393" s="8"/>
      <c r="D393" s="8"/>
    </row>
    <row r="394" spans="2:4" ht="13">
      <c r="B394" s="8"/>
      <c r="C394" s="8"/>
      <c r="D394" s="8"/>
    </row>
    <row r="395" spans="2:4" ht="13">
      <c r="B395" s="8"/>
      <c r="C395" s="8"/>
      <c r="D395" s="8"/>
    </row>
    <row r="396" spans="2:4" ht="13">
      <c r="B396" s="8"/>
      <c r="C396" s="8"/>
      <c r="D396" s="8"/>
    </row>
    <row r="397" spans="2:4" ht="13">
      <c r="B397" s="8"/>
      <c r="C397" s="8"/>
      <c r="D397" s="8"/>
    </row>
    <row r="398" spans="2:4" ht="13">
      <c r="B398" s="8"/>
      <c r="C398" s="8"/>
      <c r="D398" s="8"/>
    </row>
    <row r="399" spans="2:4" ht="13">
      <c r="B399" s="8"/>
      <c r="C399" s="8"/>
      <c r="D399" s="8"/>
    </row>
    <row r="400" spans="2:4" ht="13">
      <c r="B400" s="8"/>
      <c r="C400" s="8"/>
      <c r="D400" s="8"/>
    </row>
    <row r="401" spans="2:4" ht="13">
      <c r="B401" s="8"/>
      <c r="C401" s="8"/>
      <c r="D401" s="8"/>
    </row>
    <row r="402" spans="2:4" ht="13">
      <c r="B402" s="8"/>
      <c r="C402" s="8"/>
      <c r="D402" s="8"/>
    </row>
    <row r="403" spans="2:4" ht="13">
      <c r="B403" s="8"/>
      <c r="C403" s="8"/>
      <c r="D403" s="8"/>
    </row>
    <row r="404" spans="2:4" ht="13">
      <c r="B404" s="8"/>
      <c r="C404" s="8"/>
      <c r="D404" s="8"/>
    </row>
    <row r="405" spans="2:4" ht="13">
      <c r="B405" s="8"/>
      <c r="C405" s="8"/>
      <c r="D405" s="8"/>
    </row>
    <row r="406" spans="2:4" ht="13">
      <c r="B406" s="8"/>
      <c r="C406" s="8"/>
      <c r="D406" s="8"/>
    </row>
    <row r="407" spans="2:4" ht="13">
      <c r="B407" s="8"/>
      <c r="C407" s="8"/>
      <c r="D407" s="8"/>
    </row>
    <row r="408" spans="2:4" ht="13">
      <c r="B408" s="8"/>
      <c r="C408" s="8"/>
      <c r="D408" s="8"/>
    </row>
    <row r="409" spans="2:4" ht="13">
      <c r="B409" s="8"/>
      <c r="C409" s="8"/>
      <c r="D409" s="8"/>
    </row>
    <row r="410" spans="2:4" ht="13">
      <c r="B410" s="8"/>
      <c r="C410" s="8"/>
      <c r="D410" s="8"/>
    </row>
    <row r="411" spans="2:4" ht="13">
      <c r="B411" s="8"/>
      <c r="C411" s="8"/>
      <c r="D411" s="8"/>
    </row>
    <row r="412" spans="2:4" ht="13">
      <c r="B412" s="8"/>
      <c r="C412" s="8"/>
      <c r="D412" s="8"/>
    </row>
    <row r="413" spans="2:4" ht="13">
      <c r="B413" s="8"/>
      <c r="C413" s="8"/>
      <c r="D413" s="8"/>
    </row>
    <row r="414" spans="2:4" ht="13">
      <c r="B414" s="8"/>
      <c r="C414" s="8"/>
      <c r="D414" s="8"/>
    </row>
    <row r="415" spans="2:4" ht="13">
      <c r="B415" s="8"/>
      <c r="C415" s="8"/>
      <c r="D415" s="8"/>
    </row>
    <row r="416" spans="2:4" ht="13">
      <c r="B416" s="8"/>
      <c r="C416" s="8"/>
      <c r="D416" s="8"/>
    </row>
    <row r="417" spans="2:4" ht="13">
      <c r="B417" s="8"/>
      <c r="C417" s="8"/>
      <c r="D417" s="8"/>
    </row>
    <row r="418" spans="2:4" ht="13">
      <c r="B418" s="8"/>
      <c r="C418" s="8"/>
      <c r="D418" s="8"/>
    </row>
    <row r="419" spans="2:4" ht="13">
      <c r="B419" s="8"/>
      <c r="C419" s="8"/>
      <c r="D419" s="8"/>
    </row>
    <row r="420" spans="2:4" ht="13">
      <c r="B420" s="8"/>
      <c r="C420" s="8"/>
      <c r="D420" s="8"/>
    </row>
    <row r="421" spans="2:4" ht="13">
      <c r="B421" s="8"/>
      <c r="C421" s="8"/>
      <c r="D421" s="8"/>
    </row>
    <row r="422" spans="2:4" ht="13">
      <c r="B422" s="8"/>
      <c r="C422" s="8"/>
      <c r="D422" s="8"/>
    </row>
    <row r="423" spans="2:4" ht="13">
      <c r="B423" s="8"/>
      <c r="C423" s="8"/>
      <c r="D423" s="8"/>
    </row>
    <row r="424" spans="2:4" ht="13">
      <c r="B424" s="8"/>
      <c r="C424" s="8"/>
      <c r="D424" s="8"/>
    </row>
    <row r="425" spans="2:4" ht="13">
      <c r="B425" s="8"/>
      <c r="C425" s="8"/>
      <c r="D425" s="8"/>
    </row>
    <row r="426" spans="2:4" ht="13">
      <c r="B426" s="8"/>
      <c r="C426" s="8"/>
      <c r="D426" s="8"/>
    </row>
    <row r="427" spans="2:4" ht="13">
      <c r="B427" s="8"/>
      <c r="C427" s="8"/>
      <c r="D427" s="8"/>
    </row>
    <row r="428" spans="2:4" ht="13">
      <c r="B428" s="8"/>
      <c r="C428" s="8"/>
      <c r="D428" s="8"/>
    </row>
    <row r="429" spans="2:4" ht="13">
      <c r="B429" s="8"/>
      <c r="C429" s="8"/>
      <c r="D429" s="8"/>
    </row>
    <row r="430" spans="2:4" ht="13">
      <c r="B430" s="8"/>
      <c r="C430" s="8"/>
      <c r="D430" s="8"/>
    </row>
    <row r="431" spans="2:4" ht="13">
      <c r="B431" s="8"/>
      <c r="C431" s="8"/>
      <c r="D431" s="8"/>
    </row>
    <row r="432" spans="2:4" ht="13">
      <c r="B432" s="8"/>
      <c r="C432" s="8"/>
      <c r="D432" s="8"/>
    </row>
    <row r="433" spans="2:4" ht="13">
      <c r="B433" s="8"/>
      <c r="C433" s="8"/>
      <c r="D433" s="8"/>
    </row>
    <row r="434" spans="2:4" ht="13">
      <c r="B434" s="8"/>
      <c r="C434" s="8"/>
      <c r="D434" s="8"/>
    </row>
    <row r="435" spans="2:4" ht="13">
      <c r="B435" s="8"/>
      <c r="C435" s="8"/>
      <c r="D435" s="8"/>
    </row>
    <row r="436" spans="2:4" ht="13">
      <c r="B436" s="8"/>
      <c r="C436" s="8"/>
      <c r="D436" s="8"/>
    </row>
    <row r="437" spans="2:4" ht="13">
      <c r="B437" s="8"/>
      <c r="C437" s="8"/>
      <c r="D437" s="8"/>
    </row>
    <row r="438" spans="2:4" ht="13">
      <c r="B438" s="8"/>
      <c r="C438" s="8"/>
      <c r="D438" s="8"/>
    </row>
    <row r="439" spans="2:4" ht="13">
      <c r="B439" s="8"/>
      <c r="C439" s="8"/>
      <c r="D439" s="8"/>
    </row>
    <row r="440" spans="2:4" ht="13">
      <c r="B440" s="8"/>
      <c r="C440" s="8"/>
      <c r="D440" s="8"/>
    </row>
    <row r="441" spans="2:4" ht="13">
      <c r="B441" s="8"/>
      <c r="C441" s="8"/>
      <c r="D441" s="8"/>
    </row>
    <row r="442" spans="2:4" ht="13">
      <c r="B442" s="8"/>
      <c r="C442" s="8"/>
      <c r="D442" s="8"/>
    </row>
    <row r="443" spans="2:4" ht="13">
      <c r="B443" s="8"/>
      <c r="C443" s="8"/>
      <c r="D443" s="8"/>
    </row>
    <row r="444" spans="2:4" ht="13">
      <c r="B444" s="8"/>
      <c r="C444" s="8"/>
      <c r="D444" s="8"/>
    </row>
    <row r="445" spans="2:4" ht="13">
      <c r="B445" s="8"/>
      <c r="C445" s="8"/>
      <c r="D445" s="8"/>
    </row>
    <row r="446" spans="2:4" ht="13">
      <c r="B446" s="8"/>
      <c r="C446" s="8"/>
      <c r="D446" s="8"/>
    </row>
    <row r="447" spans="2:4" ht="13">
      <c r="B447" s="8"/>
      <c r="C447" s="8"/>
      <c r="D447" s="8"/>
    </row>
    <row r="448" spans="2:4" ht="13">
      <c r="B448" s="8"/>
      <c r="C448" s="8"/>
      <c r="D448" s="8"/>
    </row>
    <row r="449" spans="2:4" ht="13">
      <c r="B449" s="8"/>
      <c r="C449" s="8"/>
      <c r="D449" s="8"/>
    </row>
    <row r="450" spans="2:4" ht="13">
      <c r="B450" s="8"/>
      <c r="C450" s="8"/>
      <c r="D450" s="8"/>
    </row>
    <row r="451" spans="2:4" ht="13">
      <c r="B451" s="8"/>
      <c r="C451" s="8"/>
      <c r="D451" s="8"/>
    </row>
    <row r="452" spans="2:4" ht="13">
      <c r="B452" s="8"/>
      <c r="C452" s="8"/>
      <c r="D452" s="8"/>
    </row>
    <row r="453" spans="2:4" ht="13">
      <c r="B453" s="8"/>
      <c r="C453" s="8"/>
      <c r="D453" s="8"/>
    </row>
    <row r="454" spans="2:4" ht="13">
      <c r="B454" s="8"/>
      <c r="C454" s="8"/>
      <c r="D454" s="8"/>
    </row>
    <row r="455" spans="2:4" ht="13">
      <c r="B455" s="8"/>
      <c r="C455" s="8"/>
      <c r="D455" s="8"/>
    </row>
    <row r="456" spans="2:4" ht="13">
      <c r="B456" s="8"/>
      <c r="C456" s="8"/>
      <c r="D456" s="8"/>
    </row>
    <row r="457" spans="2:4" ht="13">
      <c r="B457" s="8"/>
      <c r="C457" s="8"/>
      <c r="D457" s="8"/>
    </row>
    <row r="458" spans="2:4" ht="13">
      <c r="B458" s="8"/>
      <c r="C458" s="8"/>
      <c r="D458" s="8"/>
    </row>
    <row r="459" spans="2:4" ht="13">
      <c r="B459" s="8"/>
      <c r="C459" s="8"/>
      <c r="D459" s="8"/>
    </row>
    <row r="460" spans="2:4" ht="13">
      <c r="B460" s="8"/>
      <c r="C460" s="8"/>
      <c r="D460" s="8"/>
    </row>
    <row r="461" spans="2:4" ht="13">
      <c r="B461" s="8"/>
      <c r="C461" s="8"/>
      <c r="D461" s="8"/>
    </row>
    <row r="462" spans="2:4" ht="13">
      <c r="B462" s="8"/>
      <c r="C462" s="8"/>
      <c r="D462" s="8"/>
    </row>
    <row r="463" spans="2:4" ht="13">
      <c r="B463" s="8"/>
      <c r="C463" s="8"/>
      <c r="D463" s="8"/>
    </row>
    <row r="464" spans="2:4" ht="13">
      <c r="B464" s="8"/>
      <c r="C464" s="8"/>
      <c r="D464" s="8"/>
    </row>
    <row r="465" spans="2:4" ht="13">
      <c r="B465" s="8"/>
      <c r="C465" s="8"/>
      <c r="D465" s="8"/>
    </row>
    <row r="466" spans="2:4" ht="13">
      <c r="B466" s="8"/>
      <c r="C466" s="8"/>
      <c r="D466" s="8"/>
    </row>
    <row r="467" spans="2:4" ht="13">
      <c r="B467" s="8"/>
      <c r="C467" s="8"/>
      <c r="D467" s="8"/>
    </row>
    <row r="468" spans="2:4" ht="13">
      <c r="B468" s="8"/>
      <c r="C468" s="8"/>
      <c r="D468" s="8"/>
    </row>
    <row r="469" spans="2:4" ht="13">
      <c r="B469" s="8"/>
      <c r="C469" s="8"/>
      <c r="D469" s="8"/>
    </row>
    <row r="470" spans="2:4" ht="13">
      <c r="B470" s="8"/>
      <c r="C470" s="8"/>
      <c r="D470" s="8"/>
    </row>
    <row r="471" spans="2:4" ht="13">
      <c r="B471" s="8"/>
      <c r="C471" s="8"/>
      <c r="D471" s="8"/>
    </row>
    <row r="472" spans="2:4" ht="13">
      <c r="B472" s="8"/>
      <c r="C472" s="8"/>
      <c r="D472" s="8"/>
    </row>
    <row r="473" spans="2:4" ht="13">
      <c r="B473" s="8"/>
      <c r="C473" s="8"/>
      <c r="D473" s="8"/>
    </row>
    <row r="474" spans="2:4" ht="13">
      <c r="B474" s="8"/>
      <c r="C474" s="8"/>
      <c r="D474" s="8"/>
    </row>
    <row r="475" spans="2:4" ht="13">
      <c r="B475" s="8"/>
      <c r="C475" s="8"/>
      <c r="D475" s="8"/>
    </row>
    <row r="476" spans="2:4" ht="13">
      <c r="B476" s="8"/>
      <c r="C476" s="8"/>
      <c r="D476" s="8"/>
    </row>
    <row r="477" spans="2:4" ht="13">
      <c r="B477" s="8"/>
      <c r="C477" s="8"/>
      <c r="D477" s="8"/>
    </row>
    <row r="478" spans="2:4" ht="13">
      <c r="B478" s="8"/>
      <c r="C478" s="8"/>
      <c r="D478" s="8"/>
    </row>
    <row r="479" spans="2:4" ht="13">
      <c r="B479" s="8"/>
      <c r="C479" s="8"/>
      <c r="D479" s="8"/>
    </row>
    <row r="480" spans="2:4" ht="13">
      <c r="B480" s="8"/>
      <c r="C480" s="8"/>
      <c r="D480" s="8"/>
    </row>
    <row r="481" spans="2:4" ht="13">
      <c r="B481" s="8"/>
      <c r="C481" s="8"/>
      <c r="D481" s="8"/>
    </row>
    <row r="482" spans="2:4" ht="13">
      <c r="B482" s="8"/>
      <c r="C482" s="8"/>
      <c r="D482" s="8"/>
    </row>
    <row r="483" spans="2:4" ht="13">
      <c r="B483" s="8"/>
      <c r="C483" s="8"/>
      <c r="D483" s="8"/>
    </row>
    <row r="484" spans="2:4" ht="13">
      <c r="B484" s="8"/>
      <c r="C484" s="8"/>
      <c r="D484" s="8"/>
    </row>
    <row r="485" spans="2:4" ht="13">
      <c r="B485" s="8"/>
      <c r="C485" s="8"/>
      <c r="D485" s="8"/>
    </row>
    <row r="486" spans="2:4" ht="13">
      <c r="B486" s="8"/>
      <c r="C486" s="8"/>
      <c r="D486" s="8"/>
    </row>
    <row r="487" spans="2:4" ht="13">
      <c r="B487" s="8"/>
      <c r="C487" s="8"/>
      <c r="D487" s="8"/>
    </row>
    <row r="488" spans="2:4" ht="13">
      <c r="B488" s="8"/>
      <c r="C488" s="8"/>
      <c r="D488" s="8"/>
    </row>
    <row r="489" spans="2:4" ht="13">
      <c r="B489" s="8"/>
      <c r="C489" s="8"/>
      <c r="D489" s="8"/>
    </row>
    <row r="490" spans="2:4" ht="13">
      <c r="B490" s="8"/>
      <c r="C490" s="8"/>
      <c r="D490" s="8"/>
    </row>
    <row r="491" spans="2:4" ht="13">
      <c r="B491" s="8"/>
      <c r="C491" s="8"/>
      <c r="D491" s="8"/>
    </row>
    <row r="492" spans="2:4" ht="13">
      <c r="B492" s="8"/>
      <c r="C492" s="8"/>
      <c r="D492" s="8"/>
    </row>
    <row r="493" spans="2:4" ht="13">
      <c r="B493" s="8"/>
      <c r="C493" s="8"/>
      <c r="D493" s="8"/>
    </row>
    <row r="494" spans="2:4" ht="13">
      <c r="B494" s="8"/>
      <c r="C494" s="8"/>
      <c r="D494" s="8"/>
    </row>
    <row r="495" spans="2:4" ht="13">
      <c r="B495" s="8"/>
      <c r="C495" s="8"/>
      <c r="D495" s="8"/>
    </row>
    <row r="496" spans="2:4" ht="13">
      <c r="B496" s="8"/>
      <c r="C496" s="8"/>
      <c r="D496" s="8"/>
    </row>
    <row r="497" spans="2:4" ht="13">
      <c r="B497" s="8"/>
      <c r="C497" s="8"/>
      <c r="D497" s="8"/>
    </row>
    <row r="498" spans="2:4" ht="13">
      <c r="B498" s="8"/>
      <c r="C498" s="8"/>
      <c r="D498" s="8"/>
    </row>
    <row r="499" spans="2:4" ht="13">
      <c r="B499" s="8"/>
      <c r="C499" s="8"/>
      <c r="D499" s="8"/>
    </row>
    <row r="500" spans="2:4" ht="13">
      <c r="B500" s="8"/>
      <c r="C500" s="8"/>
      <c r="D500" s="8"/>
    </row>
    <row r="501" spans="2:4" ht="13">
      <c r="B501" s="8"/>
      <c r="C501" s="8"/>
      <c r="D501" s="8"/>
    </row>
    <row r="502" spans="2:4" ht="13">
      <c r="B502" s="8"/>
      <c r="C502" s="8"/>
      <c r="D502" s="8"/>
    </row>
    <row r="503" spans="2:4" ht="13">
      <c r="B503" s="8"/>
      <c r="C503" s="8"/>
      <c r="D503" s="8"/>
    </row>
    <row r="504" spans="2:4" ht="13">
      <c r="B504" s="8"/>
      <c r="C504" s="8"/>
      <c r="D504" s="8"/>
    </row>
    <row r="505" spans="2:4" ht="13">
      <c r="B505" s="8"/>
      <c r="C505" s="8"/>
      <c r="D505" s="8"/>
    </row>
    <row r="506" spans="2:4" ht="13">
      <c r="B506" s="8"/>
      <c r="C506" s="8"/>
      <c r="D506" s="8"/>
    </row>
    <row r="507" spans="2:4" ht="13">
      <c r="B507" s="8"/>
      <c r="C507" s="8"/>
      <c r="D507" s="8"/>
    </row>
    <row r="508" spans="2:4" ht="13">
      <c r="B508" s="8"/>
      <c r="C508" s="8"/>
      <c r="D508" s="8"/>
    </row>
    <row r="509" spans="2:4" ht="13">
      <c r="B509" s="8"/>
      <c r="C509" s="8"/>
      <c r="D509" s="8"/>
    </row>
    <row r="510" spans="2:4" ht="13">
      <c r="B510" s="8"/>
      <c r="C510" s="8"/>
      <c r="D510" s="8"/>
    </row>
    <row r="511" spans="2:4" ht="13">
      <c r="B511" s="8"/>
      <c r="C511" s="8"/>
      <c r="D511" s="8"/>
    </row>
    <row r="512" spans="2:4" ht="13">
      <c r="B512" s="8"/>
      <c r="C512" s="8"/>
      <c r="D512" s="8"/>
    </row>
    <row r="513" spans="2:4" ht="13">
      <c r="B513" s="8"/>
      <c r="C513" s="8"/>
      <c r="D513" s="8"/>
    </row>
    <row r="514" spans="2:4" ht="13">
      <c r="B514" s="8"/>
      <c r="C514" s="8"/>
      <c r="D514" s="8"/>
    </row>
    <row r="515" spans="2:4" ht="13">
      <c r="B515" s="8"/>
      <c r="C515" s="8"/>
      <c r="D515" s="8"/>
    </row>
    <row r="516" spans="2:4" ht="13">
      <c r="B516" s="8"/>
      <c r="C516" s="8"/>
      <c r="D516" s="8"/>
    </row>
    <row r="517" spans="2:4" ht="13">
      <c r="B517" s="8"/>
      <c r="C517" s="8"/>
      <c r="D517" s="8"/>
    </row>
    <row r="518" spans="2:4" ht="13">
      <c r="B518" s="8"/>
      <c r="C518" s="8"/>
      <c r="D518" s="8"/>
    </row>
    <row r="519" spans="2:4" ht="13">
      <c r="B519" s="8"/>
      <c r="C519" s="8"/>
      <c r="D519" s="8"/>
    </row>
    <row r="520" spans="2:4" ht="13">
      <c r="B520" s="8"/>
      <c r="C520" s="8"/>
      <c r="D520" s="8"/>
    </row>
    <row r="521" spans="2:4" ht="13">
      <c r="B521" s="8"/>
      <c r="C521" s="8"/>
      <c r="D521" s="8"/>
    </row>
    <row r="522" spans="2:4" ht="13">
      <c r="B522" s="8"/>
      <c r="C522" s="8"/>
      <c r="D522" s="8"/>
    </row>
    <row r="523" spans="2:4" ht="13">
      <c r="B523" s="8"/>
      <c r="C523" s="8"/>
      <c r="D523" s="8"/>
    </row>
    <row r="524" spans="2:4" ht="13">
      <c r="B524" s="8"/>
      <c r="C524" s="8"/>
      <c r="D524" s="8"/>
    </row>
    <row r="525" spans="2:4" ht="13">
      <c r="B525" s="8"/>
      <c r="C525" s="8"/>
      <c r="D525" s="8"/>
    </row>
    <row r="526" spans="2:4" ht="13">
      <c r="B526" s="8"/>
      <c r="C526" s="8"/>
      <c r="D526" s="8"/>
    </row>
    <row r="527" spans="2:4" ht="13">
      <c r="B527" s="8"/>
      <c r="C527" s="8"/>
      <c r="D527" s="8"/>
    </row>
    <row r="528" spans="2:4" ht="13">
      <c r="B528" s="8"/>
      <c r="C528" s="8"/>
      <c r="D528" s="8"/>
    </row>
    <row r="529" spans="2:4" ht="13">
      <c r="B529" s="8"/>
      <c r="C529" s="8"/>
      <c r="D529" s="8"/>
    </row>
    <row r="530" spans="2:4" ht="13">
      <c r="B530" s="8"/>
      <c r="C530" s="8"/>
      <c r="D530" s="8"/>
    </row>
    <row r="531" spans="2:4" ht="13">
      <c r="B531" s="8"/>
      <c r="C531" s="8"/>
      <c r="D531" s="8"/>
    </row>
    <row r="532" spans="2:4" ht="13">
      <c r="B532" s="8"/>
      <c r="C532" s="8"/>
      <c r="D532" s="8"/>
    </row>
    <row r="533" spans="2:4" ht="13">
      <c r="B533" s="8"/>
      <c r="C533" s="8"/>
      <c r="D533" s="8"/>
    </row>
    <row r="534" spans="2:4" ht="13">
      <c r="B534" s="8"/>
      <c r="C534" s="8"/>
      <c r="D534" s="8"/>
    </row>
    <row r="535" spans="2:4" ht="13">
      <c r="B535" s="8"/>
      <c r="C535" s="8"/>
      <c r="D535" s="8"/>
    </row>
    <row r="536" spans="2:4" ht="13">
      <c r="B536" s="8"/>
      <c r="C536" s="8"/>
      <c r="D536" s="8"/>
    </row>
    <row r="537" spans="2:4" ht="13">
      <c r="B537" s="8"/>
      <c r="C537" s="8"/>
      <c r="D537" s="8"/>
    </row>
    <row r="538" spans="2:4" ht="13">
      <c r="B538" s="8"/>
      <c r="C538" s="8"/>
      <c r="D538" s="8"/>
    </row>
    <row r="539" spans="2:4" ht="13">
      <c r="B539" s="8"/>
      <c r="C539" s="8"/>
      <c r="D539" s="8"/>
    </row>
    <row r="540" spans="2:4" ht="13">
      <c r="B540" s="8"/>
      <c r="C540" s="8"/>
      <c r="D540" s="8"/>
    </row>
    <row r="541" spans="2:4" ht="13">
      <c r="B541" s="8"/>
      <c r="C541" s="8"/>
      <c r="D541" s="8"/>
    </row>
    <row r="542" spans="2:4" ht="13">
      <c r="B542" s="8"/>
      <c r="C542" s="8"/>
      <c r="D542" s="8"/>
    </row>
    <row r="543" spans="2:4" ht="13">
      <c r="B543" s="8"/>
      <c r="C543" s="8"/>
      <c r="D543" s="8"/>
    </row>
    <row r="544" spans="2:4" ht="13">
      <c r="B544" s="8"/>
      <c r="C544" s="8"/>
      <c r="D544" s="8"/>
    </row>
    <row r="545" spans="2:4" ht="13">
      <c r="B545" s="8"/>
      <c r="C545" s="8"/>
      <c r="D545" s="8"/>
    </row>
    <row r="546" spans="2:4" ht="13">
      <c r="B546" s="8"/>
      <c r="C546" s="8"/>
      <c r="D546" s="8"/>
    </row>
    <row r="547" spans="2:4" ht="13">
      <c r="B547" s="8"/>
      <c r="C547" s="8"/>
      <c r="D547" s="8"/>
    </row>
    <row r="548" spans="2:4" ht="13">
      <c r="B548" s="8"/>
      <c r="C548" s="8"/>
      <c r="D548" s="8"/>
    </row>
    <row r="549" spans="2:4" ht="13">
      <c r="B549" s="8"/>
      <c r="C549" s="8"/>
      <c r="D549" s="8"/>
    </row>
    <row r="550" spans="2:4" ht="13">
      <c r="B550" s="8"/>
      <c r="C550" s="8"/>
      <c r="D550" s="8"/>
    </row>
    <row r="551" spans="2:4" ht="13">
      <c r="B551" s="8"/>
      <c r="C551" s="8"/>
      <c r="D551" s="8"/>
    </row>
    <row r="552" spans="2:4" ht="13">
      <c r="B552" s="8"/>
      <c r="C552" s="8"/>
      <c r="D552" s="8"/>
    </row>
    <row r="553" spans="2:4" ht="13">
      <c r="B553" s="8"/>
      <c r="C553" s="8"/>
      <c r="D553" s="8"/>
    </row>
    <row r="554" spans="2:4" ht="13">
      <c r="B554" s="8"/>
      <c r="C554" s="8"/>
      <c r="D554" s="8"/>
    </row>
    <row r="555" spans="2:4" ht="13">
      <c r="B555" s="8"/>
      <c r="C555" s="8"/>
      <c r="D555" s="8"/>
    </row>
    <row r="556" spans="2:4" ht="13">
      <c r="B556" s="8"/>
      <c r="C556" s="8"/>
      <c r="D556" s="8"/>
    </row>
    <row r="557" spans="2:4" ht="13">
      <c r="B557" s="8"/>
      <c r="C557" s="8"/>
      <c r="D557" s="8"/>
    </row>
    <row r="558" spans="2:4" ht="13">
      <c r="B558" s="8"/>
      <c r="C558" s="8"/>
      <c r="D558" s="8"/>
    </row>
    <row r="559" spans="2:4" ht="13">
      <c r="B559" s="8"/>
      <c r="C559" s="8"/>
      <c r="D559" s="8"/>
    </row>
    <row r="560" spans="2:4" ht="13">
      <c r="B560" s="8"/>
      <c r="C560" s="8"/>
      <c r="D560" s="8"/>
    </row>
    <row r="561" spans="2:4" ht="13">
      <c r="B561" s="8"/>
      <c r="C561" s="8"/>
      <c r="D561" s="8"/>
    </row>
    <row r="562" spans="2:4" ht="13">
      <c r="B562" s="8"/>
      <c r="C562" s="8"/>
      <c r="D562" s="8"/>
    </row>
    <row r="563" spans="2:4" ht="13">
      <c r="B563" s="8"/>
      <c r="C563" s="8"/>
      <c r="D563" s="8"/>
    </row>
    <row r="564" spans="2:4" ht="13">
      <c r="B564" s="8"/>
      <c r="C564" s="8"/>
      <c r="D564" s="8"/>
    </row>
    <row r="565" spans="2:4" ht="13">
      <c r="B565" s="8"/>
      <c r="C565" s="8"/>
      <c r="D565" s="8"/>
    </row>
    <row r="566" spans="2:4" ht="13">
      <c r="B566" s="8"/>
      <c r="C566" s="8"/>
      <c r="D566" s="8"/>
    </row>
    <row r="567" spans="2:4" ht="13">
      <c r="B567" s="8"/>
      <c r="C567" s="8"/>
      <c r="D567" s="8"/>
    </row>
    <row r="568" spans="2:4" ht="13">
      <c r="B568" s="8"/>
      <c r="C568" s="8"/>
      <c r="D568" s="8"/>
    </row>
    <row r="569" spans="2:4" ht="13">
      <c r="B569" s="8"/>
      <c r="C569" s="8"/>
      <c r="D569" s="8"/>
    </row>
    <row r="570" spans="2:4" ht="13">
      <c r="B570" s="8"/>
      <c r="C570" s="8"/>
      <c r="D570" s="8"/>
    </row>
    <row r="571" spans="2:4" ht="13">
      <c r="B571" s="8"/>
      <c r="C571" s="8"/>
      <c r="D571" s="8"/>
    </row>
    <row r="572" spans="2:4" ht="13">
      <c r="B572" s="8"/>
      <c r="C572" s="8"/>
      <c r="D572" s="8"/>
    </row>
    <row r="573" spans="2:4" ht="13">
      <c r="B573" s="8"/>
      <c r="C573" s="8"/>
      <c r="D573" s="8"/>
    </row>
    <row r="574" spans="2:4" ht="13">
      <c r="B574" s="8"/>
      <c r="C574" s="8"/>
      <c r="D574" s="8"/>
    </row>
    <row r="575" spans="2:4" ht="13">
      <c r="B575" s="8"/>
      <c r="C575" s="8"/>
      <c r="D575" s="8"/>
    </row>
    <row r="576" spans="2:4" ht="13">
      <c r="B576" s="8"/>
      <c r="C576" s="8"/>
      <c r="D576" s="8"/>
    </row>
    <row r="577" spans="2:4" ht="13">
      <c r="B577" s="8"/>
      <c r="C577" s="8"/>
      <c r="D577" s="8"/>
    </row>
    <row r="578" spans="2:4" ht="13">
      <c r="B578" s="8"/>
      <c r="C578" s="8"/>
      <c r="D578" s="8"/>
    </row>
    <row r="579" spans="2:4" ht="13">
      <c r="B579" s="8"/>
      <c r="C579" s="8"/>
      <c r="D579" s="8"/>
    </row>
    <row r="580" spans="2:4" ht="13">
      <c r="B580" s="8"/>
      <c r="C580" s="8"/>
      <c r="D580" s="8"/>
    </row>
    <row r="581" spans="2:4" ht="13">
      <c r="B581" s="8"/>
      <c r="C581" s="8"/>
      <c r="D581" s="8"/>
    </row>
    <row r="582" spans="2:4" ht="13">
      <c r="B582" s="8"/>
      <c r="C582" s="8"/>
      <c r="D582" s="8"/>
    </row>
    <row r="583" spans="2:4" ht="13">
      <c r="B583" s="8"/>
      <c r="C583" s="8"/>
      <c r="D583" s="8"/>
    </row>
    <row r="584" spans="2:4" ht="13">
      <c r="B584" s="8"/>
      <c r="C584" s="8"/>
      <c r="D584" s="8"/>
    </row>
    <row r="585" spans="2:4" ht="13">
      <c r="B585" s="8"/>
      <c r="C585" s="8"/>
      <c r="D585" s="8"/>
    </row>
    <row r="586" spans="2:4" ht="13">
      <c r="B586" s="8"/>
      <c r="C586" s="8"/>
      <c r="D586" s="8"/>
    </row>
    <row r="587" spans="2:4" ht="13">
      <c r="B587" s="8"/>
      <c r="C587" s="8"/>
      <c r="D587" s="8"/>
    </row>
    <row r="588" spans="2:4" ht="13">
      <c r="B588" s="8"/>
      <c r="C588" s="8"/>
      <c r="D588" s="8"/>
    </row>
    <row r="589" spans="2:4" ht="13">
      <c r="B589" s="8"/>
      <c r="C589" s="8"/>
      <c r="D589" s="8"/>
    </row>
    <row r="590" spans="2:4" ht="13">
      <c r="B590" s="8"/>
      <c r="C590" s="8"/>
      <c r="D590" s="8"/>
    </row>
    <row r="591" spans="2:4" ht="13">
      <c r="B591" s="8"/>
      <c r="C591" s="8"/>
      <c r="D591" s="8"/>
    </row>
    <row r="592" spans="2:4" ht="13">
      <c r="B592" s="8"/>
      <c r="C592" s="8"/>
      <c r="D592" s="8"/>
    </row>
    <row r="593" spans="2:4" ht="13">
      <c r="B593" s="8"/>
      <c r="C593" s="8"/>
      <c r="D593" s="8"/>
    </row>
    <row r="594" spans="2:4" ht="13">
      <c r="B594" s="8"/>
      <c r="C594" s="8"/>
      <c r="D594" s="8"/>
    </row>
    <row r="595" spans="2:4" ht="13">
      <c r="B595" s="8"/>
      <c r="C595" s="8"/>
      <c r="D595" s="8"/>
    </row>
    <row r="596" spans="2:4" ht="13">
      <c r="B596" s="8"/>
      <c r="C596" s="8"/>
      <c r="D596" s="8"/>
    </row>
    <row r="597" spans="2:4" ht="13">
      <c r="B597" s="8"/>
      <c r="C597" s="8"/>
      <c r="D597" s="8"/>
    </row>
    <row r="598" spans="2:4" ht="13">
      <c r="B598" s="8"/>
      <c r="C598" s="8"/>
      <c r="D598" s="8"/>
    </row>
    <row r="599" spans="2:4" ht="13">
      <c r="B599" s="8"/>
      <c r="C599" s="8"/>
      <c r="D599" s="8"/>
    </row>
    <row r="600" spans="2:4" ht="13">
      <c r="B600" s="8"/>
      <c r="C600" s="8"/>
      <c r="D600" s="8"/>
    </row>
    <row r="601" spans="2:4" ht="13">
      <c r="B601" s="8"/>
      <c r="C601" s="8"/>
      <c r="D601" s="8"/>
    </row>
    <row r="602" spans="2:4" ht="13">
      <c r="B602" s="8"/>
      <c r="C602" s="8"/>
      <c r="D602" s="8"/>
    </row>
    <row r="603" spans="2:4" ht="13">
      <c r="B603" s="8"/>
      <c r="C603" s="8"/>
      <c r="D603" s="8"/>
    </row>
    <row r="604" spans="2:4" ht="13">
      <c r="B604" s="8"/>
      <c r="C604" s="8"/>
      <c r="D604" s="8"/>
    </row>
    <row r="605" spans="2:4" ht="13">
      <c r="B605" s="8"/>
      <c r="C605" s="8"/>
      <c r="D605" s="8"/>
    </row>
    <row r="606" spans="2:4" ht="13">
      <c r="B606" s="8"/>
      <c r="C606" s="8"/>
      <c r="D606" s="8"/>
    </row>
    <row r="607" spans="2:4" ht="13">
      <c r="B607" s="8"/>
      <c r="C607" s="8"/>
      <c r="D607" s="8"/>
    </row>
    <row r="608" spans="2:4" ht="13">
      <c r="B608" s="8"/>
      <c r="C608" s="8"/>
      <c r="D608" s="8"/>
    </row>
    <row r="609" spans="2:4" ht="13">
      <c r="B609" s="8"/>
      <c r="C609" s="8"/>
      <c r="D609" s="8"/>
    </row>
    <row r="610" spans="2:4" ht="13">
      <c r="B610" s="8"/>
      <c r="C610" s="8"/>
      <c r="D610" s="8"/>
    </row>
    <row r="611" spans="2:4" ht="13">
      <c r="B611" s="8"/>
      <c r="C611" s="8"/>
      <c r="D611" s="8"/>
    </row>
    <row r="612" spans="2:4" ht="13">
      <c r="B612" s="8"/>
      <c r="C612" s="8"/>
      <c r="D612" s="8"/>
    </row>
    <row r="613" spans="2:4" ht="13">
      <c r="B613" s="8"/>
      <c r="C613" s="8"/>
      <c r="D613" s="8"/>
    </row>
    <row r="614" spans="2:4" ht="13">
      <c r="B614" s="8"/>
      <c r="C614" s="8"/>
      <c r="D614" s="8"/>
    </row>
    <row r="615" spans="2:4" ht="13">
      <c r="B615" s="8"/>
      <c r="C615" s="8"/>
      <c r="D615" s="8"/>
    </row>
    <row r="616" spans="2:4" ht="13">
      <c r="B616" s="8"/>
      <c r="C616" s="8"/>
      <c r="D616" s="8"/>
    </row>
    <row r="617" spans="2:4" ht="13">
      <c r="B617" s="8"/>
      <c r="C617" s="8"/>
      <c r="D617" s="8"/>
    </row>
    <row r="618" spans="2:4" ht="13">
      <c r="B618" s="8"/>
      <c r="C618" s="8"/>
      <c r="D618" s="8"/>
    </row>
    <row r="619" spans="2:4" ht="13">
      <c r="B619" s="8"/>
      <c r="C619" s="8"/>
      <c r="D619" s="8"/>
    </row>
    <row r="620" spans="2:4" ht="13">
      <c r="B620" s="8"/>
      <c r="C620" s="8"/>
      <c r="D620" s="8"/>
    </row>
    <row r="621" spans="2:4" ht="13">
      <c r="B621" s="8"/>
      <c r="C621" s="8"/>
      <c r="D621" s="8"/>
    </row>
    <row r="622" spans="2:4" ht="13">
      <c r="B622" s="8"/>
      <c r="C622" s="8"/>
      <c r="D622" s="8"/>
    </row>
    <row r="623" spans="2:4" ht="13">
      <c r="B623" s="8"/>
      <c r="C623" s="8"/>
      <c r="D623" s="8"/>
    </row>
    <row r="624" spans="2:4" ht="13">
      <c r="B624" s="8"/>
      <c r="C624" s="8"/>
      <c r="D624" s="8"/>
    </row>
    <row r="625" spans="2:4" ht="13">
      <c r="B625" s="8"/>
      <c r="C625" s="8"/>
      <c r="D625" s="8"/>
    </row>
    <row r="626" spans="2:4" ht="13">
      <c r="B626" s="8"/>
      <c r="C626" s="8"/>
      <c r="D626" s="8"/>
    </row>
    <row r="627" spans="2:4" ht="13">
      <c r="B627" s="8"/>
      <c r="C627" s="8"/>
      <c r="D627" s="8"/>
    </row>
    <row r="628" spans="2:4" ht="13">
      <c r="B628" s="8"/>
      <c r="C628" s="8"/>
      <c r="D628" s="8"/>
    </row>
    <row r="629" spans="2:4" ht="13">
      <c r="B629" s="8"/>
      <c r="C629" s="8"/>
      <c r="D629" s="8"/>
    </row>
    <row r="630" spans="2:4" ht="13">
      <c r="B630" s="8"/>
      <c r="C630" s="8"/>
      <c r="D630" s="8"/>
    </row>
    <row r="631" spans="2:4" ht="13">
      <c r="B631" s="8"/>
      <c r="C631" s="8"/>
      <c r="D631" s="8"/>
    </row>
    <row r="632" spans="2:4" ht="13">
      <c r="B632" s="8"/>
      <c r="C632" s="8"/>
      <c r="D632" s="8"/>
    </row>
    <row r="633" spans="2:4" ht="13">
      <c r="B633" s="8"/>
      <c r="C633" s="8"/>
      <c r="D633" s="8"/>
    </row>
    <row r="634" spans="2:4" ht="13">
      <c r="B634" s="8"/>
      <c r="C634" s="8"/>
      <c r="D634" s="8"/>
    </row>
    <row r="635" spans="2:4" ht="13">
      <c r="B635" s="8"/>
      <c r="C635" s="8"/>
      <c r="D635" s="8"/>
    </row>
    <row r="636" spans="2:4" ht="13">
      <c r="B636" s="8"/>
      <c r="C636" s="8"/>
      <c r="D636" s="8"/>
    </row>
    <row r="637" spans="2:4" ht="13">
      <c r="B637" s="8"/>
      <c r="C637" s="8"/>
      <c r="D637" s="8"/>
    </row>
    <row r="638" spans="2:4" ht="13">
      <c r="B638" s="8"/>
      <c r="C638" s="8"/>
      <c r="D638" s="8"/>
    </row>
    <row r="639" spans="2:4" ht="13">
      <c r="B639" s="8"/>
      <c r="C639" s="8"/>
      <c r="D639" s="8"/>
    </row>
    <row r="640" spans="2:4" ht="13">
      <c r="B640" s="8"/>
      <c r="C640" s="8"/>
      <c r="D640" s="8"/>
    </row>
    <row r="641" spans="2:4" ht="13">
      <c r="B641" s="8"/>
      <c r="C641" s="8"/>
      <c r="D641" s="8"/>
    </row>
    <row r="642" spans="2:4" ht="13">
      <c r="B642" s="8"/>
      <c r="C642" s="8"/>
      <c r="D642" s="8"/>
    </row>
    <row r="643" spans="2:4" ht="13">
      <c r="B643" s="8"/>
      <c r="C643" s="8"/>
      <c r="D643" s="8"/>
    </row>
    <row r="644" spans="2:4" ht="13">
      <c r="B644" s="8"/>
      <c r="C644" s="8"/>
      <c r="D644" s="8"/>
    </row>
    <row r="645" spans="2:4" ht="13">
      <c r="B645" s="8"/>
      <c r="C645" s="8"/>
      <c r="D645" s="8"/>
    </row>
    <row r="646" spans="2:4" ht="13">
      <c r="B646" s="8"/>
      <c r="C646" s="8"/>
      <c r="D646" s="8"/>
    </row>
    <row r="647" spans="2:4" ht="13">
      <c r="B647" s="8"/>
      <c r="C647" s="8"/>
      <c r="D647" s="8"/>
    </row>
    <row r="648" spans="2:4" ht="13">
      <c r="B648" s="8"/>
      <c r="C648" s="8"/>
      <c r="D648" s="8"/>
    </row>
    <row r="649" spans="2:4" ht="13">
      <c r="B649" s="8"/>
      <c r="C649" s="8"/>
      <c r="D649" s="8"/>
    </row>
    <row r="650" spans="2:4" ht="13">
      <c r="B650" s="8"/>
      <c r="C650" s="8"/>
      <c r="D650" s="8"/>
    </row>
    <row r="651" spans="2:4" ht="13">
      <c r="B651" s="8"/>
      <c r="C651" s="8"/>
      <c r="D651" s="8"/>
    </row>
    <row r="652" spans="2:4" ht="13">
      <c r="B652" s="8"/>
      <c r="C652" s="8"/>
      <c r="D652" s="8"/>
    </row>
    <row r="653" spans="2:4" ht="13">
      <c r="B653" s="8"/>
      <c r="C653" s="8"/>
      <c r="D653" s="8"/>
    </row>
    <row r="654" spans="2:4" ht="13">
      <c r="B654" s="8"/>
      <c r="C654" s="8"/>
      <c r="D654" s="8"/>
    </row>
    <row r="655" spans="2:4" ht="13">
      <c r="B655" s="8"/>
      <c r="C655" s="8"/>
      <c r="D655" s="8"/>
    </row>
    <row r="656" spans="2:4" ht="13">
      <c r="B656" s="8"/>
      <c r="C656" s="8"/>
      <c r="D656" s="8"/>
    </row>
    <row r="657" spans="2:4" ht="13">
      <c r="B657" s="8"/>
      <c r="C657" s="8"/>
      <c r="D657" s="8"/>
    </row>
    <row r="658" spans="2:4" ht="13">
      <c r="B658" s="8"/>
      <c r="C658" s="8"/>
      <c r="D658" s="8"/>
    </row>
    <row r="659" spans="2:4" ht="13">
      <c r="B659" s="8"/>
      <c r="C659" s="8"/>
      <c r="D659" s="8"/>
    </row>
    <row r="660" spans="2:4" ht="13">
      <c r="B660" s="8"/>
      <c r="C660" s="8"/>
      <c r="D660" s="8"/>
    </row>
    <row r="661" spans="2:4" ht="13">
      <c r="B661" s="8"/>
      <c r="C661" s="8"/>
      <c r="D661" s="8"/>
    </row>
    <row r="662" spans="2:4" ht="13">
      <c r="B662" s="8"/>
      <c r="C662" s="8"/>
      <c r="D662" s="8"/>
    </row>
    <row r="663" spans="2:4" ht="13">
      <c r="B663" s="8"/>
      <c r="C663" s="8"/>
      <c r="D663" s="8"/>
    </row>
    <row r="664" spans="2:4" ht="13">
      <c r="B664" s="8"/>
      <c r="C664" s="8"/>
      <c r="D664" s="8"/>
    </row>
    <row r="665" spans="2:4" ht="13">
      <c r="B665" s="8"/>
      <c r="C665" s="8"/>
      <c r="D665" s="8"/>
    </row>
    <row r="666" spans="2:4" ht="13">
      <c r="B666" s="8"/>
      <c r="C666" s="8"/>
      <c r="D666" s="8"/>
    </row>
    <row r="667" spans="2:4" ht="13">
      <c r="B667" s="8"/>
      <c r="C667" s="8"/>
      <c r="D667" s="8"/>
    </row>
    <row r="668" spans="2:4" ht="13">
      <c r="B668" s="8"/>
      <c r="C668" s="8"/>
      <c r="D668" s="8"/>
    </row>
    <row r="669" spans="2:4" ht="13">
      <c r="B669" s="8"/>
      <c r="C669" s="8"/>
      <c r="D669" s="8"/>
    </row>
    <row r="670" spans="2:4" ht="13">
      <c r="B670" s="8"/>
      <c r="C670" s="8"/>
      <c r="D670" s="8"/>
    </row>
    <row r="671" spans="2:4" ht="13">
      <c r="B671" s="8"/>
      <c r="C671" s="8"/>
      <c r="D671" s="8"/>
    </row>
    <row r="672" spans="2:4" ht="13">
      <c r="B672" s="8"/>
      <c r="C672" s="8"/>
      <c r="D672" s="8"/>
    </row>
    <row r="673" spans="2:4" ht="13">
      <c r="B673" s="8"/>
      <c r="C673" s="8"/>
      <c r="D673" s="8"/>
    </row>
    <row r="674" spans="2:4" ht="13">
      <c r="B674" s="8"/>
      <c r="C674" s="8"/>
      <c r="D674" s="8"/>
    </row>
    <row r="675" spans="2:4" ht="13">
      <c r="B675" s="8"/>
      <c r="C675" s="8"/>
      <c r="D675" s="8"/>
    </row>
    <row r="676" spans="2:4" ht="13">
      <c r="B676" s="8"/>
      <c r="C676" s="8"/>
      <c r="D676" s="8"/>
    </row>
    <row r="677" spans="2:4" ht="13">
      <c r="B677" s="8"/>
      <c r="C677" s="8"/>
      <c r="D677" s="8"/>
    </row>
    <row r="678" spans="2:4" ht="13">
      <c r="B678" s="8"/>
      <c r="C678" s="8"/>
      <c r="D678" s="8"/>
    </row>
    <row r="679" spans="2:4" ht="13">
      <c r="B679" s="8"/>
      <c r="C679" s="8"/>
      <c r="D679" s="8"/>
    </row>
    <row r="680" spans="2:4" ht="13">
      <c r="B680" s="8"/>
      <c r="C680" s="8"/>
      <c r="D680" s="8"/>
    </row>
    <row r="681" spans="2:4" ht="13">
      <c r="B681" s="8"/>
      <c r="C681" s="8"/>
      <c r="D681" s="8"/>
    </row>
    <row r="682" spans="2:4" ht="13">
      <c r="B682" s="8"/>
      <c r="C682" s="8"/>
      <c r="D682" s="8"/>
    </row>
    <row r="683" spans="2:4" ht="13">
      <c r="B683" s="8"/>
      <c r="C683" s="8"/>
      <c r="D683" s="8"/>
    </row>
    <row r="684" spans="2:4" ht="13">
      <c r="B684" s="8"/>
      <c r="C684" s="8"/>
      <c r="D684" s="8"/>
    </row>
    <row r="685" spans="2:4" ht="13">
      <c r="B685" s="8"/>
      <c r="C685" s="8"/>
      <c r="D685" s="8"/>
    </row>
    <row r="686" spans="2:4" ht="13">
      <c r="B686" s="8"/>
      <c r="C686" s="8"/>
      <c r="D686" s="8"/>
    </row>
    <row r="687" spans="2:4" ht="13">
      <c r="B687" s="8"/>
      <c r="C687" s="8"/>
      <c r="D687" s="8"/>
    </row>
    <row r="688" spans="2:4" ht="13">
      <c r="B688" s="8"/>
      <c r="C688" s="8"/>
      <c r="D688" s="8"/>
    </row>
    <row r="689" spans="2:4" ht="13">
      <c r="B689" s="8"/>
      <c r="C689" s="8"/>
      <c r="D689" s="8"/>
    </row>
    <row r="690" spans="2:4" ht="13">
      <c r="B690" s="8"/>
      <c r="C690" s="8"/>
      <c r="D690" s="8"/>
    </row>
    <row r="691" spans="2:4" ht="13">
      <c r="B691" s="8"/>
      <c r="C691" s="8"/>
      <c r="D691" s="8"/>
    </row>
    <row r="692" spans="2:4" ht="13">
      <c r="B692" s="8"/>
      <c r="C692" s="8"/>
      <c r="D692" s="8"/>
    </row>
    <row r="693" spans="2:4" ht="13">
      <c r="B693" s="8"/>
      <c r="C693" s="8"/>
      <c r="D693" s="8"/>
    </row>
    <row r="694" spans="2:4" ht="13">
      <c r="B694" s="8"/>
      <c r="C694" s="8"/>
      <c r="D694" s="8"/>
    </row>
    <row r="695" spans="2:4" ht="13">
      <c r="B695" s="8"/>
      <c r="C695" s="8"/>
      <c r="D695" s="8"/>
    </row>
    <row r="696" spans="2:4" ht="13">
      <c r="B696" s="8"/>
      <c r="C696" s="8"/>
      <c r="D696" s="8"/>
    </row>
    <row r="697" spans="2:4" ht="13">
      <c r="B697" s="8"/>
      <c r="C697" s="8"/>
      <c r="D697" s="8"/>
    </row>
    <row r="698" spans="2:4" ht="13">
      <c r="B698" s="8"/>
      <c r="C698" s="8"/>
      <c r="D698" s="8"/>
    </row>
    <row r="699" spans="2:4" ht="13">
      <c r="B699" s="8"/>
      <c r="C699" s="8"/>
      <c r="D699" s="8"/>
    </row>
    <row r="700" spans="2:4" ht="13">
      <c r="B700" s="8"/>
      <c r="C700" s="8"/>
      <c r="D700" s="8"/>
    </row>
    <row r="701" spans="2:4" ht="13">
      <c r="B701" s="8"/>
      <c r="C701" s="8"/>
      <c r="D701" s="8"/>
    </row>
    <row r="702" spans="2:4" ht="13">
      <c r="B702" s="8"/>
      <c r="C702" s="8"/>
      <c r="D702" s="8"/>
    </row>
    <row r="703" spans="2:4" ht="13">
      <c r="B703" s="8"/>
      <c r="C703" s="8"/>
      <c r="D703" s="8"/>
    </row>
    <row r="704" spans="2:4" ht="13">
      <c r="B704" s="8"/>
      <c r="C704" s="8"/>
      <c r="D704" s="8"/>
    </row>
    <row r="705" spans="2:4" ht="13">
      <c r="B705" s="8"/>
      <c r="C705" s="8"/>
      <c r="D705" s="8"/>
    </row>
    <row r="706" spans="2:4" ht="13">
      <c r="B706" s="8"/>
      <c r="C706" s="8"/>
      <c r="D706" s="8"/>
    </row>
    <row r="707" spans="2:4" ht="13">
      <c r="B707" s="8"/>
      <c r="C707" s="8"/>
      <c r="D707" s="8"/>
    </row>
    <row r="708" spans="2:4" ht="13">
      <c r="B708" s="8"/>
      <c r="C708" s="8"/>
      <c r="D708" s="8"/>
    </row>
    <row r="709" spans="2:4" ht="13">
      <c r="B709" s="8"/>
      <c r="C709" s="8"/>
      <c r="D709" s="8"/>
    </row>
    <row r="710" spans="2:4" ht="13">
      <c r="B710" s="8"/>
      <c r="C710" s="8"/>
      <c r="D710" s="8"/>
    </row>
    <row r="711" spans="2:4" ht="13">
      <c r="B711" s="8"/>
      <c r="C711" s="8"/>
      <c r="D711" s="8"/>
    </row>
    <row r="712" spans="2:4" ht="13">
      <c r="B712" s="8"/>
      <c r="C712" s="8"/>
      <c r="D712" s="8"/>
    </row>
    <row r="713" spans="2:4" ht="13">
      <c r="B713" s="8"/>
      <c r="C713" s="8"/>
      <c r="D713" s="8"/>
    </row>
    <row r="714" spans="2:4" ht="13">
      <c r="B714" s="8"/>
      <c r="C714" s="8"/>
      <c r="D714" s="8"/>
    </row>
    <row r="715" spans="2:4" ht="13">
      <c r="B715" s="8"/>
      <c r="C715" s="8"/>
      <c r="D715" s="8"/>
    </row>
    <row r="716" spans="2:4" ht="13">
      <c r="B716" s="8"/>
      <c r="C716" s="8"/>
      <c r="D716" s="8"/>
    </row>
    <row r="717" spans="2:4" ht="13">
      <c r="B717" s="8"/>
      <c r="C717" s="8"/>
      <c r="D717" s="8"/>
    </row>
    <row r="718" spans="2:4" ht="13">
      <c r="B718" s="8"/>
      <c r="C718" s="8"/>
      <c r="D718" s="8"/>
    </row>
    <row r="719" spans="2:4" ht="13">
      <c r="B719" s="8"/>
      <c r="C719" s="8"/>
      <c r="D719" s="8"/>
    </row>
    <row r="720" spans="2:4" ht="13">
      <c r="B720" s="8"/>
      <c r="C720" s="8"/>
      <c r="D720" s="8"/>
    </row>
    <row r="721" spans="2:4" ht="13">
      <c r="B721" s="8"/>
      <c r="C721" s="8"/>
      <c r="D721" s="8"/>
    </row>
    <row r="722" spans="2:4" ht="13">
      <c r="B722" s="8"/>
      <c r="C722" s="8"/>
      <c r="D722" s="8"/>
    </row>
    <row r="723" spans="2:4" ht="13">
      <c r="B723" s="8"/>
      <c r="C723" s="8"/>
      <c r="D723" s="8"/>
    </row>
    <row r="724" spans="2:4" ht="13">
      <c r="B724" s="8"/>
      <c r="C724" s="8"/>
      <c r="D724" s="8"/>
    </row>
    <row r="725" spans="2:4" ht="13">
      <c r="B725" s="8"/>
      <c r="C725" s="8"/>
      <c r="D725" s="8"/>
    </row>
    <row r="726" spans="2:4" ht="13">
      <c r="B726" s="8"/>
      <c r="C726" s="8"/>
      <c r="D726" s="8"/>
    </row>
    <row r="727" spans="2:4" ht="13">
      <c r="B727" s="8"/>
      <c r="C727" s="8"/>
      <c r="D727" s="8"/>
    </row>
    <row r="728" spans="2:4" ht="13">
      <c r="B728" s="8"/>
      <c r="C728" s="8"/>
      <c r="D728" s="8"/>
    </row>
    <row r="729" spans="2:4" ht="13">
      <c r="B729" s="8"/>
      <c r="C729" s="8"/>
      <c r="D729" s="8"/>
    </row>
    <row r="730" spans="2:4" ht="13">
      <c r="B730" s="8"/>
      <c r="C730" s="8"/>
      <c r="D730" s="8"/>
    </row>
    <row r="731" spans="2:4" ht="13">
      <c r="B731" s="8"/>
      <c r="C731" s="8"/>
      <c r="D731" s="8"/>
    </row>
    <row r="732" spans="2:4" ht="13">
      <c r="B732" s="8"/>
      <c r="C732" s="8"/>
      <c r="D732" s="8"/>
    </row>
    <row r="733" spans="2:4" ht="13">
      <c r="B733" s="8"/>
      <c r="C733" s="8"/>
      <c r="D733" s="8"/>
    </row>
    <row r="734" spans="2:4" ht="13">
      <c r="B734" s="8"/>
      <c r="C734" s="8"/>
      <c r="D734" s="8"/>
    </row>
    <row r="735" spans="2:4" ht="13">
      <c r="B735" s="8"/>
      <c r="C735" s="8"/>
      <c r="D735" s="8"/>
    </row>
    <row r="736" spans="2:4" ht="13">
      <c r="B736" s="8"/>
      <c r="C736" s="8"/>
      <c r="D736" s="8"/>
    </row>
    <row r="737" spans="2:4" ht="13">
      <c r="B737" s="8"/>
      <c r="C737" s="8"/>
      <c r="D737" s="8"/>
    </row>
    <row r="738" spans="2:4" ht="13">
      <c r="B738" s="8"/>
      <c r="C738" s="8"/>
      <c r="D738" s="8"/>
    </row>
    <row r="739" spans="2:4" ht="13">
      <c r="B739" s="8"/>
      <c r="C739" s="8"/>
      <c r="D739" s="8"/>
    </row>
    <row r="740" spans="2:4" ht="13">
      <c r="B740" s="8"/>
      <c r="C740" s="8"/>
      <c r="D740" s="8"/>
    </row>
    <row r="741" spans="2:4" ht="13">
      <c r="B741" s="8"/>
      <c r="C741" s="8"/>
      <c r="D741" s="8"/>
    </row>
    <row r="742" spans="2:4" ht="13">
      <c r="B742" s="8"/>
      <c r="C742" s="8"/>
      <c r="D742" s="8"/>
    </row>
    <row r="743" spans="2:4" ht="13">
      <c r="B743" s="8"/>
      <c r="C743" s="8"/>
      <c r="D743" s="8"/>
    </row>
    <row r="744" spans="2:4" ht="13">
      <c r="B744" s="8"/>
      <c r="C744" s="8"/>
      <c r="D744" s="8"/>
    </row>
    <row r="745" spans="2:4" ht="13">
      <c r="B745" s="8"/>
      <c r="C745" s="8"/>
      <c r="D745" s="8"/>
    </row>
    <row r="746" spans="2:4" ht="13">
      <c r="B746" s="8"/>
      <c r="C746" s="8"/>
      <c r="D746" s="8"/>
    </row>
    <row r="747" spans="2:4" ht="13">
      <c r="B747" s="8"/>
      <c r="C747" s="8"/>
      <c r="D747" s="8"/>
    </row>
    <row r="748" spans="2:4" ht="13">
      <c r="B748" s="8"/>
      <c r="C748" s="8"/>
      <c r="D748" s="8"/>
    </row>
    <row r="749" spans="2:4" ht="13">
      <c r="B749" s="8"/>
      <c r="C749" s="8"/>
      <c r="D749" s="8"/>
    </row>
    <row r="750" spans="2:4" ht="13">
      <c r="B750" s="8"/>
      <c r="C750" s="8"/>
      <c r="D750" s="8"/>
    </row>
    <row r="751" spans="2:4" ht="13">
      <c r="B751" s="8"/>
      <c r="C751" s="8"/>
      <c r="D751" s="8"/>
    </row>
    <row r="752" spans="2:4" ht="13">
      <c r="B752" s="8"/>
      <c r="C752" s="8"/>
      <c r="D752" s="8"/>
    </row>
    <row r="753" spans="2:4" ht="13">
      <c r="B753" s="8"/>
      <c r="C753" s="8"/>
      <c r="D753" s="8"/>
    </row>
    <row r="754" spans="2:4" ht="13">
      <c r="B754" s="8"/>
      <c r="C754" s="8"/>
      <c r="D754" s="8"/>
    </row>
    <row r="755" spans="2:4" ht="13">
      <c r="B755" s="8"/>
      <c r="C755" s="8"/>
      <c r="D755" s="8"/>
    </row>
    <row r="756" spans="2:4" ht="13">
      <c r="B756" s="8"/>
      <c r="C756" s="8"/>
      <c r="D756" s="8"/>
    </row>
    <row r="757" spans="2:4" ht="13">
      <c r="B757" s="8"/>
      <c r="C757" s="8"/>
      <c r="D757" s="8"/>
    </row>
    <row r="758" spans="2:4" ht="13">
      <c r="B758" s="8"/>
      <c r="C758" s="8"/>
      <c r="D758" s="8"/>
    </row>
    <row r="759" spans="2:4" ht="13">
      <c r="B759" s="8"/>
      <c r="C759" s="8"/>
      <c r="D759" s="8"/>
    </row>
    <row r="760" spans="2:4" ht="13">
      <c r="B760" s="8"/>
      <c r="C760" s="8"/>
      <c r="D760" s="8"/>
    </row>
    <row r="761" spans="2:4" ht="13">
      <c r="B761" s="8"/>
      <c r="C761" s="8"/>
      <c r="D761" s="8"/>
    </row>
    <row r="762" spans="2:4" ht="13">
      <c r="B762" s="8"/>
      <c r="C762" s="8"/>
      <c r="D762" s="8"/>
    </row>
    <row r="763" spans="2:4" ht="13">
      <c r="B763" s="8"/>
      <c r="C763" s="8"/>
      <c r="D763" s="8"/>
    </row>
    <row r="764" spans="2:4" ht="13">
      <c r="B764" s="8"/>
      <c r="C764" s="8"/>
      <c r="D764" s="8"/>
    </row>
    <row r="765" spans="2:4" ht="13">
      <c r="B765" s="8"/>
      <c r="C765" s="8"/>
      <c r="D765" s="8"/>
    </row>
    <row r="766" spans="2:4" ht="13">
      <c r="B766" s="8"/>
      <c r="C766" s="8"/>
      <c r="D766" s="8"/>
    </row>
    <row r="767" spans="2:4" ht="13">
      <c r="B767" s="8"/>
      <c r="C767" s="8"/>
      <c r="D767" s="8"/>
    </row>
    <row r="768" spans="2:4" ht="13">
      <c r="B768" s="8"/>
      <c r="C768" s="8"/>
      <c r="D768" s="8"/>
    </row>
    <row r="769" spans="2:4" ht="13">
      <c r="B769" s="8"/>
      <c r="C769" s="8"/>
      <c r="D769" s="8"/>
    </row>
    <row r="770" spans="2:4" ht="13">
      <c r="B770" s="8"/>
      <c r="C770" s="8"/>
      <c r="D770" s="8"/>
    </row>
    <row r="771" spans="2:4" ht="13">
      <c r="B771" s="8"/>
      <c r="C771" s="8"/>
      <c r="D771" s="8"/>
    </row>
    <row r="772" spans="2:4" ht="13">
      <c r="B772" s="8"/>
      <c r="C772" s="8"/>
      <c r="D772" s="8"/>
    </row>
    <row r="773" spans="2:4" ht="13">
      <c r="B773" s="8"/>
      <c r="C773" s="8"/>
      <c r="D773" s="8"/>
    </row>
    <row r="774" spans="2:4" ht="13">
      <c r="B774" s="8"/>
      <c r="C774" s="8"/>
      <c r="D774" s="8"/>
    </row>
    <row r="775" spans="2:4" ht="13">
      <c r="B775" s="8"/>
      <c r="C775" s="8"/>
      <c r="D775" s="8"/>
    </row>
    <row r="776" spans="2:4" ht="13">
      <c r="B776" s="8"/>
      <c r="C776" s="8"/>
      <c r="D776" s="8"/>
    </row>
    <row r="777" spans="2:4" ht="13">
      <c r="B777" s="8"/>
      <c r="C777" s="8"/>
      <c r="D777" s="8"/>
    </row>
    <row r="778" spans="2:4" ht="13">
      <c r="B778" s="8"/>
      <c r="C778" s="8"/>
      <c r="D778" s="8"/>
    </row>
    <row r="779" spans="2:4" ht="13">
      <c r="B779" s="8"/>
      <c r="C779" s="8"/>
      <c r="D779" s="8"/>
    </row>
    <row r="780" spans="2:4" ht="13">
      <c r="B780" s="8"/>
      <c r="C780" s="8"/>
      <c r="D780" s="8"/>
    </row>
    <row r="781" spans="2:4" ht="13">
      <c r="B781" s="8"/>
      <c r="C781" s="8"/>
      <c r="D781" s="8"/>
    </row>
    <row r="782" spans="2:4" ht="13">
      <c r="B782" s="8"/>
      <c r="C782" s="8"/>
      <c r="D782" s="8"/>
    </row>
    <row r="783" spans="2:4" ht="13">
      <c r="B783" s="8"/>
      <c r="C783" s="8"/>
      <c r="D783" s="8"/>
    </row>
    <row r="784" spans="2:4" ht="13">
      <c r="B784" s="8"/>
      <c r="C784" s="8"/>
      <c r="D784" s="8"/>
    </row>
    <row r="785" spans="2:4" ht="13">
      <c r="B785" s="8"/>
      <c r="C785" s="8"/>
      <c r="D785" s="8"/>
    </row>
    <row r="786" spans="2:4" ht="13">
      <c r="B786" s="8"/>
      <c r="C786" s="8"/>
      <c r="D786" s="8"/>
    </row>
    <row r="787" spans="2:4" ht="13">
      <c r="B787" s="8"/>
      <c r="C787" s="8"/>
      <c r="D787" s="8"/>
    </row>
    <row r="788" spans="2:4" ht="13">
      <c r="B788" s="8"/>
      <c r="C788" s="8"/>
      <c r="D788" s="8"/>
    </row>
    <row r="789" spans="2:4" ht="13">
      <c r="B789" s="8"/>
      <c r="C789" s="8"/>
      <c r="D789" s="8"/>
    </row>
    <row r="790" spans="2:4" ht="13">
      <c r="B790" s="8"/>
      <c r="C790" s="8"/>
      <c r="D790" s="8"/>
    </row>
    <row r="791" spans="2:4" ht="13">
      <c r="B791" s="8"/>
      <c r="C791" s="8"/>
      <c r="D791" s="8"/>
    </row>
    <row r="792" spans="2:4" ht="13">
      <c r="B792" s="8"/>
      <c r="C792" s="8"/>
      <c r="D792" s="8"/>
    </row>
    <row r="793" spans="2:4" ht="13">
      <c r="B793" s="8"/>
      <c r="C793" s="8"/>
      <c r="D793" s="8"/>
    </row>
    <row r="794" spans="2:4" ht="13">
      <c r="B794" s="8"/>
      <c r="C794" s="8"/>
      <c r="D794" s="8"/>
    </row>
    <row r="795" spans="2:4" ht="13">
      <c r="B795" s="8"/>
      <c r="C795" s="8"/>
      <c r="D795" s="8"/>
    </row>
    <row r="796" spans="2:4" ht="13">
      <c r="B796" s="8"/>
      <c r="C796" s="8"/>
      <c r="D796" s="8"/>
    </row>
    <row r="797" spans="2:4" ht="13">
      <c r="B797" s="8"/>
      <c r="C797" s="8"/>
      <c r="D797" s="8"/>
    </row>
    <row r="798" spans="2:4" ht="13">
      <c r="B798" s="8"/>
      <c r="C798" s="8"/>
      <c r="D798" s="8"/>
    </row>
    <row r="799" spans="2:4" ht="13">
      <c r="B799" s="8"/>
      <c r="C799" s="8"/>
      <c r="D799" s="8"/>
    </row>
    <row r="800" spans="2:4" ht="13">
      <c r="B800" s="8"/>
      <c r="C800" s="8"/>
      <c r="D800" s="8"/>
    </row>
    <row r="801" spans="2:4" ht="13">
      <c r="B801" s="8"/>
      <c r="C801" s="8"/>
      <c r="D801" s="8"/>
    </row>
    <row r="802" spans="2:4" ht="13">
      <c r="B802" s="8"/>
      <c r="C802" s="8"/>
      <c r="D802" s="8"/>
    </row>
    <row r="803" spans="2:4" ht="13">
      <c r="B803" s="8"/>
      <c r="C803" s="8"/>
      <c r="D803" s="8"/>
    </row>
    <row r="804" spans="2:4" ht="13">
      <c r="B804" s="8"/>
      <c r="C804" s="8"/>
      <c r="D804" s="8"/>
    </row>
    <row r="805" spans="2:4" ht="13">
      <c r="B805" s="8"/>
      <c r="C805" s="8"/>
      <c r="D805" s="8"/>
    </row>
    <row r="806" spans="2:4" ht="13">
      <c r="B806" s="8"/>
      <c r="C806" s="8"/>
      <c r="D806" s="8"/>
    </row>
    <row r="807" spans="2:4" ht="13">
      <c r="B807" s="8"/>
      <c r="C807" s="8"/>
      <c r="D807" s="8"/>
    </row>
    <row r="808" spans="2:4" ht="13">
      <c r="B808" s="8"/>
      <c r="C808" s="8"/>
      <c r="D808" s="8"/>
    </row>
    <row r="809" spans="2:4" ht="13">
      <c r="B809" s="8"/>
      <c r="C809" s="8"/>
      <c r="D809" s="8"/>
    </row>
    <row r="810" spans="2:4" ht="13">
      <c r="B810" s="8"/>
      <c r="C810" s="8"/>
      <c r="D810" s="8"/>
    </row>
    <row r="811" spans="2:4" ht="13">
      <c r="B811" s="8"/>
      <c r="C811" s="8"/>
      <c r="D811" s="8"/>
    </row>
    <row r="812" spans="2:4" ht="13">
      <c r="B812" s="8"/>
      <c r="C812" s="8"/>
      <c r="D812" s="8"/>
    </row>
    <row r="813" spans="2:4" ht="13">
      <c r="B813" s="8"/>
      <c r="C813" s="8"/>
      <c r="D813" s="8"/>
    </row>
    <row r="814" spans="2:4" ht="13">
      <c r="B814" s="8"/>
      <c r="C814" s="8"/>
      <c r="D814" s="8"/>
    </row>
    <row r="815" spans="2:4" ht="13">
      <c r="B815" s="8"/>
      <c r="C815" s="8"/>
      <c r="D815" s="8"/>
    </row>
    <row r="816" spans="2:4" ht="13">
      <c r="B816" s="8"/>
      <c r="C816" s="8"/>
      <c r="D816" s="8"/>
    </row>
    <row r="817" spans="2:4" ht="13">
      <c r="B817" s="8"/>
      <c r="C817" s="8"/>
      <c r="D817" s="8"/>
    </row>
    <row r="818" spans="2:4" ht="13">
      <c r="B818" s="8"/>
      <c r="C818" s="8"/>
      <c r="D818" s="8"/>
    </row>
    <row r="819" spans="2:4" ht="13">
      <c r="B819" s="8"/>
      <c r="C819" s="8"/>
      <c r="D819" s="8"/>
    </row>
    <row r="820" spans="2:4" ht="13">
      <c r="B820" s="8"/>
      <c r="C820" s="8"/>
      <c r="D820" s="8"/>
    </row>
    <row r="821" spans="2:4" ht="13">
      <c r="B821" s="8"/>
      <c r="C821" s="8"/>
      <c r="D821" s="8"/>
    </row>
    <row r="822" spans="2:4" ht="13">
      <c r="B822" s="8"/>
      <c r="C822" s="8"/>
      <c r="D822" s="8"/>
    </row>
    <row r="823" spans="2:4" ht="13">
      <c r="B823" s="8"/>
      <c r="C823" s="8"/>
      <c r="D823" s="8"/>
    </row>
    <row r="824" spans="2:4" ht="13">
      <c r="B824" s="8"/>
      <c r="C824" s="8"/>
      <c r="D824" s="8"/>
    </row>
    <row r="825" spans="2:4" ht="13">
      <c r="B825" s="8"/>
      <c r="C825" s="8"/>
      <c r="D825" s="8"/>
    </row>
    <row r="826" spans="2:4" ht="13">
      <c r="B826" s="8"/>
      <c r="C826" s="8"/>
      <c r="D826" s="8"/>
    </row>
    <row r="827" spans="2:4" ht="13">
      <c r="B827" s="8"/>
      <c r="C827" s="8"/>
      <c r="D827" s="8"/>
    </row>
    <row r="828" spans="2:4" ht="13">
      <c r="B828" s="8"/>
      <c r="C828" s="8"/>
      <c r="D828" s="8"/>
    </row>
    <row r="829" spans="2:4" ht="13">
      <c r="B829" s="8"/>
      <c r="C829" s="8"/>
      <c r="D829" s="8"/>
    </row>
    <row r="830" spans="2:4" ht="13">
      <c r="B830" s="8"/>
      <c r="C830" s="8"/>
      <c r="D830" s="8"/>
    </row>
    <row r="831" spans="2:4" ht="13">
      <c r="B831" s="8"/>
      <c r="C831" s="8"/>
      <c r="D831" s="8"/>
    </row>
    <row r="832" spans="2:4" ht="13">
      <c r="B832" s="8"/>
      <c r="C832" s="8"/>
      <c r="D832" s="8"/>
    </row>
    <row r="833" spans="2:4" ht="13">
      <c r="B833" s="8"/>
      <c r="C833" s="8"/>
      <c r="D833" s="8"/>
    </row>
    <row r="834" spans="2:4" ht="13">
      <c r="B834" s="8"/>
      <c r="C834" s="8"/>
      <c r="D834" s="8"/>
    </row>
    <row r="835" spans="2:4" ht="13">
      <c r="B835" s="8"/>
      <c r="C835" s="8"/>
      <c r="D835" s="8"/>
    </row>
    <row r="836" spans="2:4" ht="13">
      <c r="B836" s="8"/>
      <c r="C836" s="8"/>
      <c r="D836" s="8"/>
    </row>
    <row r="837" spans="2:4" ht="13">
      <c r="B837" s="8"/>
      <c r="C837" s="8"/>
      <c r="D837" s="8"/>
    </row>
    <row r="838" spans="2:4" ht="13">
      <c r="B838" s="8"/>
      <c r="C838" s="8"/>
      <c r="D838" s="8"/>
    </row>
    <row r="839" spans="2:4" ht="13">
      <c r="B839" s="8"/>
      <c r="C839" s="8"/>
      <c r="D839" s="8"/>
    </row>
    <row r="840" spans="2:4" ht="13">
      <c r="B840" s="8"/>
      <c r="C840" s="8"/>
      <c r="D840" s="8"/>
    </row>
    <row r="841" spans="2:4" ht="13">
      <c r="B841" s="8"/>
      <c r="C841" s="8"/>
      <c r="D841" s="8"/>
    </row>
    <row r="842" spans="2:4" ht="13">
      <c r="B842" s="8"/>
      <c r="C842" s="8"/>
      <c r="D842" s="8"/>
    </row>
    <row r="843" spans="2:4" ht="13">
      <c r="B843" s="8"/>
      <c r="C843" s="8"/>
      <c r="D843" s="8"/>
    </row>
    <row r="844" spans="2:4" ht="13">
      <c r="B844" s="8"/>
      <c r="C844" s="8"/>
      <c r="D844" s="8"/>
    </row>
    <row r="845" spans="2:4" ht="13">
      <c r="B845" s="8"/>
      <c r="C845" s="8"/>
      <c r="D845" s="8"/>
    </row>
    <row r="846" spans="2:4" ht="13">
      <c r="B846" s="8"/>
      <c r="C846" s="8"/>
      <c r="D846" s="8"/>
    </row>
    <row r="847" spans="2:4" ht="13">
      <c r="B847" s="8"/>
      <c r="C847" s="8"/>
      <c r="D847" s="8"/>
    </row>
    <row r="848" spans="2:4" ht="13">
      <c r="B848" s="8"/>
      <c r="C848" s="8"/>
      <c r="D848" s="8"/>
    </row>
    <row r="849" spans="2:4" ht="13">
      <c r="B849" s="8"/>
      <c r="C849" s="8"/>
      <c r="D849" s="8"/>
    </row>
    <row r="850" spans="2:4" ht="13">
      <c r="B850" s="8"/>
      <c r="C850" s="8"/>
      <c r="D850" s="8"/>
    </row>
    <row r="851" spans="2:4" ht="13">
      <c r="B851" s="8"/>
      <c r="C851" s="8"/>
      <c r="D851" s="8"/>
    </row>
    <row r="852" spans="2:4" ht="13">
      <c r="B852" s="8"/>
      <c r="C852" s="8"/>
      <c r="D852" s="8"/>
    </row>
    <row r="853" spans="2:4" ht="13">
      <c r="B853" s="8"/>
      <c r="C853" s="8"/>
      <c r="D853" s="8"/>
    </row>
    <row r="854" spans="2:4" ht="13">
      <c r="B854" s="8"/>
      <c r="C854" s="8"/>
      <c r="D854" s="8"/>
    </row>
    <row r="855" spans="2:4" ht="13">
      <c r="B855" s="8"/>
      <c r="C855" s="8"/>
      <c r="D855" s="8"/>
    </row>
    <row r="856" spans="2:4" ht="13">
      <c r="B856" s="8"/>
      <c r="C856" s="8"/>
      <c r="D856" s="8"/>
    </row>
    <row r="857" spans="2:4" ht="13">
      <c r="B857" s="8"/>
      <c r="C857" s="8"/>
      <c r="D857" s="8"/>
    </row>
    <row r="858" spans="2:4" ht="13">
      <c r="B858" s="8"/>
      <c r="C858" s="8"/>
      <c r="D858" s="8"/>
    </row>
    <row r="859" spans="2:4" ht="13">
      <c r="B859" s="8"/>
      <c r="C859" s="8"/>
      <c r="D859" s="8"/>
    </row>
    <row r="860" spans="2:4" ht="13">
      <c r="B860" s="8"/>
      <c r="C860" s="8"/>
      <c r="D860" s="8"/>
    </row>
    <row r="861" spans="2:4" ht="13">
      <c r="B861" s="8"/>
      <c r="C861" s="8"/>
      <c r="D861" s="8"/>
    </row>
    <row r="862" spans="2:4" ht="13">
      <c r="B862" s="8"/>
      <c r="C862" s="8"/>
      <c r="D862" s="8"/>
    </row>
    <row r="863" spans="2:4" ht="13">
      <c r="B863" s="8"/>
      <c r="C863" s="8"/>
      <c r="D863" s="8"/>
    </row>
    <row r="864" spans="2:4" ht="13">
      <c r="B864" s="8"/>
      <c r="C864" s="8"/>
      <c r="D864" s="8"/>
    </row>
    <row r="865" spans="2:4" ht="13">
      <c r="B865" s="8"/>
      <c r="C865" s="8"/>
      <c r="D865" s="8"/>
    </row>
    <row r="866" spans="2:4" ht="13">
      <c r="B866" s="8"/>
      <c r="C866" s="8"/>
      <c r="D866" s="8"/>
    </row>
    <row r="867" spans="2:4" ht="13">
      <c r="B867" s="8"/>
      <c r="C867" s="8"/>
      <c r="D867" s="8"/>
    </row>
    <row r="868" spans="2:4" ht="13">
      <c r="B868" s="8"/>
      <c r="C868" s="8"/>
      <c r="D868" s="8"/>
    </row>
    <row r="869" spans="2:4" ht="13">
      <c r="B869" s="8"/>
      <c r="C869" s="8"/>
      <c r="D869" s="8"/>
    </row>
    <row r="870" spans="2:4" ht="13">
      <c r="B870" s="8"/>
      <c r="C870" s="8"/>
      <c r="D870" s="8"/>
    </row>
    <row r="871" spans="2:4" ht="13">
      <c r="B871" s="8"/>
      <c r="C871" s="8"/>
      <c r="D871" s="8"/>
    </row>
    <row r="872" spans="2:4" ht="13">
      <c r="B872" s="8"/>
      <c r="C872" s="8"/>
      <c r="D872" s="8"/>
    </row>
    <row r="873" spans="2:4" ht="13">
      <c r="B873" s="8"/>
      <c r="C873" s="8"/>
      <c r="D873" s="8"/>
    </row>
    <row r="874" spans="2:4" ht="13">
      <c r="B874" s="8"/>
      <c r="C874" s="8"/>
      <c r="D874" s="8"/>
    </row>
    <row r="875" spans="2:4" ht="13">
      <c r="B875" s="8"/>
      <c r="C875" s="8"/>
      <c r="D875" s="8"/>
    </row>
    <row r="876" spans="2:4" ht="13">
      <c r="B876" s="8"/>
      <c r="C876" s="8"/>
      <c r="D876" s="8"/>
    </row>
    <row r="877" spans="2:4" ht="13">
      <c r="B877" s="8"/>
      <c r="C877" s="8"/>
      <c r="D877" s="8"/>
    </row>
    <row r="878" spans="2:4" ht="13">
      <c r="B878" s="8"/>
      <c r="C878" s="8"/>
      <c r="D878" s="8"/>
    </row>
    <row r="879" spans="2:4" ht="13">
      <c r="B879" s="8"/>
      <c r="C879" s="8"/>
      <c r="D879" s="8"/>
    </row>
    <row r="880" spans="2:4" ht="13">
      <c r="B880" s="8"/>
      <c r="C880" s="8"/>
      <c r="D880" s="8"/>
    </row>
    <row r="881" spans="2:4" ht="13">
      <c r="B881" s="8"/>
      <c r="C881" s="8"/>
      <c r="D881" s="8"/>
    </row>
    <row r="882" spans="2:4" ht="13">
      <c r="B882" s="8"/>
      <c r="C882" s="8"/>
      <c r="D882" s="8"/>
    </row>
    <row r="883" spans="2:4" ht="13">
      <c r="B883" s="8"/>
      <c r="C883" s="8"/>
      <c r="D883" s="8"/>
    </row>
    <row r="884" spans="2:4" ht="13">
      <c r="B884" s="8"/>
      <c r="C884" s="8"/>
      <c r="D884" s="8"/>
    </row>
    <row r="885" spans="2:4" ht="13">
      <c r="B885" s="8"/>
      <c r="C885" s="8"/>
      <c r="D885" s="8"/>
    </row>
    <row r="886" spans="2:4" ht="13">
      <c r="B886" s="8"/>
      <c r="C886" s="8"/>
      <c r="D886" s="8"/>
    </row>
    <row r="887" spans="2:4" ht="13">
      <c r="B887" s="8"/>
      <c r="C887" s="8"/>
      <c r="D887" s="8"/>
    </row>
    <row r="888" spans="2:4" ht="13">
      <c r="B888" s="8"/>
      <c r="C888" s="8"/>
      <c r="D888" s="8"/>
    </row>
    <row r="889" spans="2:4" ht="13">
      <c r="B889" s="8"/>
      <c r="C889" s="8"/>
      <c r="D889" s="8"/>
    </row>
    <row r="890" spans="2:4" ht="13">
      <c r="B890" s="8"/>
      <c r="C890" s="8"/>
      <c r="D890" s="8"/>
    </row>
    <row r="891" spans="2:4" ht="13">
      <c r="B891" s="8"/>
      <c r="C891" s="8"/>
      <c r="D891" s="8"/>
    </row>
    <row r="892" spans="2:4" ht="13">
      <c r="B892" s="8"/>
      <c r="C892" s="8"/>
      <c r="D892" s="8"/>
    </row>
    <row r="893" spans="2:4" ht="13">
      <c r="B893" s="8"/>
      <c r="C893" s="8"/>
      <c r="D893" s="8"/>
    </row>
    <row r="894" spans="2:4" ht="13">
      <c r="B894" s="8"/>
      <c r="C894" s="8"/>
      <c r="D894" s="8"/>
    </row>
    <row r="895" spans="2:4" ht="13">
      <c r="B895" s="8"/>
      <c r="C895" s="8"/>
      <c r="D895" s="8"/>
    </row>
    <row r="896" spans="2:4" ht="13">
      <c r="B896" s="8"/>
      <c r="C896" s="8"/>
      <c r="D896" s="8"/>
    </row>
    <row r="897" spans="2:4" ht="13">
      <c r="B897" s="8"/>
      <c r="C897" s="8"/>
      <c r="D897" s="8"/>
    </row>
    <row r="898" spans="2:4" ht="13">
      <c r="B898" s="8"/>
      <c r="C898" s="8"/>
      <c r="D898" s="8"/>
    </row>
    <row r="899" spans="2:4" ht="13">
      <c r="B899" s="8"/>
      <c r="C899" s="8"/>
      <c r="D899" s="8"/>
    </row>
    <row r="900" spans="2:4" ht="13">
      <c r="B900" s="8"/>
      <c r="C900" s="8"/>
      <c r="D900" s="8"/>
    </row>
    <row r="901" spans="2:4" ht="13">
      <c r="B901" s="8"/>
      <c r="C901" s="8"/>
      <c r="D901" s="8"/>
    </row>
    <row r="902" spans="2:4" ht="13">
      <c r="B902" s="8"/>
      <c r="C902" s="8"/>
      <c r="D902" s="8"/>
    </row>
    <row r="903" spans="2:4" ht="13">
      <c r="B903" s="8"/>
      <c r="C903" s="8"/>
      <c r="D903" s="8"/>
    </row>
    <row r="904" spans="2:4" ht="13">
      <c r="B904" s="8"/>
      <c r="C904" s="8"/>
      <c r="D904" s="8"/>
    </row>
    <row r="905" spans="2:4" ht="13">
      <c r="B905" s="8"/>
      <c r="C905" s="8"/>
      <c r="D905" s="8"/>
    </row>
    <row r="906" spans="2:4" ht="13">
      <c r="B906" s="8"/>
      <c r="C906" s="8"/>
      <c r="D906" s="8"/>
    </row>
    <row r="907" spans="2:4" ht="13">
      <c r="B907" s="8"/>
      <c r="C907" s="8"/>
      <c r="D907" s="8"/>
    </row>
    <row r="908" spans="2:4" ht="13">
      <c r="B908" s="8"/>
      <c r="C908" s="8"/>
      <c r="D908" s="8"/>
    </row>
    <row r="909" spans="2:4" ht="13">
      <c r="B909" s="8"/>
      <c r="C909" s="8"/>
      <c r="D909" s="8"/>
    </row>
    <row r="910" spans="2:4" ht="13">
      <c r="B910" s="8"/>
      <c r="C910" s="8"/>
      <c r="D910" s="8"/>
    </row>
    <row r="911" spans="2:4" ht="13">
      <c r="B911" s="8"/>
      <c r="C911" s="8"/>
      <c r="D911" s="8"/>
    </row>
    <row r="912" spans="2:4" ht="13">
      <c r="B912" s="8"/>
      <c r="C912" s="8"/>
      <c r="D912" s="8"/>
    </row>
    <row r="913" spans="2:4" ht="13">
      <c r="B913" s="8"/>
      <c r="C913" s="8"/>
      <c r="D913" s="8"/>
    </row>
    <row r="914" spans="2:4" ht="13">
      <c r="B914" s="8"/>
      <c r="C914" s="8"/>
      <c r="D914" s="8"/>
    </row>
    <row r="915" spans="2:4" ht="13">
      <c r="B915" s="8"/>
      <c r="C915" s="8"/>
      <c r="D915" s="8"/>
    </row>
    <row r="916" spans="2:4" ht="13">
      <c r="B916" s="8"/>
      <c r="C916" s="8"/>
      <c r="D916" s="8"/>
    </row>
    <row r="917" spans="2:4" ht="13">
      <c r="B917" s="8"/>
      <c r="C917" s="8"/>
      <c r="D917" s="8"/>
    </row>
    <row r="918" spans="2:4" ht="13">
      <c r="B918" s="8"/>
      <c r="C918" s="8"/>
      <c r="D918" s="8"/>
    </row>
    <row r="919" spans="2:4" ht="13">
      <c r="B919" s="8"/>
      <c r="C919" s="8"/>
      <c r="D919" s="8"/>
    </row>
    <row r="920" spans="2:4" ht="13">
      <c r="B920" s="8"/>
      <c r="C920" s="8"/>
      <c r="D920" s="8"/>
    </row>
    <row r="921" spans="2:4" ht="13">
      <c r="B921" s="8"/>
      <c r="C921" s="8"/>
      <c r="D921" s="8"/>
    </row>
    <row r="922" spans="2:4" ht="13">
      <c r="B922" s="8"/>
      <c r="C922" s="8"/>
      <c r="D922" s="8"/>
    </row>
    <row r="923" spans="2:4" ht="13">
      <c r="B923" s="8"/>
      <c r="C923" s="8"/>
      <c r="D923" s="8"/>
    </row>
    <row r="924" spans="2:4" ht="13">
      <c r="B924" s="8"/>
      <c r="C924" s="8"/>
      <c r="D924" s="8"/>
    </row>
    <row r="925" spans="2:4" ht="13">
      <c r="B925" s="8"/>
      <c r="C925" s="8"/>
      <c r="D925" s="8"/>
    </row>
    <row r="926" spans="2:4" ht="13">
      <c r="B926" s="8"/>
      <c r="C926" s="8"/>
      <c r="D926" s="8"/>
    </row>
    <row r="927" spans="2:4" ht="13">
      <c r="B927" s="8"/>
      <c r="C927" s="8"/>
      <c r="D927" s="8"/>
    </row>
    <row r="928" spans="2:4" ht="13">
      <c r="B928" s="8"/>
      <c r="C928" s="8"/>
      <c r="D928" s="8"/>
    </row>
    <row r="929" spans="2:4" ht="13">
      <c r="B929" s="8"/>
      <c r="C929" s="8"/>
      <c r="D929" s="8"/>
    </row>
    <row r="930" spans="2:4" ht="13">
      <c r="B930" s="8"/>
      <c r="C930" s="8"/>
      <c r="D930" s="8"/>
    </row>
    <row r="931" spans="2:4" ht="13">
      <c r="B931" s="8"/>
      <c r="C931" s="8"/>
      <c r="D931" s="8"/>
    </row>
    <row r="932" spans="2:4" ht="13">
      <c r="B932" s="8"/>
      <c r="C932" s="8"/>
      <c r="D932" s="8"/>
    </row>
    <row r="933" spans="2:4" ht="13">
      <c r="B933" s="8"/>
      <c r="C933" s="8"/>
      <c r="D933" s="8"/>
    </row>
    <row r="934" spans="2:4" ht="13">
      <c r="B934" s="8"/>
      <c r="C934" s="8"/>
      <c r="D934" s="8"/>
    </row>
    <row r="935" spans="2:4" ht="13">
      <c r="B935" s="8"/>
      <c r="C935" s="8"/>
      <c r="D935" s="8"/>
    </row>
    <row r="936" spans="2:4" ht="13">
      <c r="B936" s="8"/>
      <c r="C936" s="8"/>
      <c r="D936" s="8"/>
    </row>
    <row r="937" spans="2:4" ht="13">
      <c r="B937" s="8"/>
      <c r="C937" s="8"/>
      <c r="D937" s="8"/>
    </row>
    <row r="938" spans="2:4" ht="13">
      <c r="B938" s="8"/>
      <c r="C938" s="8"/>
      <c r="D938" s="8"/>
    </row>
    <row r="939" spans="2:4" ht="13">
      <c r="B939" s="8"/>
      <c r="C939" s="8"/>
      <c r="D939" s="8"/>
    </row>
    <row r="940" spans="2:4" ht="13">
      <c r="B940" s="8"/>
      <c r="C940" s="8"/>
      <c r="D940" s="8"/>
    </row>
    <row r="941" spans="2:4" ht="13">
      <c r="B941" s="8"/>
      <c r="C941" s="8"/>
      <c r="D941" s="8"/>
    </row>
    <row r="942" spans="2:4" ht="13">
      <c r="B942" s="8"/>
      <c r="C942" s="8"/>
      <c r="D942" s="8"/>
    </row>
    <row r="943" spans="2:4" ht="13">
      <c r="B943" s="8"/>
      <c r="C943" s="8"/>
      <c r="D943" s="8"/>
    </row>
    <row r="944" spans="2:4" ht="13">
      <c r="B944" s="8"/>
      <c r="C944" s="8"/>
      <c r="D944" s="8"/>
    </row>
    <row r="945" spans="2:4" ht="13">
      <c r="B945" s="8"/>
      <c r="C945" s="8"/>
      <c r="D945" s="8"/>
    </row>
    <row r="946" spans="2:4" ht="13">
      <c r="B946" s="8"/>
      <c r="C946" s="8"/>
      <c r="D946" s="8"/>
    </row>
    <row r="947" spans="2:4" ht="13">
      <c r="B947" s="8"/>
      <c r="C947" s="8"/>
      <c r="D947" s="8"/>
    </row>
    <row r="948" spans="2:4" ht="13">
      <c r="B948" s="8"/>
      <c r="C948" s="8"/>
      <c r="D948" s="8"/>
    </row>
    <row r="949" spans="2:4" ht="13">
      <c r="B949" s="8"/>
      <c r="C949" s="8"/>
      <c r="D949" s="8"/>
    </row>
    <row r="950" spans="2:4" ht="13">
      <c r="B950" s="8"/>
      <c r="C950" s="8"/>
      <c r="D950" s="8"/>
    </row>
    <row r="951" spans="2:4" ht="13">
      <c r="B951" s="8"/>
      <c r="C951" s="8"/>
      <c r="D951" s="8"/>
    </row>
    <row r="952" spans="2:4" ht="13">
      <c r="B952" s="8"/>
      <c r="C952" s="8"/>
      <c r="D952" s="8"/>
    </row>
    <row r="953" spans="2:4" ht="13">
      <c r="B953" s="8"/>
      <c r="C953" s="8"/>
      <c r="D953" s="8"/>
    </row>
    <row r="954" spans="2:4" ht="13">
      <c r="B954" s="8"/>
      <c r="C954" s="8"/>
      <c r="D954" s="8"/>
    </row>
    <row r="955" spans="2:4" ht="13">
      <c r="B955" s="8"/>
      <c r="C955" s="8"/>
      <c r="D955" s="8"/>
    </row>
    <row r="956" spans="2:4" ht="13">
      <c r="B956" s="8"/>
      <c r="C956" s="8"/>
      <c r="D956" s="8"/>
    </row>
    <row r="957" spans="2:4" ht="13">
      <c r="B957" s="8"/>
      <c r="C957" s="8"/>
      <c r="D957" s="8"/>
    </row>
    <row r="958" spans="2:4" ht="13">
      <c r="B958" s="8"/>
      <c r="C958" s="8"/>
      <c r="D958" s="8"/>
    </row>
    <row r="959" spans="2:4" ht="13">
      <c r="B959" s="8"/>
      <c r="C959" s="8"/>
      <c r="D959" s="8"/>
    </row>
    <row r="960" spans="2:4" ht="13">
      <c r="B960" s="8"/>
      <c r="C960" s="8"/>
      <c r="D960" s="8"/>
    </row>
    <row r="961" spans="2:4" ht="13">
      <c r="B961" s="8"/>
      <c r="C961" s="8"/>
      <c r="D961" s="8"/>
    </row>
    <row r="962" spans="2:4" ht="13">
      <c r="B962" s="8"/>
      <c r="C962" s="8"/>
      <c r="D962" s="8"/>
    </row>
    <row r="963" spans="2:4" ht="13">
      <c r="B963" s="8"/>
      <c r="C963" s="8"/>
      <c r="D963" s="8"/>
    </row>
    <row r="964" spans="2:4" ht="13">
      <c r="B964" s="8"/>
      <c r="C964" s="8"/>
      <c r="D964" s="8"/>
    </row>
    <row r="965" spans="2:4" ht="13">
      <c r="B965" s="8"/>
      <c r="C965" s="8"/>
      <c r="D965" s="8"/>
    </row>
    <row r="966" spans="2:4" ht="13">
      <c r="B966" s="8"/>
      <c r="C966" s="8"/>
      <c r="D966" s="8"/>
    </row>
    <row r="967" spans="2:4" ht="13">
      <c r="B967" s="8"/>
      <c r="C967" s="8"/>
      <c r="D967" s="8"/>
    </row>
    <row r="968" spans="2:4" ht="13">
      <c r="B968" s="8"/>
      <c r="C968" s="8"/>
      <c r="D968" s="8"/>
    </row>
    <row r="969" spans="2:4" ht="13">
      <c r="B969" s="8"/>
      <c r="C969" s="8"/>
      <c r="D969" s="8"/>
    </row>
    <row r="970" spans="2:4" ht="13">
      <c r="B970" s="8"/>
      <c r="C970" s="8"/>
      <c r="D970" s="8"/>
    </row>
    <row r="971" spans="2:4" ht="13">
      <c r="B971" s="8"/>
      <c r="C971" s="8"/>
      <c r="D971" s="8"/>
    </row>
    <row r="972" spans="2:4" ht="13">
      <c r="B972" s="8"/>
      <c r="C972" s="8"/>
      <c r="D972" s="8"/>
    </row>
    <row r="973" spans="2:4" ht="13">
      <c r="B973" s="8"/>
      <c r="C973" s="8"/>
      <c r="D973" s="8"/>
    </row>
    <row r="974" spans="2:4" ht="13">
      <c r="B974" s="8"/>
      <c r="C974" s="8"/>
      <c r="D974" s="8"/>
    </row>
    <row r="975" spans="2:4" ht="13">
      <c r="B975" s="8"/>
      <c r="C975" s="8"/>
      <c r="D975" s="8"/>
    </row>
    <row r="976" spans="2:4" ht="13">
      <c r="B976" s="8"/>
      <c r="C976" s="8"/>
      <c r="D976" s="8"/>
    </row>
    <row r="977" spans="2:4" ht="13">
      <c r="B977" s="8"/>
      <c r="C977" s="8"/>
      <c r="D977" s="8"/>
    </row>
    <row r="978" spans="2:4" ht="13">
      <c r="B978" s="8"/>
      <c r="C978" s="8"/>
      <c r="D978" s="8"/>
    </row>
    <row r="979" spans="2:4" ht="13">
      <c r="B979" s="8"/>
      <c r="C979" s="8"/>
      <c r="D979" s="8"/>
    </row>
    <row r="980" spans="2:4" ht="13">
      <c r="B980" s="8"/>
      <c r="C980" s="8"/>
      <c r="D980" s="8"/>
    </row>
    <row r="981" spans="2:4" ht="13">
      <c r="B981" s="8"/>
      <c r="C981" s="8"/>
      <c r="D981" s="8"/>
    </row>
    <row r="982" spans="2:4" ht="13">
      <c r="B982" s="8"/>
      <c r="C982" s="8"/>
      <c r="D982" s="8"/>
    </row>
    <row r="983" spans="2:4" ht="13">
      <c r="B983" s="8"/>
      <c r="C983" s="8"/>
      <c r="D983" s="8"/>
    </row>
    <row r="984" spans="2:4" ht="13">
      <c r="B984" s="8"/>
      <c r="C984" s="8"/>
      <c r="D984" s="8"/>
    </row>
    <row r="985" spans="2:4" ht="13">
      <c r="B985" s="8"/>
      <c r="C985" s="8"/>
      <c r="D985" s="8"/>
    </row>
    <row r="986" spans="2:4" ht="13">
      <c r="B986" s="8"/>
      <c r="C986" s="8"/>
      <c r="D986" s="8"/>
    </row>
    <row r="987" spans="2:4" ht="13">
      <c r="B987" s="8"/>
      <c r="C987" s="8"/>
      <c r="D987" s="8"/>
    </row>
    <row r="988" spans="2:4" ht="13">
      <c r="B988" s="8"/>
      <c r="C988" s="8"/>
      <c r="D988" s="8"/>
    </row>
    <row r="989" spans="2:4" ht="13">
      <c r="B989" s="8"/>
      <c r="C989" s="8"/>
      <c r="D989" s="8"/>
    </row>
    <row r="990" spans="2:4" ht="13">
      <c r="B990" s="8"/>
      <c r="C990" s="8"/>
      <c r="D990" s="8"/>
    </row>
    <row r="991" spans="2:4" ht="13">
      <c r="B991" s="8"/>
      <c r="C991" s="8"/>
      <c r="D991" s="8"/>
    </row>
    <row r="992" spans="2:4" ht="13">
      <c r="B992" s="8"/>
      <c r="C992" s="8"/>
      <c r="D992" s="8"/>
    </row>
    <row r="993" spans="2:4" ht="13">
      <c r="B993" s="8"/>
      <c r="C993" s="8"/>
      <c r="D993" s="8"/>
    </row>
    <row r="994" spans="2:4" ht="13">
      <c r="B994" s="8"/>
      <c r="C994" s="8"/>
      <c r="D994" s="8"/>
    </row>
    <row r="995" spans="2:4" ht="13">
      <c r="B995" s="8"/>
      <c r="C995" s="8"/>
      <c r="D995" s="8"/>
    </row>
    <row r="996" spans="2:4" ht="13">
      <c r="B996" s="8"/>
      <c r="C996" s="8"/>
      <c r="D996" s="8"/>
    </row>
    <row r="997" spans="2:4" ht="13">
      <c r="B997" s="8"/>
      <c r="C997" s="8"/>
      <c r="D997" s="8"/>
    </row>
    <row r="998" spans="2:4" ht="13">
      <c r="B998" s="8"/>
      <c r="C998" s="8"/>
      <c r="D998" s="8"/>
    </row>
    <row r="999" spans="2:4" ht="13">
      <c r="B999" s="8"/>
      <c r="C999" s="8"/>
      <c r="D999" s="8"/>
    </row>
    <row r="1000" spans="2:4" ht="13">
      <c r="B1000" s="8"/>
      <c r="C1000" s="8"/>
      <c r="D1000" s="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I997"/>
  <sheetViews>
    <sheetView tabSelected="1" topLeftCell="A19" workbookViewId="0"/>
  </sheetViews>
  <sheetFormatPr baseColWidth="10" defaultColWidth="12.6640625" defaultRowHeight="15.75" customHeight="1"/>
  <cols>
    <col min="1" max="1" width="18.5" customWidth="1"/>
    <col min="2" max="2" width="17" customWidth="1"/>
    <col min="3" max="3" width="15.6640625" customWidth="1"/>
    <col min="5" max="6" width="16.33203125" customWidth="1"/>
  </cols>
  <sheetData>
    <row r="1" spans="1:9" ht="15">
      <c r="A1" s="1" t="s">
        <v>0</v>
      </c>
      <c r="B1" s="2" t="s">
        <v>1</v>
      </c>
      <c r="C1" s="2" t="s">
        <v>2</v>
      </c>
      <c r="D1" s="3" t="s">
        <v>448</v>
      </c>
      <c r="E1" s="3" t="s">
        <v>450</v>
      </c>
      <c r="F1" s="3" t="s">
        <v>451</v>
      </c>
      <c r="G1" s="3" t="s">
        <v>452</v>
      </c>
      <c r="H1" s="3" t="s">
        <v>453</v>
      </c>
      <c r="I1" s="3" t="s">
        <v>454</v>
      </c>
    </row>
    <row r="2" spans="1:9" ht="15">
      <c r="A2" s="1"/>
      <c r="B2" s="6"/>
      <c r="C2" s="6"/>
    </row>
    <row r="3" spans="1:9" ht="15">
      <c r="A3" s="1"/>
      <c r="B3" s="6"/>
      <c r="C3" s="6"/>
    </row>
    <row r="4" spans="1:9" ht="15">
      <c r="A4" s="1" t="s">
        <v>17</v>
      </c>
      <c r="B4" s="6">
        <v>49706</v>
      </c>
      <c r="C4" s="6">
        <v>59632</v>
      </c>
      <c r="D4" s="3">
        <v>27295</v>
      </c>
      <c r="E4" s="3">
        <v>28470</v>
      </c>
      <c r="F4" s="3">
        <f>B4*'2021-2022'!$C$15</f>
        <v>44029.475387999999</v>
      </c>
      <c r="G4" s="3">
        <f>C4*'2025-26'!$C$16</f>
        <v>50582.724735999996</v>
      </c>
      <c r="H4" s="3">
        <f t="shared" ref="H4:I4" si="0">F4/D4</f>
        <v>1.613096735226232</v>
      </c>
      <c r="I4" s="3">
        <f t="shared" si="0"/>
        <v>1.776702660203723</v>
      </c>
    </row>
    <row r="5" spans="1:9" ht="15">
      <c r="A5" s="1" t="s">
        <v>23</v>
      </c>
      <c r="B5" s="6">
        <v>10345</v>
      </c>
      <c r="C5" s="6">
        <v>15387</v>
      </c>
      <c r="D5" s="3">
        <v>10920</v>
      </c>
      <c r="E5" s="3">
        <v>11390</v>
      </c>
      <c r="F5" s="3">
        <f>B5*'2021-2022'!$C$15</f>
        <v>9163.5803099999994</v>
      </c>
      <c r="G5" s="3">
        <f>C5*'2025-26'!$C$16</f>
        <v>13051.991975999999</v>
      </c>
      <c r="H5" s="3">
        <f t="shared" ref="H5:I5" si="1">F5/D5</f>
        <v>0.83915570604395595</v>
      </c>
      <c r="I5" s="3">
        <f t="shared" si="1"/>
        <v>1.1459167669885864</v>
      </c>
    </row>
    <row r="6" spans="1:9" ht="15">
      <c r="A6" s="1" t="s">
        <v>30</v>
      </c>
      <c r="B6" s="6">
        <v>18875</v>
      </c>
      <c r="C6" s="6">
        <v>23998</v>
      </c>
      <c r="D6" s="3">
        <v>16380</v>
      </c>
      <c r="E6" s="3">
        <v>17085</v>
      </c>
      <c r="F6" s="3">
        <f>B6*'2021-2022'!$C$15</f>
        <v>16719.437249999999</v>
      </c>
      <c r="G6" s="3">
        <f>C6*'2025-26'!$C$16</f>
        <v>20356.255504000001</v>
      </c>
      <c r="H6" s="3">
        <f t="shared" ref="H6:I6" si="2">F6/D6</f>
        <v>1.0207226648351648</v>
      </c>
      <c r="I6" s="3">
        <f t="shared" si="2"/>
        <v>1.1914694471173544</v>
      </c>
    </row>
    <row r="7" spans="1:9" ht="15">
      <c r="A7" s="1" t="s">
        <v>34</v>
      </c>
      <c r="B7" s="6">
        <v>63043</v>
      </c>
      <c r="C7" s="6">
        <v>71565</v>
      </c>
      <c r="D7" s="3">
        <v>32755</v>
      </c>
      <c r="E7" s="3">
        <v>28470</v>
      </c>
      <c r="F7" s="3">
        <f>B7*'2021-2022'!$C$15</f>
        <v>55843.363314000002</v>
      </c>
      <c r="G7" s="3">
        <f>C7*'2025-26'!$C$16</f>
        <v>60704.868119999999</v>
      </c>
      <c r="H7" s="3">
        <f t="shared" ref="H7:I7" si="3">F7/D7</f>
        <v>1.7048805774385591</v>
      </c>
      <c r="I7" s="3">
        <f t="shared" si="3"/>
        <v>2.1322398356164385</v>
      </c>
    </row>
    <row r="8" spans="1:9" ht="15">
      <c r="A8" s="1" t="s">
        <v>38</v>
      </c>
      <c r="B8" s="6">
        <v>45718</v>
      </c>
      <c r="C8" s="6">
        <v>53791</v>
      </c>
      <c r="D8" s="3">
        <v>27295</v>
      </c>
      <c r="E8" s="3">
        <v>28470</v>
      </c>
      <c r="F8" s="3">
        <f>B8*'2021-2022'!$C$15</f>
        <v>40496.912963999996</v>
      </c>
      <c r="G8" s="3">
        <f>C8*'2025-26'!$C$16</f>
        <v>45628.108167999999</v>
      </c>
      <c r="H8" s="3">
        <f t="shared" ref="H8:I8" si="4">F8/D8</f>
        <v>1.4836751406484703</v>
      </c>
      <c r="I8" s="3">
        <f t="shared" si="4"/>
        <v>1.6026732760098348</v>
      </c>
    </row>
    <row r="9" spans="1:9" ht="15">
      <c r="A9" s="1" t="s">
        <v>41</v>
      </c>
      <c r="B9" s="6">
        <v>21146</v>
      </c>
      <c r="C9" s="6">
        <v>26546</v>
      </c>
      <c r="D9" s="3">
        <v>21840</v>
      </c>
      <c r="E9" s="3">
        <v>22780</v>
      </c>
      <c r="F9" s="3">
        <f>B9*'2021-2022'!$C$15</f>
        <v>18731.084508</v>
      </c>
      <c r="G9" s="3">
        <f>C9*'2025-26'!$C$16</f>
        <v>22517.591408</v>
      </c>
      <c r="H9" s="3">
        <f t="shared" ref="H9:I9" si="5">F9/D9</f>
        <v>0.8576503895604396</v>
      </c>
      <c r="I9" s="3">
        <f t="shared" si="5"/>
        <v>0.98848074661984198</v>
      </c>
    </row>
    <row r="10" spans="1:9" ht="15">
      <c r="A10" s="1" t="s">
        <v>47</v>
      </c>
      <c r="B10" s="6"/>
      <c r="C10" s="6"/>
    </row>
    <row r="11" spans="1:9" ht="15">
      <c r="A11" s="1" t="s">
        <v>50</v>
      </c>
      <c r="B11" s="6">
        <v>16018</v>
      </c>
      <c r="C11" s="6">
        <v>17954</v>
      </c>
      <c r="D11" s="3">
        <v>21840</v>
      </c>
      <c r="E11" s="3">
        <v>17085</v>
      </c>
      <c r="F11" s="3">
        <f>B11*'2021-2022'!$C$15</f>
        <v>14188.712363999999</v>
      </c>
      <c r="G11" s="3">
        <f>C11*'2025-26'!$C$16</f>
        <v>15229.444592</v>
      </c>
      <c r="H11" s="3">
        <f t="shared" ref="H11:I11" si="6">F11/D11</f>
        <v>0.64966631703296696</v>
      </c>
      <c r="I11" s="3">
        <f t="shared" si="6"/>
        <v>0.89139271829089839</v>
      </c>
    </row>
    <row r="12" spans="1:9" ht="15">
      <c r="A12" s="1" t="s">
        <v>51</v>
      </c>
      <c r="B12" s="6">
        <v>29383</v>
      </c>
      <c r="C12" s="6">
        <v>33700</v>
      </c>
      <c r="D12" s="3">
        <v>21840</v>
      </c>
      <c r="E12" s="3">
        <v>22780</v>
      </c>
      <c r="F12" s="3">
        <f>B12*'2021-2022'!$C$15</f>
        <v>26027.402633999998</v>
      </c>
      <c r="G12" s="3">
        <f>C12*'2025-26'!$C$16</f>
        <v>28585.957600000002</v>
      </c>
      <c r="H12" s="3">
        <f t="shared" ref="H12:I12" si="7">F12/D12</f>
        <v>1.1917308898351648</v>
      </c>
      <c r="I12" s="3">
        <f t="shared" si="7"/>
        <v>1.2548708340649692</v>
      </c>
    </row>
    <row r="13" spans="1:9" ht="15">
      <c r="A13" s="1" t="s">
        <v>52</v>
      </c>
      <c r="B13" s="6">
        <v>38861</v>
      </c>
      <c r="C13" s="6">
        <v>43790</v>
      </c>
      <c r="D13" s="3">
        <v>27295</v>
      </c>
      <c r="E13" s="3">
        <v>22780</v>
      </c>
      <c r="F13" s="3">
        <f>B13*'2021-2022'!$C$15</f>
        <v>34422.996077999996</v>
      </c>
      <c r="G13" s="3">
        <f>C13*'2025-26'!$C$16</f>
        <v>37144.779920000001</v>
      </c>
      <c r="H13" s="3">
        <f t="shared" ref="H13:I13" si="8">F13/D13</f>
        <v>1.2611465864810403</v>
      </c>
      <c r="I13" s="3">
        <f t="shared" si="8"/>
        <v>1.6305873538191396</v>
      </c>
    </row>
    <row r="14" spans="1:9" ht="15">
      <c r="A14" s="1" t="s">
        <v>53</v>
      </c>
      <c r="B14" s="6">
        <v>17008</v>
      </c>
      <c r="C14" s="6">
        <v>23446</v>
      </c>
      <c r="D14" s="3">
        <v>16380</v>
      </c>
      <c r="E14" s="3">
        <v>17085</v>
      </c>
      <c r="F14" s="3">
        <f>B14*'2021-2022'!$C$15</f>
        <v>15065.652383999999</v>
      </c>
      <c r="G14" s="3">
        <f>C14*'2025-26'!$C$16</f>
        <v>19888.022607999999</v>
      </c>
      <c r="H14" s="3">
        <f t="shared" ref="H14:I14" si="9">F14/D14</f>
        <v>0.91975899780219772</v>
      </c>
      <c r="I14" s="3">
        <f t="shared" si="9"/>
        <v>1.1640633659935615</v>
      </c>
    </row>
    <row r="15" spans="1:9" ht="15">
      <c r="A15" s="1" t="s">
        <v>55</v>
      </c>
      <c r="B15" s="6">
        <v>30719</v>
      </c>
      <c r="C15" s="6">
        <v>33523</v>
      </c>
      <c r="D15" s="3">
        <v>21840</v>
      </c>
      <c r="E15" s="3">
        <v>22780</v>
      </c>
      <c r="F15" s="3">
        <f>B15*'2021-2022'!$C$15</f>
        <v>27210.828762000001</v>
      </c>
      <c r="G15" s="3">
        <f>C15*'2025-26'!$C$16</f>
        <v>28435.817704000001</v>
      </c>
      <c r="H15" s="3">
        <f t="shared" ref="H15:I15" si="10">F15/D15</f>
        <v>1.245917067857143</v>
      </c>
      <c r="I15" s="3">
        <f t="shared" si="10"/>
        <v>1.2482799694468834</v>
      </c>
    </row>
    <row r="16" spans="1:9" ht="15">
      <c r="A16" s="1" t="s">
        <v>58</v>
      </c>
      <c r="B16" s="6">
        <v>22197</v>
      </c>
      <c r="C16" s="6">
        <v>27611</v>
      </c>
      <c r="D16" s="3">
        <v>21840</v>
      </c>
      <c r="E16" s="3">
        <v>22780</v>
      </c>
      <c r="F16" s="3">
        <f>B16*'2021-2022'!$C$15</f>
        <v>19662.058205999998</v>
      </c>
      <c r="G16" s="3">
        <f>C16*'2025-26'!$C$16</f>
        <v>23420.975527999999</v>
      </c>
      <c r="H16" s="3">
        <f t="shared" ref="H16:I16" si="11">F16/D16</f>
        <v>0.90027739038461529</v>
      </c>
      <c r="I16" s="3">
        <f t="shared" si="11"/>
        <v>1.0281376438981562</v>
      </c>
    </row>
    <row r="17" spans="1:9" ht="15">
      <c r="A17" s="1" t="s">
        <v>62</v>
      </c>
      <c r="B17" s="6">
        <v>17018</v>
      </c>
      <c r="C17" s="6">
        <v>22262</v>
      </c>
      <c r="D17" s="3">
        <v>16380</v>
      </c>
      <c r="E17" s="3">
        <v>17085</v>
      </c>
      <c r="F17" s="3">
        <f>B17*'2021-2022'!$C$15</f>
        <v>15074.510364</v>
      </c>
      <c r="G17" s="3">
        <f>C17*'2025-26'!$C$16</f>
        <v>18883.696975999999</v>
      </c>
      <c r="H17" s="3">
        <f t="shared" ref="H17:I17" si="12">F17/D17</f>
        <v>0.92029977802197804</v>
      </c>
      <c r="I17" s="3">
        <f t="shared" si="12"/>
        <v>1.1052793079309335</v>
      </c>
    </row>
    <row r="18" spans="1:9" ht="15">
      <c r="A18" s="1" t="s">
        <v>63</v>
      </c>
      <c r="B18" s="6">
        <v>21719</v>
      </c>
      <c r="C18" s="6">
        <v>29104</v>
      </c>
      <c r="D18" s="3">
        <v>16380</v>
      </c>
      <c r="E18" s="3">
        <v>17085</v>
      </c>
      <c r="F18" s="3">
        <f>B18*'2021-2022'!$C$15</f>
        <v>19238.646762</v>
      </c>
      <c r="G18" s="3">
        <f>C18*'2025-26'!$C$16</f>
        <v>24687.409791999999</v>
      </c>
      <c r="H18" s="3">
        <f t="shared" ref="H18:I18" si="13">F18/D18</f>
        <v>1.1745205593406594</v>
      </c>
      <c r="I18" s="3">
        <f t="shared" si="13"/>
        <v>1.4449756975124377</v>
      </c>
    </row>
    <row r="19" spans="1:9" ht="15">
      <c r="A19" s="1" t="s">
        <v>65</v>
      </c>
      <c r="B19" s="6">
        <v>71564</v>
      </c>
      <c r="C19" s="6">
        <v>82969</v>
      </c>
      <c r="D19" s="3">
        <v>27295</v>
      </c>
      <c r="E19" s="3">
        <v>28470</v>
      </c>
      <c r="F19" s="3">
        <f>B19*'2021-2022'!$C$15</f>
        <v>63391.248071999995</v>
      </c>
      <c r="G19" s="3">
        <f>C19*'2025-26'!$C$16</f>
        <v>70378.288312000004</v>
      </c>
      <c r="H19" s="3">
        <f t="shared" ref="H19:I19" si="14">F19/D19</f>
        <v>2.3224490958783659</v>
      </c>
      <c r="I19" s="3">
        <f t="shared" si="14"/>
        <v>2.4720157468212154</v>
      </c>
    </row>
    <row r="20" spans="1:9" ht="15">
      <c r="A20" s="1" t="s">
        <v>67</v>
      </c>
      <c r="B20" s="6">
        <v>13234</v>
      </c>
      <c r="C20" s="6">
        <v>18461</v>
      </c>
      <c r="D20" s="3">
        <v>16380</v>
      </c>
      <c r="E20" s="3">
        <v>17085</v>
      </c>
      <c r="F20" s="3">
        <f>B20*'2021-2022'!$C$15</f>
        <v>11722.650732</v>
      </c>
      <c r="G20" s="3">
        <f>C20*'2025-26'!$C$16</f>
        <v>15659.506327999999</v>
      </c>
      <c r="H20" s="3">
        <f t="shared" ref="H20:I20" si="15">F20/D20</f>
        <v>0.71566854285714288</v>
      </c>
      <c r="I20" s="3">
        <f t="shared" si="15"/>
        <v>0.91656460801872985</v>
      </c>
    </row>
    <row r="21" spans="1:9" ht="15">
      <c r="A21" s="1" t="s">
        <v>68</v>
      </c>
      <c r="B21" s="6">
        <v>28329</v>
      </c>
      <c r="C21" s="6">
        <v>33499</v>
      </c>
      <c r="D21" s="3">
        <v>21840</v>
      </c>
      <c r="E21" s="3">
        <v>22780</v>
      </c>
      <c r="F21" s="3">
        <f>B21*'2021-2022'!$C$15</f>
        <v>25093.771541999999</v>
      </c>
      <c r="G21" s="3">
        <f>C21*'2025-26'!$C$16</f>
        <v>28415.459751999999</v>
      </c>
      <c r="H21" s="3">
        <f t="shared" ref="H21:I21" si="16">F21/D21</f>
        <v>1.1489822134615384</v>
      </c>
      <c r="I21" s="3">
        <f t="shared" si="16"/>
        <v>1.2473862928884987</v>
      </c>
    </row>
    <row r="22" spans="1:9" ht="15">
      <c r="A22" s="1" t="s">
        <v>71</v>
      </c>
      <c r="B22" s="6">
        <v>48166</v>
      </c>
      <c r="C22" s="6">
        <v>58600</v>
      </c>
      <c r="D22" s="3">
        <v>27295</v>
      </c>
      <c r="E22" s="3">
        <v>28470</v>
      </c>
      <c r="F22" s="3">
        <f>B22*'2021-2022'!$C$15</f>
        <v>42665.346467999996</v>
      </c>
      <c r="G22" s="3">
        <f>C22*'2025-26'!$C$16</f>
        <v>49707.332799999996</v>
      </c>
      <c r="H22" s="3">
        <f t="shared" ref="H22:I22" si="17">F22/D22</f>
        <v>1.5631194895768454</v>
      </c>
      <c r="I22" s="3">
        <f t="shared" si="17"/>
        <v>1.7459547874956094</v>
      </c>
    </row>
    <row r="23" spans="1:9" ht="15">
      <c r="A23" s="1" t="s">
        <v>73</v>
      </c>
      <c r="B23" s="6">
        <v>14106</v>
      </c>
      <c r="C23" s="6">
        <v>21246</v>
      </c>
      <c r="D23" s="3">
        <v>16380</v>
      </c>
      <c r="E23" s="3">
        <v>17085</v>
      </c>
      <c r="F23" s="3">
        <f>B23*'2021-2022'!$C$15</f>
        <v>12495.066588</v>
      </c>
      <c r="G23" s="3">
        <f>C23*'2025-26'!$C$16</f>
        <v>18021.877007999999</v>
      </c>
      <c r="H23" s="3">
        <f t="shared" ref="H23:I23" si="18">F23/D23</f>
        <v>0.76282457802197801</v>
      </c>
      <c r="I23" s="3">
        <f t="shared" si="18"/>
        <v>1.0548362310798947</v>
      </c>
    </row>
    <row r="24" spans="1:9" ht="15">
      <c r="A24" s="1" t="s">
        <v>76</v>
      </c>
      <c r="B24" s="6">
        <v>19851</v>
      </c>
      <c r="C24" s="6">
        <v>24818</v>
      </c>
      <c r="D24" s="3">
        <v>21840</v>
      </c>
      <c r="E24" s="3">
        <v>17085</v>
      </c>
      <c r="F24" s="3">
        <f>B24*'2021-2022'!$C$15</f>
        <v>17583.976097999999</v>
      </c>
      <c r="G24" s="3">
        <f>C24*'2025-26'!$C$16</f>
        <v>21051.818864000001</v>
      </c>
      <c r="H24" s="3">
        <f t="shared" ref="H24:I24" si="19">F24/D24</f>
        <v>0.80512711071428567</v>
      </c>
      <c r="I24" s="3">
        <f t="shared" si="19"/>
        <v>1.2321813792215395</v>
      </c>
    </row>
    <row r="25" spans="1:9" ht="15">
      <c r="A25" s="1" t="s">
        <v>78</v>
      </c>
      <c r="B25" s="6">
        <v>13245</v>
      </c>
      <c r="C25" s="6">
        <v>21108</v>
      </c>
      <c r="D25" s="3">
        <v>10920</v>
      </c>
      <c r="E25" s="3">
        <v>11390</v>
      </c>
      <c r="F25" s="3">
        <f>B25*'2021-2022'!$C$15</f>
        <v>11732.39451</v>
      </c>
      <c r="G25" s="3">
        <f>C25*'2025-26'!$C$16</f>
        <v>17904.818783999999</v>
      </c>
      <c r="H25" s="3">
        <f t="shared" ref="H25:I25" si="20">F25/D25</f>
        <v>1.0743951016483517</v>
      </c>
      <c r="I25" s="3">
        <f t="shared" si="20"/>
        <v>1.5719770661984196</v>
      </c>
    </row>
    <row r="26" spans="1:9" ht="15">
      <c r="A26" s="1" t="s">
        <v>79</v>
      </c>
      <c r="B26" s="6">
        <v>28663</v>
      </c>
      <c r="C26" s="6">
        <v>35133</v>
      </c>
      <c r="D26" s="3">
        <v>21840</v>
      </c>
      <c r="E26" s="3">
        <v>22780</v>
      </c>
      <c r="F26" s="3">
        <f>B26*'2021-2022'!$C$15</f>
        <v>25389.628074</v>
      </c>
      <c r="G26" s="3">
        <f>C26*'2025-26'!$C$16</f>
        <v>29801.496984000001</v>
      </c>
      <c r="H26" s="3">
        <f t="shared" ref="H26:I26" si="21">F26/D26</f>
        <v>1.1625287579670329</v>
      </c>
      <c r="I26" s="3">
        <f t="shared" si="21"/>
        <v>1.30823077190518</v>
      </c>
    </row>
    <row r="27" spans="1:9" ht="15">
      <c r="A27" s="1" t="s">
        <v>81</v>
      </c>
      <c r="B27" s="6">
        <v>16242</v>
      </c>
      <c r="C27" s="6">
        <v>20287</v>
      </c>
      <c r="D27" s="3">
        <v>16380</v>
      </c>
      <c r="E27" s="3">
        <v>17085</v>
      </c>
      <c r="F27" s="3">
        <f>B27*'2021-2022'!$C$15</f>
        <v>14387.131116</v>
      </c>
      <c r="G27" s="3">
        <f>C27*'2025-26'!$C$16</f>
        <v>17208.407176000001</v>
      </c>
      <c r="H27" s="3">
        <f t="shared" ref="H27:I27" si="22">F27/D27</f>
        <v>0.87833523296703298</v>
      </c>
      <c r="I27" s="3">
        <f t="shared" si="22"/>
        <v>1.0072231299970735</v>
      </c>
    </row>
    <row r="28" spans="1:9" ht="15">
      <c r="A28" s="1" t="s">
        <v>84</v>
      </c>
      <c r="B28" s="6">
        <v>45351</v>
      </c>
      <c r="C28" s="6">
        <v>49428</v>
      </c>
      <c r="D28" s="3">
        <v>27295</v>
      </c>
      <c r="E28" s="3">
        <v>28470</v>
      </c>
      <c r="F28" s="3">
        <f>B28*'2021-2022'!$C$15</f>
        <v>40171.825098000001</v>
      </c>
      <c r="G28" s="3">
        <f>C28*'2025-26'!$C$16</f>
        <v>41927.202144000003</v>
      </c>
      <c r="H28" s="3">
        <f t="shared" ref="H28:I28" si="23">F28/D28</f>
        <v>1.4717649788605973</v>
      </c>
      <c r="I28" s="3">
        <f t="shared" si="23"/>
        <v>1.4726800893572183</v>
      </c>
    </row>
    <row r="29" spans="1:9" ht="15">
      <c r="A29" s="1" t="s">
        <v>87</v>
      </c>
      <c r="B29" s="6">
        <v>47301</v>
      </c>
      <c r="C29" s="6">
        <v>46525</v>
      </c>
      <c r="D29" s="3">
        <v>27295</v>
      </c>
      <c r="E29" s="3">
        <v>28470</v>
      </c>
      <c r="F29" s="3">
        <f>B29*'2021-2022'!$C$15</f>
        <v>41899.131197999995</v>
      </c>
      <c r="G29" s="3">
        <f>C29*'2025-26'!$C$16</f>
        <v>39464.7382</v>
      </c>
      <c r="H29" s="3">
        <f t="shared" ref="H29:I29" si="24">F29/D29</f>
        <v>1.5350478548452096</v>
      </c>
      <c r="I29" s="3">
        <f t="shared" si="24"/>
        <v>1.3861868001404987</v>
      </c>
    </row>
    <row r="30" spans="1:9" ht="13">
      <c r="B30" s="8"/>
      <c r="C30" s="8"/>
    </row>
    <row r="31" spans="1:9" ht="22.5" customHeight="1">
      <c r="A31" s="25" t="s">
        <v>453</v>
      </c>
      <c r="B31" s="25" t="s">
        <v>454</v>
      </c>
      <c r="C31" s="8"/>
      <c r="D31" s="45" t="s">
        <v>562</v>
      </c>
      <c r="E31" s="43"/>
      <c r="F31" s="3">
        <v>10</v>
      </c>
    </row>
    <row r="32" spans="1:9" ht="22.5" customHeight="1">
      <c r="A32" s="40">
        <v>0.64966631703296696</v>
      </c>
      <c r="B32" s="39">
        <v>0.89139271829089839</v>
      </c>
      <c r="C32" s="8"/>
      <c r="D32" s="45" t="s">
        <v>567</v>
      </c>
      <c r="E32" s="43"/>
      <c r="F32" s="3">
        <v>2</v>
      </c>
    </row>
    <row r="33" spans="1:3" ht="22.5" customHeight="1">
      <c r="A33" s="40">
        <v>0.71566854285714288</v>
      </c>
      <c r="B33" s="39">
        <v>0.91656460801872985</v>
      </c>
      <c r="C33" s="8"/>
    </row>
    <row r="34" spans="1:3" ht="22.5" customHeight="1">
      <c r="A34" s="40">
        <v>0.76282457802197801</v>
      </c>
      <c r="B34" s="41">
        <v>1.0548362310798947</v>
      </c>
      <c r="C34" s="8"/>
    </row>
    <row r="35" spans="1:3" ht="22.5" customHeight="1">
      <c r="A35" s="40">
        <v>0.80512711071428567</v>
      </c>
      <c r="B35" s="41">
        <v>1.2321813792215395</v>
      </c>
      <c r="C35" s="8"/>
    </row>
    <row r="36" spans="1:3" ht="22.5" customHeight="1">
      <c r="A36" s="40">
        <v>0.83915570604395595</v>
      </c>
      <c r="B36" s="41">
        <v>1.1459167669885864</v>
      </c>
      <c r="C36" s="8"/>
    </row>
    <row r="37" spans="1:3" ht="22.5" customHeight="1">
      <c r="A37" s="40">
        <v>0.8576503895604396</v>
      </c>
      <c r="B37" s="41">
        <v>0.98848074661984198</v>
      </c>
      <c r="C37" s="8"/>
    </row>
    <row r="38" spans="1:3" ht="22.5" customHeight="1">
      <c r="A38" s="40">
        <v>0.87833523296703298</v>
      </c>
      <c r="B38" s="41">
        <v>1.0072231299970735</v>
      </c>
      <c r="C38" s="8"/>
    </row>
    <row r="39" spans="1:3" ht="22.5" customHeight="1">
      <c r="A39" s="40">
        <v>0.90027739038461529</v>
      </c>
      <c r="B39" s="41">
        <v>1.0281376438981562</v>
      </c>
      <c r="C39" s="8"/>
    </row>
    <row r="40" spans="1:3" ht="22.5" customHeight="1">
      <c r="A40" s="40">
        <v>0.91975899780219772</v>
      </c>
      <c r="B40" s="41">
        <v>1.1640633659935615</v>
      </c>
      <c r="C40" s="8"/>
    </row>
    <row r="41" spans="1:3" ht="22.5" customHeight="1">
      <c r="A41" s="40">
        <v>0.92029977802197804</v>
      </c>
      <c r="B41" s="41">
        <v>1.1052793079309335</v>
      </c>
      <c r="C41" s="8"/>
    </row>
    <row r="42" spans="1:3" ht="22.5" customHeight="1">
      <c r="A42" s="41">
        <v>1.0207226648351648</v>
      </c>
      <c r="B42" s="41">
        <v>1.1914694471173544</v>
      </c>
      <c r="C42" s="8"/>
    </row>
    <row r="43" spans="1:3" ht="22.5" customHeight="1">
      <c r="A43" s="41">
        <v>1.0743951016483517</v>
      </c>
      <c r="B43" s="41">
        <v>1.5719770661984196</v>
      </c>
      <c r="C43" s="8"/>
    </row>
    <row r="44" spans="1:3" ht="22.5" customHeight="1">
      <c r="A44" s="41">
        <v>1.1489822134615384</v>
      </c>
      <c r="B44" s="41">
        <v>1.2473862928884987</v>
      </c>
      <c r="C44" s="8"/>
    </row>
    <row r="45" spans="1:3" ht="22.5" customHeight="1">
      <c r="A45" s="41">
        <v>1.1625287579670329</v>
      </c>
      <c r="B45" s="41">
        <v>1.30823077190518</v>
      </c>
      <c r="C45" s="8"/>
    </row>
    <row r="46" spans="1:3" ht="22.5" customHeight="1">
      <c r="A46" s="41">
        <v>1.1745205593406594</v>
      </c>
      <c r="B46" s="41">
        <v>1.4449756975124377</v>
      </c>
      <c r="C46" s="8"/>
    </row>
    <row r="47" spans="1:3" ht="22.5" customHeight="1">
      <c r="A47" s="41">
        <v>1.1917308898351648</v>
      </c>
      <c r="B47" s="41">
        <v>1.2548708340649692</v>
      </c>
      <c r="C47" s="8"/>
    </row>
    <row r="48" spans="1:3" ht="22.5" customHeight="1">
      <c r="A48" s="41">
        <v>1.245917067857143</v>
      </c>
      <c r="B48" s="41">
        <v>1.2482799694468834</v>
      </c>
      <c r="C48" s="8"/>
    </row>
    <row r="49" spans="1:3" ht="22.5" customHeight="1">
      <c r="A49" s="41">
        <v>1.2611465864810403</v>
      </c>
      <c r="B49" s="41">
        <v>1.6305873538191396</v>
      </c>
      <c r="C49" s="8"/>
    </row>
    <row r="50" spans="1:3" ht="22.5" customHeight="1">
      <c r="A50" s="41">
        <v>1.4717649788605973</v>
      </c>
      <c r="B50" s="41">
        <v>1.4726800893572183</v>
      </c>
      <c r="C50" s="8"/>
    </row>
    <row r="51" spans="1:3" ht="22.5" customHeight="1">
      <c r="A51" s="41">
        <v>1.4836751406484703</v>
      </c>
      <c r="B51" s="41">
        <v>1.6026732760098348</v>
      </c>
      <c r="C51" s="8"/>
    </row>
    <row r="52" spans="1:3" ht="22.5" customHeight="1">
      <c r="A52" s="41">
        <v>1.5350478548452096</v>
      </c>
      <c r="B52" s="41">
        <v>1.3861868001404987</v>
      </c>
      <c r="C52" s="8"/>
    </row>
    <row r="53" spans="1:3" ht="22.5" customHeight="1">
      <c r="A53" s="41">
        <v>1.5631194895768454</v>
      </c>
      <c r="B53" s="41">
        <v>1.7459547874956094</v>
      </c>
      <c r="C53" s="8"/>
    </row>
    <row r="54" spans="1:3" ht="22.5" customHeight="1">
      <c r="A54" s="41">
        <v>1.613096735226232</v>
      </c>
      <c r="B54" s="41">
        <v>1.776702660203723</v>
      </c>
      <c r="C54" s="8"/>
    </row>
    <row r="55" spans="1:3" ht="22.5" customHeight="1">
      <c r="A55" s="41">
        <v>1.7048805774385591</v>
      </c>
      <c r="B55" s="41">
        <v>2.1322398356164385</v>
      </c>
      <c r="C55" s="8"/>
    </row>
    <row r="56" spans="1:3" ht="22.5" customHeight="1">
      <c r="A56" s="41">
        <v>2.3224490958783659</v>
      </c>
      <c r="B56" s="41">
        <v>2.4720157468212154</v>
      </c>
      <c r="C56" s="8"/>
    </row>
    <row r="57" spans="1:3" ht="13">
      <c r="B57" s="8"/>
      <c r="C57" s="8"/>
    </row>
    <row r="58" spans="1:3" ht="13">
      <c r="B58" s="8"/>
      <c r="C58" s="8"/>
    </row>
    <row r="59" spans="1:3" ht="13">
      <c r="B59" s="8"/>
      <c r="C59" s="8"/>
    </row>
    <row r="60" spans="1:3" ht="13">
      <c r="B60" s="8"/>
      <c r="C60" s="8"/>
    </row>
    <row r="61" spans="1:3" ht="13">
      <c r="B61" s="8"/>
      <c r="C61" s="8"/>
    </row>
    <row r="62" spans="1:3" ht="13">
      <c r="B62" s="8"/>
      <c r="C62" s="8"/>
    </row>
    <row r="63" spans="1:3" ht="13">
      <c r="B63" s="8"/>
      <c r="C63" s="8"/>
    </row>
    <row r="64" spans="1:3" ht="13">
      <c r="B64" s="8"/>
      <c r="C64" s="8"/>
    </row>
    <row r="65" spans="2:3" ht="13">
      <c r="B65" s="8"/>
      <c r="C65" s="8"/>
    </row>
    <row r="66" spans="2:3" ht="13">
      <c r="B66" s="8"/>
      <c r="C66" s="8"/>
    </row>
    <row r="67" spans="2:3" ht="13">
      <c r="B67" s="8"/>
      <c r="C67" s="8"/>
    </row>
    <row r="68" spans="2:3" ht="13">
      <c r="B68" s="8"/>
      <c r="C68" s="8"/>
    </row>
    <row r="69" spans="2:3" ht="13">
      <c r="B69" s="8"/>
      <c r="C69" s="8"/>
    </row>
    <row r="70" spans="2:3" ht="13">
      <c r="B70" s="8"/>
      <c r="C70" s="8"/>
    </row>
    <row r="71" spans="2:3" ht="13">
      <c r="B71" s="8"/>
      <c r="C71" s="8"/>
    </row>
    <row r="72" spans="2:3" ht="13">
      <c r="B72" s="8"/>
      <c r="C72" s="8"/>
    </row>
    <row r="73" spans="2:3" ht="13">
      <c r="B73" s="8"/>
      <c r="C73" s="8"/>
    </row>
    <row r="74" spans="2:3" ht="13">
      <c r="B74" s="8"/>
      <c r="C74" s="8"/>
    </row>
    <row r="75" spans="2:3" ht="13">
      <c r="B75" s="8"/>
      <c r="C75" s="8"/>
    </row>
    <row r="76" spans="2:3" ht="13">
      <c r="B76" s="8"/>
      <c r="C76" s="8"/>
    </row>
    <row r="77" spans="2:3" ht="13">
      <c r="B77" s="8"/>
      <c r="C77" s="8"/>
    </row>
    <row r="78" spans="2:3" ht="13">
      <c r="B78" s="8"/>
      <c r="C78" s="8"/>
    </row>
    <row r="79" spans="2:3" ht="13">
      <c r="B79" s="8"/>
      <c r="C79" s="8"/>
    </row>
    <row r="80" spans="2:3" ht="13">
      <c r="B80" s="8"/>
      <c r="C80" s="8"/>
    </row>
    <row r="81" spans="2:3" ht="13">
      <c r="B81" s="8"/>
      <c r="C81" s="8"/>
    </row>
    <row r="82" spans="2:3" ht="13">
      <c r="B82" s="8"/>
      <c r="C82" s="8"/>
    </row>
    <row r="83" spans="2:3" ht="13">
      <c r="B83" s="8"/>
      <c r="C83" s="8"/>
    </row>
    <row r="84" spans="2:3" ht="13">
      <c r="B84" s="8"/>
      <c r="C84" s="8"/>
    </row>
    <row r="85" spans="2:3" ht="13">
      <c r="B85" s="8"/>
      <c r="C85" s="8"/>
    </row>
    <row r="86" spans="2:3" ht="13">
      <c r="B86" s="8"/>
      <c r="C86" s="8"/>
    </row>
    <row r="87" spans="2:3" ht="13">
      <c r="B87" s="8"/>
      <c r="C87" s="8"/>
    </row>
    <row r="88" spans="2:3" ht="13">
      <c r="B88" s="8"/>
      <c r="C88" s="8"/>
    </row>
    <row r="89" spans="2:3" ht="13">
      <c r="B89" s="8"/>
      <c r="C89" s="8"/>
    </row>
    <row r="90" spans="2:3" ht="13">
      <c r="B90" s="8"/>
      <c r="C90" s="8"/>
    </row>
    <row r="91" spans="2:3" ht="13">
      <c r="B91" s="8"/>
      <c r="C91" s="8"/>
    </row>
    <row r="92" spans="2:3" ht="13">
      <c r="B92" s="8"/>
      <c r="C92" s="8"/>
    </row>
    <row r="93" spans="2:3" ht="13">
      <c r="B93" s="8"/>
      <c r="C93" s="8"/>
    </row>
    <row r="94" spans="2:3" ht="13">
      <c r="B94" s="8"/>
      <c r="C94" s="8"/>
    </row>
    <row r="95" spans="2:3" ht="13">
      <c r="B95" s="8"/>
      <c r="C95" s="8"/>
    </row>
    <row r="96" spans="2:3" ht="13">
      <c r="B96" s="8"/>
      <c r="C96" s="8"/>
    </row>
    <row r="97" spans="2:3" ht="13">
      <c r="B97" s="8"/>
      <c r="C97" s="8"/>
    </row>
    <row r="98" spans="2:3" ht="13">
      <c r="B98" s="8"/>
      <c r="C98" s="8"/>
    </row>
    <row r="99" spans="2:3" ht="13">
      <c r="B99" s="8"/>
      <c r="C99" s="8"/>
    </row>
    <row r="100" spans="2:3" ht="13">
      <c r="B100" s="8"/>
      <c r="C100" s="8"/>
    </row>
    <row r="101" spans="2:3" ht="13">
      <c r="B101" s="8"/>
      <c r="C101" s="8"/>
    </row>
    <row r="102" spans="2:3" ht="13">
      <c r="B102" s="8"/>
      <c r="C102" s="8"/>
    </row>
    <row r="103" spans="2:3" ht="13">
      <c r="B103" s="8"/>
      <c r="C103" s="8"/>
    </row>
    <row r="104" spans="2:3" ht="13">
      <c r="B104" s="8"/>
      <c r="C104" s="8"/>
    </row>
    <row r="105" spans="2:3" ht="13">
      <c r="B105" s="8"/>
      <c r="C105" s="8"/>
    </row>
    <row r="106" spans="2:3" ht="13">
      <c r="B106" s="8"/>
      <c r="C106" s="8"/>
    </row>
    <row r="107" spans="2:3" ht="13">
      <c r="B107" s="8"/>
      <c r="C107" s="8"/>
    </row>
    <row r="108" spans="2:3" ht="13">
      <c r="B108" s="8"/>
      <c r="C108" s="8"/>
    </row>
    <row r="109" spans="2:3" ht="13">
      <c r="B109" s="8"/>
      <c r="C109" s="8"/>
    </row>
    <row r="110" spans="2:3" ht="13">
      <c r="B110" s="8"/>
      <c r="C110" s="8"/>
    </row>
    <row r="111" spans="2:3" ht="13">
      <c r="B111" s="8"/>
      <c r="C111" s="8"/>
    </row>
    <row r="112" spans="2:3" ht="13">
      <c r="B112" s="8"/>
      <c r="C112" s="8"/>
    </row>
    <row r="113" spans="2:3" ht="13">
      <c r="B113" s="8"/>
      <c r="C113" s="8"/>
    </row>
    <row r="114" spans="2:3" ht="13">
      <c r="B114" s="8"/>
      <c r="C114" s="8"/>
    </row>
    <row r="115" spans="2:3" ht="13">
      <c r="B115" s="8"/>
      <c r="C115" s="8"/>
    </row>
    <row r="116" spans="2:3" ht="13">
      <c r="B116" s="8"/>
      <c r="C116" s="8"/>
    </row>
    <row r="117" spans="2:3" ht="13">
      <c r="B117" s="8"/>
      <c r="C117" s="8"/>
    </row>
    <row r="118" spans="2:3" ht="13">
      <c r="B118" s="8"/>
      <c r="C118" s="8"/>
    </row>
    <row r="119" spans="2:3" ht="13">
      <c r="B119" s="8"/>
      <c r="C119" s="8"/>
    </row>
    <row r="120" spans="2:3" ht="13">
      <c r="B120" s="8"/>
      <c r="C120" s="8"/>
    </row>
    <row r="121" spans="2:3" ht="13">
      <c r="B121" s="8"/>
      <c r="C121" s="8"/>
    </row>
    <row r="122" spans="2:3" ht="13">
      <c r="B122" s="8"/>
      <c r="C122" s="8"/>
    </row>
    <row r="123" spans="2:3" ht="13">
      <c r="B123" s="8"/>
      <c r="C123" s="8"/>
    </row>
    <row r="124" spans="2:3" ht="13">
      <c r="B124" s="8"/>
      <c r="C124" s="8"/>
    </row>
    <row r="125" spans="2:3" ht="13">
      <c r="B125" s="8"/>
      <c r="C125" s="8"/>
    </row>
    <row r="126" spans="2:3" ht="13">
      <c r="B126" s="8"/>
      <c r="C126" s="8"/>
    </row>
    <row r="127" spans="2:3" ht="13">
      <c r="B127" s="8"/>
      <c r="C127" s="8"/>
    </row>
    <row r="128" spans="2:3" ht="13">
      <c r="B128" s="8"/>
      <c r="C128" s="8"/>
    </row>
    <row r="129" spans="2:3" ht="13">
      <c r="B129" s="8"/>
      <c r="C129" s="8"/>
    </row>
    <row r="130" spans="2:3" ht="13">
      <c r="B130" s="8"/>
      <c r="C130" s="8"/>
    </row>
    <row r="131" spans="2:3" ht="13">
      <c r="B131" s="8"/>
      <c r="C131" s="8"/>
    </row>
    <row r="132" spans="2:3" ht="13">
      <c r="B132" s="8"/>
      <c r="C132" s="8"/>
    </row>
    <row r="133" spans="2:3" ht="13">
      <c r="B133" s="8"/>
      <c r="C133" s="8"/>
    </row>
    <row r="134" spans="2:3" ht="13">
      <c r="B134" s="8"/>
      <c r="C134" s="8"/>
    </row>
    <row r="135" spans="2:3" ht="13">
      <c r="B135" s="8"/>
      <c r="C135" s="8"/>
    </row>
    <row r="136" spans="2:3" ht="13">
      <c r="B136" s="8"/>
      <c r="C136" s="8"/>
    </row>
    <row r="137" spans="2:3" ht="13">
      <c r="B137" s="8"/>
      <c r="C137" s="8"/>
    </row>
    <row r="138" spans="2:3" ht="13">
      <c r="B138" s="8"/>
      <c r="C138" s="8"/>
    </row>
    <row r="139" spans="2:3" ht="13">
      <c r="B139" s="8"/>
      <c r="C139" s="8"/>
    </row>
    <row r="140" spans="2:3" ht="13">
      <c r="B140" s="8"/>
      <c r="C140" s="8"/>
    </row>
    <row r="141" spans="2:3" ht="13">
      <c r="B141" s="8"/>
      <c r="C141" s="8"/>
    </row>
    <row r="142" spans="2:3" ht="13">
      <c r="B142" s="8"/>
      <c r="C142" s="8"/>
    </row>
    <row r="143" spans="2:3" ht="13">
      <c r="B143" s="8"/>
      <c r="C143" s="8"/>
    </row>
    <row r="144" spans="2:3" ht="13">
      <c r="B144" s="8"/>
      <c r="C144" s="8"/>
    </row>
    <row r="145" spans="2:3" ht="13">
      <c r="B145" s="8"/>
      <c r="C145" s="8"/>
    </row>
    <row r="146" spans="2:3" ht="13">
      <c r="B146" s="8"/>
      <c r="C146" s="8"/>
    </row>
    <row r="147" spans="2:3" ht="13">
      <c r="B147" s="8"/>
      <c r="C147" s="8"/>
    </row>
    <row r="148" spans="2:3" ht="13">
      <c r="B148" s="8"/>
      <c r="C148" s="8"/>
    </row>
    <row r="149" spans="2:3" ht="13">
      <c r="B149" s="8"/>
      <c r="C149" s="8"/>
    </row>
    <row r="150" spans="2:3" ht="13">
      <c r="B150" s="8"/>
      <c r="C150" s="8"/>
    </row>
    <row r="151" spans="2:3" ht="13">
      <c r="B151" s="8"/>
      <c r="C151" s="8"/>
    </row>
    <row r="152" spans="2:3" ht="13">
      <c r="B152" s="8"/>
      <c r="C152" s="8"/>
    </row>
    <row r="153" spans="2:3" ht="13">
      <c r="B153" s="8"/>
      <c r="C153" s="8"/>
    </row>
    <row r="154" spans="2:3" ht="13">
      <c r="B154" s="8"/>
      <c r="C154" s="8"/>
    </row>
    <row r="155" spans="2:3" ht="13">
      <c r="B155" s="8"/>
      <c r="C155" s="8"/>
    </row>
    <row r="156" spans="2:3" ht="13">
      <c r="B156" s="8"/>
      <c r="C156" s="8"/>
    </row>
    <row r="157" spans="2:3" ht="13">
      <c r="B157" s="8"/>
      <c r="C157" s="8"/>
    </row>
    <row r="158" spans="2:3" ht="13">
      <c r="B158" s="8"/>
      <c r="C158" s="8"/>
    </row>
    <row r="159" spans="2:3" ht="13">
      <c r="B159" s="8"/>
      <c r="C159" s="8"/>
    </row>
    <row r="160" spans="2:3" ht="13">
      <c r="B160" s="8"/>
      <c r="C160" s="8"/>
    </row>
    <row r="161" spans="2:3" ht="13">
      <c r="B161" s="8"/>
      <c r="C161" s="8"/>
    </row>
    <row r="162" spans="2:3" ht="13">
      <c r="B162" s="8"/>
      <c r="C162" s="8"/>
    </row>
    <row r="163" spans="2:3" ht="13">
      <c r="B163" s="8"/>
      <c r="C163" s="8"/>
    </row>
    <row r="164" spans="2:3" ht="13">
      <c r="B164" s="8"/>
      <c r="C164" s="8"/>
    </row>
    <row r="165" spans="2:3" ht="13">
      <c r="B165" s="8"/>
      <c r="C165" s="8"/>
    </row>
    <row r="166" spans="2:3" ht="13">
      <c r="B166" s="8"/>
      <c r="C166" s="8"/>
    </row>
    <row r="167" spans="2:3" ht="13">
      <c r="B167" s="8"/>
      <c r="C167" s="8"/>
    </row>
    <row r="168" spans="2:3" ht="13">
      <c r="B168" s="8"/>
      <c r="C168" s="8"/>
    </row>
    <row r="169" spans="2:3" ht="13">
      <c r="B169" s="8"/>
      <c r="C169" s="8"/>
    </row>
    <row r="170" spans="2:3" ht="13">
      <c r="B170" s="8"/>
      <c r="C170" s="8"/>
    </row>
    <row r="171" spans="2:3" ht="13">
      <c r="B171" s="8"/>
      <c r="C171" s="8"/>
    </row>
    <row r="172" spans="2:3" ht="13">
      <c r="B172" s="8"/>
      <c r="C172" s="8"/>
    </row>
    <row r="173" spans="2:3" ht="13">
      <c r="B173" s="8"/>
      <c r="C173" s="8"/>
    </row>
    <row r="174" spans="2:3" ht="13">
      <c r="B174" s="8"/>
      <c r="C174" s="8"/>
    </row>
    <row r="175" spans="2:3" ht="13">
      <c r="B175" s="8"/>
      <c r="C175" s="8"/>
    </row>
    <row r="176" spans="2:3" ht="13">
      <c r="B176" s="8"/>
      <c r="C176" s="8"/>
    </row>
    <row r="177" spans="2:3" ht="13">
      <c r="B177" s="8"/>
      <c r="C177" s="8"/>
    </row>
    <row r="178" spans="2:3" ht="13">
      <c r="B178" s="8"/>
      <c r="C178" s="8"/>
    </row>
    <row r="179" spans="2:3" ht="13">
      <c r="B179" s="8"/>
      <c r="C179" s="8"/>
    </row>
    <row r="180" spans="2:3" ht="13">
      <c r="B180" s="8"/>
      <c r="C180" s="8"/>
    </row>
    <row r="181" spans="2:3" ht="13">
      <c r="B181" s="8"/>
      <c r="C181" s="8"/>
    </row>
    <row r="182" spans="2:3" ht="13">
      <c r="B182" s="8"/>
      <c r="C182" s="8"/>
    </row>
    <row r="183" spans="2:3" ht="13">
      <c r="B183" s="8"/>
      <c r="C183" s="8"/>
    </row>
    <row r="184" spans="2:3" ht="13">
      <c r="B184" s="8"/>
      <c r="C184" s="8"/>
    </row>
    <row r="185" spans="2:3" ht="13">
      <c r="B185" s="8"/>
      <c r="C185" s="8"/>
    </row>
    <row r="186" spans="2:3" ht="13">
      <c r="B186" s="8"/>
      <c r="C186" s="8"/>
    </row>
    <row r="187" spans="2:3" ht="13">
      <c r="B187" s="8"/>
      <c r="C187" s="8"/>
    </row>
    <row r="188" spans="2:3" ht="13">
      <c r="B188" s="8"/>
      <c r="C188" s="8"/>
    </row>
    <row r="189" spans="2:3" ht="13">
      <c r="B189" s="8"/>
      <c r="C189" s="8"/>
    </row>
    <row r="190" spans="2:3" ht="13">
      <c r="B190" s="8"/>
      <c r="C190" s="8"/>
    </row>
    <row r="191" spans="2:3" ht="13">
      <c r="B191" s="8"/>
      <c r="C191" s="8"/>
    </row>
    <row r="192" spans="2:3" ht="13">
      <c r="B192" s="8"/>
      <c r="C192" s="8"/>
    </row>
    <row r="193" spans="2:3" ht="13">
      <c r="B193" s="8"/>
      <c r="C193" s="8"/>
    </row>
    <row r="194" spans="2:3" ht="13">
      <c r="B194" s="8"/>
      <c r="C194" s="8"/>
    </row>
    <row r="195" spans="2:3" ht="13">
      <c r="B195" s="8"/>
      <c r="C195" s="8"/>
    </row>
    <row r="196" spans="2:3" ht="13">
      <c r="B196" s="8"/>
      <c r="C196" s="8"/>
    </row>
    <row r="197" spans="2:3" ht="13">
      <c r="B197" s="8"/>
      <c r="C197" s="8"/>
    </row>
    <row r="198" spans="2:3" ht="13">
      <c r="B198" s="8"/>
      <c r="C198" s="8"/>
    </row>
    <row r="199" spans="2:3" ht="13">
      <c r="B199" s="8"/>
      <c r="C199" s="8"/>
    </row>
    <row r="200" spans="2:3" ht="13">
      <c r="B200" s="8"/>
      <c r="C200" s="8"/>
    </row>
    <row r="201" spans="2:3" ht="13">
      <c r="B201" s="8"/>
      <c r="C201" s="8"/>
    </row>
    <row r="202" spans="2:3" ht="13">
      <c r="B202" s="8"/>
      <c r="C202" s="8"/>
    </row>
    <row r="203" spans="2:3" ht="13">
      <c r="B203" s="8"/>
      <c r="C203" s="8"/>
    </row>
    <row r="204" spans="2:3" ht="13">
      <c r="B204" s="8"/>
      <c r="C204" s="8"/>
    </row>
    <row r="205" spans="2:3" ht="13">
      <c r="B205" s="8"/>
      <c r="C205" s="8"/>
    </row>
    <row r="206" spans="2:3" ht="13">
      <c r="B206" s="8"/>
      <c r="C206" s="8"/>
    </row>
    <row r="207" spans="2:3" ht="13">
      <c r="B207" s="8"/>
      <c r="C207" s="8"/>
    </row>
    <row r="208" spans="2:3" ht="13">
      <c r="B208" s="8"/>
      <c r="C208" s="8"/>
    </row>
    <row r="209" spans="2:3" ht="13">
      <c r="B209" s="8"/>
      <c r="C209" s="8"/>
    </row>
    <row r="210" spans="2:3" ht="13">
      <c r="B210" s="8"/>
      <c r="C210" s="8"/>
    </row>
    <row r="211" spans="2:3" ht="13">
      <c r="B211" s="8"/>
      <c r="C211" s="8"/>
    </row>
    <row r="212" spans="2:3" ht="13">
      <c r="B212" s="8"/>
      <c r="C212" s="8"/>
    </row>
    <row r="213" spans="2:3" ht="13">
      <c r="B213" s="8"/>
      <c r="C213" s="8"/>
    </row>
    <row r="214" spans="2:3" ht="13">
      <c r="B214" s="8"/>
      <c r="C214" s="8"/>
    </row>
    <row r="215" spans="2:3" ht="13">
      <c r="B215" s="8"/>
      <c r="C215" s="8"/>
    </row>
    <row r="216" spans="2:3" ht="13">
      <c r="B216" s="8"/>
      <c r="C216" s="8"/>
    </row>
    <row r="217" spans="2:3" ht="13">
      <c r="B217" s="8"/>
      <c r="C217" s="8"/>
    </row>
    <row r="218" spans="2:3" ht="13">
      <c r="B218" s="8"/>
      <c r="C218" s="8"/>
    </row>
    <row r="219" spans="2:3" ht="13">
      <c r="B219" s="8"/>
      <c r="C219" s="8"/>
    </row>
    <row r="220" spans="2:3" ht="13">
      <c r="B220" s="8"/>
      <c r="C220" s="8"/>
    </row>
    <row r="221" spans="2:3" ht="13">
      <c r="B221" s="8"/>
      <c r="C221" s="8"/>
    </row>
    <row r="222" spans="2:3" ht="13">
      <c r="B222" s="8"/>
      <c r="C222" s="8"/>
    </row>
    <row r="223" spans="2:3" ht="13">
      <c r="B223" s="8"/>
      <c r="C223" s="8"/>
    </row>
    <row r="224" spans="2:3" ht="13">
      <c r="B224" s="8"/>
      <c r="C224" s="8"/>
    </row>
    <row r="225" spans="2:3" ht="13">
      <c r="B225" s="8"/>
      <c r="C225" s="8"/>
    </row>
    <row r="226" spans="2:3" ht="13">
      <c r="B226" s="8"/>
      <c r="C226" s="8"/>
    </row>
    <row r="227" spans="2:3" ht="13">
      <c r="B227" s="8"/>
      <c r="C227" s="8"/>
    </row>
    <row r="228" spans="2:3" ht="13">
      <c r="B228" s="8"/>
      <c r="C228" s="8"/>
    </row>
    <row r="229" spans="2:3" ht="13">
      <c r="B229" s="8"/>
      <c r="C229" s="8"/>
    </row>
    <row r="230" spans="2:3" ht="13">
      <c r="B230" s="8"/>
      <c r="C230" s="8"/>
    </row>
    <row r="231" spans="2:3" ht="13">
      <c r="B231" s="8"/>
      <c r="C231" s="8"/>
    </row>
    <row r="232" spans="2:3" ht="13">
      <c r="B232" s="8"/>
      <c r="C232" s="8"/>
    </row>
    <row r="233" spans="2:3" ht="13">
      <c r="B233" s="8"/>
      <c r="C233" s="8"/>
    </row>
    <row r="234" spans="2:3" ht="13">
      <c r="B234" s="8"/>
      <c r="C234" s="8"/>
    </row>
    <row r="235" spans="2:3" ht="13">
      <c r="B235" s="8"/>
      <c r="C235" s="8"/>
    </row>
    <row r="236" spans="2:3" ht="13">
      <c r="B236" s="8"/>
      <c r="C236" s="8"/>
    </row>
    <row r="237" spans="2:3" ht="13">
      <c r="B237" s="8"/>
      <c r="C237" s="8"/>
    </row>
    <row r="238" spans="2:3" ht="13">
      <c r="B238" s="8"/>
      <c r="C238" s="8"/>
    </row>
    <row r="239" spans="2:3" ht="13">
      <c r="B239" s="8"/>
      <c r="C239" s="8"/>
    </row>
    <row r="240" spans="2:3" ht="13">
      <c r="B240" s="8"/>
      <c r="C240" s="8"/>
    </row>
    <row r="241" spans="2:3" ht="13">
      <c r="B241" s="8"/>
      <c r="C241" s="8"/>
    </row>
    <row r="242" spans="2:3" ht="13">
      <c r="B242" s="8"/>
      <c r="C242" s="8"/>
    </row>
    <row r="243" spans="2:3" ht="13">
      <c r="B243" s="8"/>
      <c r="C243" s="8"/>
    </row>
    <row r="244" spans="2:3" ht="13">
      <c r="B244" s="8"/>
      <c r="C244" s="8"/>
    </row>
    <row r="245" spans="2:3" ht="13">
      <c r="B245" s="8"/>
      <c r="C245" s="8"/>
    </row>
    <row r="246" spans="2:3" ht="13">
      <c r="B246" s="8"/>
      <c r="C246" s="8"/>
    </row>
    <row r="247" spans="2:3" ht="13">
      <c r="B247" s="8"/>
      <c r="C247" s="8"/>
    </row>
    <row r="248" spans="2:3" ht="13">
      <c r="B248" s="8"/>
      <c r="C248" s="8"/>
    </row>
    <row r="249" spans="2:3" ht="13">
      <c r="B249" s="8"/>
      <c r="C249" s="8"/>
    </row>
    <row r="250" spans="2:3" ht="13">
      <c r="B250" s="8"/>
      <c r="C250" s="8"/>
    </row>
    <row r="251" spans="2:3" ht="13">
      <c r="B251" s="8"/>
      <c r="C251" s="8"/>
    </row>
    <row r="252" spans="2:3" ht="13">
      <c r="B252" s="8"/>
      <c r="C252" s="8"/>
    </row>
    <row r="253" spans="2:3" ht="13">
      <c r="B253" s="8"/>
      <c r="C253" s="8"/>
    </row>
    <row r="254" spans="2:3" ht="13">
      <c r="B254" s="8"/>
      <c r="C254" s="8"/>
    </row>
    <row r="255" spans="2:3" ht="13">
      <c r="B255" s="8"/>
      <c r="C255" s="8"/>
    </row>
    <row r="256" spans="2:3" ht="13">
      <c r="B256" s="8"/>
      <c r="C256" s="8"/>
    </row>
    <row r="257" spans="2:3" ht="13">
      <c r="B257" s="8"/>
      <c r="C257" s="8"/>
    </row>
    <row r="258" spans="2:3" ht="13">
      <c r="B258" s="8"/>
      <c r="C258" s="8"/>
    </row>
    <row r="259" spans="2:3" ht="13">
      <c r="B259" s="8"/>
      <c r="C259" s="8"/>
    </row>
    <row r="260" spans="2:3" ht="13">
      <c r="B260" s="8"/>
      <c r="C260" s="8"/>
    </row>
    <row r="261" spans="2:3" ht="13">
      <c r="B261" s="8"/>
      <c r="C261" s="8"/>
    </row>
    <row r="262" spans="2:3" ht="13">
      <c r="B262" s="8"/>
      <c r="C262" s="8"/>
    </row>
    <row r="263" spans="2:3" ht="13">
      <c r="B263" s="8"/>
      <c r="C263" s="8"/>
    </row>
    <row r="264" spans="2:3" ht="13">
      <c r="B264" s="8"/>
      <c r="C264" s="8"/>
    </row>
    <row r="265" spans="2:3" ht="13">
      <c r="B265" s="8"/>
      <c r="C265" s="8"/>
    </row>
    <row r="266" spans="2:3" ht="13">
      <c r="B266" s="8"/>
      <c r="C266" s="8"/>
    </row>
    <row r="267" spans="2:3" ht="13">
      <c r="B267" s="8"/>
      <c r="C267" s="8"/>
    </row>
    <row r="268" spans="2:3" ht="13">
      <c r="B268" s="8"/>
      <c r="C268" s="8"/>
    </row>
    <row r="269" spans="2:3" ht="13">
      <c r="B269" s="8"/>
      <c r="C269" s="8"/>
    </row>
    <row r="270" spans="2:3" ht="13">
      <c r="B270" s="8"/>
      <c r="C270" s="8"/>
    </row>
    <row r="271" spans="2:3" ht="13">
      <c r="B271" s="8"/>
      <c r="C271" s="8"/>
    </row>
    <row r="272" spans="2:3" ht="13">
      <c r="B272" s="8"/>
      <c r="C272" s="8"/>
    </row>
    <row r="273" spans="2:3" ht="13">
      <c r="B273" s="8"/>
      <c r="C273" s="8"/>
    </row>
    <row r="274" spans="2:3" ht="13">
      <c r="B274" s="8"/>
      <c r="C274" s="8"/>
    </row>
    <row r="275" spans="2:3" ht="13">
      <c r="B275" s="8"/>
      <c r="C275" s="8"/>
    </row>
    <row r="276" spans="2:3" ht="13">
      <c r="B276" s="8"/>
      <c r="C276" s="8"/>
    </row>
    <row r="277" spans="2:3" ht="13">
      <c r="B277" s="8"/>
      <c r="C277" s="8"/>
    </row>
    <row r="278" spans="2:3" ht="13">
      <c r="B278" s="8"/>
      <c r="C278" s="8"/>
    </row>
    <row r="279" spans="2:3" ht="13">
      <c r="B279" s="8"/>
      <c r="C279" s="8"/>
    </row>
    <row r="280" spans="2:3" ht="13">
      <c r="B280" s="8"/>
      <c r="C280" s="8"/>
    </row>
    <row r="281" spans="2:3" ht="13">
      <c r="B281" s="8"/>
      <c r="C281" s="8"/>
    </row>
    <row r="282" spans="2:3" ht="13">
      <c r="B282" s="8"/>
      <c r="C282" s="8"/>
    </row>
    <row r="283" spans="2:3" ht="13">
      <c r="B283" s="8"/>
      <c r="C283" s="8"/>
    </row>
    <row r="284" spans="2:3" ht="13">
      <c r="B284" s="8"/>
      <c r="C284" s="8"/>
    </row>
    <row r="285" spans="2:3" ht="13">
      <c r="B285" s="8"/>
      <c r="C285" s="8"/>
    </row>
    <row r="286" spans="2:3" ht="13">
      <c r="B286" s="8"/>
      <c r="C286" s="8"/>
    </row>
    <row r="287" spans="2:3" ht="13">
      <c r="B287" s="8"/>
      <c r="C287" s="8"/>
    </row>
    <row r="288" spans="2:3" ht="13">
      <c r="B288" s="8"/>
      <c r="C288" s="8"/>
    </row>
    <row r="289" spans="2:3" ht="13">
      <c r="B289" s="8"/>
      <c r="C289" s="8"/>
    </row>
    <row r="290" spans="2:3" ht="13">
      <c r="B290" s="8"/>
      <c r="C290" s="8"/>
    </row>
    <row r="291" spans="2:3" ht="13">
      <c r="B291" s="8"/>
      <c r="C291" s="8"/>
    </row>
    <row r="292" spans="2:3" ht="13">
      <c r="B292" s="8"/>
      <c r="C292" s="8"/>
    </row>
    <row r="293" spans="2:3" ht="13">
      <c r="B293" s="8"/>
      <c r="C293" s="8"/>
    </row>
    <row r="294" spans="2:3" ht="13">
      <c r="B294" s="8"/>
      <c r="C294" s="8"/>
    </row>
    <row r="295" spans="2:3" ht="13">
      <c r="B295" s="8"/>
      <c r="C295" s="8"/>
    </row>
    <row r="296" spans="2:3" ht="13">
      <c r="B296" s="8"/>
      <c r="C296" s="8"/>
    </row>
    <row r="297" spans="2:3" ht="13">
      <c r="B297" s="8"/>
      <c r="C297" s="8"/>
    </row>
    <row r="298" spans="2:3" ht="13">
      <c r="B298" s="8"/>
      <c r="C298" s="8"/>
    </row>
    <row r="299" spans="2:3" ht="13">
      <c r="B299" s="8"/>
      <c r="C299" s="8"/>
    </row>
    <row r="300" spans="2:3" ht="13">
      <c r="B300" s="8"/>
      <c r="C300" s="8"/>
    </row>
    <row r="301" spans="2:3" ht="13">
      <c r="B301" s="8"/>
      <c r="C301" s="8"/>
    </row>
    <row r="302" spans="2:3" ht="13">
      <c r="B302" s="8"/>
      <c r="C302" s="8"/>
    </row>
    <row r="303" spans="2:3" ht="13">
      <c r="B303" s="8"/>
      <c r="C303" s="8"/>
    </row>
    <row r="304" spans="2:3" ht="13">
      <c r="B304" s="8"/>
      <c r="C304" s="8"/>
    </row>
    <row r="305" spans="2:3" ht="13">
      <c r="B305" s="8"/>
      <c r="C305" s="8"/>
    </row>
    <row r="306" spans="2:3" ht="13">
      <c r="B306" s="8"/>
      <c r="C306" s="8"/>
    </row>
    <row r="307" spans="2:3" ht="13">
      <c r="B307" s="8"/>
      <c r="C307" s="8"/>
    </row>
    <row r="308" spans="2:3" ht="13">
      <c r="B308" s="8"/>
      <c r="C308" s="8"/>
    </row>
    <row r="309" spans="2:3" ht="13">
      <c r="B309" s="8"/>
      <c r="C309" s="8"/>
    </row>
    <row r="310" spans="2:3" ht="13">
      <c r="B310" s="8"/>
      <c r="C310" s="8"/>
    </row>
    <row r="311" spans="2:3" ht="13">
      <c r="B311" s="8"/>
      <c r="C311" s="8"/>
    </row>
    <row r="312" spans="2:3" ht="13">
      <c r="B312" s="8"/>
      <c r="C312" s="8"/>
    </row>
    <row r="313" spans="2:3" ht="13">
      <c r="B313" s="8"/>
      <c r="C313" s="8"/>
    </row>
    <row r="314" spans="2:3" ht="13">
      <c r="B314" s="8"/>
      <c r="C314" s="8"/>
    </row>
    <row r="315" spans="2:3" ht="13">
      <c r="B315" s="8"/>
      <c r="C315" s="8"/>
    </row>
    <row r="316" spans="2:3" ht="13">
      <c r="B316" s="8"/>
      <c r="C316" s="8"/>
    </row>
    <row r="317" spans="2:3" ht="13">
      <c r="B317" s="8"/>
      <c r="C317" s="8"/>
    </row>
    <row r="318" spans="2:3" ht="13">
      <c r="B318" s="8"/>
      <c r="C318" s="8"/>
    </row>
    <row r="319" spans="2:3" ht="13">
      <c r="B319" s="8"/>
      <c r="C319" s="8"/>
    </row>
    <row r="320" spans="2:3" ht="13">
      <c r="B320" s="8"/>
      <c r="C320" s="8"/>
    </row>
    <row r="321" spans="2:3" ht="13">
      <c r="B321" s="8"/>
      <c r="C321" s="8"/>
    </row>
    <row r="322" spans="2:3" ht="13">
      <c r="B322" s="8"/>
      <c r="C322" s="8"/>
    </row>
    <row r="323" spans="2:3" ht="13">
      <c r="B323" s="8"/>
      <c r="C323" s="8"/>
    </row>
    <row r="324" spans="2:3" ht="13">
      <c r="B324" s="8"/>
      <c r="C324" s="8"/>
    </row>
    <row r="325" spans="2:3" ht="13">
      <c r="B325" s="8"/>
      <c r="C325" s="8"/>
    </row>
    <row r="326" spans="2:3" ht="13">
      <c r="B326" s="8"/>
      <c r="C326" s="8"/>
    </row>
    <row r="327" spans="2:3" ht="13">
      <c r="B327" s="8"/>
      <c r="C327" s="8"/>
    </row>
    <row r="328" spans="2:3" ht="13">
      <c r="B328" s="8"/>
      <c r="C328" s="8"/>
    </row>
    <row r="329" spans="2:3" ht="13">
      <c r="B329" s="8"/>
      <c r="C329" s="8"/>
    </row>
    <row r="330" spans="2:3" ht="13">
      <c r="B330" s="8"/>
      <c r="C330" s="8"/>
    </row>
    <row r="331" spans="2:3" ht="13">
      <c r="B331" s="8"/>
      <c r="C331" s="8"/>
    </row>
    <row r="332" spans="2:3" ht="13">
      <c r="B332" s="8"/>
      <c r="C332" s="8"/>
    </row>
    <row r="333" spans="2:3" ht="13">
      <c r="B333" s="8"/>
      <c r="C333" s="8"/>
    </row>
    <row r="334" spans="2:3" ht="13">
      <c r="B334" s="8"/>
      <c r="C334" s="8"/>
    </row>
    <row r="335" spans="2:3" ht="13">
      <c r="B335" s="8"/>
      <c r="C335" s="8"/>
    </row>
    <row r="336" spans="2:3" ht="13">
      <c r="B336" s="8"/>
      <c r="C336" s="8"/>
    </row>
    <row r="337" spans="2:3" ht="13">
      <c r="B337" s="8"/>
      <c r="C337" s="8"/>
    </row>
    <row r="338" spans="2:3" ht="13">
      <c r="B338" s="8"/>
      <c r="C338" s="8"/>
    </row>
    <row r="339" spans="2:3" ht="13">
      <c r="B339" s="8"/>
      <c r="C339" s="8"/>
    </row>
    <row r="340" spans="2:3" ht="13">
      <c r="B340" s="8"/>
      <c r="C340" s="8"/>
    </row>
    <row r="341" spans="2:3" ht="13">
      <c r="B341" s="8"/>
      <c r="C341" s="8"/>
    </row>
    <row r="342" spans="2:3" ht="13">
      <c r="B342" s="8"/>
      <c r="C342" s="8"/>
    </row>
    <row r="343" spans="2:3" ht="13">
      <c r="B343" s="8"/>
      <c r="C343" s="8"/>
    </row>
    <row r="344" spans="2:3" ht="13">
      <c r="B344" s="8"/>
      <c r="C344" s="8"/>
    </row>
    <row r="345" spans="2:3" ht="13">
      <c r="B345" s="8"/>
      <c r="C345" s="8"/>
    </row>
    <row r="346" spans="2:3" ht="13">
      <c r="B346" s="8"/>
      <c r="C346" s="8"/>
    </row>
    <row r="347" spans="2:3" ht="13">
      <c r="B347" s="8"/>
      <c r="C347" s="8"/>
    </row>
    <row r="348" spans="2:3" ht="13">
      <c r="B348" s="8"/>
      <c r="C348" s="8"/>
    </row>
    <row r="349" spans="2:3" ht="13">
      <c r="B349" s="8"/>
      <c r="C349" s="8"/>
    </row>
    <row r="350" spans="2:3" ht="13">
      <c r="B350" s="8"/>
      <c r="C350" s="8"/>
    </row>
    <row r="351" spans="2:3" ht="13">
      <c r="B351" s="8"/>
      <c r="C351" s="8"/>
    </row>
    <row r="352" spans="2:3" ht="13">
      <c r="B352" s="8"/>
      <c r="C352" s="8"/>
    </row>
    <row r="353" spans="2:3" ht="13">
      <c r="B353" s="8"/>
      <c r="C353" s="8"/>
    </row>
    <row r="354" spans="2:3" ht="13">
      <c r="B354" s="8"/>
      <c r="C354" s="8"/>
    </row>
    <row r="355" spans="2:3" ht="13">
      <c r="B355" s="8"/>
      <c r="C355" s="8"/>
    </row>
    <row r="356" spans="2:3" ht="13">
      <c r="B356" s="8"/>
      <c r="C356" s="8"/>
    </row>
    <row r="357" spans="2:3" ht="13">
      <c r="B357" s="8"/>
      <c r="C357" s="8"/>
    </row>
    <row r="358" spans="2:3" ht="13">
      <c r="B358" s="8"/>
      <c r="C358" s="8"/>
    </row>
    <row r="359" spans="2:3" ht="13">
      <c r="B359" s="8"/>
      <c r="C359" s="8"/>
    </row>
    <row r="360" spans="2:3" ht="13">
      <c r="B360" s="8"/>
      <c r="C360" s="8"/>
    </row>
    <row r="361" spans="2:3" ht="13">
      <c r="B361" s="8"/>
      <c r="C361" s="8"/>
    </row>
    <row r="362" spans="2:3" ht="13">
      <c r="B362" s="8"/>
      <c r="C362" s="8"/>
    </row>
    <row r="363" spans="2:3" ht="13">
      <c r="B363" s="8"/>
      <c r="C363" s="8"/>
    </row>
    <row r="364" spans="2:3" ht="13">
      <c r="B364" s="8"/>
      <c r="C364" s="8"/>
    </row>
    <row r="365" spans="2:3" ht="13">
      <c r="B365" s="8"/>
      <c r="C365" s="8"/>
    </row>
    <row r="366" spans="2:3" ht="13">
      <c r="B366" s="8"/>
      <c r="C366" s="8"/>
    </row>
    <row r="367" spans="2:3" ht="13">
      <c r="B367" s="8"/>
      <c r="C367" s="8"/>
    </row>
    <row r="368" spans="2:3" ht="13">
      <c r="B368" s="8"/>
      <c r="C368" s="8"/>
    </row>
    <row r="369" spans="2:3" ht="13">
      <c r="B369" s="8"/>
      <c r="C369" s="8"/>
    </row>
    <row r="370" spans="2:3" ht="13">
      <c r="B370" s="8"/>
      <c r="C370" s="8"/>
    </row>
    <row r="371" spans="2:3" ht="13">
      <c r="B371" s="8"/>
      <c r="C371" s="8"/>
    </row>
    <row r="372" spans="2:3" ht="13">
      <c r="B372" s="8"/>
      <c r="C372" s="8"/>
    </row>
    <row r="373" spans="2:3" ht="13">
      <c r="B373" s="8"/>
      <c r="C373" s="8"/>
    </row>
    <row r="374" spans="2:3" ht="13">
      <c r="B374" s="8"/>
      <c r="C374" s="8"/>
    </row>
    <row r="375" spans="2:3" ht="13">
      <c r="B375" s="8"/>
      <c r="C375" s="8"/>
    </row>
    <row r="376" spans="2:3" ht="13">
      <c r="B376" s="8"/>
      <c r="C376" s="8"/>
    </row>
    <row r="377" spans="2:3" ht="13">
      <c r="B377" s="8"/>
      <c r="C377" s="8"/>
    </row>
    <row r="378" spans="2:3" ht="13">
      <c r="B378" s="8"/>
      <c r="C378" s="8"/>
    </row>
    <row r="379" spans="2:3" ht="13">
      <c r="B379" s="8"/>
      <c r="C379" s="8"/>
    </row>
    <row r="380" spans="2:3" ht="13">
      <c r="B380" s="8"/>
      <c r="C380" s="8"/>
    </row>
    <row r="381" spans="2:3" ht="13">
      <c r="B381" s="8"/>
      <c r="C381" s="8"/>
    </row>
    <row r="382" spans="2:3" ht="13">
      <c r="B382" s="8"/>
      <c r="C382" s="8"/>
    </row>
    <row r="383" spans="2:3" ht="13">
      <c r="B383" s="8"/>
      <c r="C383" s="8"/>
    </row>
    <row r="384" spans="2:3" ht="13">
      <c r="B384" s="8"/>
      <c r="C384" s="8"/>
    </row>
    <row r="385" spans="2:3" ht="13">
      <c r="B385" s="8"/>
      <c r="C385" s="8"/>
    </row>
    <row r="386" spans="2:3" ht="13">
      <c r="B386" s="8"/>
      <c r="C386" s="8"/>
    </row>
    <row r="387" spans="2:3" ht="13">
      <c r="B387" s="8"/>
      <c r="C387" s="8"/>
    </row>
    <row r="388" spans="2:3" ht="13">
      <c r="B388" s="8"/>
      <c r="C388" s="8"/>
    </row>
    <row r="389" spans="2:3" ht="13">
      <c r="B389" s="8"/>
      <c r="C389" s="8"/>
    </row>
    <row r="390" spans="2:3" ht="13">
      <c r="B390" s="8"/>
      <c r="C390" s="8"/>
    </row>
    <row r="391" spans="2:3" ht="13">
      <c r="B391" s="8"/>
      <c r="C391" s="8"/>
    </row>
    <row r="392" spans="2:3" ht="13">
      <c r="B392" s="8"/>
      <c r="C392" s="8"/>
    </row>
    <row r="393" spans="2:3" ht="13">
      <c r="B393" s="8"/>
      <c r="C393" s="8"/>
    </row>
    <row r="394" spans="2:3" ht="13">
      <c r="B394" s="8"/>
      <c r="C394" s="8"/>
    </row>
    <row r="395" spans="2:3" ht="13">
      <c r="B395" s="8"/>
      <c r="C395" s="8"/>
    </row>
    <row r="396" spans="2:3" ht="13">
      <c r="B396" s="8"/>
      <c r="C396" s="8"/>
    </row>
    <row r="397" spans="2:3" ht="13">
      <c r="B397" s="8"/>
      <c r="C397" s="8"/>
    </row>
    <row r="398" spans="2:3" ht="13">
      <c r="B398" s="8"/>
      <c r="C398" s="8"/>
    </row>
    <row r="399" spans="2:3" ht="13">
      <c r="B399" s="8"/>
      <c r="C399" s="8"/>
    </row>
    <row r="400" spans="2:3" ht="13">
      <c r="B400" s="8"/>
      <c r="C400" s="8"/>
    </row>
    <row r="401" spans="2:3" ht="13">
      <c r="B401" s="8"/>
      <c r="C401" s="8"/>
    </row>
    <row r="402" spans="2:3" ht="13">
      <c r="B402" s="8"/>
      <c r="C402" s="8"/>
    </row>
    <row r="403" spans="2:3" ht="13">
      <c r="B403" s="8"/>
      <c r="C403" s="8"/>
    </row>
    <row r="404" spans="2:3" ht="13">
      <c r="B404" s="8"/>
      <c r="C404" s="8"/>
    </row>
    <row r="405" spans="2:3" ht="13">
      <c r="B405" s="8"/>
      <c r="C405" s="8"/>
    </row>
    <row r="406" spans="2:3" ht="13">
      <c r="B406" s="8"/>
      <c r="C406" s="8"/>
    </row>
    <row r="407" spans="2:3" ht="13">
      <c r="B407" s="8"/>
      <c r="C407" s="8"/>
    </row>
    <row r="408" spans="2:3" ht="13">
      <c r="B408" s="8"/>
      <c r="C408" s="8"/>
    </row>
    <row r="409" spans="2:3" ht="13">
      <c r="B409" s="8"/>
      <c r="C409" s="8"/>
    </row>
    <row r="410" spans="2:3" ht="13">
      <c r="B410" s="8"/>
      <c r="C410" s="8"/>
    </row>
    <row r="411" spans="2:3" ht="13">
      <c r="B411" s="8"/>
      <c r="C411" s="8"/>
    </row>
    <row r="412" spans="2:3" ht="13">
      <c r="B412" s="8"/>
      <c r="C412" s="8"/>
    </row>
    <row r="413" spans="2:3" ht="13">
      <c r="B413" s="8"/>
      <c r="C413" s="8"/>
    </row>
    <row r="414" spans="2:3" ht="13">
      <c r="B414" s="8"/>
      <c r="C414" s="8"/>
    </row>
    <row r="415" spans="2:3" ht="13">
      <c r="B415" s="8"/>
      <c r="C415" s="8"/>
    </row>
    <row r="416" spans="2:3" ht="13">
      <c r="B416" s="8"/>
      <c r="C416" s="8"/>
    </row>
    <row r="417" spans="2:3" ht="13">
      <c r="B417" s="8"/>
      <c r="C417" s="8"/>
    </row>
    <row r="418" spans="2:3" ht="13">
      <c r="B418" s="8"/>
      <c r="C418" s="8"/>
    </row>
    <row r="419" spans="2:3" ht="13">
      <c r="B419" s="8"/>
      <c r="C419" s="8"/>
    </row>
    <row r="420" spans="2:3" ht="13">
      <c r="B420" s="8"/>
      <c r="C420" s="8"/>
    </row>
    <row r="421" spans="2:3" ht="13">
      <c r="B421" s="8"/>
      <c r="C421" s="8"/>
    </row>
    <row r="422" spans="2:3" ht="13">
      <c r="B422" s="8"/>
      <c r="C422" s="8"/>
    </row>
    <row r="423" spans="2:3" ht="13">
      <c r="B423" s="8"/>
      <c r="C423" s="8"/>
    </row>
    <row r="424" spans="2:3" ht="13">
      <c r="B424" s="8"/>
      <c r="C424" s="8"/>
    </row>
    <row r="425" spans="2:3" ht="13">
      <c r="B425" s="8"/>
      <c r="C425" s="8"/>
    </row>
    <row r="426" spans="2:3" ht="13">
      <c r="B426" s="8"/>
      <c r="C426" s="8"/>
    </row>
    <row r="427" spans="2:3" ht="13">
      <c r="B427" s="8"/>
      <c r="C427" s="8"/>
    </row>
    <row r="428" spans="2:3" ht="13">
      <c r="B428" s="8"/>
      <c r="C428" s="8"/>
    </row>
    <row r="429" spans="2:3" ht="13">
      <c r="B429" s="8"/>
      <c r="C429" s="8"/>
    </row>
    <row r="430" spans="2:3" ht="13">
      <c r="B430" s="8"/>
      <c r="C430" s="8"/>
    </row>
    <row r="431" spans="2:3" ht="13">
      <c r="B431" s="8"/>
      <c r="C431" s="8"/>
    </row>
    <row r="432" spans="2:3" ht="13">
      <c r="B432" s="8"/>
      <c r="C432" s="8"/>
    </row>
    <row r="433" spans="2:3" ht="13">
      <c r="B433" s="8"/>
      <c r="C433" s="8"/>
    </row>
    <row r="434" spans="2:3" ht="13">
      <c r="B434" s="8"/>
      <c r="C434" s="8"/>
    </row>
    <row r="435" spans="2:3" ht="13">
      <c r="B435" s="8"/>
      <c r="C435" s="8"/>
    </row>
    <row r="436" spans="2:3" ht="13">
      <c r="B436" s="8"/>
      <c r="C436" s="8"/>
    </row>
    <row r="437" spans="2:3" ht="13">
      <c r="B437" s="8"/>
      <c r="C437" s="8"/>
    </row>
    <row r="438" spans="2:3" ht="13">
      <c r="B438" s="8"/>
      <c r="C438" s="8"/>
    </row>
    <row r="439" spans="2:3" ht="13">
      <c r="B439" s="8"/>
      <c r="C439" s="8"/>
    </row>
    <row r="440" spans="2:3" ht="13">
      <c r="B440" s="8"/>
      <c r="C440" s="8"/>
    </row>
    <row r="441" spans="2:3" ht="13">
      <c r="B441" s="8"/>
      <c r="C441" s="8"/>
    </row>
    <row r="442" spans="2:3" ht="13">
      <c r="B442" s="8"/>
      <c r="C442" s="8"/>
    </row>
    <row r="443" spans="2:3" ht="13">
      <c r="B443" s="8"/>
      <c r="C443" s="8"/>
    </row>
    <row r="444" spans="2:3" ht="13">
      <c r="B444" s="8"/>
      <c r="C444" s="8"/>
    </row>
    <row r="445" spans="2:3" ht="13">
      <c r="B445" s="8"/>
      <c r="C445" s="8"/>
    </row>
    <row r="446" spans="2:3" ht="13">
      <c r="B446" s="8"/>
      <c r="C446" s="8"/>
    </row>
    <row r="447" spans="2:3" ht="13">
      <c r="B447" s="8"/>
      <c r="C447" s="8"/>
    </row>
    <row r="448" spans="2:3" ht="13">
      <c r="B448" s="8"/>
      <c r="C448" s="8"/>
    </row>
    <row r="449" spans="2:3" ht="13">
      <c r="B449" s="8"/>
      <c r="C449" s="8"/>
    </row>
    <row r="450" spans="2:3" ht="13">
      <c r="B450" s="8"/>
      <c r="C450" s="8"/>
    </row>
    <row r="451" spans="2:3" ht="13">
      <c r="B451" s="8"/>
      <c r="C451" s="8"/>
    </row>
    <row r="452" spans="2:3" ht="13">
      <c r="B452" s="8"/>
      <c r="C452" s="8"/>
    </row>
    <row r="453" spans="2:3" ht="13">
      <c r="B453" s="8"/>
      <c r="C453" s="8"/>
    </row>
    <row r="454" spans="2:3" ht="13">
      <c r="B454" s="8"/>
      <c r="C454" s="8"/>
    </row>
    <row r="455" spans="2:3" ht="13">
      <c r="B455" s="8"/>
      <c r="C455" s="8"/>
    </row>
    <row r="456" spans="2:3" ht="13">
      <c r="B456" s="8"/>
      <c r="C456" s="8"/>
    </row>
    <row r="457" spans="2:3" ht="13">
      <c r="B457" s="8"/>
      <c r="C457" s="8"/>
    </row>
    <row r="458" spans="2:3" ht="13">
      <c r="B458" s="8"/>
      <c r="C458" s="8"/>
    </row>
    <row r="459" spans="2:3" ht="13">
      <c r="B459" s="8"/>
      <c r="C459" s="8"/>
    </row>
    <row r="460" spans="2:3" ht="13">
      <c r="B460" s="8"/>
      <c r="C460" s="8"/>
    </row>
    <row r="461" spans="2:3" ht="13">
      <c r="B461" s="8"/>
      <c r="C461" s="8"/>
    </row>
    <row r="462" spans="2:3" ht="13">
      <c r="B462" s="8"/>
      <c r="C462" s="8"/>
    </row>
    <row r="463" spans="2:3" ht="13">
      <c r="B463" s="8"/>
      <c r="C463" s="8"/>
    </row>
    <row r="464" spans="2:3" ht="13">
      <c r="B464" s="8"/>
      <c r="C464" s="8"/>
    </row>
    <row r="465" spans="2:3" ht="13">
      <c r="B465" s="8"/>
      <c r="C465" s="8"/>
    </row>
    <row r="466" spans="2:3" ht="13">
      <c r="B466" s="8"/>
      <c r="C466" s="8"/>
    </row>
    <row r="467" spans="2:3" ht="13">
      <c r="B467" s="8"/>
      <c r="C467" s="8"/>
    </row>
    <row r="468" spans="2:3" ht="13">
      <c r="B468" s="8"/>
      <c r="C468" s="8"/>
    </row>
    <row r="469" spans="2:3" ht="13">
      <c r="B469" s="8"/>
      <c r="C469" s="8"/>
    </row>
    <row r="470" spans="2:3" ht="13">
      <c r="B470" s="8"/>
      <c r="C470" s="8"/>
    </row>
    <row r="471" spans="2:3" ht="13">
      <c r="B471" s="8"/>
      <c r="C471" s="8"/>
    </row>
    <row r="472" spans="2:3" ht="13">
      <c r="B472" s="8"/>
      <c r="C472" s="8"/>
    </row>
    <row r="473" spans="2:3" ht="13">
      <c r="B473" s="8"/>
      <c r="C473" s="8"/>
    </row>
    <row r="474" spans="2:3" ht="13">
      <c r="B474" s="8"/>
      <c r="C474" s="8"/>
    </row>
    <row r="475" spans="2:3" ht="13">
      <c r="B475" s="8"/>
      <c r="C475" s="8"/>
    </row>
    <row r="476" spans="2:3" ht="13">
      <c r="B476" s="8"/>
      <c r="C476" s="8"/>
    </row>
    <row r="477" spans="2:3" ht="13">
      <c r="B477" s="8"/>
      <c r="C477" s="8"/>
    </row>
    <row r="478" spans="2:3" ht="13">
      <c r="B478" s="8"/>
      <c r="C478" s="8"/>
    </row>
    <row r="479" spans="2:3" ht="13">
      <c r="B479" s="8"/>
      <c r="C479" s="8"/>
    </row>
    <row r="480" spans="2:3" ht="13">
      <c r="B480" s="8"/>
      <c r="C480" s="8"/>
    </row>
    <row r="481" spans="2:3" ht="13">
      <c r="B481" s="8"/>
      <c r="C481" s="8"/>
    </row>
    <row r="482" spans="2:3" ht="13">
      <c r="B482" s="8"/>
      <c r="C482" s="8"/>
    </row>
    <row r="483" spans="2:3" ht="13">
      <c r="B483" s="8"/>
      <c r="C483" s="8"/>
    </row>
    <row r="484" spans="2:3" ht="13">
      <c r="B484" s="8"/>
      <c r="C484" s="8"/>
    </row>
    <row r="485" spans="2:3" ht="13">
      <c r="B485" s="8"/>
      <c r="C485" s="8"/>
    </row>
    <row r="486" spans="2:3" ht="13">
      <c r="B486" s="8"/>
      <c r="C486" s="8"/>
    </row>
    <row r="487" spans="2:3" ht="13">
      <c r="B487" s="8"/>
      <c r="C487" s="8"/>
    </row>
    <row r="488" spans="2:3" ht="13">
      <c r="B488" s="8"/>
      <c r="C488" s="8"/>
    </row>
    <row r="489" spans="2:3" ht="13">
      <c r="B489" s="8"/>
      <c r="C489" s="8"/>
    </row>
    <row r="490" spans="2:3" ht="13">
      <c r="B490" s="8"/>
      <c r="C490" s="8"/>
    </row>
    <row r="491" spans="2:3" ht="13">
      <c r="B491" s="8"/>
      <c r="C491" s="8"/>
    </row>
    <row r="492" spans="2:3" ht="13">
      <c r="B492" s="8"/>
      <c r="C492" s="8"/>
    </row>
    <row r="493" spans="2:3" ht="13">
      <c r="B493" s="8"/>
      <c r="C493" s="8"/>
    </row>
    <row r="494" spans="2:3" ht="13">
      <c r="B494" s="8"/>
      <c r="C494" s="8"/>
    </row>
    <row r="495" spans="2:3" ht="13">
      <c r="B495" s="8"/>
      <c r="C495" s="8"/>
    </row>
    <row r="496" spans="2:3" ht="13">
      <c r="B496" s="8"/>
      <c r="C496" s="8"/>
    </row>
    <row r="497" spans="2:3" ht="13">
      <c r="B497" s="8"/>
      <c r="C497" s="8"/>
    </row>
    <row r="498" spans="2:3" ht="13">
      <c r="B498" s="8"/>
      <c r="C498" s="8"/>
    </row>
    <row r="499" spans="2:3" ht="13">
      <c r="B499" s="8"/>
      <c r="C499" s="8"/>
    </row>
    <row r="500" spans="2:3" ht="13">
      <c r="B500" s="8"/>
      <c r="C500" s="8"/>
    </row>
    <row r="501" spans="2:3" ht="13">
      <c r="B501" s="8"/>
      <c r="C501" s="8"/>
    </row>
    <row r="502" spans="2:3" ht="13">
      <c r="B502" s="8"/>
      <c r="C502" s="8"/>
    </row>
    <row r="503" spans="2:3" ht="13">
      <c r="B503" s="8"/>
      <c r="C503" s="8"/>
    </row>
    <row r="504" spans="2:3" ht="13">
      <c r="B504" s="8"/>
      <c r="C504" s="8"/>
    </row>
    <row r="505" spans="2:3" ht="13">
      <c r="B505" s="8"/>
      <c r="C505" s="8"/>
    </row>
    <row r="506" spans="2:3" ht="13">
      <c r="B506" s="8"/>
      <c r="C506" s="8"/>
    </row>
    <row r="507" spans="2:3" ht="13">
      <c r="B507" s="8"/>
      <c r="C507" s="8"/>
    </row>
    <row r="508" spans="2:3" ht="13">
      <c r="B508" s="8"/>
      <c r="C508" s="8"/>
    </row>
    <row r="509" spans="2:3" ht="13">
      <c r="B509" s="8"/>
      <c r="C509" s="8"/>
    </row>
    <row r="510" spans="2:3" ht="13">
      <c r="B510" s="8"/>
      <c r="C510" s="8"/>
    </row>
    <row r="511" spans="2:3" ht="13">
      <c r="B511" s="8"/>
      <c r="C511" s="8"/>
    </row>
    <row r="512" spans="2:3" ht="13">
      <c r="B512" s="8"/>
      <c r="C512" s="8"/>
    </row>
    <row r="513" spans="2:3" ht="13">
      <c r="B513" s="8"/>
      <c r="C513" s="8"/>
    </row>
    <row r="514" spans="2:3" ht="13">
      <c r="B514" s="8"/>
      <c r="C514" s="8"/>
    </row>
    <row r="515" spans="2:3" ht="13">
      <c r="B515" s="8"/>
      <c r="C515" s="8"/>
    </row>
    <row r="516" spans="2:3" ht="13">
      <c r="B516" s="8"/>
      <c r="C516" s="8"/>
    </row>
    <row r="517" spans="2:3" ht="13">
      <c r="B517" s="8"/>
      <c r="C517" s="8"/>
    </row>
    <row r="518" spans="2:3" ht="13">
      <c r="B518" s="8"/>
      <c r="C518" s="8"/>
    </row>
    <row r="519" spans="2:3" ht="13">
      <c r="B519" s="8"/>
      <c r="C519" s="8"/>
    </row>
    <row r="520" spans="2:3" ht="13">
      <c r="B520" s="8"/>
      <c r="C520" s="8"/>
    </row>
    <row r="521" spans="2:3" ht="13">
      <c r="B521" s="8"/>
      <c r="C521" s="8"/>
    </row>
    <row r="522" spans="2:3" ht="13">
      <c r="B522" s="8"/>
      <c r="C522" s="8"/>
    </row>
    <row r="523" spans="2:3" ht="13">
      <c r="B523" s="8"/>
      <c r="C523" s="8"/>
    </row>
    <row r="524" spans="2:3" ht="13">
      <c r="B524" s="8"/>
      <c r="C524" s="8"/>
    </row>
    <row r="525" spans="2:3" ht="13">
      <c r="B525" s="8"/>
      <c r="C525" s="8"/>
    </row>
    <row r="526" spans="2:3" ht="13">
      <c r="B526" s="8"/>
      <c r="C526" s="8"/>
    </row>
    <row r="527" spans="2:3" ht="13">
      <c r="B527" s="8"/>
      <c r="C527" s="8"/>
    </row>
    <row r="528" spans="2:3" ht="13">
      <c r="B528" s="8"/>
      <c r="C528" s="8"/>
    </row>
    <row r="529" spans="2:3" ht="13">
      <c r="B529" s="8"/>
      <c r="C529" s="8"/>
    </row>
    <row r="530" spans="2:3" ht="13">
      <c r="B530" s="8"/>
      <c r="C530" s="8"/>
    </row>
    <row r="531" spans="2:3" ht="13">
      <c r="B531" s="8"/>
      <c r="C531" s="8"/>
    </row>
    <row r="532" spans="2:3" ht="13">
      <c r="B532" s="8"/>
      <c r="C532" s="8"/>
    </row>
    <row r="533" spans="2:3" ht="13">
      <c r="B533" s="8"/>
      <c r="C533" s="8"/>
    </row>
    <row r="534" spans="2:3" ht="13">
      <c r="B534" s="8"/>
      <c r="C534" s="8"/>
    </row>
    <row r="535" spans="2:3" ht="13">
      <c r="B535" s="8"/>
      <c r="C535" s="8"/>
    </row>
    <row r="536" spans="2:3" ht="13">
      <c r="B536" s="8"/>
      <c r="C536" s="8"/>
    </row>
    <row r="537" spans="2:3" ht="13">
      <c r="B537" s="8"/>
      <c r="C537" s="8"/>
    </row>
    <row r="538" spans="2:3" ht="13">
      <c r="B538" s="8"/>
      <c r="C538" s="8"/>
    </row>
    <row r="539" spans="2:3" ht="13">
      <c r="B539" s="8"/>
      <c r="C539" s="8"/>
    </row>
    <row r="540" spans="2:3" ht="13">
      <c r="B540" s="8"/>
      <c r="C540" s="8"/>
    </row>
    <row r="541" spans="2:3" ht="13">
      <c r="B541" s="8"/>
      <c r="C541" s="8"/>
    </row>
    <row r="542" spans="2:3" ht="13">
      <c r="B542" s="8"/>
      <c r="C542" s="8"/>
    </row>
    <row r="543" spans="2:3" ht="13">
      <c r="B543" s="8"/>
      <c r="C543" s="8"/>
    </row>
    <row r="544" spans="2:3" ht="13">
      <c r="B544" s="8"/>
      <c r="C544" s="8"/>
    </row>
    <row r="545" spans="2:3" ht="13">
      <c r="B545" s="8"/>
      <c r="C545" s="8"/>
    </row>
    <row r="546" spans="2:3" ht="13">
      <c r="B546" s="8"/>
      <c r="C546" s="8"/>
    </row>
    <row r="547" spans="2:3" ht="13">
      <c r="B547" s="8"/>
      <c r="C547" s="8"/>
    </row>
    <row r="548" spans="2:3" ht="13">
      <c r="B548" s="8"/>
      <c r="C548" s="8"/>
    </row>
    <row r="549" spans="2:3" ht="13">
      <c r="B549" s="8"/>
      <c r="C549" s="8"/>
    </row>
    <row r="550" spans="2:3" ht="13">
      <c r="B550" s="8"/>
      <c r="C550" s="8"/>
    </row>
    <row r="551" spans="2:3" ht="13">
      <c r="B551" s="8"/>
      <c r="C551" s="8"/>
    </row>
    <row r="552" spans="2:3" ht="13">
      <c r="B552" s="8"/>
      <c r="C552" s="8"/>
    </row>
    <row r="553" spans="2:3" ht="13">
      <c r="B553" s="8"/>
      <c r="C553" s="8"/>
    </row>
    <row r="554" spans="2:3" ht="13">
      <c r="B554" s="8"/>
      <c r="C554" s="8"/>
    </row>
    <row r="555" spans="2:3" ht="13">
      <c r="B555" s="8"/>
      <c r="C555" s="8"/>
    </row>
    <row r="556" spans="2:3" ht="13">
      <c r="B556" s="8"/>
      <c r="C556" s="8"/>
    </row>
    <row r="557" spans="2:3" ht="13">
      <c r="B557" s="8"/>
      <c r="C557" s="8"/>
    </row>
    <row r="558" spans="2:3" ht="13">
      <c r="B558" s="8"/>
      <c r="C558" s="8"/>
    </row>
    <row r="559" spans="2:3" ht="13">
      <c r="B559" s="8"/>
      <c r="C559" s="8"/>
    </row>
    <row r="560" spans="2:3" ht="13">
      <c r="B560" s="8"/>
      <c r="C560" s="8"/>
    </row>
    <row r="561" spans="2:3" ht="13">
      <c r="B561" s="8"/>
      <c r="C561" s="8"/>
    </row>
    <row r="562" spans="2:3" ht="13">
      <c r="B562" s="8"/>
      <c r="C562" s="8"/>
    </row>
    <row r="563" spans="2:3" ht="13">
      <c r="B563" s="8"/>
      <c r="C563" s="8"/>
    </row>
    <row r="564" spans="2:3" ht="13">
      <c r="B564" s="8"/>
      <c r="C564" s="8"/>
    </row>
    <row r="565" spans="2:3" ht="13">
      <c r="B565" s="8"/>
      <c r="C565" s="8"/>
    </row>
    <row r="566" spans="2:3" ht="13">
      <c r="B566" s="8"/>
      <c r="C566" s="8"/>
    </row>
    <row r="567" spans="2:3" ht="13">
      <c r="B567" s="8"/>
      <c r="C567" s="8"/>
    </row>
    <row r="568" spans="2:3" ht="13">
      <c r="B568" s="8"/>
      <c r="C568" s="8"/>
    </row>
    <row r="569" spans="2:3" ht="13">
      <c r="B569" s="8"/>
      <c r="C569" s="8"/>
    </row>
    <row r="570" spans="2:3" ht="13">
      <c r="B570" s="8"/>
      <c r="C570" s="8"/>
    </row>
    <row r="571" spans="2:3" ht="13">
      <c r="B571" s="8"/>
      <c r="C571" s="8"/>
    </row>
    <row r="572" spans="2:3" ht="13">
      <c r="B572" s="8"/>
      <c r="C572" s="8"/>
    </row>
    <row r="573" spans="2:3" ht="13">
      <c r="B573" s="8"/>
      <c r="C573" s="8"/>
    </row>
    <row r="574" spans="2:3" ht="13">
      <c r="B574" s="8"/>
      <c r="C574" s="8"/>
    </row>
    <row r="575" spans="2:3" ht="13">
      <c r="B575" s="8"/>
      <c r="C575" s="8"/>
    </row>
    <row r="576" spans="2:3" ht="13">
      <c r="B576" s="8"/>
      <c r="C576" s="8"/>
    </row>
    <row r="577" spans="2:3" ht="13">
      <c r="B577" s="8"/>
      <c r="C577" s="8"/>
    </row>
    <row r="578" spans="2:3" ht="13">
      <c r="B578" s="8"/>
      <c r="C578" s="8"/>
    </row>
    <row r="579" spans="2:3" ht="13">
      <c r="B579" s="8"/>
      <c r="C579" s="8"/>
    </row>
    <row r="580" spans="2:3" ht="13">
      <c r="B580" s="8"/>
      <c r="C580" s="8"/>
    </row>
    <row r="581" spans="2:3" ht="13">
      <c r="B581" s="8"/>
      <c r="C581" s="8"/>
    </row>
    <row r="582" spans="2:3" ht="13">
      <c r="B582" s="8"/>
      <c r="C582" s="8"/>
    </row>
    <row r="583" spans="2:3" ht="13">
      <c r="B583" s="8"/>
      <c r="C583" s="8"/>
    </row>
    <row r="584" spans="2:3" ht="13">
      <c r="B584" s="8"/>
      <c r="C584" s="8"/>
    </row>
    <row r="585" spans="2:3" ht="13">
      <c r="B585" s="8"/>
      <c r="C585" s="8"/>
    </row>
    <row r="586" spans="2:3" ht="13">
      <c r="B586" s="8"/>
      <c r="C586" s="8"/>
    </row>
    <row r="587" spans="2:3" ht="13">
      <c r="B587" s="8"/>
      <c r="C587" s="8"/>
    </row>
    <row r="588" spans="2:3" ht="13">
      <c r="B588" s="8"/>
      <c r="C588" s="8"/>
    </row>
    <row r="589" spans="2:3" ht="13">
      <c r="B589" s="8"/>
      <c r="C589" s="8"/>
    </row>
    <row r="590" spans="2:3" ht="13">
      <c r="B590" s="8"/>
      <c r="C590" s="8"/>
    </row>
    <row r="591" spans="2:3" ht="13">
      <c r="B591" s="8"/>
      <c r="C591" s="8"/>
    </row>
    <row r="592" spans="2:3" ht="13">
      <c r="B592" s="8"/>
      <c r="C592" s="8"/>
    </row>
    <row r="593" spans="2:3" ht="13">
      <c r="B593" s="8"/>
      <c r="C593" s="8"/>
    </row>
    <row r="594" spans="2:3" ht="13">
      <c r="B594" s="8"/>
      <c r="C594" s="8"/>
    </row>
    <row r="595" spans="2:3" ht="13">
      <c r="B595" s="8"/>
      <c r="C595" s="8"/>
    </row>
    <row r="596" spans="2:3" ht="13">
      <c r="B596" s="8"/>
      <c r="C596" s="8"/>
    </row>
    <row r="597" spans="2:3" ht="13">
      <c r="B597" s="8"/>
      <c r="C597" s="8"/>
    </row>
    <row r="598" spans="2:3" ht="13">
      <c r="B598" s="8"/>
      <c r="C598" s="8"/>
    </row>
    <row r="599" spans="2:3" ht="13">
      <c r="B599" s="8"/>
      <c r="C599" s="8"/>
    </row>
    <row r="600" spans="2:3" ht="13">
      <c r="B600" s="8"/>
      <c r="C600" s="8"/>
    </row>
    <row r="601" spans="2:3" ht="13">
      <c r="B601" s="8"/>
      <c r="C601" s="8"/>
    </row>
    <row r="602" spans="2:3" ht="13">
      <c r="B602" s="8"/>
      <c r="C602" s="8"/>
    </row>
    <row r="603" spans="2:3" ht="13">
      <c r="B603" s="8"/>
      <c r="C603" s="8"/>
    </row>
    <row r="604" spans="2:3" ht="13">
      <c r="B604" s="8"/>
      <c r="C604" s="8"/>
    </row>
    <row r="605" spans="2:3" ht="13">
      <c r="B605" s="8"/>
      <c r="C605" s="8"/>
    </row>
    <row r="606" spans="2:3" ht="13">
      <c r="B606" s="8"/>
      <c r="C606" s="8"/>
    </row>
    <row r="607" spans="2:3" ht="13">
      <c r="B607" s="8"/>
      <c r="C607" s="8"/>
    </row>
    <row r="608" spans="2:3" ht="13">
      <c r="B608" s="8"/>
      <c r="C608" s="8"/>
    </row>
    <row r="609" spans="2:3" ht="13">
      <c r="B609" s="8"/>
      <c r="C609" s="8"/>
    </row>
    <row r="610" spans="2:3" ht="13">
      <c r="B610" s="8"/>
      <c r="C610" s="8"/>
    </row>
    <row r="611" spans="2:3" ht="13">
      <c r="B611" s="8"/>
      <c r="C611" s="8"/>
    </row>
    <row r="612" spans="2:3" ht="13">
      <c r="B612" s="8"/>
      <c r="C612" s="8"/>
    </row>
    <row r="613" spans="2:3" ht="13">
      <c r="B613" s="8"/>
      <c r="C613" s="8"/>
    </row>
    <row r="614" spans="2:3" ht="13">
      <c r="B614" s="8"/>
      <c r="C614" s="8"/>
    </row>
    <row r="615" spans="2:3" ht="13">
      <c r="B615" s="8"/>
      <c r="C615" s="8"/>
    </row>
    <row r="616" spans="2:3" ht="13">
      <c r="B616" s="8"/>
      <c r="C616" s="8"/>
    </row>
    <row r="617" spans="2:3" ht="13">
      <c r="B617" s="8"/>
      <c r="C617" s="8"/>
    </row>
    <row r="618" spans="2:3" ht="13">
      <c r="B618" s="8"/>
      <c r="C618" s="8"/>
    </row>
    <row r="619" spans="2:3" ht="13">
      <c r="B619" s="8"/>
      <c r="C619" s="8"/>
    </row>
    <row r="620" spans="2:3" ht="13">
      <c r="B620" s="8"/>
      <c r="C620" s="8"/>
    </row>
    <row r="621" spans="2:3" ht="13">
      <c r="B621" s="8"/>
      <c r="C621" s="8"/>
    </row>
    <row r="622" spans="2:3" ht="13">
      <c r="B622" s="8"/>
      <c r="C622" s="8"/>
    </row>
    <row r="623" spans="2:3" ht="13">
      <c r="B623" s="8"/>
      <c r="C623" s="8"/>
    </row>
    <row r="624" spans="2:3" ht="13">
      <c r="B624" s="8"/>
      <c r="C624" s="8"/>
    </row>
    <row r="625" spans="2:3" ht="13">
      <c r="B625" s="8"/>
      <c r="C625" s="8"/>
    </row>
    <row r="626" spans="2:3" ht="13">
      <c r="B626" s="8"/>
      <c r="C626" s="8"/>
    </row>
    <row r="627" spans="2:3" ht="13">
      <c r="B627" s="8"/>
      <c r="C627" s="8"/>
    </row>
    <row r="628" spans="2:3" ht="13">
      <c r="B628" s="8"/>
      <c r="C628" s="8"/>
    </row>
    <row r="629" spans="2:3" ht="13">
      <c r="B629" s="8"/>
      <c r="C629" s="8"/>
    </row>
    <row r="630" spans="2:3" ht="13">
      <c r="B630" s="8"/>
      <c r="C630" s="8"/>
    </row>
    <row r="631" spans="2:3" ht="13">
      <c r="B631" s="8"/>
      <c r="C631" s="8"/>
    </row>
    <row r="632" spans="2:3" ht="13">
      <c r="B632" s="8"/>
      <c r="C632" s="8"/>
    </row>
    <row r="633" spans="2:3" ht="13">
      <c r="B633" s="8"/>
      <c r="C633" s="8"/>
    </row>
    <row r="634" spans="2:3" ht="13">
      <c r="B634" s="8"/>
      <c r="C634" s="8"/>
    </row>
    <row r="635" spans="2:3" ht="13">
      <c r="B635" s="8"/>
      <c r="C635" s="8"/>
    </row>
    <row r="636" spans="2:3" ht="13">
      <c r="B636" s="8"/>
      <c r="C636" s="8"/>
    </row>
    <row r="637" spans="2:3" ht="13">
      <c r="B637" s="8"/>
      <c r="C637" s="8"/>
    </row>
    <row r="638" spans="2:3" ht="13">
      <c r="B638" s="8"/>
      <c r="C638" s="8"/>
    </row>
    <row r="639" spans="2:3" ht="13">
      <c r="B639" s="8"/>
      <c r="C639" s="8"/>
    </row>
    <row r="640" spans="2:3" ht="13">
      <c r="B640" s="8"/>
      <c r="C640" s="8"/>
    </row>
    <row r="641" spans="2:3" ht="13">
      <c r="B641" s="8"/>
      <c r="C641" s="8"/>
    </row>
    <row r="642" spans="2:3" ht="13">
      <c r="B642" s="8"/>
      <c r="C642" s="8"/>
    </row>
    <row r="643" spans="2:3" ht="13">
      <c r="B643" s="8"/>
      <c r="C643" s="8"/>
    </row>
    <row r="644" spans="2:3" ht="13">
      <c r="B644" s="8"/>
      <c r="C644" s="8"/>
    </row>
    <row r="645" spans="2:3" ht="13">
      <c r="B645" s="8"/>
      <c r="C645" s="8"/>
    </row>
    <row r="646" spans="2:3" ht="13">
      <c r="B646" s="8"/>
      <c r="C646" s="8"/>
    </row>
    <row r="647" spans="2:3" ht="13">
      <c r="B647" s="8"/>
      <c r="C647" s="8"/>
    </row>
    <row r="648" spans="2:3" ht="13">
      <c r="B648" s="8"/>
      <c r="C648" s="8"/>
    </row>
    <row r="649" spans="2:3" ht="13">
      <c r="B649" s="8"/>
      <c r="C649" s="8"/>
    </row>
    <row r="650" spans="2:3" ht="13">
      <c r="B650" s="8"/>
      <c r="C650" s="8"/>
    </row>
    <row r="651" spans="2:3" ht="13">
      <c r="B651" s="8"/>
      <c r="C651" s="8"/>
    </row>
    <row r="652" spans="2:3" ht="13">
      <c r="B652" s="8"/>
      <c r="C652" s="8"/>
    </row>
    <row r="653" spans="2:3" ht="13">
      <c r="B653" s="8"/>
      <c r="C653" s="8"/>
    </row>
    <row r="654" spans="2:3" ht="13">
      <c r="B654" s="8"/>
      <c r="C654" s="8"/>
    </row>
    <row r="655" spans="2:3" ht="13">
      <c r="B655" s="8"/>
      <c r="C655" s="8"/>
    </row>
    <row r="656" spans="2:3" ht="13">
      <c r="B656" s="8"/>
      <c r="C656" s="8"/>
    </row>
    <row r="657" spans="2:3" ht="13">
      <c r="B657" s="8"/>
      <c r="C657" s="8"/>
    </row>
    <row r="658" spans="2:3" ht="13">
      <c r="B658" s="8"/>
      <c r="C658" s="8"/>
    </row>
    <row r="659" spans="2:3" ht="13">
      <c r="B659" s="8"/>
      <c r="C659" s="8"/>
    </row>
    <row r="660" spans="2:3" ht="13">
      <c r="B660" s="8"/>
      <c r="C660" s="8"/>
    </row>
    <row r="661" spans="2:3" ht="13">
      <c r="B661" s="8"/>
      <c r="C661" s="8"/>
    </row>
    <row r="662" spans="2:3" ht="13">
      <c r="B662" s="8"/>
      <c r="C662" s="8"/>
    </row>
    <row r="663" spans="2:3" ht="13">
      <c r="B663" s="8"/>
      <c r="C663" s="8"/>
    </row>
    <row r="664" spans="2:3" ht="13">
      <c r="B664" s="8"/>
      <c r="C664" s="8"/>
    </row>
    <row r="665" spans="2:3" ht="13">
      <c r="B665" s="8"/>
      <c r="C665" s="8"/>
    </row>
    <row r="666" spans="2:3" ht="13">
      <c r="B666" s="8"/>
      <c r="C666" s="8"/>
    </row>
    <row r="667" spans="2:3" ht="13">
      <c r="B667" s="8"/>
      <c r="C667" s="8"/>
    </row>
    <row r="668" spans="2:3" ht="13">
      <c r="B668" s="8"/>
      <c r="C668" s="8"/>
    </row>
    <row r="669" spans="2:3" ht="13">
      <c r="B669" s="8"/>
      <c r="C669" s="8"/>
    </row>
    <row r="670" spans="2:3" ht="13">
      <c r="B670" s="8"/>
      <c r="C670" s="8"/>
    </row>
    <row r="671" spans="2:3" ht="13">
      <c r="B671" s="8"/>
      <c r="C671" s="8"/>
    </row>
    <row r="672" spans="2:3" ht="13">
      <c r="B672" s="8"/>
      <c r="C672" s="8"/>
    </row>
    <row r="673" spans="2:3" ht="13">
      <c r="B673" s="8"/>
      <c r="C673" s="8"/>
    </row>
    <row r="674" spans="2:3" ht="13">
      <c r="B674" s="8"/>
      <c r="C674" s="8"/>
    </row>
    <row r="675" spans="2:3" ht="13">
      <c r="B675" s="8"/>
      <c r="C675" s="8"/>
    </row>
    <row r="676" spans="2:3" ht="13">
      <c r="B676" s="8"/>
      <c r="C676" s="8"/>
    </row>
    <row r="677" spans="2:3" ht="13">
      <c r="B677" s="8"/>
      <c r="C677" s="8"/>
    </row>
    <row r="678" spans="2:3" ht="13">
      <c r="B678" s="8"/>
      <c r="C678" s="8"/>
    </row>
    <row r="679" spans="2:3" ht="13">
      <c r="B679" s="8"/>
      <c r="C679" s="8"/>
    </row>
    <row r="680" spans="2:3" ht="13">
      <c r="B680" s="8"/>
      <c r="C680" s="8"/>
    </row>
    <row r="681" spans="2:3" ht="13">
      <c r="B681" s="8"/>
      <c r="C681" s="8"/>
    </row>
    <row r="682" spans="2:3" ht="13">
      <c r="B682" s="8"/>
      <c r="C682" s="8"/>
    </row>
    <row r="683" spans="2:3" ht="13">
      <c r="B683" s="8"/>
      <c r="C683" s="8"/>
    </row>
    <row r="684" spans="2:3" ht="13">
      <c r="B684" s="8"/>
      <c r="C684" s="8"/>
    </row>
    <row r="685" spans="2:3" ht="13">
      <c r="B685" s="8"/>
      <c r="C685" s="8"/>
    </row>
    <row r="686" spans="2:3" ht="13">
      <c r="B686" s="8"/>
      <c r="C686" s="8"/>
    </row>
    <row r="687" spans="2:3" ht="13">
      <c r="B687" s="8"/>
      <c r="C687" s="8"/>
    </row>
    <row r="688" spans="2:3" ht="13">
      <c r="B688" s="8"/>
      <c r="C688" s="8"/>
    </row>
    <row r="689" spans="2:3" ht="13">
      <c r="B689" s="8"/>
      <c r="C689" s="8"/>
    </row>
    <row r="690" spans="2:3" ht="13">
      <c r="B690" s="8"/>
      <c r="C690" s="8"/>
    </row>
    <row r="691" spans="2:3" ht="13">
      <c r="B691" s="8"/>
      <c r="C691" s="8"/>
    </row>
    <row r="692" spans="2:3" ht="13">
      <c r="B692" s="8"/>
      <c r="C692" s="8"/>
    </row>
    <row r="693" spans="2:3" ht="13">
      <c r="B693" s="8"/>
      <c r="C693" s="8"/>
    </row>
    <row r="694" spans="2:3" ht="13">
      <c r="B694" s="8"/>
      <c r="C694" s="8"/>
    </row>
    <row r="695" spans="2:3" ht="13">
      <c r="B695" s="8"/>
      <c r="C695" s="8"/>
    </row>
    <row r="696" spans="2:3" ht="13">
      <c r="B696" s="8"/>
      <c r="C696" s="8"/>
    </row>
    <row r="697" spans="2:3" ht="13">
      <c r="B697" s="8"/>
      <c r="C697" s="8"/>
    </row>
    <row r="698" spans="2:3" ht="13">
      <c r="B698" s="8"/>
      <c r="C698" s="8"/>
    </row>
    <row r="699" spans="2:3" ht="13">
      <c r="B699" s="8"/>
      <c r="C699" s="8"/>
    </row>
    <row r="700" spans="2:3" ht="13">
      <c r="B700" s="8"/>
      <c r="C700" s="8"/>
    </row>
    <row r="701" spans="2:3" ht="13">
      <c r="B701" s="8"/>
      <c r="C701" s="8"/>
    </row>
    <row r="702" spans="2:3" ht="13">
      <c r="B702" s="8"/>
      <c r="C702" s="8"/>
    </row>
    <row r="703" spans="2:3" ht="13">
      <c r="B703" s="8"/>
      <c r="C703" s="8"/>
    </row>
    <row r="704" spans="2:3" ht="13">
      <c r="B704" s="8"/>
      <c r="C704" s="8"/>
    </row>
    <row r="705" spans="2:3" ht="13">
      <c r="B705" s="8"/>
      <c r="C705" s="8"/>
    </row>
    <row r="706" spans="2:3" ht="13">
      <c r="B706" s="8"/>
      <c r="C706" s="8"/>
    </row>
    <row r="707" spans="2:3" ht="13">
      <c r="B707" s="8"/>
      <c r="C707" s="8"/>
    </row>
    <row r="708" spans="2:3" ht="13">
      <c r="B708" s="8"/>
      <c r="C708" s="8"/>
    </row>
    <row r="709" spans="2:3" ht="13">
      <c r="B709" s="8"/>
      <c r="C709" s="8"/>
    </row>
    <row r="710" spans="2:3" ht="13">
      <c r="B710" s="8"/>
      <c r="C710" s="8"/>
    </row>
    <row r="711" spans="2:3" ht="13">
      <c r="B711" s="8"/>
      <c r="C711" s="8"/>
    </row>
    <row r="712" spans="2:3" ht="13">
      <c r="B712" s="8"/>
      <c r="C712" s="8"/>
    </row>
    <row r="713" spans="2:3" ht="13">
      <c r="B713" s="8"/>
      <c r="C713" s="8"/>
    </row>
    <row r="714" spans="2:3" ht="13">
      <c r="B714" s="8"/>
      <c r="C714" s="8"/>
    </row>
    <row r="715" spans="2:3" ht="13">
      <c r="B715" s="8"/>
      <c r="C715" s="8"/>
    </row>
    <row r="716" spans="2:3" ht="13">
      <c r="B716" s="8"/>
      <c r="C716" s="8"/>
    </row>
    <row r="717" spans="2:3" ht="13">
      <c r="B717" s="8"/>
      <c r="C717" s="8"/>
    </row>
    <row r="718" spans="2:3" ht="13">
      <c r="B718" s="8"/>
      <c r="C718" s="8"/>
    </row>
    <row r="719" spans="2:3" ht="13">
      <c r="B719" s="8"/>
      <c r="C719" s="8"/>
    </row>
    <row r="720" spans="2:3" ht="13">
      <c r="B720" s="8"/>
      <c r="C720" s="8"/>
    </row>
    <row r="721" spans="2:3" ht="13">
      <c r="B721" s="8"/>
      <c r="C721" s="8"/>
    </row>
    <row r="722" spans="2:3" ht="13">
      <c r="B722" s="8"/>
      <c r="C722" s="8"/>
    </row>
    <row r="723" spans="2:3" ht="13">
      <c r="B723" s="8"/>
      <c r="C723" s="8"/>
    </row>
    <row r="724" spans="2:3" ht="13">
      <c r="B724" s="8"/>
      <c r="C724" s="8"/>
    </row>
    <row r="725" spans="2:3" ht="13">
      <c r="B725" s="8"/>
      <c r="C725" s="8"/>
    </row>
    <row r="726" spans="2:3" ht="13">
      <c r="B726" s="8"/>
      <c r="C726" s="8"/>
    </row>
    <row r="727" spans="2:3" ht="13">
      <c r="B727" s="8"/>
      <c r="C727" s="8"/>
    </row>
    <row r="728" spans="2:3" ht="13">
      <c r="B728" s="8"/>
      <c r="C728" s="8"/>
    </row>
    <row r="729" spans="2:3" ht="13">
      <c r="B729" s="8"/>
      <c r="C729" s="8"/>
    </row>
    <row r="730" spans="2:3" ht="13">
      <c r="B730" s="8"/>
      <c r="C730" s="8"/>
    </row>
    <row r="731" spans="2:3" ht="13">
      <c r="B731" s="8"/>
      <c r="C731" s="8"/>
    </row>
    <row r="732" spans="2:3" ht="13">
      <c r="B732" s="8"/>
      <c r="C732" s="8"/>
    </row>
    <row r="733" spans="2:3" ht="13">
      <c r="B733" s="8"/>
      <c r="C733" s="8"/>
    </row>
    <row r="734" spans="2:3" ht="13">
      <c r="B734" s="8"/>
      <c r="C734" s="8"/>
    </row>
    <row r="735" spans="2:3" ht="13">
      <c r="B735" s="8"/>
      <c r="C735" s="8"/>
    </row>
    <row r="736" spans="2:3" ht="13">
      <c r="B736" s="8"/>
      <c r="C736" s="8"/>
    </row>
    <row r="737" spans="2:3" ht="13">
      <c r="B737" s="8"/>
      <c r="C737" s="8"/>
    </row>
    <row r="738" spans="2:3" ht="13">
      <c r="B738" s="8"/>
      <c r="C738" s="8"/>
    </row>
    <row r="739" spans="2:3" ht="13">
      <c r="B739" s="8"/>
      <c r="C739" s="8"/>
    </row>
    <row r="740" spans="2:3" ht="13">
      <c r="B740" s="8"/>
      <c r="C740" s="8"/>
    </row>
    <row r="741" spans="2:3" ht="13">
      <c r="B741" s="8"/>
      <c r="C741" s="8"/>
    </row>
    <row r="742" spans="2:3" ht="13">
      <c r="B742" s="8"/>
      <c r="C742" s="8"/>
    </row>
    <row r="743" spans="2:3" ht="13">
      <c r="B743" s="8"/>
      <c r="C743" s="8"/>
    </row>
    <row r="744" spans="2:3" ht="13">
      <c r="B744" s="8"/>
      <c r="C744" s="8"/>
    </row>
    <row r="745" spans="2:3" ht="13">
      <c r="B745" s="8"/>
      <c r="C745" s="8"/>
    </row>
    <row r="746" spans="2:3" ht="13">
      <c r="B746" s="8"/>
      <c r="C746" s="8"/>
    </row>
    <row r="747" spans="2:3" ht="13">
      <c r="B747" s="8"/>
      <c r="C747" s="8"/>
    </row>
    <row r="748" spans="2:3" ht="13">
      <c r="B748" s="8"/>
      <c r="C748" s="8"/>
    </row>
    <row r="749" spans="2:3" ht="13">
      <c r="B749" s="8"/>
      <c r="C749" s="8"/>
    </row>
    <row r="750" spans="2:3" ht="13">
      <c r="B750" s="8"/>
      <c r="C750" s="8"/>
    </row>
    <row r="751" spans="2:3" ht="13">
      <c r="B751" s="8"/>
      <c r="C751" s="8"/>
    </row>
    <row r="752" spans="2:3" ht="13">
      <c r="B752" s="8"/>
      <c r="C752" s="8"/>
    </row>
    <row r="753" spans="2:3" ht="13">
      <c r="B753" s="8"/>
      <c r="C753" s="8"/>
    </row>
    <row r="754" spans="2:3" ht="13">
      <c r="B754" s="8"/>
      <c r="C754" s="8"/>
    </row>
    <row r="755" spans="2:3" ht="13">
      <c r="B755" s="8"/>
      <c r="C755" s="8"/>
    </row>
    <row r="756" spans="2:3" ht="13">
      <c r="B756" s="8"/>
      <c r="C756" s="8"/>
    </row>
    <row r="757" spans="2:3" ht="13">
      <c r="B757" s="8"/>
      <c r="C757" s="8"/>
    </row>
    <row r="758" spans="2:3" ht="13">
      <c r="B758" s="8"/>
      <c r="C758" s="8"/>
    </row>
    <row r="759" spans="2:3" ht="13">
      <c r="B759" s="8"/>
      <c r="C759" s="8"/>
    </row>
    <row r="760" spans="2:3" ht="13">
      <c r="B760" s="8"/>
      <c r="C760" s="8"/>
    </row>
    <row r="761" spans="2:3" ht="13">
      <c r="B761" s="8"/>
      <c r="C761" s="8"/>
    </row>
    <row r="762" spans="2:3" ht="13">
      <c r="B762" s="8"/>
      <c r="C762" s="8"/>
    </row>
    <row r="763" spans="2:3" ht="13">
      <c r="B763" s="8"/>
      <c r="C763" s="8"/>
    </row>
    <row r="764" spans="2:3" ht="13">
      <c r="B764" s="8"/>
      <c r="C764" s="8"/>
    </row>
    <row r="765" spans="2:3" ht="13">
      <c r="B765" s="8"/>
      <c r="C765" s="8"/>
    </row>
    <row r="766" spans="2:3" ht="13">
      <c r="B766" s="8"/>
      <c r="C766" s="8"/>
    </row>
    <row r="767" spans="2:3" ht="13">
      <c r="B767" s="8"/>
      <c r="C767" s="8"/>
    </row>
    <row r="768" spans="2:3" ht="13">
      <c r="B768" s="8"/>
      <c r="C768" s="8"/>
    </row>
    <row r="769" spans="2:3" ht="13">
      <c r="B769" s="8"/>
      <c r="C769" s="8"/>
    </row>
    <row r="770" spans="2:3" ht="13">
      <c r="B770" s="8"/>
      <c r="C770" s="8"/>
    </row>
    <row r="771" spans="2:3" ht="13">
      <c r="B771" s="8"/>
      <c r="C771" s="8"/>
    </row>
    <row r="772" spans="2:3" ht="13">
      <c r="B772" s="8"/>
      <c r="C772" s="8"/>
    </row>
    <row r="773" spans="2:3" ht="13">
      <c r="B773" s="8"/>
      <c r="C773" s="8"/>
    </row>
    <row r="774" spans="2:3" ht="13">
      <c r="B774" s="8"/>
      <c r="C774" s="8"/>
    </row>
    <row r="775" spans="2:3" ht="13">
      <c r="B775" s="8"/>
      <c r="C775" s="8"/>
    </row>
    <row r="776" spans="2:3" ht="13">
      <c r="B776" s="8"/>
      <c r="C776" s="8"/>
    </row>
    <row r="777" spans="2:3" ht="13">
      <c r="B777" s="8"/>
      <c r="C777" s="8"/>
    </row>
    <row r="778" spans="2:3" ht="13">
      <c r="B778" s="8"/>
      <c r="C778" s="8"/>
    </row>
    <row r="779" spans="2:3" ht="13">
      <c r="B779" s="8"/>
      <c r="C779" s="8"/>
    </row>
    <row r="780" spans="2:3" ht="13">
      <c r="B780" s="8"/>
      <c r="C780" s="8"/>
    </row>
    <row r="781" spans="2:3" ht="13">
      <c r="B781" s="8"/>
      <c r="C781" s="8"/>
    </row>
    <row r="782" spans="2:3" ht="13">
      <c r="B782" s="8"/>
      <c r="C782" s="8"/>
    </row>
    <row r="783" spans="2:3" ht="13">
      <c r="B783" s="8"/>
      <c r="C783" s="8"/>
    </row>
    <row r="784" spans="2:3" ht="13">
      <c r="B784" s="8"/>
      <c r="C784" s="8"/>
    </row>
    <row r="785" spans="2:3" ht="13">
      <c r="B785" s="8"/>
      <c r="C785" s="8"/>
    </row>
    <row r="786" spans="2:3" ht="13">
      <c r="B786" s="8"/>
      <c r="C786" s="8"/>
    </row>
    <row r="787" spans="2:3" ht="13">
      <c r="B787" s="8"/>
      <c r="C787" s="8"/>
    </row>
    <row r="788" spans="2:3" ht="13">
      <c r="B788" s="8"/>
      <c r="C788" s="8"/>
    </row>
    <row r="789" spans="2:3" ht="13">
      <c r="B789" s="8"/>
      <c r="C789" s="8"/>
    </row>
    <row r="790" spans="2:3" ht="13">
      <c r="B790" s="8"/>
      <c r="C790" s="8"/>
    </row>
    <row r="791" spans="2:3" ht="13">
      <c r="B791" s="8"/>
      <c r="C791" s="8"/>
    </row>
    <row r="792" spans="2:3" ht="13">
      <c r="B792" s="8"/>
      <c r="C792" s="8"/>
    </row>
    <row r="793" spans="2:3" ht="13">
      <c r="B793" s="8"/>
      <c r="C793" s="8"/>
    </row>
    <row r="794" spans="2:3" ht="13">
      <c r="B794" s="8"/>
      <c r="C794" s="8"/>
    </row>
    <row r="795" spans="2:3" ht="13">
      <c r="B795" s="8"/>
      <c r="C795" s="8"/>
    </row>
    <row r="796" spans="2:3" ht="13">
      <c r="B796" s="8"/>
      <c r="C796" s="8"/>
    </row>
    <row r="797" spans="2:3" ht="13">
      <c r="B797" s="8"/>
      <c r="C797" s="8"/>
    </row>
    <row r="798" spans="2:3" ht="13">
      <c r="B798" s="8"/>
      <c r="C798" s="8"/>
    </row>
    <row r="799" spans="2:3" ht="13">
      <c r="B799" s="8"/>
      <c r="C799" s="8"/>
    </row>
    <row r="800" spans="2:3" ht="13">
      <c r="B800" s="8"/>
      <c r="C800" s="8"/>
    </row>
    <row r="801" spans="2:3" ht="13">
      <c r="B801" s="8"/>
      <c r="C801" s="8"/>
    </row>
    <row r="802" spans="2:3" ht="13">
      <c r="B802" s="8"/>
      <c r="C802" s="8"/>
    </row>
    <row r="803" spans="2:3" ht="13">
      <c r="B803" s="8"/>
      <c r="C803" s="8"/>
    </row>
    <row r="804" spans="2:3" ht="13">
      <c r="B804" s="8"/>
      <c r="C804" s="8"/>
    </row>
    <row r="805" spans="2:3" ht="13">
      <c r="B805" s="8"/>
      <c r="C805" s="8"/>
    </row>
    <row r="806" spans="2:3" ht="13">
      <c r="B806" s="8"/>
      <c r="C806" s="8"/>
    </row>
    <row r="807" spans="2:3" ht="13">
      <c r="B807" s="8"/>
      <c r="C807" s="8"/>
    </row>
    <row r="808" spans="2:3" ht="13">
      <c r="B808" s="8"/>
      <c r="C808" s="8"/>
    </row>
    <row r="809" spans="2:3" ht="13">
      <c r="B809" s="8"/>
      <c r="C809" s="8"/>
    </row>
    <row r="810" spans="2:3" ht="13">
      <c r="B810" s="8"/>
      <c r="C810" s="8"/>
    </row>
    <row r="811" spans="2:3" ht="13">
      <c r="B811" s="8"/>
      <c r="C811" s="8"/>
    </row>
    <row r="812" spans="2:3" ht="13">
      <c r="B812" s="8"/>
      <c r="C812" s="8"/>
    </row>
    <row r="813" spans="2:3" ht="13">
      <c r="B813" s="8"/>
      <c r="C813" s="8"/>
    </row>
    <row r="814" spans="2:3" ht="13">
      <c r="B814" s="8"/>
      <c r="C814" s="8"/>
    </row>
    <row r="815" spans="2:3" ht="13">
      <c r="B815" s="8"/>
      <c r="C815" s="8"/>
    </row>
    <row r="816" spans="2:3" ht="13">
      <c r="B816" s="8"/>
      <c r="C816" s="8"/>
    </row>
    <row r="817" spans="2:3" ht="13">
      <c r="B817" s="8"/>
      <c r="C817" s="8"/>
    </row>
    <row r="818" spans="2:3" ht="13">
      <c r="B818" s="8"/>
      <c r="C818" s="8"/>
    </row>
    <row r="819" spans="2:3" ht="13">
      <c r="B819" s="8"/>
      <c r="C819" s="8"/>
    </row>
    <row r="820" spans="2:3" ht="13">
      <c r="B820" s="8"/>
      <c r="C820" s="8"/>
    </row>
    <row r="821" spans="2:3" ht="13">
      <c r="B821" s="8"/>
      <c r="C821" s="8"/>
    </row>
    <row r="822" spans="2:3" ht="13">
      <c r="B822" s="8"/>
      <c r="C822" s="8"/>
    </row>
    <row r="823" spans="2:3" ht="13">
      <c r="B823" s="8"/>
      <c r="C823" s="8"/>
    </row>
    <row r="824" spans="2:3" ht="13">
      <c r="B824" s="8"/>
      <c r="C824" s="8"/>
    </row>
    <row r="825" spans="2:3" ht="13">
      <c r="B825" s="8"/>
      <c r="C825" s="8"/>
    </row>
    <row r="826" spans="2:3" ht="13">
      <c r="B826" s="8"/>
      <c r="C826" s="8"/>
    </row>
    <row r="827" spans="2:3" ht="13">
      <c r="B827" s="8"/>
      <c r="C827" s="8"/>
    </row>
    <row r="828" spans="2:3" ht="13">
      <c r="B828" s="8"/>
      <c r="C828" s="8"/>
    </row>
    <row r="829" spans="2:3" ht="13">
      <c r="B829" s="8"/>
      <c r="C829" s="8"/>
    </row>
    <row r="830" spans="2:3" ht="13">
      <c r="B830" s="8"/>
      <c r="C830" s="8"/>
    </row>
    <row r="831" spans="2:3" ht="13">
      <c r="B831" s="8"/>
      <c r="C831" s="8"/>
    </row>
    <row r="832" spans="2:3" ht="13">
      <c r="B832" s="8"/>
      <c r="C832" s="8"/>
    </row>
    <row r="833" spans="2:3" ht="13">
      <c r="B833" s="8"/>
      <c r="C833" s="8"/>
    </row>
    <row r="834" spans="2:3" ht="13">
      <c r="B834" s="8"/>
      <c r="C834" s="8"/>
    </row>
    <row r="835" spans="2:3" ht="13">
      <c r="B835" s="8"/>
      <c r="C835" s="8"/>
    </row>
    <row r="836" spans="2:3" ht="13">
      <c r="B836" s="8"/>
      <c r="C836" s="8"/>
    </row>
    <row r="837" spans="2:3" ht="13">
      <c r="B837" s="8"/>
      <c r="C837" s="8"/>
    </row>
    <row r="838" spans="2:3" ht="13">
      <c r="B838" s="8"/>
      <c r="C838" s="8"/>
    </row>
    <row r="839" spans="2:3" ht="13">
      <c r="B839" s="8"/>
      <c r="C839" s="8"/>
    </row>
    <row r="840" spans="2:3" ht="13">
      <c r="B840" s="8"/>
      <c r="C840" s="8"/>
    </row>
    <row r="841" spans="2:3" ht="13">
      <c r="B841" s="8"/>
      <c r="C841" s="8"/>
    </row>
    <row r="842" spans="2:3" ht="13">
      <c r="B842" s="8"/>
      <c r="C842" s="8"/>
    </row>
    <row r="843" spans="2:3" ht="13">
      <c r="B843" s="8"/>
      <c r="C843" s="8"/>
    </row>
    <row r="844" spans="2:3" ht="13">
      <c r="B844" s="8"/>
      <c r="C844" s="8"/>
    </row>
    <row r="845" spans="2:3" ht="13">
      <c r="B845" s="8"/>
      <c r="C845" s="8"/>
    </row>
    <row r="846" spans="2:3" ht="13">
      <c r="B846" s="8"/>
      <c r="C846" s="8"/>
    </row>
    <row r="847" spans="2:3" ht="13">
      <c r="B847" s="8"/>
      <c r="C847" s="8"/>
    </row>
    <row r="848" spans="2:3" ht="13">
      <c r="B848" s="8"/>
      <c r="C848" s="8"/>
    </row>
    <row r="849" spans="2:3" ht="13">
      <c r="B849" s="8"/>
      <c r="C849" s="8"/>
    </row>
    <row r="850" spans="2:3" ht="13">
      <c r="B850" s="8"/>
      <c r="C850" s="8"/>
    </row>
    <row r="851" spans="2:3" ht="13">
      <c r="B851" s="8"/>
      <c r="C851" s="8"/>
    </row>
    <row r="852" spans="2:3" ht="13">
      <c r="B852" s="8"/>
      <c r="C852" s="8"/>
    </row>
    <row r="853" spans="2:3" ht="13">
      <c r="B853" s="8"/>
      <c r="C853" s="8"/>
    </row>
    <row r="854" spans="2:3" ht="13">
      <c r="B854" s="8"/>
      <c r="C854" s="8"/>
    </row>
    <row r="855" spans="2:3" ht="13">
      <c r="B855" s="8"/>
      <c r="C855" s="8"/>
    </row>
    <row r="856" spans="2:3" ht="13">
      <c r="B856" s="8"/>
      <c r="C856" s="8"/>
    </row>
    <row r="857" spans="2:3" ht="13">
      <c r="B857" s="8"/>
      <c r="C857" s="8"/>
    </row>
    <row r="858" spans="2:3" ht="13">
      <c r="B858" s="8"/>
      <c r="C858" s="8"/>
    </row>
    <row r="859" spans="2:3" ht="13">
      <c r="B859" s="8"/>
      <c r="C859" s="8"/>
    </row>
    <row r="860" spans="2:3" ht="13">
      <c r="B860" s="8"/>
      <c r="C860" s="8"/>
    </row>
    <row r="861" spans="2:3" ht="13">
      <c r="B861" s="8"/>
      <c r="C861" s="8"/>
    </row>
    <row r="862" spans="2:3" ht="13">
      <c r="B862" s="8"/>
      <c r="C862" s="8"/>
    </row>
    <row r="863" spans="2:3" ht="13">
      <c r="B863" s="8"/>
      <c r="C863" s="8"/>
    </row>
    <row r="864" spans="2:3" ht="13">
      <c r="B864" s="8"/>
      <c r="C864" s="8"/>
    </row>
    <row r="865" spans="2:3" ht="13">
      <c r="B865" s="8"/>
      <c r="C865" s="8"/>
    </row>
    <row r="866" spans="2:3" ht="13">
      <c r="B866" s="8"/>
      <c r="C866" s="8"/>
    </row>
    <row r="867" spans="2:3" ht="13">
      <c r="B867" s="8"/>
      <c r="C867" s="8"/>
    </row>
    <row r="868" spans="2:3" ht="13">
      <c r="B868" s="8"/>
      <c r="C868" s="8"/>
    </row>
    <row r="869" spans="2:3" ht="13">
      <c r="B869" s="8"/>
      <c r="C869" s="8"/>
    </row>
    <row r="870" spans="2:3" ht="13">
      <c r="B870" s="8"/>
      <c r="C870" s="8"/>
    </row>
    <row r="871" spans="2:3" ht="13">
      <c r="B871" s="8"/>
      <c r="C871" s="8"/>
    </row>
    <row r="872" spans="2:3" ht="13">
      <c r="B872" s="8"/>
      <c r="C872" s="8"/>
    </row>
    <row r="873" spans="2:3" ht="13">
      <c r="B873" s="8"/>
      <c r="C873" s="8"/>
    </row>
    <row r="874" spans="2:3" ht="13">
      <c r="B874" s="8"/>
      <c r="C874" s="8"/>
    </row>
    <row r="875" spans="2:3" ht="13">
      <c r="B875" s="8"/>
      <c r="C875" s="8"/>
    </row>
    <row r="876" spans="2:3" ht="13">
      <c r="B876" s="8"/>
      <c r="C876" s="8"/>
    </row>
    <row r="877" spans="2:3" ht="13">
      <c r="B877" s="8"/>
      <c r="C877" s="8"/>
    </row>
    <row r="878" spans="2:3" ht="13">
      <c r="B878" s="8"/>
      <c r="C878" s="8"/>
    </row>
    <row r="879" spans="2:3" ht="13">
      <c r="B879" s="8"/>
      <c r="C879" s="8"/>
    </row>
    <row r="880" spans="2:3" ht="13">
      <c r="B880" s="8"/>
      <c r="C880" s="8"/>
    </row>
    <row r="881" spans="2:3" ht="13">
      <c r="B881" s="8"/>
      <c r="C881" s="8"/>
    </row>
    <row r="882" spans="2:3" ht="13">
      <c r="B882" s="8"/>
      <c r="C882" s="8"/>
    </row>
    <row r="883" spans="2:3" ht="13">
      <c r="B883" s="8"/>
      <c r="C883" s="8"/>
    </row>
    <row r="884" spans="2:3" ht="13">
      <c r="B884" s="8"/>
      <c r="C884" s="8"/>
    </row>
    <row r="885" spans="2:3" ht="13">
      <c r="B885" s="8"/>
      <c r="C885" s="8"/>
    </row>
    <row r="886" spans="2:3" ht="13">
      <c r="B886" s="8"/>
      <c r="C886" s="8"/>
    </row>
    <row r="887" spans="2:3" ht="13">
      <c r="B887" s="8"/>
      <c r="C887" s="8"/>
    </row>
    <row r="888" spans="2:3" ht="13">
      <c r="B888" s="8"/>
      <c r="C888" s="8"/>
    </row>
    <row r="889" spans="2:3" ht="13">
      <c r="B889" s="8"/>
      <c r="C889" s="8"/>
    </row>
    <row r="890" spans="2:3" ht="13">
      <c r="B890" s="8"/>
      <c r="C890" s="8"/>
    </row>
    <row r="891" spans="2:3" ht="13">
      <c r="B891" s="8"/>
      <c r="C891" s="8"/>
    </row>
    <row r="892" spans="2:3" ht="13">
      <c r="B892" s="8"/>
      <c r="C892" s="8"/>
    </row>
    <row r="893" spans="2:3" ht="13">
      <c r="B893" s="8"/>
      <c r="C893" s="8"/>
    </row>
    <row r="894" spans="2:3" ht="13">
      <c r="B894" s="8"/>
      <c r="C894" s="8"/>
    </row>
    <row r="895" spans="2:3" ht="13">
      <c r="B895" s="8"/>
      <c r="C895" s="8"/>
    </row>
    <row r="896" spans="2:3" ht="13">
      <c r="B896" s="8"/>
      <c r="C896" s="8"/>
    </row>
    <row r="897" spans="2:3" ht="13">
      <c r="B897" s="8"/>
      <c r="C897" s="8"/>
    </row>
    <row r="898" spans="2:3" ht="13">
      <c r="B898" s="8"/>
      <c r="C898" s="8"/>
    </row>
    <row r="899" spans="2:3" ht="13">
      <c r="B899" s="8"/>
      <c r="C899" s="8"/>
    </row>
    <row r="900" spans="2:3" ht="13">
      <c r="B900" s="8"/>
      <c r="C900" s="8"/>
    </row>
    <row r="901" spans="2:3" ht="13">
      <c r="B901" s="8"/>
      <c r="C901" s="8"/>
    </row>
    <row r="902" spans="2:3" ht="13">
      <c r="B902" s="8"/>
      <c r="C902" s="8"/>
    </row>
    <row r="903" spans="2:3" ht="13">
      <c r="B903" s="8"/>
      <c r="C903" s="8"/>
    </row>
    <row r="904" spans="2:3" ht="13">
      <c r="B904" s="8"/>
      <c r="C904" s="8"/>
    </row>
    <row r="905" spans="2:3" ht="13">
      <c r="B905" s="8"/>
      <c r="C905" s="8"/>
    </row>
    <row r="906" spans="2:3" ht="13">
      <c r="B906" s="8"/>
      <c r="C906" s="8"/>
    </row>
    <row r="907" spans="2:3" ht="13">
      <c r="B907" s="8"/>
      <c r="C907" s="8"/>
    </row>
    <row r="908" spans="2:3" ht="13">
      <c r="B908" s="8"/>
      <c r="C908" s="8"/>
    </row>
    <row r="909" spans="2:3" ht="13">
      <c r="B909" s="8"/>
      <c r="C909" s="8"/>
    </row>
    <row r="910" spans="2:3" ht="13">
      <c r="B910" s="8"/>
      <c r="C910" s="8"/>
    </row>
    <row r="911" spans="2:3" ht="13">
      <c r="B911" s="8"/>
      <c r="C911" s="8"/>
    </row>
    <row r="912" spans="2:3" ht="13">
      <c r="B912" s="8"/>
      <c r="C912" s="8"/>
    </row>
    <row r="913" spans="2:3" ht="13">
      <c r="B913" s="8"/>
      <c r="C913" s="8"/>
    </row>
    <row r="914" spans="2:3" ht="13">
      <c r="B914" s="8"/>
      <c r="C914" s="8"/>
    </row>
    <row r="915" spans="2:3" ht="13">
      <c r="B915" s="8"/>
      <c r="C915" s="8"/>
    </row>
    <row r="916" spans="2:3" ht="13">
      <c r="B916" s="8"/>
      <c r="C916" s="8"/>
    </row>
    <row r="917" spans="2:3" ht="13">
      <c r="B917" s="8"/>
      <c r="C917" s="8"/>
    </row>
    <row r="918" spans="2:3" ht="13">
      <c r="B918" s="8"/>
      <c r="C918" s="8"/>
    </row>
    <row r="919" spans="2:3" ht="13">
      <c r="B919" s="8"/>
      <c r="C919" s="8"/>
    </row>
    <row r="920" spans="2:3" ht="13">
      <c r="B920" s="8"/>
      <c r="C920" s="8"/>
    </row>
    <row r="921" spans="2:3" ht="13">
      <c r="B921" s="8"/>
      <c r="C921" s="8"/>
    </row>
    <row r="922" spans="2:3" ht="13">
      <c r="B922" s="8"/>
      <c r="C922" s="8"/>
    </row>
    <row r="923" spans="2:3" ht="13">
      <c r="B923" s="8"/>
      <c r="C923" s="8"/>
    </row>
    <row r="924" spans="2:3" ht="13">
      <c r="B924" s="8"/>
      <c r="C924" s="8"/>
    </row>
    <row r="925" spans="2:3" ht="13">
      <c r="B925" s="8"/>
      <c r="C925" s="8"/>
    </row>
    <row r="926" spans="2:3" ht="13">
      <c r="B926" s="8"/>
      <c r="C926" s="8"/>
    </row>
    <row r="927" spans="2:3" ht="13">
      <c r="B927" s="8"/>
      <c r="C927" s="8"/>
    </row>
    <row r="928" spans="2:3" ht="13">
      <c r="B928" s="8"/>
      <c r="C928" s="8"/>
    </row>
    <row r="929" spans="2:3" ht="13">
      <c r="B929" s="8"/>
      <c r="C929" s="8"/>
    </row>
    <row r="930" spans="2:3" ht="13">
      <c r="B930" s="8"/>
      <c r="C930" s="8"/>
    </row>
    <row r="931" spans="2:3" ht="13">
      <c r="B931" s="8"/>
      <c r="C931" s="8"/>
    </row>
    <row r="932" spans="2:3" ht="13">
      <c r="B932" s="8"/>
      <c r="C932" s="8"/>
    </row>
    <row r="933" spans="2:3" ht="13">
      <c r="B933" s="8"/>
      <c r="C933" s="8"/>
    </row>
    <row r="934" spans="2:3" ht="13">
      <c r="B934" s="8"/>
      <c r="C934" s="8"/>
    </row>
    <row r="935" spans="2:3" ht="13">
      <c r="B935" s="8"/>
      <c r="C935" s="8"/>
    </row>
    <row r="936" spans="2:3" ht="13">
      <c r="B936" s="8"/>
      <c r="C936" s="8"/>
    </row>
    <row r="937" spans="2:3" ht="13">
      <c r="B937" s="8"/>
      <c r="C937" s="8"/>
    </row>
    <row r="938" spans="2:3" ht="13">
      <c r="B938" s="8"/>
      <c r="C938" s="8"/>
    </row>
    <row r="939" spans="2:3" ht="13">
      <c r="B939" s="8"/>
      <c r="C939" s="8"/>
    </row>
    <row r="940" spans="2:3" ht="13">
      <c r="B940" s="8"/>
      <c r="C940" s="8"/>
    </row>
    <row r="941" spans="2:3" ht="13">
      <c r="B941" s="8"/>
      <c r="C941" s="8"/>
    </row>
    <row r="942" spans="2:3" ht="13">
      <c r="B942" s="8"/>
      <c r="C942" s="8"/>
    </row>
    <row r="943" spans="2:3" ht="13">
      <c r="B943" s="8"/>
      <c r="C943" s="8"/>
    </row>
    <row r="944" spans="2:3" ht="13">
      <c r="B944" s="8"/>
      <c r="C944" s="8"/>
    </row>
    <row r="945" spans="2:3" ht="13">
      <c r="B945" s="8"/>
      <c r="C945" s="8"/>
    </row>
    <row r="946" spans="2:3" ht="13">
      <c r="B946" s="8"/>
      <c r="C946" s="8"/>
    </row>
    <row r="947" spans="2:3" ht="13">
      <c r="B947" s="8"/>
      <c r="C947" s="8"/>
    </row>
    <row r="948" spans="2:3" ht="13">
      <c r="B948" s="8"/>
      <c r="C948" s="8"/>
    </row>
    <row r="949" spans="2:3" ht="13">
      <c r="B949" s="8"/>
      <c r="C949" s="8"/>
    </row>
    <row r="950" spans="2:3" ht="13">
      <c r="B950" s="8"/>
      <c r="C950" s="8"/>
    </row>
    <row r="951" spans="2:3" ht="13">
      <c r="B951" s="8"/>
      <c r="C951" s="8"/>
    </row>
    <row r="952" spans="2:3" ht="13">
      <c r="B952" s="8"/>
      <c r="C952" s="8"/>
    </row>
    <row r="953" spans="2:3" ht="13">
      <c r="B953" s="8"/>
      <c r="C953" s="8"/>
    </row>
    <row r="954" spans="2:3" ht="13">
      <c r="B954" s="8"/>
      <c r="C954" s="8"/>
    </row>
    <row r="955" spans="2:3" ht="13">
      <c r="B955" s="8"/>
      <c r="C955" s="8"/>
    </row>
    <row r="956" spans="2:3" ht="13">
      <c r="B956" s="8"/>
      <c r="C956" s="8"/>
    </row>
    <row r="957" spans="2:3" ht="13">
      <c r="B957" s="8"/>
      <c r="C957" s="8"/>
    </row>
    <row r="958" spans="2:3" ht="13">
      <c r="B958" s="8"/>
      <c r="C958" s="8"/>
    </row>
    <row r="959" spans="2:3" ht="13">
      <c r="B959" s="8"/>
      <c r="C959" s="8"/>
    </row>
    <row r="960" spans="2:3" ht="13">
      <c r="B960" s="8"/>
      <c r="C960" s="8"/>
    </row>
    <row r="961" spans="2:3" ht="13">
      <c r="B961" s="8"/>
      <c r="C961" s="8"/>
    </row>
    <row r="962" spans="2:3" ht="13">
      <c r="B962" s="8"/>
      <c r="C962" s="8"/>
    </row>
    <row r="963" spans="2:3" ht="13">
      <c r="B963" s="8"/>
      <c r="C963" s="8"/>
    </row>
    <row r="964" spans="2:3" ht="13">
      <c r="B964" s="8"/>
      <c r="C964" s="8"/>
    </row>
    <row r="965" spans="2:3" ht="13">
      <c r="B965" s="8"/>
      <c r="C965" s="8"/>
    </row>
    <row r="966" spans="2:3" ht="13">
      <c r="B966" s="8"/>
      <c r="C966" s="8"/>
    </row>
    <row r="967" spans="2:3" ht="13">
      <c r="B967" s="8"/>
      <c r="C967" s="8"/>
    </row>
    <row r="968" spans="2:3" ht="13">
      <c r="B968" s="8"/>
      <c r="C968" s="8"/>
    </row>
    <row r="969" spans="2:3" ht="13">
      <c r="B969" s="8"/>
      <c r="C969" s="8"/>
    </row>
    <row r="970" spans="2:3" ht="13">
      <c r="B970" s="8"/>
      <c r="C970" s="8"/>
    </row>
    <row r="971" spans="2:3" ht="13">
      <c r="B971" s="8"/>
      <c r="C971" s="8"/>
    </row>
    <row r="972" spans="2:3" ht="13">
      <c r="B972" s="8"/>
      <c r="C972" s="8"/>
    </row>
    <row r="973" spans="2:3" ht="13">
      <c r="B973" s="8"/>
      <c r="C973" s="8"/>
    </row>
    <row r="974" spans="2:3" ht="13">
      <c r="B974" s="8"/>
      <c r="C974" s="8"/>
    </row>
    <row r="975" spans="2:3" ht="13">
      <c r="B975" s="8"/>
      <c r="C975" s="8"/>
    </row>
    <row r="976" spans="2:3" ht="13">
      <c r="B976" s="8"/>
      <c r="C976" s="8"/>
    </row>
    <row r="977" spans="2:3" ht="13">
      <c r="B977" s="8"/>
      <c r="C977" s="8"/>
    </row>
    <row r="978" spans="2:3" ht="13">
      <c r="B978" s="8"/>
      <c r="C978" s="8"/>
    </row>
    <row r="979" spans="2:3" ht="13">
      <c r="B979" s="8"/>
      <c r="C979" s="8"/>
    </row>
    <row r="980" spans="2:3" ht="13">
      <c r="B980" s="8"/>
      <c r="C980" s="8"/>
    </row>
    <row r="981" spans="2:3" ht="13">
      <c r="B981" s="8"/>
      <c r="C981" s="8"/>
    </row>
    <row r="982" spans="2:3" ht="13">
      <c r="B982" s="8"/>
      <c r="C982" s="8"/>
    </row>
    <row r="983" spans="2:3" ht="13">
      <c r="B983" s="8"/>
      <c r="C983" s="8"/>
    </row>
    <row r="984" spans="2:3" ht="13">
      <c r="B984" s="8"/>
      <c r="C984" s="8"/>
    </row>
    <row r="985" spans="2:3" ht="13">
      <c r="B985" s="8"/>
      <c r="C985" s="8"/>
    </row>
    <row r="986" spans="2:3" ht="13">
      <c r="B986" s="8"/>
      <c r="C986" s="8"/>
    </row>
    <row r="987" spans="2:3" ht="13">
      <c r="B987" s="8"/>
      <c r="C987" s="8"/>
    </row>
    <row r="988" spans="2:3" ht="13">
      <c r="B988" s="8"/>
      <c r="C988" s="8"/>
    </row>
    <row r="989" spans="2:3" ht="13">
      <c r="B989" s="8"/>
      <c r="C989" s="8"/>
    </row>
    <row r="990" spans="2:3" ht="13">
      <c r="B990" s="8"/>
      <c r="C990" s="8"/>
    </row>
    <row r="991" spans="2:3" ht="13">
      <c r="B991" s="8"/>
      <c r="C991" s="8"/>
    </row>
    <row r="992" spans="2:3" ht="13">
      <c r="B992" s="8"/>
      <c r="C992" s="8"/>
    </row>
    <row r="993" spans="2:3" ht="13">
      <c r="B993" s="8"/>
      <c r="C993" s="8"/>
    </row>
    <row r="994" spans="2:3" ht="13">
      <c r="B994" s="8"/>
      <c r="C994" s="8"/>
    </row>
    <row r="995" spans="2:3" ht="13">
      <c r="B995" s="8"/>
      <c r="C995" s="8"/>
    </row>
    <row r="996" spans="2:3" ht="13">
      <c r="B996" s="8"/>
      <c r="C996" s="8"/>
    </row>
    <row r="997" spans="2:3" ht="13">
      <c r="B997" s="8"/>
      <c r="C997" s="8"/>
    </row>
  </sheetData>
  <mergeCells count="2">
    <mergeCell ref="D31:E31"/>
    <mergeCell ref="D32:E32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2021-2022</vt:lpstr>
      <vt:lpstr>2025-26</vt:lpstr>
      <vt:lpstr>checks</vt:lpstr>
      <vt:lpstr>Wages</vt:lpstr>
      <vt:lpstr>Wage to tresholds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2026-08-21T12:37:53Z</dcterms:modified>
</cp:coreProperties>
</file>